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charts/chart18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126\"/>
    </mc:Choice>
  </mc:AlternateContent>
  <xr:revisionPtr revIDLastSave="0" documentId="13_ncr:1_{C98030B6-DB6D-459E-B2F9-5817B47E676F}" xr6:coauthVersionLast="47" xr6:coauthVersionMax="47" xr10:uidLastSave="{00000000-0000-0000-0000-000000000000}"/>
  <bookViews>
    <workbookView xWindow="-108" yWindow="-108" windowWidth="23256" windowHeight="13896" tabRatio="911" firstSheet="37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COSTO_OPE_EJEC" sheetId="39" r:id="rId38"/>
    <sheet name="CALIFICA_OPE_UG" sheetId="40" r:id="rId39"/>
    <sheet name="CONGESTION_SIST_TRANS" sheetId="41" r:id="rId40"/>
    <sheet name="RRPF_RRSF" sheetId="42" r:id="rId41"/>
    <sheet name="FLUJOS_INTERCONEXIÓN" sheetId="43" r:id="rId42"/>
    <sheet name="OBS" sheetId="44" r:id="rId43"/>
    <sheet name="CONCLUSIONES" sheetId="45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9" l="1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N55" i="9"/>
  <c r="M55" i="9"/>
  <c r="L55" i="9"/>
  <c r="K55" i="9"/>
  <c r="J55" i="9"/>
  <c r="I55" i="9"/>
  <c r="H55" i="9"/>
  <c r="G55" i="9"/>
  <c r="F55" i="9"/>
  <c r="E55" i="9"/>
  <c r="D55" i="9"/>
  <c r="C55" i="9"/>
  <c r="O55" i="9" l="1"/>
  <c r="G56" i="9" s="1"/>
  <c r="O56" i="9"/>
  <c r="N56" i="9"/>
  <c r="M56" i="9"/>
  <c r="L56" i="9"/>
  <c r="K56" i="9"/>
  <c r="I56" i="9"/>
  <c r="H56" i="9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D56" i="9" l="1"/>
  <c r="C56" i="9"/>
  <c r="J56" i="9"/>
  <c r="E56" i="9"/>
  <c r="F56" i="9"/>
</calcChain>
</file>

<file path=xl/sharedStrings.xml><?xml version="1.0" encoding="utf-8"?>
<sst xmlns="http://schemas.openxmlformats.org/spreadsheetml/2006/main" count="25736" uniqueCount="3450">
  <si>
    <t>martes, 26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</si>
  <si>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</si>
  <si>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</si>
  <si>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</si>
  <si>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</si>
  <si>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</si>
  <si>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</si>
  <si>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</si>
  <si>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</si>
  <si>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</si>
  <si>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</si>
  <si>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</si>
  <si>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</si>
  <si>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</si>
  <si>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ATN 1 S.A.</t>
  </si>
  <si>
    <t>TINTAYA NUEVA - CONSTANCIA</t>
  </si>
  <si>
    <t xml:space="preserve">LINEA DE TRANSMISION          </t>
  </si>
  <si>
    <t>L-2024</t>
  </si>
  <si>
    <t>26/05/2026 16:46:00</t>
  </si>
  <si>
    <t>SE PRODUJO RECIERRE EXITOSO EN LA FASE T DE LA LÍNEA L-2024 (TINTAYA - CONSTANCIA) DE 220 KV</t>
  </si>
  <si>
    <t>NO</t>
  </si>
  <si>
    <t>CELARIS ENERGY S.A.</t>
  </si>
  <si>
    <t>MANTA I</t>
  </si>
  <si>
    <t>GENERADOR HIDROELÉCTRICO</t>
  </si>
  <si>
    <t>G1</t>
  </si>
  <si>
    <t>26/05/2026 12:17:06</t>
  </si>
  <si>
    <t>26/05/2026 12:47:00</t>
  </si>
  <si>
    <t>DESCONEXIÓN DEL GENERADOR G1 DE LA C.H. MANTA</t>
  </si>
  <si>
    <t>EGESUR</t>
  </si>
  <si>
    <t>INDEPENDENCIA</t>
  </si>
  <si>
    <t>GENERADOR TERMOELÉCTRICO</t>
  </si>
  <si>
    <t xml:space="preserve">INDEP_G3       </t>
  </si>
  <si>
    <t>26/05/2026 16:53:00</t>
  </si>
  <si>
    <t>28/05/2026 00:00:00</t>
  </si>
  <si>
    <t>DESCONEXIÓN DEL GENERADOR G3 DE LA C.T. INDEPENDENCIA POR FALLA</t>
  </si>
  <si>
    <t>ELECTRO DUNAS</t>
  </si>
  <si>
    <t>NAZCA - PUQUIO</t>
  </si>
  <si>
    <t>L-6630/2</t>
  </si>
  <si>
    <t>26/05/2026 13:44:33</t>
  </si>
  <si>
    <t>26/05/2026 13:46:04</t>
  </si>
  <si>
    <t>DESCONEXIÓN DE LA LÍNEA L-6630/2 (NAZCA - PUQUIO) DE 60 KV.</t>
  </si>
  <si>
    <t>SI</t>
  </si>
  <si>
    <t>EVENTO</t>
  </si>
  <si>
    <t>ELECTRO ORIENTE</t>
  </si>
  <si>
    <t>BELAUNDE TERRY - TARAPOTO</t>
  </si>
  <si>
    <t>L-1018</t>
  </si>
  <si>
    <t>26/05/2026 10:47:00</t>
  </si>
  <si>
    <t>26/05/2026 21:16:00</t>
  </si>
  <si>
    <t>DECLARACIÓN DE SITUACIÓN EXCEPCIONAL EN LA LÍNEA L-1018 (BELAUNDE TERRY - TARAPOTO) DE 138 kV</t>
  </si>
  <si>
    <t>TRANSMANTARO</t>
  </si>
  <si>
    <t>CARABAYLLO - CHIMBOTE1</t>
  </si>
  <si>
    <t>L-5006</t>
  </si>
  <si>
    <t>26/05/2026 00:00:00</t>
  </si>
  <si>
    <t>27/05/2026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</si>
  <si>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</si>
  <si>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</si>
  <si>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</si>
  <si>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</si>
  <si>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</si>
  <si>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26/05/2026 16:23:00</t>
  </si>
  <si>
    <t>26/05/2026 20:55:00</t>
  </si>
  <si>
    <t>RECHAZO MANUAL DE CARGA POR SOBRECARGA DEL TRANSFORMADOR T47-131 DE 138/34,5/10,5 kV DE LA S.E. QUENCORO.</t>
  </si>
  <si>
    <t>RESTRICCIONES OPERATIVAS</t>
  </si>
  <si>
    <t>FECHA</t>
  </si>
  <si>
    <t>HORA
INICIO</t>
  </si>
  <si>
    <t>HORA
FINAL</t>
  </si>
  <si>
    <t>T.Eq.</t>
  </si>
  <si>
    <t>26/05/2026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</si>
  <si>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</si>
  <si>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</si>
  <si>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</si>
  <si>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</si>
  <si>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</si>
  <si>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</si>
  <si>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</si>
  <si>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</si>
  <si>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</si>
  <si>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</si>
  <si>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</si>
  <si>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</si>
  <si>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</si>
  <si>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</si>
  <si>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</si>
  <si>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</si>
  <si>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</si>
  <si>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</si>
  <si>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</si>
  <si>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</si>
  <si>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</si>
  <si>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</si>
  <si>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</si>
  <si>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</si>
  <si>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</si>
  <si>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</si>
  <si>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</si>
  <si>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</si>
  <si>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</si>
  <si>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</si>
  <si>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</si>
  <si>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</si>
  <si>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</si>
  <si>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</si>
  <si>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</si>
  <si>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</si>
  <si>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</si>
  <si>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</si>
  <si>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</si>
  <si>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</si>
  <si>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</si>
  <si>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</si>
  <si>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G2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</si>
  <si>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</si>
  <si>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</si>
  <si>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</si>
  <si>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</si>
  <si>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</si>
  <si>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</si>
  <si>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</si>
  <si>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</si>
  <si>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</si>
  <si>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</si>
  <si>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</si>
  <si>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</si>
  <si>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</si>
  <si>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</si>
  <si>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</si>
  <si>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</si>
  <si>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</si>
  <si>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</si>
  <si>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</si>
  <si>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</si>
  <si>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</si>
  <si>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</si>
  <si>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</si>
  <si>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</si>
  <si>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</si>
  <si>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</si>
  <si>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</si>
  <si>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</si>
  <si>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</si>
  <si>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</si>
  <si>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</si>
  <si>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</si>
  <si>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</si>
  <si>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</si>
  <si>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</si>
  <si>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</si>
  <si>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</si>
  <si>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</si>
  <si>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</si>
  <si>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</si>
  <si>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</si>
  <si>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</si>
  <si>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</si>
  <si>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</si>
  <si>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</si>
  <si>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</si>
  <si>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</si>
  <si>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</si>
  <si>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</si>
  <si>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</si>
  <si>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</si>
  <si>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</si>
  <si>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</si>
  <si>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</si>
  <si>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</si>
  <si>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</si>
  <si>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</si>
  <si>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</si>
  <si>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</si>
  <si>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</si>
  <si>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</si>
  <si>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</si>
  <si>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</si>
  <si>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</si>
  <si>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</si>
  <si>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</si>
  <si>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</si>
  <si>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</si>
  <si>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</si>
  <si>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</si>
  <si>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</si>
  <si>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</si>
  <si>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26/05/2026 00:00</t>
  </si>
  <si>
    <t>27/05/2026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</si>
  <si>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</si>
  <si>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</si>
  <si>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</si>
  <si>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</si>
  <si>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</si>
  <si>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</si>
  <si>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</si>
  <si>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</si>
  <si>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</si>
  <si>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</si>
  <si>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</si>
  <si>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</si>
  <si>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CHILCA CTM - POROMA</t>
  </si>
  <si>
    <t>L-5032</t>
  </si>
  <si>
    <t>26/05/2026 11:10</t>
  </si>
  <si>
    <t>26/05/2026 18:45</t>
  </si>
  <si>
    <t>Inspeccion anual y termografia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</si>
  <si>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</si>
  <si>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</si>
  <si>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</si>
  <si>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</si>
  <si>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</si>
  <si>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</si>
  <si>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</si>
  <si>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</si>
  <si>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ACOPLE 220</t>
  </si>
  <si>
    <t>26/05/2026 08:01</t>
  </si>
  <si>
    <t>26/05/2026 18:09</t>
  </si>
  <si>
    <t>Proyecto Caraveli: A solicitud de Celsia para implementacion de interbloqueos por bahia transferida.</t>
  </si>
  <si>
    <t>P.ENERG</t>
  </si>
  <si>
    <t>BARRA B_220KV</t>
  </si>
  <si>
    <t>Proyecto Caraveli: Indisponible a solicitud de Celsia por implementacion de interbloqueo en celda de 220kV.</t>
  </si>
  <si>
    <t>CL-BCS-5382</t>
  </si>
  <si>
    <t>26/05/2026 08:05</t>
  </si>
  <si>
    <t>26/05/2026 16:27</t>
  </si>
  <si>
    <t>Mantenimiento Preventivo de equipos en celda</t>
  </si>
  <si>
    <t>SAN JOSE - MONTALVO</t>
  </si>
  <si>
    <t>L-5037</t>
  </si>
  <si>
    <t>26/05/2026 08:26</t>
  </si>
  <si>
    <t>26/05/2026 16:36</t>
  </si>
  <si>
    <t>Desconexion de L-5037 a solicitud de Minera Cerro Verde por mantenimiento programado.</t>
  </si>
  <si>
    <t>ATN 2 S.A.</t>
  </si>
  <si>
    <t>COTARUSE - LAS BAMBAS</t>
  </si>
  <si>
    <t>L-2055</t>
  </si>
  <si>
    <t>26/05/2026 07:40</t>
  </si>
  <si>
    <t>26/05/2026 17:38</t>
  </si>
  <si>
    <t>Medida de la Resistencia de Puesta a tierra</t>
  </si>
  <si>
    <t>L-2056</t>
  </si>
  <si>
    <t>CASA GRANDE S.A.A.</t>
  </si>
  <si>
    <t>CASA GRANDE</t>
  </si>
  <si>
    <t>PARADA POR REQUERIMIENTOS DE FABRICA</t>
  </si>
  <si>
    <t>F</t>
  </si>
  <si>
    <t>26/05/2026 15:01</t>
  </si>
  <si>
    <t>26/05/2026 21:00</t>
  </si>
  <si>
    <t>ENSAYOS ROTODINAMICOS DE VIBRACIONES G1</t>
  </si>
  <si>
    <t xml:space="preserve">CORR.     </t>
  </si>
  <si>
    <t>26/05/2026 23:32</t>
  </si>
  <si>
    <t>PRUEBA ENSAYOS ROTODINAMICOS DE VIBRACIONES G1</t>
  </si>
  <si>
    <t>PRUEBA</t>
  </si>
  <si>
    <t>COMPA?IA MINERA ANTAPACCAY S.A.</t>
  </si>
  <si>
    <t>TINTAYA</t>
  </si>
  <si>
    <t>T45-11</t>
  </si>
  <si>
    <t>26/05/2026 07:42</t>
  </si>
  <si>
    <t>26/05/2026 15:43</t>
  </si>
  <si>
    <t>Retiro del cable de control que va del Transformador T-45  hacia la sala de control. Para posterior realizar el cableado en la nueva canaleta de concreto.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</si>
  <si>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</si>
  <si>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</si>
  <si>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</si>
  <si>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</si>
  <si>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</si>
  <si>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</si>
  <si>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SANTUARIO</t>
  </si>
  <si>
    <t>ACOPLE 138</t>
  </si>
  <si>
    <t>En servicio barra 2,uso en grupo N1 Charcani V con interruptor de acoplamiento, por falla</t>
  </si>
  <si>
    <t>CT INDEPENDENCIA</t>
  </si>
  <si>
    <t>TR1 (Reserva)</t>
  </si>
  <si>
    <t>Transformador E/S con el Conmutador de Taps sin carga Deshabilitado</t>
  </si>
  <si>
    <t>T-30</t>
  </si>
  <si>
    <t>Mantenimiento correctivo del transformador de potencia en reserva - DELCROSA</t>
  </si>
  <si>
    <t>26/05/2026 16:53</t>
  </si>
  <si>
    <t>26/05/2026 18:22</t>
  </si>
  <si>
    <t>Desconecta intempestivamente por falla - perdida de se?al entre la WECS (Sistema de control del motor) y el PLC</t>
  </si>
  <si>
    <t>26/05/2026 18:49</t>
  </si>
  <si>
    <t>Operacion por prueba</t>
  </si>
  <si>
    <t>Mantenimiento Correctivo por perdida de se?al entre la WECS (Sistema de control del motor) y el PLC</t>
  </si>
  <si>
    <t>CAMPO ARMI?O</t>
  </si>
  <si>
    <t>SS.EE.</t>
  </si>
  <si>
    <t>Proteccion diferencial 87B en SECA fuera de servicio.</t>
  </si>
  <si>
    <t>MANTARO</t>
  </si>
  <si>
    <t>G4</t>
  </si>
  <si>
    <t>26/05/2026 07:03</t>
  </si>
  <si>
    <t>26/05/2026 17:43</t>
  </si>
  <si>
    <t>MANTENIMIENTO PREVENTIVO Y CONTROLES SISTEMATICOS</t>
  </si>
  <si>
    <t>EMPRESA DE GENERACION ELECTRICA CANCHAYLLO SAC</t>
  </si>
  <si>
    <t>CANCHAYLLO</t>
  </si>
  <si>
    <t>G01</t>
  </si>
  <si>
    <t>MANTENIMIENTO MAYOR DE GENERADOR / TABLEROS ELECTRICOS.</t>
  </si>
  <si>
    <t>CHAGLLA</t>
  </si>
  <si>
    <t>CL-TR2</t>
  </si>
  <si>
    <t>MANTENIMIENTO ANUAL LINEA CORTA LC-U2</t>
  </si>
  <si>
    <t>MANTENIMIENTO ANUAL UG2</t>
  </si>
  <si>
    <t xml:space="preserve">EMPRESA DE GENERACION HUANZA                      </t>
  </si>
  <si>
    <t>HUANZA</t>
  </si>
  <si>
    <t>2GER</t>
  </si>
  <si>
    <t>MANTENIMIENTO DE TURBINA Y GENERADOR</t>
  </si>
  <si>
    <t>26/05/2026 17:00</t>
  </si>
  <si>
    <t>INDISPONIBLE POR MANTENIMIENTO EN EL TRANSFORMADOR.</t>
  </si>
  <si>
    <t>26/05/2026 08:42</t>
  </si>
  <si>
    <t>MANTENIMIENTO DE PORTICO, TORRE 409 Y LIMPIEZA SE GIS CON INDISPONIBILIDAD L-2110 y L-2116</t>
  </si>
  <si>
    <t>TR-HUANZA</t>
  </si>
  <si>
    <t>PRUEBAS SISTEMA CONTRAINCENDIOS TRANSFORMADOR FASE S</t>
  </si>
  <si>
    <t>RESERVA FRIA DE GENERACION TALARA</t>
  </si>
  <si>
    <t>TG5</t>
  </si>
  <si>
    <t>26/05/2026 16:48</t>
  </si>
  <si>
    <t>UNIDAD TG5 INDISPONIBLE EN MODO GAS Y DIESEL</t>
  </si>
  <si>
    <t>26/05/2026 16:56</t>
  </si>
  <si>
    <t>PRUEBAS OPERATIVAS DE UNIDAD TG5 CON CARGA</t>
  </si>
  <si>
    <t>CARHUAMAYO - SANTA ISABEL</t>
  </si>
  <si>
    <t>L-2266</t>
  </si>
  <si>
    <t>26/05/2026 07:26</t>
  </si>
  <si>
    <t>26/05/2026 18:12</t>
  </si>
  <si>
    <t>MANTENIMIENTO CELDA L2266 LIMPIEZA DE EQUIPOS Y PRUEBAS ELECTRICAS INTERRUPTOR, PARARRAYOS, SECCIONADORES DE BARRA DE LA CELDA 220 KV Y PRUEBAS DE RELES DE PROTECCION L2266</t>
  </si>
  <si>
    <t>MOQUEGUA</t>
  </si>
  <si>
    <t>SSEE</t>
  </si>
  <si>
    <t>26/05/2026 10:30</t>
  </si>
  <si>
    <t>26/05/2026 11:30</t>
  </si>
  <si>
    <t>UPGRADE SISTEMA DE ALIMENTACION AC TECNOLOGIA DE LA INFORMACION SE MOQUEGUA, POSIBLES PERDIDAS E INTERMITENCIA DE SE?ALES SCADA AL COES.</t>
  </si>
  <si>
    <t>PUNTA LOMITAS</t>
  </si>
  <si>
    <t>CENTRAL PUNTA LOMITAS: 02 WTG FUERA DE SERVICIO POR REPARACION DE FALLAS MAYORES</t>
  </si>
  <si>
    <t>QUITARACSA</t>
  </si>
  <si>
    <t>26/05/2026 13:40</t>
  </si>
  <si>
    <t>26/05/2026 22:51</t>
  </si>
  <si>
    <t>PRUEBAS OPERATIVAS PREVIAS AL REINGRESO A OPERACION COMERCIAL DE LA CH QUITARACSA (SUJETO A GRADO DE SATURACION DE LA REJILLA DE CAPTACION DE LA BOCATOMA QUITARACSA)</t>
  </si>
  <si>
    <t>SANTA ISABEL</t>
  </si>
  <si>
    <t>BARRA A_220 KV</t>
  </si>
  <si>
    <t>26/05/2026 07:13</t>
  </si>
  <si>
    <t>26/05/2026 13:11</t>
  </si>
  <si>
    <t>A LAS 07:00H LIBERACION DE BARRA  A  POR MANTTO Y PRUEBAS ELECTRICAS EQUIPOS DE CELDA 220 KV 2266</t>
  </si>
  <si>
    <t>BARRA B_220kV</t>
  </si>
  <si>
    <t>26/05/2026 13:25</t>
  </si>
  <si>
    <t>26/05/2026 18:04</t>
  </si>
  <si>
    <t>A LAS 11:00H LIBERACION DE BARRA  B  POR MANTTO Y PRUEBAS ELECTRICAS EQUIPOS DE CELDA 220 KV 2266, NORMALIZACION A DOBLE BARRA A LAS 17:00 HORAS.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</si>
  <si>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</si>
  <si>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</si>
  <si>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</si>
  <si>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</si>
  <si>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</si>
  <si>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</si>
  <si>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</si>
  <si>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</si>
  <si>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</si>
  <si>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</si>
  <si>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</si>
  <si>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SANTIAGO DE CAO</t>
  </si>
  <si>
    <t>L-1118</t>
  </si>
  <si>
    <t>26/05/2026 06:00</t>
  </si>
  <si>
    <t>26/05/2026 14:00</t>
  </si>
  <si>
    <t>Continuar Hidrolavado de cadena de aisladores L-1118, ESTRUCTURAS: E79 y E80 (TRAMO REHABILITADO) E59 a E69, E72A, E74, E79, E79A, E83 (TRAMO ANTIGUO)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</si>
  <si>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</si>
  <si>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</si>
  <si>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</si>
  <si>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</si>
  <si>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</si>
  <si>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</si>
  <si>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</si>
  <si>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</si>
  <si>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</si>
  <si>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</si>
  <si>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</si>
  <si>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</si>
  <si>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</si>
  <si>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KALLPA</t>
  </si>
  <si>
    <t xml:space="preserve">TG2            </t>
  </si>
  <si>
    <t>26/05/2026 00:38</t>
  </si>
  <si>
    <t>LAVADO OFFLINE + CAMBIO DE FILTROS DE AIRE + BOROSCOPIA</t>
  </si>
  <si>
    <t>KALLPA - CHILCA</t>
  </si>
  <si>
    <t>L-2098</t>
  </si>
  <si>
    <t>26/05/2026 12:07</t>
  </si>
  <si>
    <t>Mantenimiento Prev Anual Linea 2098, Mantto y Pruebas electricas GCB, Mantto y Pruebas electricas trafos GSU y UAT, Cambio de Radiadores GSU</t>
  </si>
  <si>
    <t>MINI CENTRAL CERRO DEL AGUILA</t>
  </si>
  <si>
    <t>MANTENIMIENTO ANUAL DE MINICENTRAL</t>
  </si>
  <si>
    <t>LINEAS ANDINAS SECUNDARIAS S.A.C.</t>
  </si>
  <si>
    <t>OROYA - CASA DE FUERZA</t>
  </si>
  <si>
    <t>L-6509</t>
  </si>
  <si>
    <t>A SOLICITUD DE METALURICA BUSINESS SE DESENERGIZARA LA L6509 (APERTURA DEL IN-0065 CASA FUERZA) POR TRABAJOS PROGRAMADOS EN CELDA DE PROPIEDAD DE METALURICA BUSINESS</t>
  </si>
  <si>
    <t>PARAMONGA N. - PARAMONGA E.</t>
  </si>
  <si>
    <t>L-1101</t>
  </si>
  <si>
    <t>LINEA EN BYPASS CON LA L-1033 PARA ALIMENTAR LAS CARGAS DE LA SE CAHUA Y PONER LA CH CAHUA EN SERVICIO PARA EL SISTEMA.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</si>
  <si>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</si>
  <si>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</si>
  <si>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</si>
  <si>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</si>
  <si>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</si>
  <si>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RECKA</t>
  </si>
  <si>
    <t>PRUEBAS DE RELES DE PROTECCION AT, MT, y BT.</t>
  </si>
  <si>
    <t>REQUE</t>
  </si>
  <si>
    <t>CL-2167</t>
  </si>
  <si>
    <t>PRUEBAS ELECTRICAS EN SITIO DEL BANCO DE BATERIAS DE BAHIA L-2167 CON APERTURA DE LINEA.</t>
  </si>
  <si>
    <t>REQUE - RECKA</t>
  </si>
  <si>
    <t>L-2167</t>
  </si>
  <si>
    <t>DESENERGIZACION DE LA LINEA 2167 POR PRUEBAS DE RELES DE PROTECCION</t>
  </si>
  <si>
    <t>SAN JOSE</t>
  </si>
  <si>
    <t>CL-5037</t>
  </si>
  <si>
    <t>26/05/2026 16:41</t>
  </si>
  <si>
    <t>MANTENIMIENTO 3A EQUIPOS DE PATIO SECTOR 04 500KV: PARARRAYOS PRL5962, SECCIONADOR SPL5962, SECCIONADOR SPT5962, TRANSF TENSION TTL5962.</t>
  </si>
  <si>
    <t>CALLAHUANCA</t>
  </si>
  <si>
    <t>26/05/2026 11:25</t>
  </si>
  <si>
    <t>26/05/2026 14:18</t>
  </si>
  <si>
    <t>PRUEBAS: Evaluacion del analisis vibracional de cojinetes, debido a vibraciones presentadas a cargas mayores a 13 MW. Continua limitacion operativa.</t>
  </si>
  <si>
    <t>HUINCO</t>
  </si>
  <si>
    <t>TRABAJOS EN EL REGULADOR DE VELOCIDAD******</t>
  </si>
  <si>
    <t>REPARACION FILOS DE ATAQUE</t>
  </si>
  <si>
    <t>WAYRA EXTENSION</t>
  </si>
  <si>
    <t>GE WAY_EXT-BL2</t>
  </si>
  <si>
    <t>26/05/2026 04:05</t>
  </si>
  <si>
    <t>26/05/2026 08:13</t>
  </si>
  <si>
    <t>Apertura de interruptor de celdas de circuitos F13 Wayra Extension , por seguridad durante trabajos de conexionado de sistema cross bonding en cables de media tension circuito 13.</t>
  </si>
  <si>
    <t>PETRAMAS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</si>
  <si>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</si>
  <si>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</si>
  <si>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</si>
  <si>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</si>
  <si>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</si>
  <si>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</si>
  <si>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</si>
  <si>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</si>
  <si>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</si>
  <si>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</si>
  <si>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PLUZ ENERGIA PERU S.A.A.</t>
  </si>
  <si>
    <t>MIRADOR</t>
  </si>
  <si>
    <t>26/05/2026 09:00</t>
  </si>
  <si>
    <t>REVISION TELEMANDO Y MANDO ELECTRICO SB2</t>
  </si>
  <si>
    <t>BARRA B 220kV</t>
  </si>
  <si>
    <t>ALIPIO ROSALES - MACHALA</t>
  </si>
  <si>
    <t>L-2280</t>
  </si>
  <si>
    <t>CUELLOS APERTURADOS EN LA FRONTERA LADO ECUADOR A SOLICITUD DE CENACE DESDE EL 19.06.2025.</t>
  </si>
  <si>
    <t>CHAVARRIA</t>
  </si>
  <si>
    <t>BARRA-A</t>
  </si>
  <si>
    <t>26/05/2026 08:23</t>
  </si>
  <si>
    <t>26/05/2026 12:01</t>
  </si>
  <si>
    <t>FUERA DE SERVICIO DEBIDO A TRABAJOS DE CL2003. (R0125103)</t>
  </si>
  <si>
    <t>CL-2003</t>
  </si>
  <si>
    <t>26/05/2026 09:10</t>
  </si>
  <si>
    <t>26/05/2026 15:00</t>
  </si>
  <si>
    <t>MP 4A LAVADO DE AISLAMIENTO Y LUBRICACION DE SECCIONADORES EN CELDA, ACTIVIDAD CON CAMBIO DE BARRAS. (R0125103)</t>
  </si>
  <si>
    <t>BARRA-B</t>
  </si>
  <si>
    <t>26/05/2026 12:32</t>
  </si>
  <si>
    <t>26/05/2026 15:49</t>
  </si>
  <si>
    <t>CHICLAYO OESTE</t>
  </si>
  <si>
    <t>SVC-2</t>
  </si>
  <si>
    <t>SVC-2 DISPONIBLE EN MODO MANUAL (OPERACION CON SUSCEPTANCIA FIJA) DEBIDO A ANTIGÜEDAD DEL SISTEMA DE CONTROL DE LOS TIRISTORES. POR LO QUE SE ENCUENTRA OPERANDO CON ABSORCION VARIABLE RANGO [4.8 ; 11.3]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</si>
  <si>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</si>
  <si>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</si>
  <si>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CHICLAYO OESTE - FELAM</t>
  </si>
  <si>
    <t>L-2238</t>
  </si>
  <si>
    <t>26/05/2026 07:55</t>
  </si>
  <si>
    <t>26/05/2026 15:44</t>
  </si>
  <si>
    <t>MP 3A SILICONADO DE AISLADORES DE PORCELANA DE POSTES P-65 A P-157. (R0123234)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</si>
  <si>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</si>
  <si>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</si>
  <si>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</si>
  <si>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</si>
  <si>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</si>
  <si>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</si>
  <si>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</si>
  <si>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</si>
  <si>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</si>
  <si>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</si>
  <si>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</si>
  <si>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</si>
  <si>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(R0118694). Actividad realziada desde las 07:19:00 a las 17:04:00</t>
  </si>
  <si>
    <t>COMBAPATA</t>
  </si>
  <si>
    <t>BARRA_138 KV</t>
  </si>
  <si>
    <t>PROTECCION DIFERENCIAL DE BARRAS 87B 138KV DESHABILITADO DESDE EL INGRESO DEL TRANSFORMADOR DE POTENCIA T126-162 POR EL PROYECTO AMPLIACION N°20. FECHA ESTIMADA : 4 de julio de 2026.</t>
  </si>
  <si>
    <t>GUADALUPE</t>
  </si>
  <si>
    <t>CL-2236</t>
  </si>
  <si>
    <t>26/05/2026 17:22</t>
  </si>
  <si>
    <t>FALLA DEL MECANISMO DE CIERRE /APERTURA DEL SECCIONADOR SA-8147. POR ESTA ANOMALIA LA CELDA CL-2236 ESTA EN BARRA  A  Y CELDA CL-2237 EN BARRA  B 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</si>
  <si>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</si>
  <si>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</si>
  <si>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</si>
  <si>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</si>
  <si>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</si>
  <si>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</si>
  <si>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</si>
  <si>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</si>
  <si>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</si>
  <si>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HUANZA - ORCOTUNA</t>
  </si>
  <si>
    <t>L-2116</t>
  </si>
  <si>
    <t>26/05/2026 08:34</t>
  </si>
  <si>
    <t>26/05/2026 17:17</t>
  </si>
  <si>
    <t>Desconexion de linea a solicitud de Huanza.</t>
  </si>
  <si>
    <t>HUANZA-CARABAYLLO</t>
  </si>
  <si>
    <t>L-2110</t>
  </si>
  <si>
    <t>26/05/2026 08:40</t>
  </si>
  <si>
    <t>26/05/2026 17:14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</si>
  <si>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</si>
  <si>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</si>
  <si>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</si>
  <si>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(R0121548). Actividad realizada de las 08:50:00 a las 18:10:00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</si>
  <si>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</si>
  <si>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(R0121548). Actividad realizada de las  08:50:00 a las 18:10:00</t>
  </si>
  <si>
    <t>CL-2208</t>
  </si>
  <si>
    <t>26/05/2026 08:50</t>
  </si>
  <si>
    <t>26/05/2026 18:10</t>
  </si>
  <si>
    <t>POA SPAT//Modernizacion de la linea L2208 (R0118694)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</si>
  <si>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</si>
  <si>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</si>
  <si>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</si>
  <si>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</si>
  <si>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</si>
  <si>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PROTECCION DIFERENCIAL DE BARRAS 87B 220KV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</si>
  <si>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</si>
  <si>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</si>
  <si>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</si>
  <si>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</si>
  <si>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</si>
  <si>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</si>
  <si>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</si>
  <si>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AT142-2161_220 kV</t>
  </si>
  <si>
    <t>CELDA NO CUENTA CON SECCIONADOR DE BARRA A, SOLO TIENE SECCIONADOR DE BARRA B.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</si>
  <si>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</si>
  <si>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</si>
  <si>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</si>
  <si>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</si>
  <si>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</si>
  <si>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</si>
  <si>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POMACOCHA - SAN JUAN</t>
  </si>
  <si>
    <t>L-2205</t>
  </si>
  <si>
    <t>26/05/2026 07:35</t>
  </si>
  <si>
    <t>26/05/2026 16:11</t>
  </si>
  <si>
    <t>MP 3A LIMPIEZA DE AISLADORES DE VIDRIO DE TORRES T-450 A T-475, REQUIERE L-2206 CON RECIERRES DESHABILITADOS. (R0125660)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</si>
  <si>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</si>
  <si>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</si>
  <si>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</si>
  <si>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</si>
  <si>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</si>
  <si>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</si>
  <si>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</si>
  <si>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</si>
  <si>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</si>
  <si>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</si>
  <si>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QDA. HONDA - PLAZA TOQUEPALA</t>
  </si>
  <si>
    <t>L-1385/1</t>
  </si>
  <si>
    <t>26/05/2026 08:33</t>
  </si>
  <si>
    <t>26/05/2026 14:26</t>
  </si>
  <si>
    <t>MANTENIMIENTO SEMESTRAL S.E. QUEBRADA HONDA</t>
  </si>
  <si>
    <t>QUEBRADA HONDA REUBICADA</t>
  </si>
  <si>
    <t>HCB 788</t>
  </si>
  <si>
    <t>26/05/2026 14:32</t>
  </si>
  <si>
    <t>QHT2-138/13.8</t>
  </si>
  <si>
    <t>HCB 789</t>
  </si>
  <si>
    <t>MALPASO</t>
  </si>
  <si>
    <t>26/05/2026 08:00</t>
  </si>
  <si>
    <t>Inspeccion y mantenimiento semestral F/S UG4</t>
  </si>
  <si>
    <t>R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</si>
  <si>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</si>
  <si>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</si>
  <si>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</si>
  <si>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</si>
  <si>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</si>
  <si>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</si>
  <si>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13.5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</si>
  <si>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</si>
  <si>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</si>
  <si>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</si>
  <si>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</si>
  <si>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</si>
  <si>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</si>
  <si>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</si>
  <si>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</si>
  <si>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</si>
  <si>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</si>
  <si>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</si>
  <si>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</si>
  <si>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</si>
  <si>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</si>
  <si>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</si>
  <si>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</si>
  <si>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</si>
  <si>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</si>
  <si>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</si>
  <si>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</si>
  <si>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</si>
  <si>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</si>
  <si>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</si>
  <si>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</si>
  <si>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</si>
  <si>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</si>
  <si>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</si>
  <si>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</si>
  <si>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</si>
  <si>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</si>
  <si>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</si>
  <si>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</si>
  <si>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</si>
  <si>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CELDA CON INTERRUPTOR IN-2690 INDISPONIBLE, LINEA EN SERVICIO A TRAVES DEL SECCIONADOR DE TRANSFERENCIA Y EL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</si>
  <si>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</si>
  <si>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</si>
  <si>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</si>
  <si>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</si>
  <si>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</si>
  <si>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</si>
  <si>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</si>
  <si>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</si>
  <si>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</si>
  <si>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</si>
  <si>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</si>
  <si>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</si>
  <si>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</si>
  <si>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</si>
  <si>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</si>
  <si>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</si>
  <si>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</si>
  <si>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</si>
  <si>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</si>
  <si>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</si>
  <si>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</si>
  <si>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</si>
  <si>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</si>
  <si>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</si>
  <si>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</si>
  <si>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</si>
  <si>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</si>
  <si>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</si>
  <si>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</si>
  <si>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</si>
  <si>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</si>
  <si>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</si>
  <si>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</si>
  <si>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ENERGIA RENOVABLE DEL SUR S.A.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</si>
  <si>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</si>
  <si>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</si>
  <si>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</si>
  <si>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</si>
  <si>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</si>
  <si>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</si>
  <si>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</si>
  <si>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</si>
  <si>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</si>
  <si>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</si>
  <si>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</si>
  <si>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</si>
  <si>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</si>
  <si>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</si>
  <si>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</si>
  <si>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</si>
  <si>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</si>
  <si>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</si>
  <si>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</si>
  <si>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</si>
  <si>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</si>
  <si>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</si>
  <si>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</si>
  <si>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</si>
  <si>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</si>
  <si>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</si>
  <si>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</si>
  <si>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</si>
  <si>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</si>
  <si>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</si>
  <si>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</si>
  <si>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</si>
  <si>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</si>
  <si>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</si>
  <si>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</si>
  <si>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</si>
  <si>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</si>
  <si>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</si>
  <si>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</si>
  <si>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</si>
  <si>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</si>
  <si>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</si>
  <si>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</si>
  <si>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</si>
  <si>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</si>
  <si>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</si>
  <si>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</si>
  <si>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</si>
  <si>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</si>
  <si>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</si>
  <si>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</si>
  <si>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</si>
  <si>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</si>
  <si>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</si>
  <si>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</si>
  <si>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</si>
  <si>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</si>
  <si>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</si>
  <si>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</si>
  <si>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</si>
  <si>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</si>
  <si>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</si>
  <si>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</si>
  <si>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</si>
  <si>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</si>
  <si>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</si>
  <si>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</si>
  <si>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</si>
  <si>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</si>
  <si>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</si>
  <si>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</si>
  <si>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</si>
  <si>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</si>
  <si>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</si>
  <si>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</si>
  <si>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</si>
  <si>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</si>
  <si>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</si>
  <si>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</si>
  <si>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</si>
  <si>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</si>
  <si>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</si>
  <si>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</si>
  <si>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</si>
  <si>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</si>
  <si>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</si>
  <si>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</si>
  <si>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</si>
  <si>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</si>
  <si>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</si>
  <si>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</si>
  <si>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</si>
  <si>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</si>
  <si>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</si>
  <si>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</si>
  <si>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</si>
  <si>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</si>
  <si>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</si>
  <si>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</si>
  <si>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</si>
  <si>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</si>
  <si>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</si>
  <si>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</si>
  <si>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</si>
  <si>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</si>
  <si>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</si>
  <si>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</si>
  <si>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</si>
  <si>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</si>
  <si>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</si>
  <si>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</si>
  <si>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</si>
  <si>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</si>
  <si>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</si>
  <si>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</si>
  <si>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</si>
  <si>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</si>
  <si>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</si>
  <si>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</si>
  <si>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</si>
  <si>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</si>
  <si>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</si>
  <si>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</si>
  <si>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</si>
  <si>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</si>
  <si>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</si>
  <si>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</si>
  <si>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</si>
  <si>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</si>
  <si>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</si>
  <si>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</si>
  <si>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</si>
  <si>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</si>
  <si>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</si>
  <si>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</si>
  <si>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</si>
  <si>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</si>
  <si>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</si>
  <si>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</si>
  <si>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</si>
  <si>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</si>
  <si>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</si>
  <si>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</si>
  <si>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</si>
  <si>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</si>
  <si>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</si>
  <si>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</si>
  <si>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</si>
  <si>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</si>
  <si>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</si>
  <si>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</si>
  <si>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</si>
  <si>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</si>
  <si>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</si>
  <si>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</si>
  <si>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</si>
  <si>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</si>
  <si>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</si>
  <si>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</si>
  <si>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</si>
  <si>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</si>
  <si>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</si>
  <si>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</si>
  <si>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</si>
  <si>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</si>
  <si>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</si>
  <si>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</si>
  <si>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</si>
  <si>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</si>
  <si>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</si>
  <si>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</si>
  <si>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</si>
  <si>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</si>
  <si>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</si>
  <si>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</si>
  <si>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</si>
  <si>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</si>
  <si>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</si>
  <si>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</si>
  <si>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</si>
  <si>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</si>
  <si>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</si>
  <si>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</si>
  <si>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</si>
  <si>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</si>
  <si>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</si>
  <si>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</si>
  <si>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</si>
  <si>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</si>
  <si>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</si>
  <si>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</si>
  <si>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</si>
  <si>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</si>
  <si>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</si>
  <si>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</si>
  <si>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</si>
  <si>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</si>
  <si>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</si>
  <si>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</si>
  <si>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</si>
  <si>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</si>
  <si>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</si>
  <si>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</si>
  <si>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</si>
  <si>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</si>
  <si>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</si>
  <si>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</si>
  <si>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</si>
  <si>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</si>
  <si>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</si>
  <si>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</si>
  <si>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</si>
  <si>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</si>
  <si>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</si>
  <si>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</si>
  <si>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</si>
  <si>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</si>
  <si>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</si>
  <si>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</si>
  <si>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</si>
  <si>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</si>
  <si>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</si>
  <si>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</si>
  <si>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</si>
  <si>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</si>
  <si>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</si>
  <si>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</si>
  <si>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</si>
  <si>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</si>
  <si>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</si>
  <si>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</si>
  <si>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</si>
  <si>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</si>
  <si>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</si>
  <si>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</si>
  <si>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</si>
  <si>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</si>
  <si>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</si>
  <si>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</si>
  <si>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27/05/2026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</si>
  <si>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</si>
  <si>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</si>
  <si>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</si>
  <si>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</si>
  <si>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</si>
  <si>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</si>
  <si>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</si>
  <si>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</si>
  <si>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</si>
  <si>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</si>
  <si>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</si>
  <si>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</si>
  <si>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</si>
  <si>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</si>
  <si>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</si>
  <si>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</si>
  <si>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</si>
  <si>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</si>
  <si>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</si>
  <si>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</si>
  <si>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</si>
  <si>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</si>
  <si>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</si>
  <si>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</si>
  <si>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</si>
  <si>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</si>
  <si>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</si>
  <si>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</si>
  <si>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</si>
  <si>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</si>
  <si>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</si>
  <si>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</si>
  <si>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</si>
  <si>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</si>
  <si>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</si>
  <si>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</si>
  <si>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</si>
  <si>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</si>
  <si>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</si>
  <si>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</si>
  <si>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</si>
  <si>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</si>
  <si>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</si>
  <si>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</si>
  <si>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</si>
  <si>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</si>
  <si>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</si>
  <si>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</si>
  <si>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</si>
  <si>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</si>
  <si>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</si>
  <si>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</si>
  <si>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</si>
  <si>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</si>
  <si>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</si>
  <si>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</si>
  <si>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</si>
  <si>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</si>
  <si>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</si>
  <si>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</si>
  <si>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</si>
  <si>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</si>
  <si>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</si>
  <si>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</si>
  <si>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</si>
  <si>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</si>
  <si>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</si>
  <si>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</si>
  <si>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</si>
  <si>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</si>
  <si>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</si>
  <si>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</si>
  <si>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</si>
  <si>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</si>
  <si>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</si>
  <si>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</si>
  <si>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</si>
  <si>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</si>
  <si>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</si>
  <si>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</si>
  <si>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</si>
  <si>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</si>
  <si>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</si>
  <si>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</si>
  <si>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</si>
  <si>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</si>
  <si>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</si>
  <si>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</si>
  <si>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</si>
  <si>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</si>
  <si>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</si>
  <si>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</si>
  <si>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</si>
  <si>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</si>
  <si>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</si>
  <si>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</si>
  <si>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</si>
  <si>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</si>
  <si>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</si>
  <si>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</si>
  <si>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</si>
  <si>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</si>
  <si>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</si>
  <si>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</si>
  <si>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</si>
  <si>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</si>
  <si>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</si>
  <si>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</si>
  <si>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</si>
  <si>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</si>
  <si>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</si>
  <si>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</si>
  <si>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</si>
  <si>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</si>
  <si>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</si>
  <si>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</si>
  <si>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</si>
  <si>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</si>
  <si>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</si>
  <si>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</si>
  <si>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</si>
  <si>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</si>
  <si>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</si>
  <si>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</si>
  <si>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</si>
  <si>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</si>
  <si>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</si>
  <si>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</si>
  <si>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</si>
  <si>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</si>
  <si>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</si>
  <si>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</si>
  <si>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</si>
  <si>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</si>
  <si>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</si>
  <si>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</si>
  <si>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</si>
  <si>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</si>
  <si>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</si>
  <si>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</si>
  <si>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</si>
  <si>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</si>
  <si>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</si>
  <si>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</si>
  <si>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</si>
  <si>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</si>
  <si>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</si>
  <si>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</si>
  <si>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</si>
  <si>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</si>
  <si>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</si>
  <si>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</si>
  <si>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TOTAL MWh</t>
  </si>
  <si>
    <t>C.H. HUAMPANI</t>
  </si>
  <si>
    <t>%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</si>
  <si>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</si>
  <si>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</si>
  <si>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</si>
  <si>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</si>
  <si>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</si>
  <si>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</si>
  <si>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</si>
  <si>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</si>
  <si>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</si>
  <si>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</si>
  <si>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</si>
  <si>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</si>
  <si>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</si>
  <si>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</si>
  <si>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</si>
  <si>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</si>
  <si>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</si>
  <si>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</si>
  <si>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</si>
  <si>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</si>
  <si>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</si>
  <si>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</si>
  <si>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</si>
  <si>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</si>
  <si>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</si>
  <si>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</si>
  <si>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</si>
  <si>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</si>
  <si>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</si>
  <si>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</si>
  <si>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</si>
  <si>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</si>
  <si>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</si>
  <si>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</si>
  <si>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</si>
  <si>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</si>
  <si>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</si>
  <si>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</si>
  <si>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</si>
  <si>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</si>
  <si>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</si>
  <si>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</si>
  <si>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</si>
  <si>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</si>
  <si>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</si>
  <si>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</si>
  <si>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</si>
  <si>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</si>
  <si>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</si>
  <si>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</si>
  <si>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</si>
  <si>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</si>
  <si>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</si>
  <si>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</si>
  <si>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</si>
  <si>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</si>
  <si>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</si>
  <si>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</si>
  <si>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</si>
  <si>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</si>
  <si>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</si>
  <si>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</si>
  <si>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</si>
  <si>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</si>
  <si>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</si>
  <si>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</si>
  <si>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</si>
  <si>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</si>
  <si>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</si>
  <si>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</si>
  <si>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</si>
  <si>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</si>
  <si>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</si>
  <si>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</si>
  <si>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</si>
  <si>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</si>
  <si>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</si>
  <si>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</si>
  <si>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</si>
  <si>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</si>
  <si>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</si>
  <si>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</si>
  <si>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</si>
  <si>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</si>
  <si>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</si>
  <si>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</si>
  <si>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</si>
  <si>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</si>
  <si>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</si>
  <si>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</si>
  <si>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</si>
  <si>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</si>
  <si>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</si>
  <si>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</si>
  <si>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</si>
  <si>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</si>
  <si>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</si>
  <si>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</si>
  <si>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</si>
  <si>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</si>
  <si>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</si>
  <si>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</si>
  <si>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</si>
  <si>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</si>
  <si>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</si>
  <si>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</si>
  <si>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</si>
  <si>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</si>
  <si>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</si>
  <si>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</si>
  <si>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</si>
  <si>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</si>
  <si>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</si>
  <si>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</si>
  <si>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</si>
  <si>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</si>
  <si>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</si>
  <si>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</si>
  <si>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</si>
  <si>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</si>
  <si>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</si>
  <si>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</si>
  <si>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</si>
  <si>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</si>
  <si>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</si>
  <si>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</si>
  <si>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</si>
  <si>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</si>
  <si>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</si>
  <si>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</si>
  <si>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</si>
  <si>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</si>
  <si>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</si>
  <si>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</si>
  <si>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</si>
  <si>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</si>
  <si>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</si>
  <si>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</si>
  <si>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</si>
  <si>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martes, 26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</si>
  <si>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</si>
  <si>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</si>
  <si>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</si>
  <si>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</si>
  <si>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</si>
  <si>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</si>
  <si>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</si>
  <si>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</si>
  <si>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</si>
  <si>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</si>
  <si>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</si>
  <si>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</si>
  <si>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</si>
  <si>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</si>
  <si>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</si>
  <si>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</si>
  <si>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</si>
  <si>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</si>
  <si>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</si>
  <si>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</si>
  <si>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</si>
  <si>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</si>
  <si>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</si>
  <si>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</si>
  <si>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</si>
  <si>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</si>
  <si>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</si>
  <si>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</si>
  <si>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</si>
  <si>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</si>
  <si>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</si>
  <si>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</si>
  <si>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</si>
  <si>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</si>
  <si>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</si>
  <si>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</si>
  <si>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</si>
  <si>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</si>
  <si>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</si>
  <si>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</si>
  <si>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</si>
  <si>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</si>
  <si>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</si>
  <si>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</si>
  <si>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</si>
  <si>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</si>
  <si>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</si>
  <si>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</si>
  <si>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</si>
  <si>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</si>
  <si>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</si>
  <si>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</si>
  <si>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</si>
  <si>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</si>
  <si>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</si>
  <si>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</si>
  <si>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</si>
  <si>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</si>
  <si>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</si>
  <si>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</si>
  <si>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</si>
  <si>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</si>
  <si>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</si>
  <si>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</si>
  <si>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</si>
  <si>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</si>
  <si>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</si>
  <si>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</si>
  <si>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</si>
  <si>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</si>
  <si>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</si>
  <si>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</si>
  <si>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</si>
  <si>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</si>
  <si>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</si>
  <si>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</si>
  <si>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</si>
  <si>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</si>
  <si>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</si>
  <si>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</si>
  <si>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</si>
  <si>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</si>
  <si>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</si>
  <si>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</si>
  <si>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</si>
  <si>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</si>
  <si>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</si>
  <si>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</si>
  <si>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</si>
  <si>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</si>
  <si>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</si>
  <si>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</si>
  <si>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</si>
  <si>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</si>
  <si>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</si>
  <si>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</si>
  <si>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</si>
  <si>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</si>
  <si>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</si>
  <si>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</si>
  <si>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</si>
  <si>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</si>
  <si>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</si>
  <si>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</si>
  <si>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</si>
  <si>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</si>
  <si>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</si>
  <si>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</si>
  <si>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</si>
  <si>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</si>
  <si>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</si>
  <si>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</si>
  <si>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</si>
  <si>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</si>
  <si>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</si>
  <si>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</si>
  <si>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</si>
  <si>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</si>
  <si>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</si>
  <si>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</si>
  <si>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</si>
  <si>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</si>
  <si>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</si>
  <si>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</si>
  <si>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</si>
  <si>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</si>
  <si>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</si>
  <si>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</si>
  <si>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</si>
  <si>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</si>
  <si>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</si>
  <si>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</si>
  <si>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</si>
  <si>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CANA BRAVA TV1 &amp; TV2 - BAGAZO</t>
  </si>
  <si>
    <t>26/05/2026 22:45:00</t>
  </si>
  <si>
    <t>G-1</t>
  </si>
  <si>
    <t>CANA BRAVA TV1 - BAGAZO</t>
  </si>
  <si>
    <t>INDEPENDENCIA GAS</t>
  </si>
  <si>
    <t>26/05/2026 16:34:00</t>
  </si>
  <si>
    <t>26/05/2026 19:08:00</t>
  </si>
  <si>
    <t>26/05/2026 16:29:00</t>
  </si>
  <si>
    <t>POR POTENCIA O ENERGIA</t>
  </si>
  <si>
    <t>INDEP_G3</t>
  </si>
  <si>
    <t>26/05/2026 18:22:00</t>
  </si>
  <si>
    <t>26/05/2026 18:49:00</t>
  </si>
  <si>
    <t>26/05/2026 17:13:00</t>
  </si>
  <si>
    <t>POR PRUEBAS</t>
  </si>
  <si>
    <t>REQ. PROPIO</t>
  </si>
  <si>
    <t>26/05/2026 19:20:00</t>
  </si>
  <si>
    <t>26/05/2026 19:08:01</t>
  </si>
  <si>
    <t>A MINIMA CARGA</t>
  </si>
  <si>
    <t>TUMBES MAK 1 - D2</t>
  </si>
  <si>
    <t>26/05/2026 14:09:00</t>
  </si>
  <si>
    <t>26/05/2026 20:51:00</t>
  </si>
  <si>
    <t>26/05/2026 13:47:00</t>
  </si>
  <si>
    <t>xLT</t>
  </si>
  <si>
    <t>TUMBES MAK 2 - D2</t>
  </si>
  <si>
    <t>26/05/2026 14:15:00</t>
  </si>
  <si>
    <t>26/05/2026 21:05:00</t>
  </si>
  <si>
    <t>26/05/2026 21:02:00</t>
  </si>
  <si>
    <t>MALACAS1 TG6 - GAS</t>
  </si>
  <si>
    <t>26/05/2026 06:57:00</t>
  </si>
  <si>
    <t>26/05/2026 20:22:00</t>
  </si>
  <si>
    <t>26/05/2026 06:45:00</t>
  </si>
  <si>
    <t>26/05/2026 20:13:00</t>
  </si>
  <si>
    <t>MALACAS2 TG4 - GAS</t>
  </si>
  <si>
    <t>26/05/2026 11:14:00</t>
  </si>
  <si>
    <t>26/05/2026 13:49:00</t>
  </si>
  <si>
    <t>26/05/2026 10:55:00</t>
  </si>
  <si>
    <t>26/05/2026 13:41:00</t>
  </si>
  <si>
    <t>26/05/2026 20:04:00</t>
  </si>
  <si>
    <t>26/05/2026 21:22:00</t>
  </si>
  <si>
    <t>26/05/2026 22:54:00</t>
  </si>
  <si>
    <t>26/05/2026 22:50:00</t>
  </si>
  <si>
    <t>A las 22:32h, operó limitado por disponibilidad de gas.</t>
  </si>
  <si>
    <t>MALACAS3 TG5 - D2</t>
  </si>
  <si>
    <t>26/05/2026 16:36:00</t>
  </si>
  <si>
    <t>26/05/2026 16:56:00</t>
  </si>
  <si>
    <t>26/05/2026 16:33:00</t>
  </si>
  <si>
    <t>26/05/2026 16:48:00</t>
  </si>
  <si>
    <t>CHILCA1 CCOMB TG1 &amp; TG2 &amp; TG3 - GAS</t>
  </si>
  <si>
    <t>CHILCA2 TG41 - GAS</t>
  </si>
  <si>
    <t>26/05/2026 15:46:00</t>
  </si>
  <si>
    <t>26/05/2026 19:00:00</t>
  </si>
  <si>
    <t>26/05/2026 15:26:00</t>
  </si>
  <si>
    <t>26/05/2026 19:13:00</t>
  </si>
  <si>
    <t>26/05/2026 19:06:00</t>
  </si>
  <si>
    <t>FENIX CCOMB GT11 &amp; GT12 - GAS</t>
  </si>
  <si>
    <t>REF_TALARA TV1 - NLH_RFG</t>
  </si>
  <si>
    <t>KALLPA CCOMB TG1 &amp; TG2 &amp; TG3 - GAS</t>
  </si>
  <si>
    <t>26/05/2026 00:22:00</t>
  </si>
  <si>
    <t>KALLPA CCOMB TG1 &amp; TG3 - GAS</t>
  </si>
  <si>
    <t>26/05/2026 19:10:00</t>
  </si>
  <si>
    <t>KALLPA TG2 - GAS</t>
  </si>
  <si>
    <t>26/05/2026 00:38:00</t>
  </si>
  <si>
    <t>26/05/2026 20:31:00</t>
  </si>
  <si>
    <t>20:31h a 500 MW</t>
  </si>
  <si>
    <t>LAS FLORES CCOMB TG1 - GAS</t>
  </si>
  <si>
    <t>STA ROSA WEST TG7 - GAS CON H2O</t>
  </si>
  <si>
    <t>26/05/2026 02:21:00</t>
  </si>
  <si>
    <t>26/05/2026 02:07:00</t>
  </si>
  <si>
    <t>STA ROSA TG8 - GAS</t>
  </si>
  <si>
    <t>26/05/2026 16:04:00</t>
  </si>
  <si>
    <t>26/05/2026 16:25:00</t>
  </si>
  <si>
    <t>26/05/2026 15:48:00</t>
  </si>
  <si>
    <t>26/05/2026 18:47:00</t>
  </si>
  <si>
    <t>26/05/2026 21:39:00</t>
  </si>
  <si>
    <t>26/05/2026 22:08:00</t>
  </si>
  <si>
    <t>26/05/2026 22:48:00</t>
  </si>
  <si>
    <t>VENTANILLA CCOMB TG3 &amp; TG4 - GAS</t>
  </si>
  <si>
    <t>26/05/2026 16:51:00</t>
  </si>
  <si>
    <t>VENTANILLA CCOMB TG3 &amp; TG4 - GAS F.DIRECTO</t>
  </si>
  <si>
    <t>26/05/2026 18:59:00</t>
  </si>
  <si>
    <t>26/05/2026 19:33:00</t>
  </si>
  <si>
    <t>CALLAO - BIOGAS</t>
  </si>
  <si>
    <t>RF ETEN TG1 - D2</t>
  </si>
  <si>
    <t>26/05/2026 13:43:00</t>
  </si>
  <si>
    <t>26/05/2026 20:43:00</t>
  </si>
  <si>
    <t>26/05/2026 13:22:00</t>
  </si>
  <si>
    <t>26/05/2026 20:38:00</t>
  </si>
  <si>
    <t>POR SEGURIDAD</t>
  </si>
  <si>
    <t>Operó según el numeral 9 del PR-08.
A las 17:05h, S/C generar a carga mínima.</t>
  </si>
  <si>
    <t>OLLEROS CCOMB TG1 - GAS</t>
  </si>
  <si>
    <t>AGUAYTIA TG2 - GAS</t>
  </si>
  <si>
    <t>26/05/2026 13:18:00</t>
  </si>
  <si>
    <t>26/05/2026 21:48:00</t>
  </si>
  <si>
    <t>26/05/2026 22:07:00</t>
  </si>
  <si>
    <t>Hora Inicio y Fin de Indisponibilidades de las Unidades de Generación SEIN</t>
  </si>
  <si>
    <t>CENTRAL TERMOELECTRICA FUERA DE SERVICIO POR FALTA DE MATERIA PRIMA PARA LOS REQUERIMIENTOS DE CALOR ÚTIL EN FÁBRICA.</t>
  </si>
  <si>
    <t>PARADA POR REQUERIMIENTOS DE FÁBRICA</t>
  </si>
  <si>
    <t>ENSAYOS ROTODINÁMICOS DE VIBRACIONES G1</t>
  </si>
  <si>
    <t>Desconecta intempestivamente por falla - perdida de señal entre la WECS (Sistema de control del motor) y el PLC</t>
  </si>
  <si>
    <t>Mantenimiento Correctivo por perdida de señal entre la WECS (Sistema de control del motor) y el PLC</t>
  </si>
  <si>
    <t>MANTENIMIENTO PREVENTIVO Y CONTROLES SISTEMÁTICOS</t>
  </si>
  <si>
    <t>MANTENIMIENTO MAYOR DE GENERADOR / TABLEROS ELÉCTRICOS.</t>
  </si>
  <si>
    <t>Reparación interna del Generador</t>
  </si>
  <si>
    <t>Indisponible por limpieza de canal CH3 por alta concentración de sólidos.</t>
  </si>
  <si>
    <t>PRUEBAS DE RELES DE PROTECCIÓN AT, MT, y BT.</t>
  </si>
  <si>
    <t>REPARACIÓN FILOS DE ATAQUE</t>
  </si>
  <si>
    <t>DOÑA CATALINA</t>
  </si>
  <si>
    <t>Inspección y mantenimiento semestral F/S UG4</t>
  </si>
  <si>
    <t>EJECUTADO</t>
  </si>
  <si>
    <t>Martes 26 de Mayo del 2026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</si>
  <si>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</si>
  <si>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</si>
  <si>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</si>
  <si>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</si>
  <si>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</si>
  <si>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</si>
  <si>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</si>
  <si>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</si>
  <si>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</si>
  <si>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</si>
  <si>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</si>
  <si>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</si>
  <si>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</si>
  <si>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</si>
  <si>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</si>
  <si>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</si>
  <si>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</si>
  <si>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</si>
  <si>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</si>
  <si>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</si>
  <si>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</si>
  <si>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</si>
  <si>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</si>
  <si>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</si>
  <si>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</si>
  <si>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</si>
  <si>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</si>
  <si>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</si>
  <si>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</si>
  <si>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</si>
  <si>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</si>
  <si>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</si>
  <si>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</si>
  <si>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</si>
  <si>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</si>
  <si>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</si>
  <si>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</si>
  <si>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</si>
  <si>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</si>
  <si>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</si>
  <si>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</si>
  <si>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</si>
  <si>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</si>
  <si>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</si>
  <si>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</si>
  <si>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</si>
  <si>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</si>
  <si>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</si>
  <si>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</si>
  <si>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</si>
  <si>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</si>
  <si>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</si>
  <si>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</si>
  <si>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</si>
  <si>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</si>
  <si>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</si>
  <si>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</si>
  <si>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</si>
  <si>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</si>
  <si>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</si>
  <si>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</si>
  <si>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</si>
  <si>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</si>
  <si>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</si>
  <si>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</si>
  <si>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</si>
  <si>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</si>
  <si>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</si>
  <si>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</si>
  <si>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</si>
  <si>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</si>
  <si>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</si>
  <si>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</si>
  <si>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</si>
  <si>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</si>
  <si>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</si>
  <si>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</si>
  <si>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</si>
  <si>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</si>
  <si>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</si>
  <si>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</si>
  <si>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</si>
  <si>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</si>
  <si>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</si>
  <si>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</si>
  <si>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</si>
  <si>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</si>
  <si>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</si>
  <si>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</si>
  <si>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</si>
  <si>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</si>
  <si>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</si>
  <si>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</si>
  <si>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</si>
  <si>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</si>
  <si>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</si>
  <si>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</si>
  <si>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</si>
  <si>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</si>
  <si>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</si>
  <si>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</si>
  <si>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</si>
  <si>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</si>
  <si>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</si>
  <si>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</si>
  <si>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</si>
  <si>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</si>
  <si>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</si>
  <si>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</si>
  <si>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</si>
  <si>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</si>
  <si>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</si>
  <si>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</si>
  <si>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</si>
  <si>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</si>
  <si>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7889515.44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</si>
  <si>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</si>
  <si>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</si>
  <si>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</si>
  <si>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</si>
  <si>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</si>
  <si>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</si>
  <si>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</si>
  <si>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</si>
  <si>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</si>
  <si>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</si>
  <si>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</si>
  <si>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</si>
  <si>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</si>
  <si>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</si>
  <si>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</si>
  <si>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</si>
  <si>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</si>
  <si>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</si>
  <si>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</si>
  <si>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</si>
  <si>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</si>
  <si>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</si>
  <si>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</si>
  <si>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</si>
  <si>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</si>
  <si>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</si>
  <si>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</si>
  <si>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</si>
  <si>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</si>
  <si>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</si>
  <si>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</si>
  <si>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</si>
  <si>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</si>
  <si>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</si>
  <si>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</si>
  <si>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</si>
  <si>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</si>
  <si>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</si>
  <si>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</si>
  <si>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</si>
  <si>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</si>
  <si>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</si>
  <si>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</si>
  <si>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</si>
  <si>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</si>
  <si>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</si>
  <si>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</si>
  <si>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</si>
  <si>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</si>
  <si>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</si>
  <si>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</si>
  <si>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</si>
  <si>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</si>
  <si>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</si>
  <si>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</si>
  <si>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</si>
  <si>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</si>
  <si>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</si>
  <si>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</si>
  <si>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</si>
  <si>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</si>
  <si>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</si>
  <si>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</si>
  <si>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</si>
  <si>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</si>
  <si>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</si>
  <si>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</si>
  <si>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</si>
  <si>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</si>
  <si>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</si>
  <si>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</si>
  <si>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</si>
  <si>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</si>
  <si>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</si>
  <si>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</si>
  <si>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</si>
  <si>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</si>
  <si>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</si>
  <si>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</si>
  <si>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</si>
  <si>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</si>
  <si>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</si>
  <si>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</si>
  <si>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</si>
  <si>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</si>
  <si>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</si>
  <si>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</si>
  <si>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</si>
  <si>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</si>
  <si>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</si>
  <si>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</si>
  <si>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</si>
  <si>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</si>
  <si>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</si>
  <si>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</si>
  <si>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</si>
  <si>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</si>
  <si>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</si>
  <si>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</si>
  <si>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</si>
  <si>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</si>
  <si>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</si>
  <si>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</si>
  <si>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</si>
  <si>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</si>
  <si>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</si>
  <si>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</si>
  <si>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</si>
  <si>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</si>
  <si>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</si>
  <si>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</si>
  <si>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</si>
  <si>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</si>
  <si>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</si>
  <si>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</si>
  <si>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</si>
  <si>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</si>
  <si>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</si>
  <si>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</si>
  <si>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</si>
  <si>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</si>
  <si>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</si>
  <si>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</si>
  <si>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</si>
  <si>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</si>
  <si>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</si>
  <si>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</si>
  <si>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</si>
  <si>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</si>
  <si>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</si>
  <si>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</si>
  <si>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</si>
  <si>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</si>
  <si>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</si>
  <si>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YAULI_PUCARA</t>
  </si>
  <si>
    <t>Vertimiento de embalses</t>
  </si>
  <si>
    <t>TOMA KM 105</t>
  </si>
  <si>
    <t>15:30:00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</si>
  <si>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</si>
  <si>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</si>
  <si>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</si>
  <si>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</si>
  <si>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</si>
  <si>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</si>
  <si>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</si>
  <si>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</si>
  <si>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</si>
  <si>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</si>
  <si>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</si>
  <si>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</si>
  <si>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Disminución por consumo interno.</t>
  </si>
  <si>
    <t>-Consumo de diésel por despacho de la unidad GT-1.
-Recepción de combustible.
-Stock final declarado sincerado deacuerdo a nivel de medidores locales (DCS)</t>
  </si>
  <si>
    <t>Reporte de Consumo de Combustibles</t>
  </si>
  <si>
    <t>CONSUMO DE COMBUSTIBLES - LÍQUIDO, SÓLIDO, GASEOSO</t>
  </si>
  <si>
    <t>MEDIDOR</t>
  </si>
  <si>
    <t>26/May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</si>
  <si>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</si>
  <si>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</si>
  <si>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</si>
  <si>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</si>
  <si>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</si>
  <si>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</si>
  <si>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</si>
  <si>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</si>
  <si>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</si>
  <si>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</si>
  <si>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</si>
  <si>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</si>
  <si>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</si>
  <si>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</si>
  <si>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</si>
  <si>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</si>
  <si>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</si>
  <si>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</si>
  <si>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</si>
  <si>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</si>
  <si>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</si>
  <si>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</si>
  <si>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</si>
  <si>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</si>
  <si>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</si>
  <si>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</si>
  <si>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</si>
  <si>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</si>
  <si>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</si>
  <si>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</si>
  <si>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</si>
  <si>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</si>
  <si>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</si>
  <si>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</si>
  <si>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</si>
  <si>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</si>
  <si>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</si>
  <si>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</si>
  <si>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</si>
  <si>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</si>
  <si>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</si>
  <si>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</si>
  <si>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</si>
  <si>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</si>
  <si>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</si>
  <si>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</si>
  <si>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</si>
  <si>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</si>
  <si>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</si>
  <si>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</si>
  <si>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</si>
  <si>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</si>
  <si>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</si>
  <si>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</si>
  <si>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</si>
  <si>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</si>
  <si>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</si>
  <si>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</si>
  <si>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</si>
  <si>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</si>
  <si>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</si>
  <si>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</si>
  <si>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</si>
  <si>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</si>
  <si>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</si>
  <si>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</si>
  <si>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</si>
  <si>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</si>
  <si>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</si>
  <si>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</si>
  <si>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</si>
  <si>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</si>
  <si>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</si>
  <si>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</si>
  <si>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</si>
  <si>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</si>
  <si>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</si>
  <si>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26/05/2026 01:00</t>
  </si>
  <si>
    <t>26/05/2026 02:00</t>
  </si>
  <si>
    <t>26/05/2026 03:00</t>
  </si>
  <si>
    <t>26/05/2026 04:00</t>
  </si>
  <si>
    <t>26/05/2026 05:00</t>
  </si>
  <si>
    <t>26/05/2026 07:00</t>
  </si>
  <si>
    <t>26/05/2026 10:00</t>
  </si>
  <si>
    <t>26/05/2026 11:00</t>
  </si>
  <si>
    <t>26/05/2026 12:00</t>
  </si>
  <si>
    <t>26/05/2026 13:00</t>
  </si>
  <si>
    <t>26/05/2026 16:00</t>
  </si>
  <si>
    <t>26/05/2026 18:00</t>
  </si>
  <si>
    <t>26/05/2026 19:00</t>
  </si>
  <si>
    <t>26/05/2026 20:00</t>
  </si>
  <si>
    <t>26/05/2026 22:00</t>
  </si>
  <si>
    <t>26/05/2026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</si>
  <si>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</si>
  <si>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</si>
  <si>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</si>
  <si>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</si>
  <si>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</si>
  <si>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</si>
  <si>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27/05/2026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</si>
  <si>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</si>
  <si>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</si>
  <si>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</si>
  <si>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</si>
  <si>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</si>
  <si>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</si>
  <si>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</si>
  <si>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</si>
  <si>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</si>
  <si>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</si>
  <si>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</si>
  <si>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</si>
  <si>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</si>
  <si>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</si>
  <si>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</si>
  <si>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</si>
  <si>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</si>
  <si>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</si>
  <si>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</si>
  <si>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</si>
  <si>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</si>
  <si>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</si>
  <si>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</si>
  <si>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</si>
  <si>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</si>
  <si>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</si>
  <si>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</si>
  <si>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</si>
  <si>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</si>
  <si>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</si>
  <si>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</si>
  <si>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</si>
  <si>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</si>
  <si>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</si>
  <si>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</si>
  <si>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</si>
  <si>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</si>
  <si>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</si>
  <si>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</si>
  <si>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</si>
  <si>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</si>
  <si>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</si>
  <si>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</si>
  <si>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</si>
  <si>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</si>
  <si>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</si>
  <si>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</si>
  <si>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</si>
  <si>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</si>
  <si>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</si>
  <si>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</si>
  <si>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</si>
  <si>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</si>
  <si>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</si>
  <si>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</si>
  <si>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</si>
  <si>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</si>
  <si>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</si>
  <si>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</si>
  <si>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</si>
  <si>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</si>
  <si>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</si>
  <si>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</si>
  <si>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</si>
  <si>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</si>
  <si>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</si>
  <si>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</si>
  <si>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</si>
  <si>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</si>
  <si>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</si>
  <si>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</si>
  <si>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</si>
  <si>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</si>
  <si>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</si>
  <si>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</si>
  <si>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</si>
  <si>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</si>
  <si>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</si>
  <si>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</si>
  <si>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</si>
  <si>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</si>
  <si>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</si>
  <si>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</si>
  <si>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</si>
  <si>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</si>
  <si>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</si>
  <si>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</si>
  <si>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</si>
  <si>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</si>
  <si>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</si>
  <si>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</si>
  <si>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</si>
  <si>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</si>
  <si>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</si>
  <si>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</si>
  <si>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</si>
  <si>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</si>
  <si>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</si>
  <si>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</si>
  <si>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</si>
  <si>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</si>
  <si>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</si>
  <si>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</si>
  <si>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</si>
  <si>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</si>
  <si>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</si>
  <si>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</si>
  <si>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</si>
  <si>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</si>
  <si>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</si>
  <si>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</si>
  <si>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</si>
  <si>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</si>
  <si>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</si>
  <si>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</si>
  <si>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</si>
  <si>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</si>
  <si>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</si>
  <si>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</si>
  <si>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</si>
  <si>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</si>
  <si>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</si>
  <si>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</si>
  <si>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</si>
  <si>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</si>
  <si>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</si>
  <si>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</si>
  <si>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</si>
  <si>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</si>
  <si>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</si>
  <si>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</si>
  <si>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</si>
  <si>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</si>
  <si>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</si>
  <si>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</si>
  <si>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</si>
  <si>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</si>
  <si>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</si>
  <si>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</si>
  <si>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</si>
  <si>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</si>
  <si>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</si>
  <si>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</si>
  <si>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</si>
  <si>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</si>
  <si>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</si>
  <si>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</si>
  <si>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</si>
  <si>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</si>
  <si>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</si>
  <si>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</si>
  <si>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</si>
  <si>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</si>
  <si>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</si>
  <si>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</si>
  <si>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</si>
  <si>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</si>
  <si>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</si>
  <si>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</si>
  <si>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</si>
  <si>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</si>
  <si>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</si>
  <si>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</si>
  <si>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</si>
  <si>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</si>
  <si>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</si>
  <si>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</si>
  <si>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</si>
  <si>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</si>
  <si>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</si>
  <si>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</si>
  <si>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</si>
  <si>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</si>
  <si>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</si>
  <si>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</si>
  <si>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</si>
  <si>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</si>
  <si>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</si>
  <si>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</si>
  <si>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</si>
  <si>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</si>
  <si>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</si>
  <si>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</si>
  <si>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</si>
  <si>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</si>
  <si>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</si>
  <si>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</si>
  <si>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</si>
  <si>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</si>
  <si>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</si>
  <si>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</si>
  <si>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</si>
  <si>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</si>
  <si>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</si>
  <si>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</si>
  <si>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</si>
  <si>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</si>
  <si>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</si>
  <si>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</si>
  <si>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</si>
  <si>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</si>
  <si>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</si>
  <si>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</si>
  <si>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</si>
  <si>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</si>
  <si>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</si>
  <si>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</si>
  <si>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</si>
  <si>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</si>
  <si>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</si>
  <si>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</si>
  <si>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</si>
  <si>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</si>
  <si>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</si>
  <si>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</si>
  <si>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</si>
  <si>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</si>
  <si>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</si>
  <si>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</si>
  <si>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</si>
  <si>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</si>
  <si>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</si>
  <si>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</si>
  <si>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</si>
  <si>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</si>
  <si>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</si>
  <si>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</si>
  <si>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</si>
  <si>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</si>
  <si>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</si>
  <si>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</si>
  <si>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</si>
  <si>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</si>
  <si>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</si>
  <si>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</si>
  <si>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</si>
  <si>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</si>
  <si>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</si>
  <si>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</si>
  <si>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</si>
  <si>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</si>
  <si>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</si>
  <si>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</si>
  <si>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</si>
  <si>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</si>
  <si>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</si>
  <si>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</si>
  <si>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</si>
  <si>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</si>
  <si>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</si>
  <si>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</si>
  <si>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</si>
  <si>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</si>
  <si>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</si>
  <si>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</si>
  <si>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</si>
  <si>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</si>
  <si>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</si>
  <si>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</si>
  <si>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</si>
  <si>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</si>
  <si>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</si>
  <si>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</si>
  <si>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</si>
  <si>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</si>
  <si>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</si>
  <si>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</si>
  <si>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</si>
  <si>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</si>
  <si>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</si>
  <si>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</si>
  <si>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</si>
  <si>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</si>
  <si>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</si>
  <si>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</si>
  <si>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</si>
  <si>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</si>
  <si>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</si>
  <si>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</si>
  <si>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</si>
  <si>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</si>
  <si>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</si>
  <si>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</si>
  <si>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</si>
  <si>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</si>
  <si>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</si>
  <si>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</si>
  <si>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</si>
  <si>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</si>
  <si>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</si>
  <si>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</si>
  <si>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</si>
  <si>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</si>
  <si>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</si>
  <si>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</si>
  <si>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</si>
  <si>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</si>
  <si>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</si>
  <si>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</si>
  <si>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</si>
  <si>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</si>
  <si>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</si>
  <si>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</si>
  <si>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</si>
  <si>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</si>
  <si>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</si>
  <si>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</si>
  <si>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</si>
  <si>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</si>
  <si>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</si>
  <si>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</si>
  <si>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</si>
  <si>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</si>
  <si>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</si>
  <si>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</si>
  <si>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</si>
  <si>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</si>
  <si>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</si>
  <si>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</si>
  <si>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</si>
  <si>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</si>
  <si>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</si>
  <si>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</si>
  <si>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</si>
  <si>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</si>
  <si>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</si>
  <si>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</si>
  <si>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</si>
  <si>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</si>
  <si>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</si>
  <si>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</si>
  <si>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</si>
  <si>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</si>
  <si>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</si>
  <si>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</si>
  <si>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</si>
  <si>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</si>
  <si>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</si>
  <si>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</si>
  <si>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</si>
  <si>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</si>
  <si>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</si>
  <si>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</si>
  <si>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</si>
  <si>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</si>
  <si>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</si>
  <si>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</si>
  <si>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</si>
  <si>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</si>
  <si>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</si>
  <si>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</si>
  <si>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</si>
  <si>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</si>
  <si>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</si>
  <si>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</si>
  <si>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</si>
  <si>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</si>
  <si>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</si>
  <si>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</si>
  <si>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</si>
  <si>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</si>
  <si>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</si>
  <si>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</si>
  <si>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</si>
  <si>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</si>
  <si>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</si>
  <si>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</si>
  <si>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</si>
  <si>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</si>
  <si>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</si>
  <si>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</si>
  <si>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</si>
  <si>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</si>
  <si>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</si>
  <si>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</si>
  <si>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</si>
  <si>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</si>
  <si>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</si>
  <si>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</si>
  <si>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</si>
  <si>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</si>
  <si>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</si>
  <si>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</si>
  <si>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</si>
  <si>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</si>
  <si>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</si>
  <si>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</si>
  <si>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</si>
  <si>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</si>
  <si>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</si>
  <si>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</si>
  <si>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</si>
  <si>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</si>
  <si>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</si>
  <si>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</si>
  <si>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</si>
  <si>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</si>
  <si>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</si>
  <si>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</si>
  <si>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</si>
  <si>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</si>
  <si>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</si>
  <si>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</si>
  <si>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</si>
  <si>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</si>
  <si>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</si>
  <si>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</si>
  <si>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</si>
  <si>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</si>
  <si>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</si>
  <si>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</si>
  <si>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</si>
  <si>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</si>
  <si>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</si>
  <si>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</si>
  <si>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</si>
  <si>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</si>
  <si>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</si>
  <si>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</si>
  <si>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</si>
  <si>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</si>
  <si>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</si>
  <si>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</si>
  <si>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</si>
  <si>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</si>
  <si>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</si>
  <si>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</si>
  <si>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</si>
  <si>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</si>
  <si>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</si>
  <si>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</si>
  <si>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</si>
  <si>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</si>
  <si>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</si>
  <si>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</si>
  <si>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</si>
  <si>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</si>
  <si>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</si>
  <si>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</si>
  <si>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</si>
  <si>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</si>
  <si>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</si>
  <si>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</si>
  <si>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</si>
  <si>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</si>
  <si>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</si>
  <si>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</si>
  <si>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</si>
  <si>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</si>
  <si>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</si>
  <si>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</si>
  <si>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</si>
  <si>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</si>
  <si>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</si>
  <si>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</si>
  <si>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</si>
  <si>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</si>
  <si>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</si>
  <si>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</si>
  <si>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</si>
  <si>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</si>
  <si>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</si>
  <si>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</si>
  <si>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</si>
  <si>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</si>
  <si>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</si>
  <si>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</si>
  <si>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</si>
  <si>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</si>
  <si>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</si>
  <si>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</si>
  <si>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</si>
  <si>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</si>
  <si>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</si>
  <si>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</si>
  <si>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</si>
  <si>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</si>
  <si>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</si>
  <si>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</si>
  <si>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</si>
  <si>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</si>
  <si>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</si>
  <si>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</si>
  <si>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</si>
  <si>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</si>
  <si>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</si>
  <si>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</si>
  <si>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</si>
  <si>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</si>
  <si>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</si>
  <si>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</si>
  <si>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</si>
  <si>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</si>
  <si>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</si>
  <si>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</si>
  <si>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</si>
  <si>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</si>
  <si>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</si>
  <si>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</si>
  <si>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</si>
  <si>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</si>
  <si>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</si>
  <si>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</si>
  <si>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</si>
  <si>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</si>
  <si>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</si>
  <si>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</si>
  <si>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</si>
  <si>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</si>
  <si>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</si>
  <si>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</si>
  <si>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</si>
  <si>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</si>
  <si>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</si>
  <si>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</si>
  <si>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</si>
  <si>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</si>
  <si>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</si>
  <si>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</si>
  <si>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</si>
  <si>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</si>
  <si>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</si>
  <si>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</si>
  <si>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</si>
  <si>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</si>
  <si>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</si>
  <si>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</si>
  <si>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</si>
  <si>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</si>
  <si>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</si>
  <si>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</si>
  <si>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</si>
  <si>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</si>
  <si>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</si>
  <si>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</si>
  <si>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</si>
  <si>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</si>
  <si>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</si>
  <si>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</si>
  <si>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</si>
  <si>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</si>
  <si>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</si>
  <si>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</si>
  <si>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</si>
  <si>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</si>
  <si>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</si>
  <si>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</si>
  <si>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</si>
  <si>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</si>
  <si>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</si>
  <si>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</si>
  <si>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</si>
  <si>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</si>
  <si>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</si>
  <si>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</si>
  <si>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</si>
  <si>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</si>
  <si>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</si>
  <si>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</si>
  <si>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</si>
  <si>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</si>
  <si>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</si>
  <si>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</si>
  <si>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</si>
  <si>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</si>
  <si>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</si>
  <si>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</si>
  <si>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</si>
  <si>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</si>
  <si>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</si>
  <si>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</si>
  <si>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</si>
  <si>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</si>
  <si>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</si>
  <si>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</si>
  <si>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</si>
  <si>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</si>
  <si>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</si>
  <si>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</si>
  <si>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</si>
  <si>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</si>
  <si>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</si>
  <si>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</si>
  <si>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</si>
  <si>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</si>
  <si>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</si>
  <si>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</si>
  <si>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</si>
  <si>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</si>
  <si>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</si>
  <si>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</si>
  <si>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</si>
  <si>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</si>
  <si>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</si>
  <si>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</si>
  <si>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</si>
  <si>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</si>
  <si>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</si>
  <si>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</si>
  <si>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</si>
  <si>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</si>
  <si>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</si>
  <si>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</si>
  <si>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</si>
  <si>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</si>
  <si>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</si>
  <si>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</si>
  <si>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</si>
  <si>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</si>
  <si>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</si>
  <si>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</si>
  <si>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</si>
  <si>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</si>
  <si>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</si>
  <si>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</si>
  <si>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</si>
  <si>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</si>
  <si>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</si>
  <si>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</si>
  <si>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</si>
  <si>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</si>
  <si>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</si>
  <si>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</si>
  <si>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</si>
  <si>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</si>
  <si>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</si>
  <si>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</si>
  <si>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</si>
  <si>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</si>
  <si>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</si>
  <si>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</si>
  <si>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</si>
  <si>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</si>
  <si>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</si>
  <si>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</si>
  <si>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</si>
  <si>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</si>
  <si>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</si>
  <si>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</si>
  <si>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</si>
  <si>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</si>
  <si>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</si>
  <si>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</si>
  <si>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</si>
  <si>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</si>
  <si>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</si>
  <si>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</si>
  <si>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</si>
  <si>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</si>
  <si>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</si>
  <si>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</si>
  <si>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</si>
  <si>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</si>
  <si>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</si>
  <si>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</si>
  <si>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</si>
  <si>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</si>
  <si>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</si>
  <si>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</si>
  <si>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</si>
  <si>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</si>
  <si>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</si>
  <si>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</si>
  <si>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</si>
  <si>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</si>
  <si>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</si>
  <si>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</si>
  <si>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</si>
  <si>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</si>
  <si>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</si>
  <si>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</si>
  <si>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</si>
  <si>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</si>
  <si>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</si>
  <si>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</si>
  <si>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</si>
  <si>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</si>
  <si>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</si>
  <si>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</si>
  <si>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</si>
  <si>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</si>
  <si>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</si>
  <si>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</si>
  <si>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</si>
  <si>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</si>
  <si>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</si>
  <si>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</si>
  <si>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</si>
  <si>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</si>
  <si>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</si>
  <si>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</si>
  <si>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</si>
  <si>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</si>
  <si>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</si>
  <si>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</si>
  <si>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</si>
  <si>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</si>
  <si>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</si>
  <si>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</si>
  <si>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</si>
  <si>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</si>
  <si>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</si>
  <si>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</si>
  <si>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</si>
  <si>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</si>
  <si>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</si>
  <si>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</si>
  <si>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</si>
  <si>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</si>
  <si>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</si>
  <si>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</si>
  <si>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</si>
  <si>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</si>
  <si>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</si>
  <si>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</si>
  <si>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</si>
  <si>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</si>
  <si>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</si>
  <si>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</si>
  <si>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</si>
  <si>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</si>
  <si>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</si>
  <si>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</si>
  <si>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</si>
  <si>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</si>
  <si>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</si>
  <si>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</si>
  <si>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</si>
  <si>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</si>
  <si>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</si>
  <si>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</si>
  <si>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</si>
  <si>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</si>
  <si>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</si>
  <si>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</si>
  <si>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</si>
  <si>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</si>
  <si>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</si>
  <si>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</si>
  <si>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</si>
  <si>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</si>
  <si>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</si>
  <si>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</si>
  <si>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</si>
  <si>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</si>
  <si>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</si>
  <si>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</si>
  <si>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</si>
  <si>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</si>
  <si>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</si>
  <si>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</si>
  <si>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</si>
  <si>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</si>
  <si>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</si>
  <si>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</si>
  <si>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</si>
  <si>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</si>
  <si>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</si>
  <si>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</si>
  <si>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</si>
  <si>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</si>
  <si>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</si>
  <si>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</si>
  <si>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</si>
  <si>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</si>
  <si>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</si>
  <si>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</si>
  <si>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</si>
  <si>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</si>
  <si>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</si>
  <si>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</si>
  <si>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</si>
  <si>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</si>
  <si>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</si>
  <si>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</si>
  <si>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</si>
  <si>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</si>
  <si>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</si>
  <si>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</si>
  <si>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</si>
  <si>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</si>
  <si>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</si>
  <si>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</si>
  <si>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</si>
  <si>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</si>
  <si>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</si>
  <si>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</si>
  <si>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</si>
  <si>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</si>
  <si>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</si>
  <si>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</si>
  <si>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</si>
  <si>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</si>
  <si>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</si>
  <si>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</si>
  <si>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</si>
  <si>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</si>
  <si>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</si>
  <si>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</si>
  <si>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</si>
  <si>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</si>
  <si>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</si>
  <si>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</si>
  <si>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</si>
  <si>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</si>
  <si>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</si>
  <si>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</si>
  <si>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</si>
  <si>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</si>
  <si>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</si>
  <si>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</si>
  <si>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</si>
  <si>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</si>
  <si>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</si>
  <si>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</si>
  <si>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</si>
  <si>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</si>
  <si>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</si>
  <si>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</si>
  <si>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</si>
  <si>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</si>
  <si>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</si>
  <si>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</si>
  <si>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</si>
  <si>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</si>
  <si>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</si>
  <si>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</si>
  <si>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</si>
  <si>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</si>
  <si>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</si>
  <si>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</si>
  <si>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</si>
  <si>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</si>
  <si>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</si>
  <si>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</si>
  <si>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</si>
  <si>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</si>
  <si>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</si>
  <si>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</si>
  <si>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</si>
  <si>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</si>
  <si>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</si>
  <si>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</si>
  <si>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</si>
  <si>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</si>
  <si>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</si>
  <si>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</si>
  <si>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</si>
  <si>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</si>
  <si>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</si>
  <si>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</si>
  <si>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</si>
  <si>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</si>
  <si>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</si>
  <si>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</si>
  <si>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</si>
  <si>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</si>
  <si>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</si>
  <si>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</si>
  <si>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</si>
  <si>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</si>
  <si>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</si>
  <si>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</si>
  <si>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</si>
  <si>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</si>
  <si>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</si>
  <si>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</si>
  <si>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</si>
  <si>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</si>
  <si>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</si>
  <si>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</si>
  <si>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</si>
  <si>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</si>
  <si>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</si>
  <si>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</si>
  <si>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</si>
  <si>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</si>
  <si>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</si>
  <si>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</si>
  <si>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</si>
  <si>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</si>
  <si>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</si>
  <si>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</si>
  <si>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</si>
  <si>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</si>
  <si>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</si>
  <si>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</si>
  <si>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</si>
  <si>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</si>
  <si>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</si>
  <si>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</si>
  <si>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</si>
  <si>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</si>
  <si>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</si>
  <si>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</si>
  <si>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</si>
  <si>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</si>
  <si>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</si>
  <si>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</si>
  <si>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</si>
  <si>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</si>
  <si>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</si>
  <si>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</si>
  <si>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</si>
  <si>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</si>
  <si>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</si>
  <si>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</si>
  <si>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</si>
  <si>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</si>
  <si>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</si>
  <si>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</si>
  <si>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</si>
  <si>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</si>
  <si>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</si>
  <si>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</si>
  <si>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</si>
  <si>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</si>
  <si>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</si>
  <si>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</si>
  <si>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</si>
  <si>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</si>
  <si>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</si>
  <si>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</si>
  <si>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</si>
  <si>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</si>
  <si>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</si>
  <si>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</si>
  <si>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</si>
  <si>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</si>
  <si>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</si>
  <si>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</si>
  <si>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</si>
  <si>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</si>
  <si>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</si>
  <si>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</si>
  <si>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</si>
  <si>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</si>
  <si>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</si>
  <si>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</si>
  <si>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</si>
  <si>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</si>
  <si>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</si>
  <si>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</si>
  <si>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</si>
  <si>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</si>
  <si>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</si>
  <si>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</si>
  <si>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</si>
  <si>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</si>
  <si>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</si>
  <si>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</si>
  <si>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</si>
  <si>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</si>
  <si>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</si>
  <si>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</si>
  <si>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</si>
  <si>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</si>
  <si>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</si>
  <si>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</si>
  <si>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</si>
  <si>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</si>
  <si>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</si>
  <si>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</si>
  <si>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</si>
  <si>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</si>
  <si>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</si>
  <si>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</si>
  <si>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</si>
  <si>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</si>
  <si>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</si>
  <si>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</si>
  <si>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</si>
  <si>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</si>
  <si>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</si>
  <si>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</si>
  <si>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</si>
  <si>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</si>
  <si>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</si>
  <si>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</si>
  <si>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</si>
  <si>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</si>
  <si>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</si>
  <si>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</si>
  <si>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</si>
  <si>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</si>
  <si>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</si>
  <si>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</si>
  <si>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</si>
  <si>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</si>
  <si>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</si>
  <si>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</si>
  <si>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</si>
  <si>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</si>
  <si>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</si>
  <si>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</si>
  <si>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</si>
  <si>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</si>
  <si>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</si>
  <si>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</si>
  <si>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</si>
  <si>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</si>
  <si>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</si>
  <si>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</si>
  <si>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</si>
  <si>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</si>
  <si>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</si>
  <si>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</si>
  <si>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</si>
  <si>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</si>
  <si>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</si>
  <si>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</si>
  <si>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</si>
  <si>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</si>
  <si>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</si>
  <si>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</si>
  <si>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</si>
  <si>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</si>
  <si>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</si>
  <si>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</si>
  <si>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</si>
  <si>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</si>
  <si>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</si>
  <si>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</si>
  <si>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</si>
  <si>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</si>
  <si>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</si>
  <si>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</si>
  <si>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</si>
  <si>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</si>
  <si>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</si>
  <si>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</si>
  <si>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</si>
  <si>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</si>
  <si>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</si>
  <si>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</si>
  <si>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</si>
  <si>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</si>
  <si>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</si>
  <si>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</si>
  <si>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</si>
  <si>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</si>
  <si>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</si>
  <si>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</si>
  <si>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</si>
  <si>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</si>
  <si>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</si>
  <si>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</si>
  <si>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</si>
  <si>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</si>
  <si>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</si>
  <si>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</si>
  <si>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</si>
  <si>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</si>
  <si>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</si>
  <si>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</si>
  <si>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</si>
  <si>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</si>
  <si>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</si>
  <si>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</si>
  <si>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</si>
  <si>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</si>
  <si>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</si>
  <si>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</si>
  <si>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</si>
  <si>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</si>
  <si>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</si>
  <si>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</si>
  <si>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</si>
  <si>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</si>
  <si>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</si>
  <si>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</si>
  <si>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</si>
  <si>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</si>
  <si>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</si>
  <si>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</si>
  <si>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</si>
  <si>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</si>
  <si>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</si>
  <si>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</si>
  <si>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</si>
  <si>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</si>
  <si>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</si>
  <si>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</si>
  <si>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</si>
  <si>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</si>
  <si>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</si>
  <si>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</si>
  <si>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</si>
  <si>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</si>
  <si>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</si>
  <si>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</si>
  <si>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</si>
  <si>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</si>
  <si>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</si>
  <si>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</si>
  <si>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</si>
  <si>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</si>
  <si>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02:40:43
</t>
  </si>
  <si>
    <t xml:space="preserve">59.830 
</t>
  </si>
  <si>
    <t xml:space="preserve">03:30:56
17:14:41
</t>
  </si>
  <si>
    <t xml:space="preserve">60.246 
60.246 
</t>
  </si>
  <si>
    <t>DATACENTERCOES</t>
  </si>
  <si>
    <t xml:space="preserve">59.828 
</t>
  </si>
  <si>
    <t xml:space="preserve">17:14:41
</t>
  </si>
  <si>
    <t xml:space="preserve">60.247 
</t>
  </si>
  <si>
    <t>PUCALLPA ISA</t>
  </si>
  <si>
    <t xml:space="preserve">59.829 
</t>
  </si>
  <si>
    <t xml:space="preserve">60.247 
60.247 
</t>
  </si>
  <si>
    <t>RIOJA</t>
  </si>
  <si>
    <t xml:space="preserve">59.827 
</t>
  </si>
  <si>
    <t xml:space="preserve">60.248 
</t>
  </si>
  <si>
    <t>SAN JUAN CCRespaldo</t>
  </si>
  <si>
    <t>TALARA</t>
  </si>
  <si>
    <t xml:space="preserve">59.831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</si>
  <si>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</si>
  <si>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</si>
  <si>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</si>
  <si>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</si>
  <si>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</si>
  <si>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</si>
  <si>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</si>
  <si>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</si>
  <si>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</si>
  <si>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</si>
  <si>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</si>
  <si>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</si>
  <si>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</si>
  <si>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El costo total de la operación ejecutado fue S/. 7889515 y resultó S/. 1183076 (17.64% ) menor que el correspondiente al martes de la semana pasada.</t>
  </si>
  <si>
    <t>Fecha</t>
  </si>
  <si>
    <t>Costo Total Ejecutado</t>
  </si>
  <si>
    <t>Costo Total Programado</t>
  </si>
  <si>
    <t>MAR 19</t>
  </si>
  <si>
    <t>MIE 20</t>
  </si>
  <si>
    <t>JUE 21</t>
  </si>
  <si>
    <t>VIE 22</t>
  </si>
  <si>
    <t>SAB 23</t>
  </si>
  <si>
    <t>DOM 24</t>
  </si>
  <si>
    <t>LUN 25</t>
  </si>
  <si>
    <t>MAR 26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</si>
  <si>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</si>
  <si>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</si>
  <si>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</si>
  <si>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</si>
  <si>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</si>
  <si>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</si>
  <si>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</si>
  <si>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</si>
  <si>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</si>
  <si>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</si>
  <si>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</si>
  <si>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</si>
  <si>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</si>
  <si>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</si>
  <si>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</si>
  <si>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</si>
  <si>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</si>
  <si>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</si>
  <si>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</si>
  <si>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</si>
  <si>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</si>
  <si>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</si>
  <si>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</si>
  <si>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</si>
  <si>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</si>
  <si>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</si>
  <si>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</si>
  <si>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</si>
  <si>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</si>
  <si>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</si>
  <si>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</si>
  <si>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</si>
  <si>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</si>
  <si>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</si>
  <si>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</si>
  <si>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</si>
  <si>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</si>
  <si>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</si>
  <si>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</si>
  <si>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</si>
  <si>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</si>
  <si>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</si>
  <si>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</si>
  <si>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</si>
  <si>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</si>
  <si>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</si>
  <si>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</si>
  <si>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</si>
  <si>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</si>
  <si>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</si>
  <si>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</si>
  <si>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</si>
  <si>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</si>
  <si>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</si>
  <si>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</si>
  <si>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</si>
  <si>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</si>
  <si>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</si>
  <si>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</si>
  <si>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</si>
  <si>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</si>
  <si>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</si>
  <si>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</si>
  <si>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</si>
  <si>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</si>
  <si>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</si>
  <si>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</si>
  <si>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</si>
  <si>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</si>
  <si>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</si>
  <si>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</si>
  <si>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</si>
  <si>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</si>
  <si>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</si>
  <si>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</si>
  <si>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</si>
  <si>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</si>
  <si>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</si>
  <si>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</si>
  <si>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</si>
  <si>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</si>
  <si>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</si>
  <si>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</si>
  <si>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</si>
  <si>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</si>
  <si>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</si>
  <si>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</si>
  <si>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</si>
  <si>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</si>
  <si>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</si>
  <si>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</si>
  <si>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</si>
  <si>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</si>
  <si>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</si>
  <si>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</si>
  <si>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</si>
  <si>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</si>
  <si>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</si>
  <si>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</si>
  <si>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</si>
  <si>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</si>
  <si>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</si>
  <si>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</si>
  <si>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</si>
  <si>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</si>
  <si>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</si>
  <si>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</si>
  <si>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</si>
  <si>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15.228</t>
  </si>
  <si>
    <t>6</t>
  </si>
  <si>
    <t>8.1859</t>
  </si>
  <si>
    <t>917-39</t>
  </si>
  <si>
    <t>URS-STK-002 - G1</t>
  </si>
  <si>
    <t>CHMalpas - G1</t>
  </si>
  <si>
    <t>5.076</t>
  </si>
  <si>
    <t>2</t>
  </si>
  <si>
    <t>2.7286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</si>
  <si>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</si>
  <si>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</si>
  <si>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</si>
  <si>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</si>
  <si>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</si>
  <si>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</si>
  <si>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</si>
  <si>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</si>
  <si>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</si>
  <si>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</si>
  <si>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</si>
  <si>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</si>
  <si>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</si>
  <si>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</si>
  <si>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</si>
  <si>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</si>
  <si>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</si>
  <si>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</si>
  <si>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</si>
  <si>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</si>
  <si>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</si>
  <si>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</si>
  <si>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</si>
  <si>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</si>
  <si>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</si>
  <si>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</si>
  <si>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</si>
  <si>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</si>
  <si>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</si>
  <si>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</si>
  <si>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</si>
  <si>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</si>
  <si>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</si>
  <si>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</si>
  <si>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</si>
  <si>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</si>
  <si>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</si>
  <si>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</si>
  <si>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</si>
  <si>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</si>
  <si>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</si>
  <si>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</si>
  <si>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</si>
  <si>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</si>
  <si>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</si>
  <si>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</si>
  <si>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</si>
  <si>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</si>
  <si>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</si>
  <si>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</si>
  <si>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</si>
  <si>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</si>
  <si>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</si>
  <si>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</si>
  <si>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</si>
  <si>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97</t>
  </si>
  <si>
    <t>28.4135</t>
  </si>
  <si>
    <t>63.8054</t>
  </si>
  <si>
    <t>62.0495</t>
  </si>
  <si>
    <t>49.3383</t>
  </si>
  <si>
    <t>75.7148</t>
  </si>
  <si>
    <t>116.6103</t>
  </si>
  <si>
    <t>124.5845</t>
  </si>
  <si>
    <t>35.4393</t>
  </si>
  <si>
    <t>88.8304</t>
  </si>
  <si>
    <t>51.4027</t>
  </si>
  <si>
    <t>73.7531</t>
  </si>
  <si>
    <t>54.4005</t>
  </si>
  <si>
    <t>70.9243</t>
  </si>
  <si>
    <t>127.1107</t>
  </si>
  <si>
    <t>15.4156</t>
  </si>
  <si>
    <t>107.7255</t>
  </si>
  <si>
    <t>69.8054</t>
  </si>
  <si>
    <t>54.0753</t>
  </si>
  <si>
    <t>114.772</t>
  </si>
  <si>
    <t>11.6432</t>
  </si>
  <si>
    <t>119.772</t>
  </si>
  <si>
    <t>6.9251</t>
  </si>
  <si>
    <t>115.6824</t>
  </si>
  <si>
    <t>10.7841</t>
  </si>
  <si>
    <t>39.1946</t>
  </si>
  <si>
    <t>85.2867</t>
  </si>
  <si>
    <t>120.7523</t>
  </si>
  <si>
    <t>34.9666</t>
  </si>
  <si>
    <t>89.2764</t>
  </si>
  <si>
    <t>63.3054</t>
  </si>
  <si>
    <t>62.535</t>
  </si>
  <si>
    <t>87.772</t>
  </si>
  <si>
    <t>37.1214</t>
  </si>
  <si>
    <t>54.9204</t>
  </si>
  <si>
    <t>108</t>
  </si>
  <si>
    <t>18.0335</t>
  </si>
  <si>
    <t>114</t>
  </si>
  <si>
    <t>12.3717</t>
  </si>
  <si>
    <t>119</t>
  </si>
  <si>
    <t>125.64</t>
  </si>
  <si>
    <t>57.447</t>
  </si>
  <si>
    <t>68.0495</t>
  </si>
  <si>
    <t>60.1077</t>
  </si>
  <si>
    <t>922-14965</t>
  </si>
  <si>
    <t>URS-STK-004 - G1</t>
  </si>
  <si>
    <t>CHCheves - G1</t>
  </si>
  <si>
    <t>48.2622</t>
  </si>
  <si>
    <t>14.1953</t>
  </si>
  <si>
    <t>33.1946</t>
  </si>
  <si>
    <t>13.1798</t>
  </si>
  <si>
    <t>26.2954</t>
  </si>
  <si>
    <t>45.1905</t>
  </si>
  <si>
    <t>50.9666</t>
  </si>
  <si>
    <t>55.9666</t>
  </si>
  <si>
    <t>51.8771</t>
  </si>
  <si>
    <t>22.7517</t>
  </si>
  <si>
    <t>56.947</t>
  </si>
  <si>
    <t>26.7414</t>
  </si>
  <si>
    <t>44.1946</t>
  </si>
  <si>
    <t>50.1946</t>
  </si>
  <si>
    <t>59.2527</t>
  </si>
  <si>
    <t>62.57</t>
  </si>
  <si>
    <t>922-14966</t>
  </si>
  <si>
    <t>URS-STK-004 - G2</t>
  </si>
  <si>
    <t>CHCheves - G2</t>
  </si>
  <si>
    <t>48.7378</t>
  </si>
  <si>
    <t>14.2182</t>
  </si>
  <si>
    <t>11.7036</t>
  </si>
  <si>
    <t>8.8748</t>
  </si>
  <si>
    <t>51.4666</t>
  </si>
  <si>
    <t>24.4666</t>
  </si>
  <si>
    <t>59.7473</t>
  </si>
  <si>
    <t>63.07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</si>
  <si>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</si>
  <si>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</si>
  <si>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</si>
  <si>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</si>
  <si>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</si>
  <si>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</si>
  <si>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</si>
  <si>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</si>
  <si>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</si>
  <si>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</si>
  <si>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</si>
  <si>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</si>
  <si>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</si>
  <si>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47.758</t>
  </si>
  <si>
    <t>26.7809</t>
  </si>
  <si>
    <t>39.8953</t>
  </si>
  <si>
    <t>29.6052</t>
  </si>
  <si>
    <t>41.447</t>
  </si>
  <si>
    <t>51.9733</t>
  </si>
  <si>
    <t>39.3259</t>
  </si>
  <si>
    <t>53.3897</t>
  </si>
  <si>
    <t>30.8621</t>
  </si>
  <si>
    <t>45.9733</t>
  </si>
  <si>
    <t>29.7508</t>
  </si>
  <si>
    <t>15.5863</t>
  </si>
  <si>
    <t>14.6522</t>
  </si>
  <si>
    <t>88.3107</t>
  </si>
  <si>
    <t>36.9273</t>
  </si>
  <si>
    <t>41.8673</t>
  </si>
  <si>
    <t>89.1405</t>
  </si>
  <si>
    <t>26.709</t>
  </si>
  <si>
    <t>73.5275</t>
  </si>
  <si>
    <t>37.611</t>
  </si>
  <si>
    <t>70.4445</t>
  </si>
  <si>
    <t>44.36</t>
  </si>
  <si>
    <t>78.8304</t>
  </si>
  <si>
    <t>68.9252</t>
  </si>
  <si>
    <t>59.9509</t>
  </si>
  <si>
    <t>49.1718</t>
  </si>
  <si>
    <t>119.5628</t>
  </si>
  <si>
    <t>924-22</t>
  </si>
  <si>
    <t>URS-ENL-001 - G1</t>
  </si>
  <si>
    <t>CHHuinco - G1</t>
  </si>
  <si>
    <t>924-23</t>
  </si>
  <si>
    <t>URS-ENL-001 - G2</t>
  </si>
  <si>
    <t>CHHuinco - G2</t>
  </si>
  <si>
    <t>22.2375</t>
  </si>
  <si>
    <t>21.7525</t>
  </si>
  <si>
    <t>18.4207</t>
  </si>
  <si>
    <t>20.8688</t>
  </si>
  <si>
    <t>44.1916</t>
  </si>
  <si>
    <t>22.2134</t>
  </si>
  <si>
    <t>18.2478</t>
  </si>
  <si>
    <t>40.783</t>
  </si>
  <si>
    <t>39.0641</t>
  </si>
  <si>
    <t>22.2126</t>
  </si>
  <si>
    <t>17.5007</t>
  </si>
  <si>
    <t>22.2145</t>
  </si>
  <si>
    <t>16.2015</t>
  </si>
  <si>
    <t>14.8567</t>
  </si>
  <si>
    <t>16.2141</t>
  </si>
  <si>
    <t>39.5424</t>
  </si>
  <si>
    <t>924-24</t>
  </si>
  <si>
    <t>URS-ENL-001 - G3</t>
  </si>
  <si>
    <t>CHHuinco - G3</t>
  </si>
  <si>
    <t>22.5</t>
  </si>
  <si>
    <t>23.879</t>
  </si>
  <si>
    <t>7.9771</t>
  </si>
  <si>
    <t>18.5066</t>
  </si>
  <si>
    <t>20.9984</t>
  </si>
  <si>
    <t>44.9489</t>
  </si>
  <si>
    <t>13.3545</t>
  </si>
  <si>
    <t>36.715</t>
  </si>
  <si>
    <t>12.2268</t>
  </si>
  <si>
    <t>29.6614</t>
  </si>
  <si>
    <t>39.7663</t>
  </si>
  <si>
    <t>33.6369</t>
  </si>
  <si>
    <t>27.3148</t>
  </si>
  <si>
    <t>15.0716</t>
  </si>
  <si>
    <t>16.4788</t>
  </si>
  <si>
    <t>40.2658</t>
  </si>
  <si>
    <t>924-25</t>
  </si>
  <si>
    <t>URS-ENL-001 - G4</t>
  </si>
  <si>
    <t>CHHuinco - G4</t>
  </si>
  <si>
    <t>45.4125</t>
  </si>
  <si>
    <t>22.7625</t>
  </si>
  <si>
    <t>22.1943</t>
  </si>
  <si>
    <t>22.7866</t>
  </si>
  <si>
    <t>18.5647</t>
  </si>
  <si>
    <t>32.7732</t>
  </si>
  <si>
    <t>22.7874</t>
  </si>
  <si>
    <t>17.7876</t>
  </si>
  <si>
    <t>22.7855</t>
  </si>
  <si>
    <t>16.4346</t>
  </si>
  <si>
    <t>39.7546</t>
  </si>
  <si>
    <t>1906-280</t>
  </si>
  <si>
    <t>URS-ENL-002</t>
  </si>
  <si>
    <t>CHMatuca</t>
  </si>
  <si>
    <t>11</t>
  </si>
  <si>
    <t>20</t>
  </si>
  <si>
    <t>12.8379</t>
  </si>
  <si>
    <t>10.949</t>
  </si>
  <si>
    <t>9.2184</t>
  </si>
  <si>
    <t>16.9152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</si>
  <si>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</si>
  <si>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</si>
  <si>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</si>
  <si>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</si>
  <si>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</si>
  <si>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</si>
  <si>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</si>
  <si>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</si>
  <si>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</si>
  <si>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</si>
  <si>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62.2148</t>
  </si>
  <si>
    <t>43.5166</t>
  </si>
  <si>
    <t>61.5607</t>
  </si>
  <si>
    <t>22.6304</t>
  </si>
  <si>
    <t>45.5973</t>
  </si>
  <si>
    <t>87.5995</t>
  </si>
  <si>
    <t>60.4216</t>
  </si>
  <si>
    <t>158.5538</t>
  </si>
  <si>
    <t>14.8893</t>
  </si>
  <si>
    <t>143.2212</t>
  </si>
  <si>
    <t>128.4819</t>
  </si>
  <si>
    <t>109.5782</t>
  </si>
  <si>
    <t>83.8237</t>
  </si>
  <si>
    <t>122.3564</t>
  </si>
  <si>
    <t>61.9666</t>
  </si>
  <si>
    <t>35.8168</t>
  </si>
  <si>
    <t>56.2601</t>
  </si>
  <si>
    <t>60.5111</t>
  </si>
  <si>
    <t>57.0287</t>
  </si>
  <si>
    <t>172.4193</t>
  </si>
  <si>
    <t>152.3642</t>
  </si>
  <si>
    <t>179.7133</t>
  </si>
  <si>
    <t>147.0394</t>
  </si>
  <si>
    <t>155.7236</t>
  </si>
  <si>
    <t>91.7478</t>
  </si>
  <si>
    <t>63.6929</t>
  </si>
  <si>
    <t>82.8687</t>
  </si>
  <si>
    <t>49.1946</t>
  </si>
  <si>
    <t>31.809</t>
  </si>
  <si>
    <t>6.1946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</si>
  <si>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</si>
  <si>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</si>
  <si>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</si>
  <si>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</si>
  <si>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</si>
  <si>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</si>
  <si>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</si>
  <si>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</si>
  <si>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</si>
  <si>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</si>
  <si>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</si>
  <si>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</si>
  <si>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</si>
  <si>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</si>
  <si>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</si>
  <si>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</si>
  <si>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</si>
  <si>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</si>
  <si>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</si>
  <si>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</si>
  <si>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</si>
  <si>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</si>
  <si>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</si>
  <si>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</si>
  <si>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</si>
  <si>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</si>
  <si>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</si>
  <si>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</si>
  <si>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87.1696</t>
  </si>
  <si>
    <t>90.7786</t>
  </si>
  <si>
    <t>86.4155</t>
  </si>
  <si>
    <t>71.637</t>
  </si>
  <si>
    <t>10.6613</t>
  </si>
  <si>
    <t>75.6267</t>
  </si>
  <si>
    <t>13.8893</t>
  </si>
  <si>
    <t>72.5807</t>
  </si>
  <si>
    <t>85.3406</t>
  </si>
  <si>
    <t>90.8054</t>
  </si>
  <si>
    <t>9.2477</t>
  </si>
  <si>
    <t>76.9606</t>
  </si>
  <si>
    <t>37.5932</t>
  </si>
  <si>
    <t>62.4666</t>
  </si>
  <si>
    <t>59.0796</t>
  </si>
  <si>
    <t>29.9375</t>
  </si>
  <si>
    <t>80.0253</t>
  </si>
  <si>
    <t>18.744</t>
  </si>
  <si>
    <t>67.9996</t>
  </si>
  <si>
    <t>78.1946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</si>
  <si>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</si>
  <si>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</si>
  <si>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</si>
  <si>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</si>
  <si>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</si>
  <si>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</si>
  <si>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</si>
  <si>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</si>
  <si>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</si>
  <si>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15</t>
  </si>
  <si>
    <t>10.9466</t>
  </si>
  <si>
    <t>10.0896</t>
  </si>
  <si>
    <t>8.8848</t>
  </si>
  <si>
    <t>7.5867</t>
  </si>
  <si>
    <t>8.4142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</si>
  <si>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</si>
  <si>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</si>
  <si>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</si>
  <si>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</si>
  <si>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</si>
  <si>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</si>
  <si>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</si>
  <si>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</si>
  <si>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</si>
  <si>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</si>
  <si>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</si>
  <si>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</si>
  <si>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</si>
  <si>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</si>
  <si>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</si>
  <si>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</si>
  <si>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12.6588</t>
  </si>
  <si>
    <t>20.5216</t>
  </si>
  <si>
    <t>30.8117</t>
  </si>
  <si>
    <t>26.9574</t>
  </si>
  <si>
    <t>19.1505</t>
  </si>
  <si>
    <t>30.0773</t>
  </si>
  <si>
    <t>29.4845</t>
  </si>
  <si>
    <t>32.8092</t>
  </si>
  <si>
    <t>32.6092</t>
  </si>
  <si>
    <t>32.3485</t>
  </si>
  <si>
    <t>31.9329</t>
  </si>
  <si>
    <t>31.0334</t>
  </si>
  <si>
    <t>7.1316</t>
  </si>
  <si>
    <t>24.965</t>
  </si>
  <si>
    <t>28.9538</t>
  </si>
  <si>
    <t>29.4209</t>
  </si>
  <si>
    <t>29.0443</t>
  </si>
  <si>
    <t>31.3706</t>
  </si>
  <si>
    <t>42.0467</t>
  </si>
  <si>
    <t>29.7234</t>
  </si>
  <si>
    <t>30.9877</t>
  </si>
  <si>
    <t>18.7006</t>
  </si>
  <si>
    <t>8.3859</t>
  </si>
  <si>
    <t>37.2437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</si>
  <si>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</si>
  <si>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</si>
  <si>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</si>
  <si>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</si>
  <si>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</si>
  <si>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</si>
  <si>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</si>
  <si>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</si>
  <si>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</si>
  <si>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</si>
  <si>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</si>
  <si>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</si>
  <si>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</si>
  <si>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</si>
  <si>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</si>
  <si>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</si>
  <si>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</si>
  <si>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</si>
  <si>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</si>
  <si>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</si>
  <si>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</si>
  <si>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</si>
  <si>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</si>
  <si>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</si>
  <si>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</si>
  <si>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</si>
  <si>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</si>
  <si>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</si>
  <si>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</si>
  <si>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</si>
  <si>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</si>
  <si>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</si>
  <si>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</si>
  <si>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</si>
  <si>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</si>
  <si>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</si>
  <si>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</si>
  <si>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</si>
  <si>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</si>
  <si>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</si>
  <si>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Cheves no reguló por bajo recurso hídrico en Checras.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</si>
  <si>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</si>
  <si>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</si>
  <si>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</si>
  <si>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</si>
  <si>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</si>
  <si>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</si>
  <si>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 xml:space="preserve">
NAFTA &amp; GAS REFINERÍA &amp; FLEXIGAS
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</si>
  <si>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</si>
  <si>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</si>
  <si>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</si>
  <si>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CC.TT. Tablazo y Tallanca; de las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</si>
</sst>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0" fontId="33" fillId="29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981.59630000000004</c:v>
                </c:pt>
                <c:pt idx="1">
                  <c:v>962.69970000000001</c:v>
                </c:pt>
                <c:pt idx="2">
                  <c:v>942.46280000000002</c:v>
                </c:pt>
                <c:pt idx="3">
                  <c:v>953.59939999999995</c:v>
                </c:pt>
                <c:pt idx="4">
                  <c:v>944.24630000000002</c:v>
                </c:pt>
                <c:pt idx="5">
                  <c:v>907.26900000000001</c:v>
                </c:pt>
                <c:pt idx="6">
                  <c:v>939.15350000000001</c:v>
                </c:pt>
                <c:pt idx="7">
                  <c:v>944.77179999999998</c:v>
                </c:pt>
                <c:pt idx="8">
                  <c:v>904.34799999999996</c:v>
                </c:pt>
                <c:pt idx="9">
                  <c:v>918.30409999999995</c:v>
                </c:pt>
                <c:pt idx="10">
                  <c:v>958.2441</c:v>
                </c:pt>
                <c:pt idx="11">
                  <c:v>1005.9838999999999</c:v>
                </c:pt>
                <c:pt idx="12">
                  <c:v>1024.5714</c:v>
                </c:pt>
                <c:pt idx="13">
                  <c:v>1048.1660999999999</c:v>
                </c:pt>
                <c:pt idx="14">
                  <c:v>1071.9273000000001</c:v>
                </c:pt>
                <c:pt idx="15">
                  <c:v>1059.6858</c:v>
                </c:pt>
                <c:pt idx="16">
                  <c:v>1129.9713999999999</c:v>
                </c:pt>
                <c:pt idx="17">
                  <c:v>1126.0237999999999</c:v>
                </c:pt>
                <c:pt idx="18">
                  <c:v>1186.1866</c:v>
                </c:pt>
                <c:pt idx="19">
                  <c:v>1205.3906999999999</c:v>
                </c:pt>
                <c:pt idx="20">
                  <c:v>1234.6980000000001</c:v>
                </c:pt>
                <c:pt idx="21">
                  <c:v>1229.5063</c:v>
                </c:pt>
                <c:pt idx="22">
                  <c:v>1284.4527</c:v>
                </c:pt>
                <c:pt idx="23">
                  <c:v>1270.3914</c:v>
                </c:pt>
                <c:pt idx="24">
                  <c:v>1224.3105</c:v>
                </c:pt>
                <c:pt idx="25">
                  <c:v>1193.9780000000001</c:v>
                </c:pt>
                <c:pt idx="26">
                  <c:v>1195.434</c:v>
                </c:pt>
                <c:pt idx="27">
                  <c:v>1218.7262000000001</c:v>
                </c:pt>
                <c:pt idx="28">
                  <c:v>1265.825</c:v>
                </c:pt>
                <c:pt idx="29">
                  <c:v>1260.5504000000001</c:v>
                </c:pt>
                <c:pt idx="30">
                  <c:v>1248.6460999999999</c:v>
                </c:pt>
                <c:pt idx="31">
                  <c:v>1250.9223999999999</c:v>
                </c:pt>
                <c:pt idx="32">
                  <c:v>1254.6813999999999</c:v>
                </c:pt>
                <c:pt idx="33">
                  <c:v>1204.1501000000001</c:v>
                </c:pt>
                <c:pt idx="34">
                  <c:v>1171.0779</c:v>
                </c:pt>
                <c:pt idx="35">
                  <c:v>1153.8115</c:v>
                </c:pt>
                <c:pt idx="36">
                  <c:v>1236.857</c:v>
                </c:pt>
                <c:pt idx="37">
                  <c:v>1266.3397</c:v>
                </c:pt>
                <c:pt idx="38">
                  <c:v>1269.3939</c:v>
                </c:pt>
                <c:pt idx="39">
                  <c:v>1252.5032000000001</c:v>
                </c:pt>
                <c:pt idx="40">
                  <c:v>1230.8782000000001</c:v>
                </c:pt>
                <c:pt idx="41">
                  <c:v>1226.4603999999999</c:v>
                </c:pt>
                <c:pt idx="42">
                  <c:v>1219.876</c:v>
                </c:pt>
                <c:pt idx="43">
                  <c:v>1199.8028999999999</c:v>
                </c:pt>
                <c:pt idx="44">
                  <c:v>1151.3286000000001</c:v>
                </c:pt>
                <c:pt idx="45">
                  <c:v>1075.9212</c:v>
                </c:pt>
                <c:pt idx="46">
                  <c:v>1075.1552999999999</c:v>
                </c:pt>
                <c:pt idx="47">
                  <c:v>1033.4709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E-4C4B-A31B-DC6AD2AA7FEC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1748.1287</c:v>
                </c:pt>
                <c:pt idx="1">
                  <c:v>1745.3150000000001</c:v>
                </c:pt>
                <c:pt idx="2">
                  <c:v>1738.9463000000001</c:v>
                </c:pt>
                <c:pt idx="3">
                  <c:v>1726.8312000000001</c:v>
                </c:pt>
                <c:pt idx="4">
                  <c:v>1723.1501000000001</c:v>
                </c:pt>
                <c:pt idx="5">
                  <c:v>1729.4961000000001</c:v>
                </c:pt>
                <c:pt idx="6">
                  <c:v>1728.0324000000001</c:v>
                </c:pt>
                <c:pt idx="7">
                  <c:v>1718.1112000000001</c:v>
                </c:pt>
                <c:pt idx="8">
                  <c:v>1660.9831999999999</c:v>
                </c:pt>
                <c:pt idx="9">
                  <c:v>1679.3680999999999</c:v>
                </c:pt>
                <c:pt idx="10">
                  <c:v>1688.2316000000001</c:v>
                </c:pt>
                <c:pt idx="11">
                  <c:v>1681.4818</c:v>
                </c:pt>
                <c:pt idx="12">
                  <c:v>1691.8931</c:v>
                </c:pt>
                <c:pt idx="13">
                  <c:v>1707.8466000000001</c:v>
                </c:pt>
                <c:pt idx="14">
                  <c:v>1749.5809999999999</c:v>
                </c:pt>
                <c:pt idx="15">
                  <c:v>1735.3413</c:v>
                </c:pt>
                <c:pt idx="16">
                  <c:v>1765.2166</c:v>
                </c:pt>
                <c:pt idx="17">
                  <c:v>1786.9148</c:v>
                </c:pt>
                <c:pt idx="18">
                  <c:v>1814.1018999999999</c:v>
                </c:pt>
                <c:pt idx="19">
                  <c:v>1812.9782</c:v>
                </c:pt>
                <c:pt idx="20">
                  <c:v>1759.4940999999999</c:v>
                </c:pt>
                <c:pt idx="21">
                  <c:v>1741.9193</c:v>
                </c:pt>
                <c:pt idx="22">
                  <c:v>1737.2148999999999</c:v>
                </c:pt>
                <c:pt idx="23">
                  <c:v>1797.0036</c:v>
                </c:pt>
                <c:pt idx="24">
                  <c:v>1805.3606</c:v>
                </c:pt>
                <c:pt idx="25">
                  <c:v>1766.7175999999999</c:v>
                </c:pt>
                <c:pt idx="26">
                  <c:v>1776.7782999999999</c:v>
                </c:pt>
                <c:pt idx="27">
                  <c:v>1798.0888</c:v>
                </c:pt>
                <c:pt idx="28">
                  <c:v>1805.1487</c:v>
                </c:pt>
                <c:pt idx="29">
                  <c:v>1839.9275</c:v>
                </c:pt>
                <c:pt idx="30">
                  <c:v>1839.9503999999999</c:v>
                </c:pt>
                <c:pt idx="31">
                  <c:v>1858.5441000000001</c:v>
                </c:pt>
                <c:pt idx="32">
                  <c:v>1873.4342999999999</c:v>
                </c:pt>
                <c:pt idx="33">
                  <c:v>1838.0646999999999</c:v>
                </c:pt>
                <c:pt idx="34">
                  <c:v>1903.4459999999999</c:v>
                </c:pt>
                <c:pt idx="35">
                  <c:v>1928.9621999999999</c:v>
                </c:pt>
                <c:pt idx="36">
                  <c:v>1937.1258</c:v>
                </c:pt>
                <c:pt idx="37">
                  <c:v>1904.9803999999999</c:v>
                </c:pt>
                <c:pt idx="38">
                  <c:v>1886.5938000000001</c:v>
                </c:pt>
                <c:pt idx="39">
                  <c:v>1938.008</c:v>
                </c:pt>
                <c:pt idx="40">
                  <c:v>1933.7982999999999</c:v>
                </c:pt>
                <c:pt idx="41">
                  <c:v>1941.0740000000001</c:v>
                </c:pt>
                <c:pt idx="42">
                  <c:v>1949.1373000000001</c:v>
                </c:pt>
                <c:pt idx="43">
                  <c:v>1900.9601</c:v>
                </c:pt>
                <c:pt idx="44">
                  <c:v>1858.6514</c:v>
                </c:pt>
                <c:pt idx="45">
                  <c:v>1744.9525000000001</c:v>
                </c:pt>
                <c:pt idx="46">
                  <c:v>1802.1052</c:v>
                </c:pt>
                <c:pt idx="47">
                  <c:v>1773.0777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E-4C4B-A31B-DC6AD2AA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3973.9749999999999</c:v>
                </c:pt>
                <c:pt idx="1">
                  <c:v>3848.8852999999999</c:v>
                </c:pt>
                <c:pt idx="2">
                  <c:v>3790.4908999999998</c:v>
                </c:pt>
                <c:pt idx="3">
                  <c:v>3827.6694000000002</c:v>
                </c:pt>
                <c:pt idx="4">
                  <c:v>3804.7035999999998</c:v>
                </c:pt>
                <c:pt idx="5">
                  <c:v>3788.0349000000001</c:v>
                </c:pt>
                <c:pt idx="6">
                  <c:v>3749.5140999999999</c:v>
                </c:pt>
                <c:pt idx="7">
                  <c:v>3728.817</c:v>
                </c:pt>
                <c:pt idx="8">
                  <c:v>3783.1687999999999</c:v>
                </c:pt>
                <c:pt idx="9">
                  <c:v>3715.2278000000001</c:v>
                </c:pt>
                <c:pt idx="10">
                  <c:v>3832.4243000000001</c:v>
                </c:pt>
                <c:pt idx="11">
                  <c:v>4020.1343000000002</c:v>
                </c:pt>
                <c:pt idx="12">
                  <c:v>4134.0355</c:v>
                </c:pt>
                <c:pt idx="13">
                  <c:v>4089.9872999999998</c:v>
                </c:pt>
                <c:pt idx="14">
                  <c:v>4257.1917000000003</c:v>
                </c:pt>
                <c:pt idx="15">
                  <c:v>4234.6728999999996</c:v>
                </c:pt>
                <c:pt idx="16">
                  <c:v>4499.9120000000003</c:v>
                </c:pt>
                <c:pt idx="17">
                  <c:v>4501.6614</c:v>
                </c:pt>
                <c:pt idx="18">
                  <c:v>4673.5114999999996</c:v>
                </c:pt>
                <c:pt idx="19">
                  <c:v>4661.0311000000002</c:v>
                </c:pt>
                <c:pt idx="20">
                  <c:v>4776.8078999999998</c:v>
                </c:pt>
                <c:pt idx="21">
                  <c:v>4840.4744000000001</c:v>
                </c:pt>
                <c:pt idx="22">
                  <c:v>4828.5324000000001</c:v>
                </c:pt>
                <c:pt idx="23">
                  <c:v>4878.2049999999999</c:v>
                </c:pt>
                <c:pt idx="24">
                  <c:v>4868.8289000000004</c:v>
                </c:pt>
                <c:pt idx="25">
                  <c:v>4811.7043999999996</c:v>
                </c:pt>
                <c:pt idx="26">
                  <c:v>4802.0877</c:v>
                </c:pt>
                <c:pt idx="27">
                  <c:v>4825.2849999999999</c:v>
                </c:pt>
                <c:pt idx="28">
                  <c:v>4825.5263000000004</c:v>
                </c:pt>
                <c:pt idx="29">
                  <c:v>4877.1220999999996</c:v>
                </c:pt>
                <c:pt idx="30">
                  <c:v>4908.2034999999996</c:v>
                </c:pt>
                <c:pt idx="31">
                  <c:v>4877.1334999999999</c:v>
                </c:pt>
                <c:pt idx="32">
                  <c:v>4871.9843000000001</c:v>
                </c:pt>
                <c:pt idx="33">
                  <c:v>4810.7852000000003</c:v>
                </c:pt>
                <c:pt idx="34">
                  <c:v>4897.4760999999999</c:v>
                </c:pt>
                <c:pt idx="35">
                  <c:v>4731.5263000000004</c:v>
                </c:pt>
                <c:pt idx="36">
                  <c:v>4731.1171999999997</c:v>
                </c:pt>
                <c:pt idx="37">
                  <c:v>4660.1799000000001</c:v>
                </c:pt>
                <c:pt idx="38">
                  <c:v>4637.6122999999998</c:v>
                </c:pt>
                <c:pt idx="39">
                  <c:v>4662.6887999999999</c:v>
                </c:pt>
                <c:pt idx="40">
                  <c:v>4675.5235000000002</c:v>
                </c:pt>
                <c:pt idx="41">
                  <c:v>4617.7655999999997</c:v>
                </c:pt>
                <c:pt idx="42">
                  <c:v>4605.5866999999998</c:v>
                </c:pt>
                <c:pt idx="43">
                  <c:v>4634.9369999999999</c:v>
                </c:pt>
                <c:pt idx="44">
                  <c:v>4482.0200000000004</c:v>
                </c:pt>
                <c:pt idx="45">
                  <c:v>4411.1262999999999</c:v>
                </c:pt>
                <c:pt idx="46">
                  <c:v>4181.5394999999999</c:v>
                </c:pt>
                <c:pt idx="47">
                  <c:v>4060.9513999999999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3E-4C4B-A31B-DC6AD2AA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3.6122999999999998</c:v>
                </c:pt>
                <c:pt idx="1">
                  <c:v>3.8654000000000002</c:v>
                </c:pt>
                <c:pt idx="2">
                  <c:v>3.4973999999999998</c:v>
                </c:pt>
                <c:pt idx="3">
                  <c:v>3.7012999999999998</c:v>
                </c:pt>
                <c:pt idx="4">
                  <c:v>3.7307999999999999</c:v>
                </c:pt>
                <c:pt idx="5">
                  <c:v>3.5215000000000001</c:v>
                </c:pt>
                <c:pt idx="6">
                  <c:v>3.5407999999999999</c:v>
                </c:pt>
                <c:pt idx="7">
                  <c:v>3.1919</c:v>
                </c:pt>
                <c:pt idx="8">
                  <c:v>2.9466999999999999</c:v>
                </c:pt>
                <c:pt idx="9">
                  <c:v>3.1015999999999999</c:v>
                </c:pt>
                <c:pt idx="10">
                  <c:v>3.0728</c:v>
                </c:pt>
                <c:pt idx="11">
                  <c:v>3.1758000000000002</c:v>
                </c:pt>
                <c:pt idx="12">
                  <c:v>3.6185999999999998</c:v>
                </c:pt>
                <c:pt idx="13">
                  <c:v>3.4199000000000002</c:v>
                </c:pt>
                <c:pt idx="14">
                  <c:v>3.5072999999999999</c:v>
                </c:pt>
                <c:pt idx="15">
                  <c:v>3.2071000000000001</c:v>
                </c:pt>
                <c:pt idx="16">
                  <c:v>3.226</c:v>
                </c:pt>
                <c:pt idx="17">
                  <c:v>2.6429</c:v>
                </c:pt>
                <c:pt idx="18">
                  <c:v>3.2976000000000001</c:v>
                </c:pt>
                <c:pt idx="19">
                  <c:v>3.4796</c:v>
                </c:pt>
                <c:pt idx="20">
                  <c:v>3.3811</c:v>
                </c:pt>
                <c:pt idx="21">
                  <c:v>3.4759000000000002</c:v>
                </c:pt>
                <c:pt idx="22">
                  <c:v>3.7090999999999998</c:v>
                </c:pt>
                <c:pt idx="23">
                  <c:v>3.6804999999999999</c:v>
                </c:pt>
                <c:pt idx="24">
                  <c:v>3.6414</c:v>
                </c:pt>
                <c:pt idx="25">
                  <c:v>3.7589999999999999</c:v>
                </c:pt>
                <c:pt idx="26">
                  <c:v>3.4693999999999998</c:v>
                </c:pt>
                <c:pt idx="27">
                  <c:v>3.6362000000000001</c:v>
                </c:pt>
                <c:pt idx="28">
                  <c:v>3.5550999999999999</c:v>
                </c:pt>
                <c:pt idx="29">
                  <c:v>3.1274000000000002</c:v>
                </c:pt>
                <c:pt idx="30">
                  <c:v>3.4855999999999998</c:v>
                </c:pt>
                <c:pt idx="31">
                  <c:v>3.3208000000000002</c:v>
                </c:pt>
                <c:pt idx="32">
                  <c:v>3.2176999999999998</c:v>
                </c:pt>
                <c:pt idx="33">
                  <c:v>3.4802</c:v>
                </c:pt>
                <c:pt idx="34">
                  <c:v>3.3532999999999999</c:v>
                </c:pt>
                <c:pt idx="35">
                  <c:v>2.9428000000000001</c:v>
                </c:pt>
                <c:pt idx="36">
                  <c:v>2.5876000000000001</c:v>
                </c:pt>
                <c:pt idx="37">
                  <c:v>2.4558</c:v>
                </c:pt>
                <c:pt idx="38">
                  <c:v>2.8466999999999998</c:v>
                </c:pt>
                <c:pt idx="39">
                  <c:v>2.8151000000000002</c:v>
                </c:pt>
                <c:pt idx="40">
                  <c:v>2.9944000000000002</c:v>
                </c:pt>
                <c:pt idx="41">
                  <c:v>3.0449999999999999</c:v>
                </c:pt>
                <c:pt idx="42">
                  <c:v>3.0144000000000002</c:v>
                </c:pt>
                <c:pt idx="43">
                  <c:v>3.3254000000000001</c:v>
                </c:pt>
                <c:pt idx="44">
                  <c:v>3.5001000000000002</c:v>
                </c:pt>
                <c:pt idx="45">
                  <c:v>3.3986999999999998</c:v>
                </c:pt>
                <c:pt idx="46">
                  <c:v>3.0773000000000001</c:v>
                </c:pt>
                <c:pt idx="47">
                  <c:v>2.9449999999999998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C-4DB1-9ACF-758ADB318F07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C-4DB1-9ACF-758ADB318F07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24.355689999999999</c:v>
                </c:pt>
                <c:pt idx="1">
                  <c:v>26.861540000000002</c:v>
                </c:pt>
                <c:pt idx="2">
                  <c:v>23.514299999999999</c:v>
                </c:pt>
                <c:pt idx="3">
                  <c:v>23.386949999999999</c:v>
                </c:pt>
                <c:pt idx="4">
                  <c:v>23.50469</c:v>
                </c:pt>
                <c:pt idx="5">
                  <c:v>22.318349999999999</c:v>
                </c:pt>
                <c:pt idx="6">
                  <c:v>22.071709999999999</c:v>
                </c:pt>
                <c:pt idx="7">
                  <c:v>23.612179999999999</c:v>
                </c:pt>
                <c:pt idx="8">
                  <c:v>23.396750000000001</c:v>
                </c:pt>
                <c:pt idx="9">
                  <c:v>23.349589999999999</c:v>
                </c:pt>
                <c:pt idx="10">
                  <c:v>23.492730000000002</c:v>
                </c:pt>
                <c:pt idx="11">
                  <c:v>23.42144</c:v>
                </c:pt>
                <c:pt idx="12">
                  <c:v>23.44501</c:v>
                </c:pt>
                <c:pt idx="13">
                  <c:v>22.63214</c:v>
                </c:pt>
                <c:pt idx="14">
                  <c:v>22.412890000000001</c:v>
                </c:pt>
                <c:pt idx="15">
                  <c:v>22.54382</c:v>
                </c:pt>
                <c:pt idx="16">
                  <c:v>23.60558</c:v>
                </c:pt>
                <c:pt idx="17">
                  <c:v>23.340949999999999</c:v>
                </c:pt>
                <c:pt idx="18">
                  <c:v>23.423590000000001</c:v>
                </c:pt>
                <c:pt idx="19">
                  <c:v>23.647680000000001</c:v>
                </c:pt>
                <c:pt idx="20">
                  <c:v>25.047969999999999</c:v>
                </c:pt>
                <c:pt idx="21">
                  <c:v>25.022359999999999</c:v>
                </c:pt>
                <c:pt idx="22">
                  <c:v>25.14171</c:v>
                </c:pt>
                <c:pt idx="23">
                  <c:v>25.31194</c:v>
                </c:pt>
                <c:pt idx="24">
                  <c:v>21.68581</c:v>
                </c:pt>
                <c:pt idx="25">
                  <c:v>25.103729999999999</c:v>
                </c:pt>
                <c:pt idx="26">
                  <c:v>24.59008</c:v>
                </c:pt>
                <c:pt idx="27">
                  <c:v>24.173690000000001</c:v>
                </c:pt>
                <c:pt idx="28">
                  <c:v>24.104690000000002</c:v>
                </c:pt>
                <c:pt idx="29">
                  <c:v>23.93308</c:v>
                </c:pt>
                <c:pt idx="30">
                  <c:v>23.892150000000001</c:v>
                </c:pt>
                <c:pt idx="31">
                  <c:v>23.96837</c:v>
                </c:pt>
                <c:pt idx="32">
                  <c:v>22.188559999999999</c:v>
                </c:pt>
                <c:pt idx="33">
                  <c:v>22.07648</c:v>
                </c:pt>
                <c:pt idx="34">
                  <c:v>15.478400000000001</c:v>
                </c:pt>
                <c:pt idx="35">
                  <c:v>10.42595</c:v>
                </c:pt>
                <c:pt idx="36">
                  <c:v>4.7239800000000001</c:v>
                </c:pt>
                <c:pt idx="37">
                  <c:v>4.6575499999999996</c:v>
                </c:pt>
                <c:pt idx="38">
                  <c:v>4.3620900000000002</c:v>
                </c:pt>
                <c:pt idx="39">
                  <c:v>4.45329</c:v>
                </c:pt>
                <c:pt idx="40">
                  <c:v>4.2891399999999997</c:v>
                </c:pt>
                <c:pt idx="41">
                  <c:v>4.3423699999999998</c:v>
                </c:pt>
                <c:pt idx="42">
                  <c:v>4.4559899999999999</c:v>
                </c:pt>
                <c:pt idx="43">
                  <c:v>4.4412900000000004</c:v>
                </c:pt>
                <c:pt idx="44">
                  <c:v>5.7628300000000001</c:v>
                </c:pt>
                <c:pt idx="45">
                  <c:v>7.7868700000000004</c:v>
                </c:pt>
                <c:pt idx="46">
                  <c:v>11.457560000000001</c:v>
                </c:pt>
                <c:pt idx="47">
                  <c:v>11.557029999999999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C-4DB1-9ACF-758ADB318F07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12.225</c:v>
                </c:pt>
                <c:pt idx="1">
                  <c:v>11.914</c:v>
                </c:pt>
                <c:pt idx="2">
                  <c:v>12.095000000000001</c:v>
                </c:pt>
                <c:pt idx="3">
                  <c:v>13.144</c:v>
                </c:pt>
                <c:pt idx="4">
                  <c:v>13.173</c:v>
                </c:pt>
                <c:pt idx="5">
                  <c:v>12.832000000000001</c:v>
                </c:pt>
                <c:pt idx="6">
                  <c:v>12.715999999999999</c:v>
                </c:pt>
                <c:pt idx="7">
                  <c:v>13.054</c:v>
                </c:pt>
                <c:pt idx="8">
                  <c:v>12.545999999999999</c:v>
                </c:pt>
                <c:pt idx="9">
                  <c:v>12.039</c:v>
                </c:pt>
                <c:pt idx="10">
                  <c:v>10.715999999999999</c:v>
                </c:pt>
                <c:pt idx="11">
                  <c:v>10.036</c:v>
                </c:pt>
                <c:pt idx="12">
                  <c:v>8.9390000000000001</c:v>
                </c:pt>
                <c:pt idx="13">
                  <c:v>9.0719999999999992</c:v>
                </c:pt>
                <c:pt idx="14">
                  <c:v>11.504</c:v>
                </c:pt>
                <c:pt idx="15">
                  <c:v>12.069000000000001</c:v>
                </c:pt>
                <c:pt idx="16">
                  <c:v>12.932</c:v>
                </c:pt>
                <c:pt idx="17">
                  <c:v>12.845000000000001</c:v>
                </c:pt>
                <c:pt idx="18">
                  <c:v>12.954000000000001</c:v>
                </c:pt>
                <c:pt idx="19">
                  <c:v>13.143000000000001</c:v>
                </c:pt>
                <c:pt idx="20">
                  <c:v>13.81</c:v>
                </c:pt>
                <c:pt idx="21">
                  <c:v>13.303000000000001</c:v>
                </c:pt>
                <c:pt idx="22">
                  <c:v>12.898999999999999</c:v>
                </c:pt>
                <c:pt idx="23">
                  <c:v>11.887</c:v>
                </c:pt>
                <c:pt idx="24">
                  <c:v>11.705</c:v>
                </c:pt>
                <c:pt idx="25">
                  <c:v>11.926</c:v>
                </c:pt>
                <c:pt idx="26">
                  <c:v>12.821</c:v>
                </c:pt>
                <c:pt idx="27">
                  <c:v>12.313000000000001</c:v>
                </c:pt>
                <c:pt idx="28">
                  <c:v>12.98</c:v>
                </c:pt>
                <c:pt idx="29">
                  <c:v>13.651</c:v>
                </c:pt>
                <c:pt idx="30">
                  <c:v>12.766999999999999</c:v>
                </c:pt>
                <c:pt idx="31">
                  <c:v>12.441000000000001</c:v>
                </c:pt>
                <c:pt idx="32">
                  <c:v>13.034000000000001</c:v>
                </c:pt>
                <c:pt idx="33">
                  <c:v>11.18</c:v>
                </c:pt>
                <c:pt idx="34">
                  <c:v>10.292</c:v>
                </c:pt>
                <c:pt idx="35">
                  <c:v>9.7170000000000005</c:v>
                </c:pt>
                <c:pt idx="36">
                  <c:v>9.3320000000000007</c:v>
                </c:pt>
                <c:pt idx="37">
                  <c:v>9.0739999999999998</c:v>
                </c:pt>
                <c:pt idx="38">
                  <c:v>10.605</c:v>
                </c:pt>
                <c:pt idx="39">
                  <c:v>11.472</c:v>
                </c:pt>
                <c:pt idx="40">
                  <c:v>11.492000000000001</c:v>
                </c:pt>
                <c:pt idx="41">
                  <c:v>12.356</c:v>
                </c:pt>
                <c:pt idx="42">
                  <c:v>11.917999999999999</c:v>
                </c:pt>
                <c:pt idx="43">
                  <c:v>11.788</c:v>
                </c:pt>
                <c:pt idx="44">
                  <c:v>12.996</c:v>
                </c:pt>
                <c:pt idx="45">
                  <c:v>12.657999999999999</c:v>
                </c:pt>
                <c:pt idx="46">
                  <c:v>12.83</c:v>
                </c:pt>
                <c:pt idx="47">
                  <c:v>12.090999999999999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C-4DB1-9ACF-758ADB318F07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5C-4DB1-9ACF-758ADB318F07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5C-4DB1-9ACF-758ADB318F07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5C-4DB1-9ACF-758ADB318F07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5C-4DB1-9ACF-758ADB318F07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21.674199999999999</c:v>
                </c:pt>
                <c:pt idx="1">
                  <c:v>21.732700000000001</c:v>
                </c:pt>
                <c:pt idx="2">
                  <c:v>21.369399999999999</c:v>
                </c:pt>
                <c:pt idx="3">
                  <c:v>21.236499999999999</c:v>
                </c:pt>
                <c:pt idx="4">
                  <c:v>20.338799999999999</c:v>
                </c:pt>
                <c:pt idx="5">
                  <c:v>20.015000000000001</c:v>
                </c:pt>
                <c:pt idx="6">
                  <c:v>20.581099999999999</c:v>
                </c:pt>
                <c:pt idx="7">
                  <c:v>20.384</c:v>
                </c:pt>
                <c:pt idx="8">
                  <c:v>20.365400000000001</c:v>
                </c:pt>
                <c:pt idx="9">
                  <c:v>20.2912</c:v>
                </c:pt>
                <c:pt idx="10">
                  <c:v>20.2879</c:v>
                </c:pt>
                <c:pt idx="11">
                  <c:v>21.772600000000001</c:v>
                </c:pt>
                <c:pt idx="12">
                  <c:v>21.6769</c:v>
                </c:pt>
                <c:pt idx="13">
                  <c:v>21.5502</c:v>
                </c:pt>
                <c:pt idx="14">
                  <c:v>21.229500000000002</c:v>
                </c:pt>
                <c:pt idx="15">
                  <c:v>20.622399999999999</c:v>
                </c:pt>
                <c:pt idx="16">
                  <c:v>20.587599999999998</c:v>
                </c:pt>
                <c:pt idx="17">
                  <c:v>20.2074</c:v>
                </c:pt>
                <c:pt idx="18">
                  <c:v>19.896599999999999</c:v>
                </c:pt>
                <c:pt idx="19">
                  <c:v>19.698899999999998</c:v>
                </c:pt>
                <c:pt idx="20">
                  <c:v>19.825600000000001</c:v>
                </c:pt>
                <c:pt idx="21">
                  <c:v>19.782900000000001</c:v>
                </c:pt>
                <c:pt idx="22">
                  <c:v>19.8</c:v>
                </c:pt>
                <c:pt idx="23">
                  <c:v>21.2544</c:v>
                </c:pt>
                <c:pt idx="24">
                  <c:v>20.848199999999999</c:v>
                </c:pt>
                <c:pt idx="25">
                  <c:v>20.751100000000001</c:v>
                </c:pt>
                <c:pt idx="26">
                  <c:v>21.053699999999999</c:v>
                </c:pt>
                <c:pt idx="27">
                  <c:v>20.6098</c:v>
                </c:pt>
                <c:pt idx="28">
                  <c:v>20.168099999999999</c:v>
                </c:pt>
                <c:pt idx="29">
                  <c:v>20.195900000000002</c:v>
                </c:pt>
                <c:pt idx="30">
                  <c:v>20.4833</c:v>
                </c:pt>
                <c:pt idx="31">
                  <c:v>20.0718</c:v>
                </c:pt>
                <c:pt idx="32">
                  <c:v>20.194600000000001</c:v>
                </c:pt>
                <c:pt idx="33">
                  <c:v>20.1509</c:v>
                </c:pt>
                <c:pt idx="34">
                  <c:v>21.603899999999999</c:v>
                </c:pt>
                <c:pt idx="35">
                  <c:v>21.440999999999999</c:v>
                </c:pt>
                <c:pt idx="36">
                  <c:v>21.354600000000001</c:v>
                </c:pt>
                <c:pt idx="37">
                  <c:v>22.3064</c:v>
                </c:pt>
                <c:pt idx="38">
                  <c:v>21.200500000000002</c:v>
                </c:pt>
                <c:pt idx="39">
                  <c:v>21.799499999999998</c:v>
                </c:pt>
                <c:pt idx="40">
                  <c:v>21.442499999999999</c:v>
                </c:pt>
                <c:pt idx="41">
                  <c:v>21.113399999999999</c:v>
                </c:pt>
                <c:pt idx="42">
                  <c:v>21.613399999999999</c:v>
                </c:pt>
                <c:pt idx="43">
                  <c:v>20.797999999999998</c:v>
                </c:pt>
                <c:pt idx="44">
                  <c:v>21.024799999999999</c:v>
                </c:pt>
                <c:pt idx="45">
                  <c:v>21.361999999999998</c:v>
                </c:pt>
                <c:pt idx="46">
                  <c:v>21.734000000000002</c:v>
                </c:pt>
                <c:pt idx="47">
                  <c:v>21.559799999999999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5C-4DB1-9ACF-758ADB318F07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26.859200000000001</c:v>
                </c:pt>
                <c:pt idx="1">
                  <c:v>27.3918</c:v>
                </c:pt>
                <c:pt idx="2">
                  <c:v>27.2864</c:v>
                </c:pt>
                <c:pt idx="3">
                  <c:v>27.282299999999999</c:v>
                </c:pt>
                <c:pt idx="4">
                  <c:v>27.162199999999999</c:v>
                </c:pt>
                <c:pt idx="5">
                  <c:v>27.105899999999998</c:v>
                </c:pt>
                <c:pt idx="6">
                  <c:v>26.945499999999999</c:v>
                </c:pt>
                <c:pt idx="7">
                  <c:v>26.834</c:v>
                </c:pt>
                <c:pt idx="8">
                  <c:v>26.6677</c:v>
                </c:pt>
                <c:pt idx="9">
                  <c:v>27.3399</c:v>
                </c:pt>
                <c:pt idx="10">
                  <c:v>27.754100000000001</c:v>
                </c:pt>
                <c:pt idx="11">
                  <c:v>28.365100000000002</c:v>
                </c:pt>
                <c:pt idx="12">
                  <c:v>29.0169</c:v>
                </c:pt>
                <c:pt idx="13">
                  <c:v>28.8672</c:v>
                </c:pt>
                <c:pt idx="14">
                  <c:v>28.8933</c:v>
                </c:pt>
                <c:pt idx="15">
                  <c:v>28.5655</c:v>
                </c:pt>
                <c:pt idx="16">
                  <c:v>28.098199999999999</c:v>
                </c:pt>
                <c:pt idx="17">
                  <c:v>27.931699999999999</c:v>
                </c:pt>
                <c:pt idx="18">
                  <c:v>26.613499999999998</c:v>
                </c:pt>
                <c:pt idx="19">
                  <c:v>26.536999999999999</c:v>
                </c:pt>
                <c:pt idx="20">
                  <c:v>27.999400000000001</c:v>
                </c:pt>
                <c:pt idx="21">
                  <c:v>28.590599999999998</c:v>
                </c:pt>
                <c:pt idx="22">
                  <c:v>28.989699999999999</c:v>
                </c:pt>
                <c:pt idx="23">
                  <c:v>28.7437</c:v>
                </c:pt>
                <c:pt idx="24">
                  <c:v>28.479399999999998</c:v>
                </c:pt>
                <c:pt idx="25">
                  <c:v>28.058399999999999</c:v>
                </c:pt>
                <c:pt idx="26">
                  <c:v>28.458100000000002</c:v>
                </c:pt>
                <c:pt idx="27">
                  <c:v>28.962599999999998</c:v>
                </c:pt>
                <c:pt idx="28">
                  <c:v>28.744599999999998</c:v>
                </c:pt>
                <c:pt idx="29">
                  <c:v>28.820699999999999</c:v>
                </c:pt>
                <c:pt idx="30">
                  <c:v>28.382000000000001</c:v>
                </c:pt>
                <c:pt idx="31">
                  <c:v>28.519400000000001</c:v>
                </c:pt>
                <c:pt idx="32">
                  <c:v>28.845800000000001</c:v>
                </c:pt>
                <c:pt idx="33">
                  <c:v>28.796700000000001</c:v>
                </c:pt>
                <c:pt idx="34">
                  <c:v>28.391400000000001</c:v>
                </c:pt>
                <c:pt idx="35">
                  <c:v>29.305299999999999</c:v>
                </c:pt>
                <c:pt idx="36">
                  <c:v>31.467500000000001</c:v>
                </c:pt>
                <c:pt idx="37">
                  <c:v>32.299599999999998</c:v>
                </c:pt>
                <c:pt idx="38">
                  <c:v>31.770299999999999</c:v>
                </c:pt>
                <c:pt idx="39">
                  <c:v>32.478999999999999</c:v>
                </c:pt>
                <c:pt idx="40">
                  <c:v>32.737900000000003</c:v>
                </c:pt>
                <c:pt idx="41">
                  <c:v>32.393099999999997</c:v>
                </c:pt>
                <c:pt idx="42">
                  <c:v>31.786100000000001</c:v>
                </c:pt>
                <c:pt idx="43">
                  <c:v>30.932600000000001</c:v>
                </c:pt>
                <c:pt idx="44">
                  <c:v>30.3459</c:v>
                </c:pt>
                <c:pt idx="45">
                  <c:v>29.128799999999998</c:v>
                </c:pt>
                <c:pt idx="46">
                  <c:v>28.710699999999999</c:v>
                </c:pt>
                <c:pt idx="47">
                  <c:v>27.969799999999999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5C-4DB1-9ACF-758ADB318F07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14.9451</c:v>
                </c:pt>
                <c:pt idx="1">
                  <c:v>14.3514</c:v>
                </c:pt>
                <c:pt idx="2">
                  <c:v>14.4026</c:v>
                </c:pt>
                <c:pt idx="3">
                  <c:v>14.311999999999999</c:v>
                </c:pt>
                <c:pt idx="4">
                  <c:v>15.3931</c:v>
                </c:pt>
                <c:pt idx="5">
                  <c:v>15.468999999999999</c:v>
                </c:pt>
                <c:pt idx="6">
                  <c:v>15.5349</c:v>
                </c:pt>
                <c:pt idx="7">
                  <c:v>15.491899999999999</c:v>
                </c:pt>
                <c:pt idx="8">
                  <c:v>16.0624</c:v>
                </c:pt>
                <c:pt idx="9">
                  <c:v>16.157</c:v>
                </c:pt>
                <c:pt idx="10">
                  <c:v>16.018699999999999</c:v>
                </c:pt>
                <c:pt idx="11">
                  <c:v>15.7738</c:v>
                </c:pt>
                <c:pt idx="12">
                  <c:v>14.9711</c:v>
                </c:pt>
                <c:pt idx="13">
                  <c:v>12.285</c:v>
                </c:pt>
                <c:pt idx="14">
                  <c:v>12.161</c:v>
                </c:pt>
                <c:pt idx="15">
                  <c:v>12.2395</c:v>
                </c:pt>
                <c:pt idx="16">
                  <c:v>12.078200000000001</c:v>
                </c:pt>
                <c:pt idx="17">
                  <c:v>11.2524</c:v>
                </c:pt>
                <c:pt idx="18">
                  <c:v>11.3352</c:v>
                </c:pt>
                <c:pt idx="19">
                  <c:v>11.356299999999999</c:v>
                </c:pt>
                <c:pt idx="20">
                  <c:v>11.868600000000001</c:v>
                </c:pt>
                <c:pt idx="21">
                  <c:v>11.326700000000001</c:v>
                </c:pt>
                <c:pt idx="22">
                  <c:v>11.8035</c:v>
                </c:pt>
                <c:pt idx="23">
                  <c:v>12.2477</c:v>
                </c:pt>
                <c:pt idx="24">
                  <c:v>14.3536</c:v>
                </c:pt>
                <c:pt idx="25">
                  <c:v>15.043100000000001</c:v>
                </c:pt>
                <c:pt idx="26">
                  <c:v>15.452500000000001</c:v>
                </c:pt>
                <c:pt idx="27">
                  <c:v>16.0124</c:v>
                </c:pt>
                <c:pt idx="28">
                  <c:v>15.759</c:v>
                </c:pt>
                <c:pt idx="29">
                  <c:v>16.07</c:v>
                </c:pt>
                <c:pt idx="30">
                  <c:v>16.392399999999999</c:v>
                </c:pt>
                <c:pt idx="31">
                  <c:v>15.7759</c:v>
                </c:pt>
                <c:pt idx="32">
                  <c:v>15.4893</c:v>
                </c:pt>
                <c:pt idx="33">
                  <c:v>15.3337</c:v>
                </c:pt>
                <c:pt idx="34">
                  <c:v>16.6663</c:v>
                </c:pt>
                <c:pt idx="35">
                  <c:v>16.7972</c:v>
                </c:pt>
                <c:pt idx="36">
                  <c:v>16.6006</c:v>
                </c:pt>
                <c:pt idx="37">
                  <c:v>15.8797</c:v>
                </c:pt>
                <c:pt idx="38">
                  <c:v>14.7722</c:v>
                </c:pt>
                <c:pt idx="39">
                  <c:v>12.021000000000001</c:v>
                </c:pt>
                <c:pt idx="40">
                  <c:v>12.0061</c:v>
                </c:pt>
                <c:pt idx="41">
                  <c:v>11.8536</c:v>
                </c:pt>
                <c:pt idx="42">
                  <c:v>11.8668</c:v>
                </c:pt>
                <c:pt idx="43">
                  <c:v>11.793799999999999</c:v>
                </c:pt>
                <c:pt idx="44">
                  <c:v>11.904299999999999</c:v>
                </c:pt>
                <c:pt idx="45">
                  <c:v>12.1105</c:v>
                </c:pt>
                <c:pt idx="46">
                  <c:v>12.635300000000001</c:v>
                </c:pt>
                <c:pt idx="47">
                  <c:v>14.809100000000001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5C-4DB1-9ACF-758ADB318F07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13.37</c:v>
                </c:pt>
                <c:pt idx="1">
                  <c:v>14.26</c:v>
                </c:pt>
                <c:pt idx="2">
                  <c:v>14.62</c:v>
                </c:pt>
                <c:pt idx="3">
                  <c:v>14.63</c:v>
                </c:pt>
                <c:pt idx="4">
                  <c:v>14.51</c:v>
                </c:pt>
                <c:pt idx="5">
                  <c:v>14.37</c:v>
                </c:pt>
                <c:pt idx="6">
                  <c:v>14.28</c:v>
                </c:pt>
                <c:pt idx="7">
                  <c:v>14.61</c:v>
                </c:pt>
                <c:pt idx="8">
                  <c:v>14.55</c:v>
                </c:pt>
                <c:pt idx="9">
                  <c:v>14.47</c:v>
                </c:pt>
                <c:pt idx="10">
                  <c:v>13.35</c:v>
                </c:pt>
                <c:pt idx="11">
                  <c:v>13.54</c:v>
                </c:pt>
                <c:pt idx="12">
                  <c:v>14.99</c:v>
                </c:pt>
                <c:pt idx="13">
                  <c:v>14.83</c:v>
                </c:pt>
                <c:pt idx="14">
                  <c:v>14.62</c:v>
                </c:pt>
                <c:pt idx="15">
                  <c:v>14.81</c:v>
                </c:pt>
                <c:pt idx="16">
                  <c:v>14.97</c:v>
                </c:pt>
                <c:pt idx="17">
                  <c:v>14.62</c:v>
                </c:pt>
                <c:pt idx="18">
                  <c:v>14.68</c:v>
                </c:pt>
                <c:pt idx="19">
                  <c:v>14.91</c:v>
                </c:pt>
                <c:pt idx="20">
                  <c:v>14.45</c:v>
                </c:pt>
                <c:pt idx="21">
                  <c:v>14.58</c:v>
                </c:pt>
                <c:pt idx="22">
                  <c:v>14.67</c:v>
                </c:pt>
                <c:pt idx="23">
                  <c:v>14.68</c:v>
                </c:pt>
                <c:pt idx="24">
                  <c:v>14.5</c:v>
                </c:pt>
                <c:pt idx="25">
                  <c:v>14.63</c:v>
                </c:pt>
                <c:pt idx="26">
                  <c:v>14.76</c:v>
                </c:pt>
                <c:pt idx="27">
                  <c:v>14.64</c:v>
                </c:pt>
                <c:pt idx="28">
                  <c:v>14.59</c:v>
                </c:pt>
                <c:pt idx="29">
                  <c:v>14.07</c:v>
                </c:pt>
                <c:pt idx="30">
                  <c:v>14.81</c:v>
                </c:pt>
                <c:pt idx="31">
                  <c:v>14.79</c:v>
                </c:pt>
                <c:pt idx="32">
                  <c:v>14.3</c:v>
                </c:pt>
                <c:pt idx="33">
                  <c:v>14.35</c:v>
                </c:pt>
                <c:pt idx="34">
                  <c:v>14.28</c:v>
                </c:pt>
                <c:pt idx="35">
                  <c:v>14.73</c:v>
                </c:pt>
                <c:pt idx="36">
                  <c:v>14.69</c:v>
                </c:pt>
                <c:pt idx="37">
                  <c:v>15</c:v>
                </c:pt>
                <c:pt idx="38">
                  <c:v>14.59</c:v>
                </c:pt>
                <c:pt idx="39">
                  <c:v>14.69</c:v>
                </c:pt>
                <c:pt idx="40">
                  <c:v>14.62</c:v>
                </c:pt>
                <c:pt idx="41">
                  <c:v>14.32</c:v>
                </c:pt>
                <c:pt idx="42">
                  <c:v>14.36</c:v>
                </c:pt>
                <c:pt idx="43">
                  <c:v>13.52</c:v>
                </c:pt>
                <c:pt idx="44">
                  <c:v>14.63</c:v>
                </c:pt>
                <c:pt idx="45">
                  <c:v>14.96</c:v>
                </c:pt>
                <c:pt idx="46">
                  <c:v>14.73</c:v>
                </c:pt>
                <c:pt idx="47">
                  <c:v>14.43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5C-4DB1-9ACF-758ADB318F07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31.544</c:v>
                </c:pt>
                <c:pt idx="1">
                  <c:v>30.952000000000002</c:v>
                </c:pt>
                <c:pt idx="2">
                  <c:v>30.762</c:v>
                </c:pt>
                <c:pt idx="3">
                  <c:v>31.606000000000002</c:v>
                </c:pt>
                <c:pt idx="4">
                  <c:v>31.64</c:v>
                </c:pt>
                <c:pt idx="5">
                  <c:v>31.202000000000002</c:v>
                </c:pt>
                <c:pt idx="6">
                  <c:v>30.512</c:v>
                </c:pt>
                <c:pt idx="7">
                  <c:v>29.98</c:v>
                </c:pt>
                <c:pt idx="8">
                  <c:v>30.277999999999999</c:v>
                </c:pt>
                <c:pt idx="9">
                  <c:v>30.696000000000002</c:v>
                </c:pt>
                <c:pt idx="10">
                  <c:v>30.782</c:v>
                </c:pt>
                <c:pt idx="11">
                  <c:v>30.725999999999999</c:v>
                </c:pt>
                <c:pt idx="12">
                  <c:v>30.738</c:v>
                </c:pt>
                <c:pt idx="13">
                  <c:v>29.942</c:v>
                </c:pt>
                <c:pt idx="14">
                  <c:v>30.547999999999998</c:v>
                </c:pt>
                <c:pt idx="15">
                  <c:v>30.552</c:v>
                </c:pt>
                <c:pt idx="16">
                  <c:v>31.42</c:v>
                </c:pt>
                <c:pt idx="17">
                  <c:v>30.552</c:v>
                </c:pt>
                <c:pt idx="18">
                  <c:v>29.186</c:v>
                </c:pt>
                <c:pt idx="19">
                  <c:v>27.917999999999999</c:v>
                </c:pt>
                <c:pt idx="20">
                  <c:v>27.297999999999998</c:v>
                </c:pt>
                <c:pt idx="21">
                  <c:v>26.56</c:v>
                </c:pt>
                <c:pt idx="22">
                  <c:v>26.956</c:v>
                </c:pt>
                <c:pt idx="23">
                  <c:v>27.652000000000001</c:v>
                </c:pt>
                <c:pt idx="24">
                  <c:v>27.847999999999999</c:v>
                </c:pt>
                <c:pt idx="25">
                  <c:v>28.3</c:v>
                </c:pt>
                <c:pt idx="26">
                  <c:v>28.085999999999999</c:v>
                </c:pt>
                <c:pt idx="27">
                  <c:v>28.962</c:v>
                </c:pt>
                <c:pt idx="28">
                  <c:v>28.898</c:v>
                </c:pt>
                <c:pt idx="29">
                  <c:v>28.812000000000001</c:v>
                </c:pt>
                <c:pt idx="30">
                  <c:v>28.31</c:v>
                </c:pt>
                <c:pt idx="31">
                  <c:v>27.754000000000001</c:v>
                </c:pt>
                <c:pt idx="32">
                  <c:v>28.224</c:v>
                </c:pt>
                <c:pt idx="33">
                  <c:v>28.847999999999999</c:v>
                </c:pt>
                <c:pt idx="34">
                  <c:v>29.37</c:v>
                </c:pt>
                <c:pt idx="35">
                  <c:v>30.391999999999999</c:v>
                </c:pt>
                <c:pt idx="36">
                  <c:v>31.648</c:v>
                </c:pt>
                <c:pt idx="37">
                  <c:v>32.725999999999999</c:v>
                </c:pt>
                <c:pt idx="38">
                  <c:v>33.506</c:v>
                </c:pt>
                <c:pt idx="39">
                  <c:v>33.090000000000003</c:v>
                </c:pt>
                <c:pt idx="40">
                  <c:v>32.369999999999997</c:v>
                </c:pt>
                <c:pt idx="41">
                  <c:v>32.503999999999998</c:v>
                </c:pt>
                <c:pt idx="42">
                  <c:v>33.125999999999998</c:v>
                </c:pt>
                <c:pt idx="43">
                  <c:v>33.265999999999998</c:v>
                </c:pt>
                <c:pt idx="44">
                  <c:v>32.963999999999999</c:v>
                </c:pt>
                <c:pt idx="45">
                  <c:v>32.762</c:v>
                </c:pt>
                <c:pt idx="46">
                  <c:v>32.164000000000001</c:v>
                </c:pt>
                <c:pt idx="47">
                  <c:v>31.492000000000001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5C-4DB1-9ACF-758ADB318F07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A5C-4DB1-9ACF-758ADB318F07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5C-4DB1-9ACF-758ADB318F07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50.055</c:v>
                </c:pt>
                <c:pt idx="1">
                  <c:v>49.957999999999998</c:v>
                </c:pt>
                <c:pt idx="2">
                  <c:v>50.029000000000003</c:v>
                </c:pt>
                <c:pt idx="3">
                  <c:v>49.085999999999999</c:v>
                </c:pt>
                <c:pt idx="4">
                  <c:v>48.878</c:v>
                </c:pt>
                <c:pt idx="5">
                  <c:v>48.914999999999999</c:v>
                </c:pt>
                <c:pt idx="6">
                  <c:v>48.817999999999998</c:v>
                </c:pt>
                <c:pt idx="7">
                  <c:v>48.707999999999998</c:v>
                </c:pt>
                <c:pt idx="8">
                  <c:v>48.722999999999999</c:v>
                </c:pt>
                <c:pt idx="9">
                  <c:v>48.686999999999998</c:v>
                </c:pt>
                <c:pt idx="10">
                  <c:v>48.612000000000002</c:v>
                </c:pt>
                <c:pt idx="11">
                  <c:v>48.936999999999998</c:v>
                </c:pt>
                <c:pt idx="12">
                  <c:v>48.646999999999998</c:v>
                </c:pt>
                <c:pt idx="13">
                  <c:v>48.124000000000002</c:v>
                </c:pt>
                <c:pt idx="14">
                  <c:v>48.183</c:v>
                </c:pt>
                <c:pt idx="15">
                  <c:v>48.286999999999999</c:v>
                </c:pt>
                <c:pt idx="16">
                  <c:v>48.332000000000001</c:v>
                </c:pt>
                <c:pt idx="17">
                  <c:v>48.164000000000001</c:v>
                </c:pt>
                <c:pt idx="18">
                  <c:v>48.607999999999997</c:v>
                </c:pt>
                <c:pt idx="19">
                  <c:v>48.587000000000003</c:v>
                </c:pt>
                <c:pt idx="20">
                  <c:v>48.686</c:v>
                </c:pt>
                <c:pt idx="21">
                  <c:v>49.121000000000002</c:v>
                </c:pt>
                <c:pt idx="22">
                  <c:v>48.567</c:v>
                </c:pt>
                <c:pt idx="23">
                  <c:v>48.417000000000002</c:v>
                </c:pt>
                <c:pt idx="24">
                  <c:v>48.29</c:v>
                </c:pt>
                <c:pt idx="25">
                  <c:v>48.31</c:v>
                </c:pt>
                <c:pt idx="26">
                  <c:v>48.298999999999999</c:v>
                </c:pt>
                <c:pt idx="27">
                  <c:v>48.31</c:v>
                </c:pt>
                <c:pt idx="28">
                  <c:v>48.537999999999997</c:v>
                </c:pt>
                <c:pt idx="29">
                  <c:v>48.435000000000002</c:v>
                </c:pt>
                <c:pt idx="30">
                  <c:v>48.158999999999999</c:v>
                </c:pt>
                <c:pt idx="31">
                  <c:v>48.51</c:v>
                </c:pt>
                <c:pt idx="32">
                  <c:v>48.048999999999999</c:v>
                </c:pt>
                <c:pt idx="33">
                  <c:v>48.073999999999998</c:v>
                </c:pt>
                <c:pt idx="34">
                  <c:v>47.845999999999997</c:v>
                </c:pt>
                <c:pt idx="35">
                  <c:v>48.148000000000003</c:v>
                </c:pt>
                <c:pt idx="36">
                  <c:v>48.725000000000001</c:v>
                </c:pt>
                <c:pt idx="37">
                  <c:v>48.597999999999999</c:v>
                </c:pt>
                <c:pt idx="38">
                  <c:v>48.573999999999998</c:v>
                </c:pt>
                <c:pt idx="39">
                  <c:v>48.685000000000002</c:v>
                </c:pt>
                <c:pt idx="40">
                  <c:v>48.606000000000002</c:v>
                </c:pt>
                <c:pt idx="41">
                  <c:v>48.761000000000003</c:v>
                </c:pt>
                <c:pt idx="42">
                  <c:v>49.360999999999997</c:v>
                </c:pt>
                <c:pt idx="43">
                  <c:v>48.512999999999998</c:v>
                </c:pt>
                <c:pt idx="44">
                  <c:v>48.622</c:v>
                </c:pt>
                <c:pt idx="45">
                  <c:v>48.231000000000002</c:v>
                </c:pt>
                <c:pt idx="46">
                  <c:v>48.207999999999998</c:v>
                </c:pt>
                <c:pt idx="47">
                  <c:v>48.478999999999999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A5C-4DB1-9ACF-758ADB318F07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5C-4DB1-9ACF-758ADB318F07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14.78586</c:v>
                </c:pt>
                <c:pt idx="1">
                  <c:v>14.375999999999999</c:v>
                </c:pt>
                <c:pt idx="2">
                  <c:v>36.60577</c:v>
                </c:pt>
                <c:pt idx="3">
                  <c:v>36.457120000000003</c:v>
                </c:pt>
                <c:pt idx="4">
                  <c:v>34.945569999999996</c:v>
                </c:pt>
                <c:pt idx="5">
                  <c:v>40.513019999999997</c:v>
                </c:pt>
                <c:pt idx="6">
                  <c:v>47.744929999999997</c:v>
                </c:pt>
                <c:pt idx="7">
                  <c:v>43.980049999999999</c:v>
                </c:pt>
                <c:pt idx="8">
                  <c:v>47.198500000000003</c:v>
                </c:pt>
                <c:pt idx="9">
                  <c:v>42.786140000000003</c:v>
                </c:pt>
                <c:pt idx="10">
                  <c:v>32.320749999999997</c:v>
                </c:pt>
                <c:pt idx="11">
                  <c:v>33.491039999999998</c:v>
                </c:pt>
                <c:pt idx="12">
                  <c:v>41.92989</c:v>
                </c:pt>
                <c:pt idx="13">
                  <c:v>37.794670000000004</c:v>
                </c:pt>
                <c:pt idx="14">
                  <c:v>45.474609999999998</c:v>
                </c:pt>
                <c:pt idx="15">
                  <c:v>31.673590000000001</c:v>
                </c:pt>
                <c:pt idx="16">
                  <c:v>37.76146</c:v>
                </c:pt>
                <c:pt idx="17">
                  <c:v>38.770350000000001</c:v>
                </c:pt>
                <c:pt idx="18">
                  <c:v>45.444499999999998</c:v>
                </c:pt>
                <c:pt idx="19">
                  <c:v>44.277079999999998</c:v>
                </c:pt>
                <c:pt idx="20">
                  <c:v>34.454520000000002</c:v>
                </c:pt>
                <c:pt idx="21">
                  <c:v>36.770420000000001</c:v>
                </c:pt>
                <c:pt idx="22">
                  <c:v>39.628720000000001</c:v>
                </c:pt>
                <c:pt idx="23">
                  <c:v>36.059959999999997</c:v>
                </c:pt>
                <c:pt idx="24">
                  <c:v>38.634410000000003</c:v>
                </c:pt>
                <c:pt idx="25">
                  <c:v>41.467080000000003</c:v>
                </c:pt>
                <c:pt idx="26">
                  <c:v>49.617229999999999</c:v>
                </c:pt>
                <c:pt idx="27">
                  <c:v>50.41234</c:v>
                </c:pt>
                <c:pt idx="28">
                  <c:v>45.890790000000003</c:v>
                </c:pt>
                <c:pt idx="29">
                  <c:v>40.711959999999998</c:v>
                </c:pt>
                <c:pt idx="30">
                  <c:v>43.03783</c:v>
                </c:pt>
                <c:pt idx="31">
                  <c:v>32.355530000000002</c:v>
                </c:pt>
                <c:pt idx="32">
                  <c:v>35.077080000000002</c:v>
                </c:pt>
                <c:pt idx="33">
                  <c:v>43.194969999999998</c:v>
                </c:pt>
                <c:pt idx="34">
                  <c:v>43.193109999999997</c:v>
                </c:pt>
                <c:pt idx="35">
                  <c:v>43.854799999999997</c:v>
                </c:pt>
                <c:pt idx="36">
                  <c:v>7.0573300000000003</c:v>
                </c:pt>
                <c:pt idx="37">
                  <c:v>5.2433899999999998</c:v>
                </c:pt>
                <c:pt idx="38">
                  <c:v>5.9457399999999998</c:v>
                </c:pt>
                <c:pt idx="39">
                  <c:v>9.4146900000000002</c:v>
                </c:pt>
                <c:pt idx="40">
                  <c:v>9.7106399999999997</c:v>
                </c:pt>
                <c:pt idx="41">
                  <c:v>10.336959999999999</c:v>
                </c:pt>
                <c:pt idx="42">
                  <c:v>22.541329999999999</c:v>
                </c:pt>
                <c:pt idx="43">
                  <c:v>42.044820000000001</c:v>
                </c:pt>
                <c:pt idx="44">
                  <c:v>42.083210000000001</c:v>
                </c:pt>
                <c:pt idx="45">
                  <c:v>15.42544</c:v>
                </c:pt>
                <c:pt idx="46">
                  <c:v>43.757359999999998</c:v>
                </c:pt>
                <c:pt idx="47">
                  <c:v>44.121270000000003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5C-4DB1-9ACF-758ADB318F07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5C-4DB1-9ACF-758ADB318F07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8.3000000000000007</c:v>
                </c:pt>
                <c:pt idx="1">
                  <c:v>8.9</c:v>
                </c:pt>
                <c:pt idx="2">
                  <c:v>8.1999999999999993</c:v>
                </c:pt>
                <c:pt idx="3">
                  <c:v>4.8</c:v>
                </c:pt>
                <c:pt idx="4">
                  <c:v>2.4</c:v>
                </c:pt>
                <c:pt idx="5">
                  <c:v>2.5</c:v>
                </c:pt>
                <c:pt idx="6">
                  <c:v>2.2999999999999998</c:v>
                </c:pt>
                <c:pt idx="7">
                  <c:v>2</c:v>
                </c:pt>
                <c:pt idx="8">
                  <c:v>2</c:v>
                </c:pt>
                <c:pt idx="9">
                  <c:v>1.5</c:v>
                </c:pt>
                <c:pt idx="10">
                  <c:v>1.5</c:v>
                </c:pt>
                <c:pt idx="11">
                  <c:v>1.4</c:v>
                </c:pt>
                <c:pt idx="12">
                  <c:v>1.5</c:v>
                </c:pt>
                <c:pt idx="13">
                  <c:v>1.3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1.1000000000000001</c:v>
                </c:pt>
                <c:pt idx="34">
                  <c:v>1.2</c:v>
                </c:pt>
                <c:pt idx="35">
                  <c:v>1</c:v>
                </c:pt>
                <c:pt idx="36">
                  <c:v>1.2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5C-4DB1-9ACF-758ADB318F07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5C-4DB1-9ACF-758ADB318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130.67508000000001</c:v>
                </c:pt>
                <c:pt idx="1">
                  <c:v>147.13974999999999</c:v>
                </c:pt>
                <c:pt idx="2">
                  <c:v>166.66</c:v>
                </c:pt>
                <c:pt idx="3">
                  <c:v>151.85820000000001</c:v>
                </c:pt>
                <c:pt idx="4">
                  <c:v>146.28536</c:v>
                </c:pt>
                <c:pt idx="5">
                  <c:v>147.51614000000001</c:v>
                </c:pt>
                <c:pt idx="6">
                  <c:v>128.15519</c:v>
                </c:pt>
                <c:pt idx="7">
                  <c:v>119.50103</c:v>
                </c:pt>
                <c:pt idx="8">
                  <c:v>117.95255</c:v>
                </c:pt>
                <c:pt idx="9">
                  <c:v>157.91934000000001</c:v>
                </c:pt>
                <c:pt idx="10">
                  <c:v>155.12117000000001</c:v>
                </c:pt>
                <c:pt idx="11">
                  <c:v>158.12588</c:v>
                </c:pt>
                <c:pt idx="12">
                  <c:v>148.52519000000001</c:v>
                </c:pt>
                <c:pt idx="13">
                  <c:v>153.59664000000001</c:v>
                </c:pt>
                <c:pt idx="14">
                  <c:v>127.62863</c:v>
                </c:pt>
                <c:pt idx="15">
                  <c:v>118.12170999999999</c:v>
                </c:pt>
                <c:pt idx="16">
                  <c:v>116.13399</c:v>
                </c:pt>
                <c:pt idx="17">
                  <c:v>133.01578000000001</c:v>
                </c:pt>
                <c:pt idx="18">
                  <c:v>152.80070000000001</c:v>
                </c:pt>
                <c:pt idx="19">
                  <c:v>135.71691999999999</c:v>
                </c:pt>
                <c:pt idx="20">
                  <c:v>109.55086</c:v>
                </c:pt>
                <c:pt idx="21">
                  <c:v>100.97642999999999</c:v>
                </c:pt>
                <c:pt idx="22">
                  <c:v>136.76516000000001</c:v>
                </c:pt>
                <c:pt idx="23">
                  <c:v>155.36877999999999</c:v>
                </c:pt>
                <c:pt idx="24">
                  <c:v>141.41219000000001</c:v>
                </c:pt>
                <c:pt idx="25">
                  <c:v>132.57160999999999</c:v>
                </c:pt>
                <c:pt idx="26">
                  <c:v>92.017979999999994</c:v>
                </c:pt>
                <c:pt idx="27">
                  <c:v>121.21566</c:v>
                </c:pt>
                <c:pt idx="28">
                  <c:v>165.69578000000001</c:v>
                </c:pt>
                <c:pt idx="29">
                  <c:v>140.41821999999999</c:v>
                </c:pt>
                <c:pt idx="30">
                  <c:v>140.48763</c:v>
                </c:pt>
                <c:pt idx="31">
                  <c:v>90.410510000000002</c:v>
                </c:pt>
                <c:pt idx="32">
                  <c:v>119.89779</c:v>
                </c:pt>
                <c:pt idx="33">
                  <c:v>163.60431</c:v>
                </c:pt>
                <c:pt idx="34">
                  <c:v>143.87952999999999</c:v>
                </c:pt>
                <c:pt idx="35">
                  <c:v>171.24453</c:v>
                </c:pt>
                <c:pt idx="36">
                  <c:v>42.597709999999999</c:v>
                </c:pt>
                <c:pt idx="37">
                  <c:v>29.1204</c:v>
                </c:pt>
                <c:pt idx="38">
                  <c:v>33.807810000000003</c:v>
                </c:pt>
                <c:pt idx="39">
                  <c:v>35.01193</c:v>
                </c:pt>
                <c:pt idx="40">
                  <c:v>33.209020000000002</c:v>
                </c:pt>
                <c:pt idx="41">
                  <c:v>34.080410000000001</c:v>
                </c:pt>
                <c:pt idx="42">
                  <c:v>34.497700000000002</c:v>
                </c:pt>
                <c:pt idx="43">
                  <c:v>37.880879999999998</c:v>
                </c:pt>
                <c:pt idx="44">
                  <c:v>41.915700000000001</c:v>
                </c:pt>
                <c:pt idx="45">
                  <c:v>97.198530000000005</c:v>
                </c:pt>
                <c:pt idx="46">
                  <c:v>128.53880000000001</c:v>
                </c:pt>
                <c:pt idx="47">
                  <c:v>163.26258999999999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6-4F68-96E3-FBC85594B372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66-4F68-96E3-FBC85594B372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9.7027900000000002</c:v>
                </c:pt>
                <c:pt idx="1">
                  <c:v>10.001659999999999</c:v>
                </c:pt>
                <c:pt idx="2">
                  <c:v>10.004339999999999</c:v>
                </c:pt>
                <c:pt idx="3">
                  <c:v>9.9998799999999992</c:v>
                </c:pt>
                <c:pt idx="4">
                  <c:v>10.03027</c:v>
                </c:pt>
                <c:pt idx="5">
                  <c:v>9.8257399999999997</c:v>
                </c:pt>
                <c:pt idx="6">
                  <c:v>9.4488900000000005</c:v>
                </c:pt>
                <c:pt idx="7">
                  <c:v>9.2444600000000001</c:v>
                </c:pt>
                <c:pt idx="8">
                  <c:v>9.4458400000000005</c:v>
                </c:pt>
                <c:pt idx="9">
                  <c:v>9.77013</c:v>
                </c:pt>
                <c:pt idx="10">
                  <c:v>9.7604500000000005</c:v>
                </c:pt>
                <c:pt idx="11">
                  <c:v>9.7826299999999993</c:v>
                </c:pt>
                <c:pt idx="12">
                  <c:v>9.8050899999999999</c:v>
                </c:pt>
                <c:pt idx="13">
                  <c:v>9.6774500000000003</c:v>
                </c:pt>
                <c:pt idx="14">
                  <c:v>9.4777500000000003</c:v>
                </c:pt>
                <c:pt idx="15">
                  <c:v>9.8308099999999996</c:v>
                </c:pt>
                <c:pt idx="16">
                  <c:v>10.125579999999999</c:v>
                </c:pt>
                <c:pt idx="17">
                  <c:v>10.078010000000001</c:v>
                </c:pt>
                <c:pt idx="18">
                  <c:v>10.304819999999999</c:v>
                </c:pt>
                <c:pt idx="19">
                  <c:v>10.216810000000001</c:v>
                </c:pt>
                <c:pt idx="20">
                  <c:v>10.08953</c:v>
                </c:pt>
                <c:pt idx="21">
                  <c:v>9.7927</c:v>
                </c:pt>
                <c:pt idx="22">
                  <c:v>9.3677200000000003</c:v>
                </c:pt>
                <c:pt idx="23">
                  <c:v>9.2817799999999995</c:v>
                </c:pt>
                <c:pt idx="24">
                  <c:v>9.7924799999999994</c:v>
                </c:pt>
                <c:pt idx="25">
                  <c:v>9.95608</c:v>
                </c:pt>
                <c:pt idx="26">
                  <c:v>9.9570600000000002</c:v>
                </c:pt>
                <c:pt idx="27">
                  <c:v>10.21081</c:v>
                </c:pt>
                <c:pt idx="28">
                  <c:v>10.231439999999999</c:v>
                </c:pt>
                <c:pt idx="29">
                  <c:v>10.06898</c:v>
                </c:pt>
                <c:pt idx="30">
                  <c:v>9.7047899999999991</c:v>
                </c:pt>
                <c:pt idx="31">
                  <c:v>10.270009999999999</c:v>
                </c:pt>
                <c:pt idx="32">
                  <c:v>10.472519999999999</c:v>
                </c:pt>
                <c:pt idx="33">
                  <c:v>10.54776</c:v>
                </c:pt>
                <c:pt idx="34">
                  <c:v>10.36514</c:v>
                </c:pt>
                <c:pt idx="35">
                  <c:v>10.41747</c:v>
                </c:pt>
                <c:pt idx="36">
                  <c:v>9.9264799999999997</c:v>
                </c:pt>
                <c:pt idx="37">
                  <c:v>8.30185</c:v>
                </c:pt>
                <c:pt idx="38">
                  <c:v>7.7345699999999997</c:v>
                </c:pt>
                <c:pt idx="39">
                  <c:v>7.5339700000000001</c:v>
                </c:pt>
                <c:pt idx="40">
                  <c:v>7.8621600000000003</c:v>
                </c:pt>
                <c:pt idx="41">
                  <c:v>8.5457699999999992</c:v>
                </c:pt>
                <c:pt idx="42">
                  <c:v>8.7941699999999994</c:v>
                </c:pt>
                <c:pt idx="43">
                  <c:v>10.08381</c:v>
                </c:pt>
                <c:pt idx="44">
                  <c:v>10.21367</c:v>
                </c:pt>
                <c:pt idx="45">
                  <c:v>10.35581</c:v>
                </c:pt>
                <c:pt idx="46">
                  <c:v>10.14434</c:v>
                </c:pt>
                <c:pt idx="47">
                  <c:v>10.343999999999999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66-4F68-96E3-FBC85594B372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6.6993</c:v>
                </c:pt>
                <c:pt idx="1">
                  <c:v>6.6787000000000001</c:v>
                </c:pt>
                <c:pt idx="2">
                  <c:v>6.4035000000000002</c:v>
                </c:pt>
                <c:pt idx="3">
                  <c:v>5.9615999999999998</c:v>
                </c:pt>
                <c:pt idx="4">
                  <c:v>4.4287000000000001</c:v>
                </c:pt>
                <c:pt idx="5">
                  <c:v>4.5812999999999997</c:v>
                </c:pt>
                <c:pt idx="6">
                  <c:v>5.6082000000000001</c:v>
                </c:pt>
                <c:pt idx="7">
                  <c:v>5.5792999999999999</c:v>
                </c:pt>
                <c:pt idx="8">
                  <c:v>5.46</c:v>
                </c:pt>
                <c:pt idx="9">
                  <c:v>5.5949</c:v>
                </c:pt>
                <c:pt idx="10">
                  <c:v>5.5118999999999998</c:v>
                </c:pt>
                <c:pt idx="11">
                  <c:v>6.1712999999999996</c:v>
                </c:pt>
                <c:pt idx="12">
                  <c:v>6.3362999999999996</c:v>
                </c:pt>
                <c:pt idx="13">
                  <c:v>5.9641999999999999</c:v>
                </c:pt>
                <c:pt idx="14">
                  <c:v>4.7092000000000001</c:v>
                </c:pt>
                <c:pt idx="15">
                  <c:v>4.9623999999999997</c:v>
                </c:pt>
                <c:pt idx="16">
                  <c:v>6.9889000000000001</c:v>
                </c:pt>
                <c:pt idx="17">
                  <c:v>6.4135999999999997</c:v>
                </c:pt>
                <c:pt idx="18">
                  <c:v>6.3482000000000003</c:v>
                </c:pt>
                <c:pt idx="19">
                  <c:v>5.5458999999999996</c:v>
                </c:pt>
                <c:pt idx="20">
                  <c:v>5.5936000000000003</c:v>
                </c:pt>
                <c:pt idx="21">
                  <c:v>5.9908000000000001</c:v>
                </c:pt>
                <c:pt idx="22">
                  <c:v>5.9184999999999999</c:v>
                </c:pt>
                <c:pt idx="23">
                  <c:v>4.7869999999999999</c:v>
                </c:pt>
                <c:pt idx="24">
                  <c:v>4.8666999999999998</c:v>
                </c:pt>
                <c:pt idx="25">
                  <c:v>5.6696999999999997</c:v>
                </c:pt>
                <c:pt idx="26">
                  <c:v>5.9596</c:v>
                </c:pt>
                <c:pt idx="27">
                  <c:v>5.5434999999999999</c:v>
                </c:pt>
                <c:pt idx="28">
                  <c:v>5.2037000000000004</c:v>
                </c:pt>
                <c:pt idx="29">
                  <c:v>4.8273000000000001</c:v>
                </c:pt>
                <c:pt idx="30">
                  <c:v>5.6022999999999996</c:v>
                </c:pt>
                <c:pt idx="31">
                  <c:v>4.4881000000000002</c:v>
                </c:pt>
                <c:pt idx="32">
                  <c:v>5.9295999999999998</c:v>
                </c:pt>
                <c:pt idx="33">
                  <c:v>7.0382999999999996</c:v>
                </c:pt>
                <c:pt idx="34">
                  <c:v>6.9848999999999997</c:v>
                </c:pt>
                <c:pt idx="35">
                  <c:v>7.5754999999999999</c:v>
                </c:pt>
                <c:pt idx="36">
                  <c:v>7.4854000000000003</c:v>
                </c:pt>
                <c:pt idx="37">
                  <c:v>7.2782999999999998</c:v>
                </c:pt>
                <c:pt idx="38">
                  <c:v>7.6314000000000002</c:v>
                </c:pt>
                <c:pt idx="39">
                  <c:v>7.0453000000000001</c:v>
                </c:pt>
                <c:pt idx="40">
                  <c:v>6.7458</c:v>
                </c:pt>
                <c:pt idx="41">
                  <c:v>6.9603999999999999</c:v>
                </c:pt>
                <c:pt idx="42">
                  <c:v>7.1946000000000003</c:v>
                </c:pt>
                <c:pt idx="43">
                  <c:v>7.0326000000000004</c:v>
                </c:pt>
                <c:pt idx="44">
                  <c:v>7.3</c:v>
                </c:pt>
                <c:pt idx="45">
                  <c:v>6.8834</c:v>
                </c:pt>
                <c:pt idx="46">
                  <c:v>5.8137999999999996</c:v>
                </c:pt>
                <c:pt idx="47">
                  <c:v>6.3254999999999999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66-4F68-96E3-FBC85594B372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66-4F68-96E3-FBC85594B372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16.61</c:v>
                </c:pt>
                <c:pt idx="1">
                  <c:v>16.559999999999999</c:v>
                </c:pt>
                <c:pt idx="2">
                  <c:v>17.84</c:v>
                </c:pt>
                <c:pt idx="3">
                  <c:v>17.86</c:v>
                </c:pt>
                <c:pt idx="4">
                  <c:v>17.52</c:v>
                </c:pt>
                <c:pt idx="5">
                  <c:v>17.37</c:v>
                </c:pt>
                <c:pt idx="6">
                  <c:v>17.27</c:v>
                </c:pt>
                <c:pt idx="7">
                  <c:v>17.440000000000001</c:v>
                </c:pt>
                <c:pt idx="8">
                  <c:v>17.22</c:v>
                </c:pt>
                <c:pt idx="9">
                  <c:v>16.82</c:v>
                </c:pt>
                <c:pt idx="10">
                  <c:v>16.97</c:v>
                </c:pt>
                <c:pt idx="11">
                  <c:v>17.8</c:v>
                </c:pt>
                <c:pt idx="12">
                  <c:v>17.62</c:v>
                </c:pt>
                <c:pt idx="13">
                  <c:v>17.3</c:v>
                </c:pt>
                <c:pt idx="14">
                  <c:v>17.02</c:v>
                </c:pt>
                <c:pt idx="15">
                  <c:v>15.88</c:v>
                </c:pt>
                <c:pt idx="16">
                  <c:v>17.149999999999999</c:v>
                </c:pt>
                <c:pt idx="17">
                  <c:v>17.350000000000001</c:v>
                </c:pt>
                <c:pt idx="18">
                  <c:v>18.07</c:v>
                </c:pt>
                <c:pt idx="19">
                  <c:v>18.010000000000002</c:v>
                </c:pt>
                <c:pt idx="20">
                  <c:v>18.18</c:v>
                </c:pt>
                <c:pt idx="21">
                  <c:v>18.010000000000002</c:v>
                </c:pt>
                <c:pt idx="22">
                  <c:v>17.86</c:v>
                </c:pt>
                <c:pt idx="23">
                  <c:v>17.64</c:v>
                </c:pt>
                <c:pt idx="24">
                  <c:v>17.5</c:v>
                </c:pt>
                <c:pt idx="25">
                  <c:v>17.73</c:v>
                </c:pt>
                <c:pt idx="26">
                  <c:v>17.600000000000001</c:v>
                </c:pt>
                <c:pt idx="27">
                  <c:v>17.8</c:v>
                </c:pt>
                <c:pt idx="28">
                  <c:v>17.63</c:v>
                </c:pt>
                <c:pt idx="29">
                  <c:v>17.41</c:v>
                </c:pt>
                <c:pt idx="30">
                  <c:v>16.11</c:v>
                </c:pt>
                <c:pt idx="31">
                  <c:v>15.12</c:v>
                </c:pt>
                <c:pt idx="32">
                  <c:v>16.38</c:v>
                </c:pt>
                <c:pt idx="33">
                  <c:v>16.78</c:v>
                </c:pt>
                <c:pt idx="34">
                  <c:v>17.2</c:v>
                </c:pt>
                <c:pt idx="35">
                  <c:v>18.170000000000002</c:v>
                </c:pt>
                <c:pt idx="36">
                  <c:v>18.13</c:v>
                </c:pt>
                <c:pt idx="37">
                  <c:v>17.86</c:v>
                </c:pt>
                <c:pt idx="38">
                  <c:v>18.190000000000001</c:v>
                </c:pt>
                <c:pt idx="39">
                  <c:v>18.260000000000002</c:v>
                </c:pt>
                <c:pt idx="40">
                  <c:v>18.329999999999998</c:v>
                </c:pt>
                <c:pt idx="41">
                  <c:v>18.3</c:v>
                </c:pt>
                <c:pt idx="42">
                  <c:v>18.059999999999999</c:v>
                </c:pt>
                <c:pt idx="43">
                  <c:v>18.11</c:v>
                </c:pt>
                <c:pt idx="44">
                  <c:v>18.13</c:v>
                </c:pt>
                <c:pt idx="45">
                  <c:v>18.46</c:v>
                </c:pt>
                <c:pt idx="46">
                  <c:v>18.62</c:v>
                </c:pt>
                <c:pt idx="47">
                  <c:v>18.37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66-4F68-96E3-FBC85594B372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66-4F68-96E3-FBC85594B372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66-4F68-96E3-FBC85594B372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66-4F68-96E3-FBC85594B372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66-4F68-96E3-FBC85594B372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66-4F68-96E3-FBC85594B372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B66-4F68-96E3-FBC85594B372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66-4F68-96E3-FBC85594B372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B66-4F68-96E3-FBC85594B372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1.8714</c:v>
                </c:pt>
                <c:pt idx="1">
                  <c:v>1.6011</c:v>
                </c:pt>
                <c:pt idx="2">
                  <c:v>1.4348000000000001</c:v>
                </c:pt>
                <c:pt idx="3">
                  <c:v>1.409</c:v>
                </c:pt>
                <c:pt idx="4">
                  <c:v>1.369</c:v>
                </c:pt>
                <c:pt idx="5">
                  <c:v>1.3362000000000001</c:v>
                </c:pt>
                <c:pt idx="6">
                  <c:v>1.2930999999999999</c:v>
                </c:pt>
                <c:pt idx="7">
                  <c:v>1.2997000000000001</c:v>
                </c:pt>
                <c:pt idx="8">
                  <c:v>1.2879</c:v>
                </c:pt>
                <c:pt idx="9">
                  <c:v>1.2897000000000001</c:v>
                </c:pt>
                <c:pt idx="10">
                  <c:v>1.2619</c:v>
                </c:pt>
                <c:pt idx="11">
                  <c:v>1.421</c:v>
                </c:pt>
                <c:pt idx="12">
                  <c:v>1.6913</c:v>
                </c:pt>
                <c:pt idx="13">
                  <c:v>1.6924999999999999</c:v>
                </c:pt>
                <c:pt idx="14">
                  <c:v>2.0693999999999999</c:v>
                </c:pt>
                <c:pt idx="15">
                  <c:v>2.3119999999999998</c:v>
                </c:pt>
                <c:pt idx="16">
                  <c:v>3.3266</c:v>
                </c:pt>
                <c:pt idx="17">
                  <c:v>3.7595000000000001</c:v>
                </c:pt>
                <c:pt idx="18">
                  <c:v>4.0262000000000002</c:v>
                </c:pt>
                <c:pt idx="19">
                  <c:v>4.3532999999999999</c:v>
                </c:pt>
                <c:pt idx="20">
                  <c:v>4.9584000000000001</c:v>
                </c:pt>
                <c:pt idx="21">
                  <c:v>5.3223000000000003</c:v>
                </c:pt>
                <c:pt idx="22">
                  <c:v>5.6391999999999998</c:v>
                </c:pt>
                <c:pt idx="23">
                  <c:v>5.7236000000000002</c:v>
                </c:pt>
                <c:pt idx="24">
                  <c:v>5.8369</c:v>
                </c:pt>
                <c:pt idx="25">
                  <c:v>5.8285999999999998</c:v>
                </c:pt>
                <c:pt idx="26">
                  <c:v>5.8030999999999997</c:v>
                </c:pt>
                <c:pt idx="27">
                  <c:v>5.8906999999999998</c:v>
                </c:pt>
                <c:pt idx="28">
                  <c:v>5.9659000000000004</c:v>
                </c:pt>
                <c:pt idx="29">
                  <c:v>6.0425000000000004</c:v>
                </c:pt>
                <c:pt idx="30">
                  <c:v>6.0340999999999996</c:v>
                </c:pt>
                <c:pt idx="31">
                  <c:v>5.9953000000000003</c:v>
                </c:pt>
                <c:pt idx="32">
                  <c:v>6.0122999999999998</c:v>
                </c:pt>
                <c:pt idx="33">
                  <c:v>6.0297999999999998</c:v>
                </c:pt>
                <c:pt idx="34">
                  <c:v>5.9264000000000001</c:v>
                </c:pt>
                <c:pt idx="35">
                  <c:v>5.9596999999999998</c:v>
                </c:pt>
                <c:pt idx="36">
                  <c:v>5.9249000000000001</c:v>
                </c:pt>
                <c:pt idx="37">
                  <c:v>5.8817000000000004</c:v>
                </c:pt>
                <c:pt idx="38">
                  <c:v>5.7690000000000001</c:v>
                </c:pt>
                <c:pt idx="39">
                  <c:v>5.7382999999999997</c:v>
                </c:pt>
                <c:pt idx="40">
                  <c:v>5.7161</c:v>
                </c:pt>
                <c:pt idx="41">
                  <c:v>5.6856</c:v>
                </c:pt>
                <c:pt idx="42">
                  <c:v>5.6013999999999999</c:v>
                </c:pt>
                <c:pt idx="43">
                  <c:v>5.3912000000000004</c:v>
                </c:pt>
                <c:pt idx="44">
                  <c:v>3.6596000000000002</c:v>
                </c:pt>
                <c:pt idx="45">
                  <c:v>3.0516000000000001</c:v>
                </c:pt>
                <c:pt idx="46">
                  <c:v>2.5442999999999998</c:v>
                </c:pt>
                <c:pt idx="47">
                  <c:v>2.1873999999999998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66-4F68-96E3-FBC85594B372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46.296250000000001</c:v>
                </c:pt>
                <c:pt idx="1">
                  <c:v>48.028030000000001</c:v>
                </c:pt>
                <c:pt idx="2">
                  <c:v>49.958109999999998</c:v>
                </c:pt>
                <c:pt idx="3">
                  <c:v>52.233580000000003</c:v>
                </c:pt>
                <c:pt idx="4">
                  <c:v>53.619860000000003</c:v>
                </c:pt>
                <c:pt idx="5">
                  <c:v>53.652459999999998</c:v>
                </c:pt>
                <c:pt idx="6">
                  <c:v>53.544780000000003</c:v>
                </c:pt>
                <c:pt idx="7">
                  <c:v>52.728619999999999</c:v>
                </c:pt>
                <c:pt idx="8">
                  <c:v>52.448790000000002</c:v>
                </c:pt>
                <c:pt idx="9">
                  <c:v>53.095370000000003</c:v>
                </c:pt>
                <c:pt idx="10">
                  <c:v>53.211179999999999</c:v>
                </c:pt>
                <c:pt idx="11">
                  <c:v>53.528329999999997</c:v>
                </c:pt>
                <c:pt idx="12">
                  <c:v>52.563960000000002</c:v>
                </c:pt>
                <c:pt idx="13">
                  <c:v>46.50967</c:v>
                </c:pt>
                <c:pt idx="14">
                  <c:v>51.18683</c:v>
                </c:pt>
                <c:pt idx="15">
                  <c:v>52.50103</c:v>
                </c:pt>
                <c:pt idx="16">
                  <c:v>52.602800000000002</c:v>
                </c:pt>
                <c:pt idx="17">
                  <c:v>52.350589999999997</c:v>
                </c:pt>
                <c:pt idx="18">
                  <c:v>51.305869999999999</c:v>
                </c:pt>
                <c:pt idx="19">
                  <c:v>49.856810000000003</c:v>
                </c:pt>
                <c:pt idx="20">
                  <c:v>50.795459999999999</c:v>
                </c:pt>
                <c:pt idx="21">
                  <c:v>49.247790000000002</c:v>
                </c:pt>
                <c:pt idx="22">
                  <c:v>47.794429999999998</c:v>
                </c:pt>
                <c:pt idx="23">
                  <c:v>48.729199999999999</c:v>
                </c:pt>
                <c:pt idx="24">
                  <c:v>49.557639999999999</c:v>
                </c:pt>
                <c:pt idx="25">
                  <c:v>49.627890000000001</c:v>
                </c:pt>
                <c:pt idx="26">
                  <c:v>50.326970000000003</c:v>
                </c:pt>
                <c:pt idx="27">
                  <c:v>50.870640000000002</c:v>
                </c:pt>
                <c:pt idx="28">
                  <c:v>50.825679999999998</c:v>
                </c:pt>
                <c:pt idx="29">
                  <c:v>46.717480000000002</c:v>
                </c:pt>
                <c:pt idx="30">
                  <c:v>46.997349999999997</c:v>
                </c:pt>
                <c:pt idx="31">
                  <c:v>48.611289999999997</c:v>
                </c:pt>
                <c:pt idx="32">
                  <c:v>48.629519999999999</c:v>
                </c:pt>
                <c:pt idx="33">
                  <c:v>48.113729999999997</c:v>
                </c:pt>
                <c:pt idx="34">
                  <c:v>48.686010000000003</c:v>
                </c:pt>
                <c:pt idx="35">
                  <c:v>49.351500000000001</c:v>
                </c:pt>
                <c:pt idx="36">
                  <c:v>48.371229999999997</c:v>
                </c:pt>
                <c:pt idx="37">
                  <c:v>43.914790000000004</c:v>
                </c:pt>
                <c:pt idx="38">
                  <c:v>46.508499999999998</c:v>
                </c:pt>
                <c:pt idx="39">
                  <c:v>49.574750000000002</c:v>
                </c:pt>
                <c:pt idx="40">
                  <c:v>52.703530000000001</c:v>
                </c:pt>
                <c:pt idx="41">
                  <c:v>52.871549999999999</c:v>
                </c:pt>
                <c:pt idx="42">
                  <c:v>53.200020000000002</c:v>
                </c:pt>
                <c:pt idx="43">
                  <c:v>52.686999999999998</c:v>
                </c:pt>
                <c:pt idx="44">
                  <c:v>53.149940000000001</c:v>
                </c:pt>
                <c:pt idx="45">
                  <c:v>52.702770000000001</c:v>
                </c:pt>
                <c:pt idx="46">
                  <c:v>51.716450000000002</c:v>
                </c:pt>
                <c:pt idx="47">
                  <c:v>51.624749999999999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B66-4F68-96E3-FBC85594B372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29.609030000000001</c:v>
                </c:pt>
                <c:pt idx="1">
                  <c:v>29.29326</c:v>
                </c:pt>
                <c:pt idx="2">
                  <c:v>29.812159999999999</c:v>
                </c:pt>
                <c:pt idx="3">
                  <c:v>29.008330000000001</c:v>
                </c:pt>
                <c:pt idx="4">
                  <c:v>27.898679999999999</c:v>
                </c:pt>
                <c:pt idx="5">
                  <c:v>29.179290000000002</c:v>
                </c:pt>
                <c:pt idx="6">
                  <c:v>30.164670000000001</c:v>
                </c:pt>
                <c:pt idx="7">
                  <c:v>29.82751</c:v>
                </c:pt>
                <c:pt idx="8">
                  <c:v>29.07442</c:v>
                </c:pt>
                <c:pt idx="9">
                  <c:v>28.53858</c:v>
                </c:pt>
                <c:pt idx="10">
                  <c:v>29.257570000000001</c:v>
                </c:pt>
                <c:pt idx="11">
                  <c:v>28.335540000000002</c:v>
                </c:pt>
                <c:pt idx="12">
                  <c:v>26.142230000000001</c:v>
                </c:pt>
                <c:pt idx="13">
                  <c:v>25.35604</c:v>
                </c:pt>
                <c:pt idx="14">
                  <c:v>25.298089999999998</c:v>
                </c:pt>
                <c:pt idx="15">
                  <c:v>25.840299999999999</c:v>
                </c:pt>
                <c:pt idx="16">
                  <c:v>27.121500000000001</c:v>
                </c:pt>
                <c:pt idx="17">
                  <c:v>26.245000000000001</c:v>
                </c:pt>
                <c:pt idx="18">
                  <c:v>26.176200000000001</c:v>
                </c:pt>
                <c:pt idx="19">
                  <c:v>25.737400000000001</c:v>
                </c:pt>
                <c:pt idx="20">
                  <c:v>25.314299999999999</c:v>
                </c:pt>
                <c:pt idx="21">
                  <c:v>25.3186</c:v>
                </c:pt>
                <c:pt idx="22">
                  <c:v>25.5122</c:v>
                </c:pt>
                <c:pt idx="23">
                  <c:v>25.8949</c:v>
                </c:pt>
                <c:pt idx="24">
                  <c:v>25.593699999999998</c:v>
                </c:pt>
                <c:pt idx="25">
                  <c:v>25.2606</c:v>
                </c:pt>
                <c:pt idx="26">
                  <c:v>26.223199999999999</c:v>
                </c:pt>
                <c:pt idx="27">
                  <c:v>26.086600000000001</c:v>
                </c:pt>
                <c:pt idx="28">
                  <c:v>22.253599999999999</c:v>
                </c:pt>
                <c:pt idx="29">
                  <c:v>21.586300000000001</c:v>
                </c:pt>
                <c:pt idx="30">
                  <c:v>17.813300000000002</c:v>
                </c:pt>
                <c:pt idx="31">
                  <c:v>20.603899999999999</c:v>
                </c:pt>
                <c:pt idx="32">
                  <c:v>21.623000000000001</c:v>
                </c:pt>
                <c:pt idx="33">
                  <c:v>23.203600000000002</c:v>
                </c:pt>
                <c:pt idx="34">
                  <c:v>22.294809999999998</c:v>
                </c:pt>
                <c:pt idx="35">
                  <c:v>23.343589999999999</c:v>
                </c:pt>
                <c:pt idx="36">
                  <c:v>22.274439999999998</c:v>
                </c:pt>
                <c:pt idx="37">
                  <c:v>21.191800000000001</c:v>
                </c:pt>
                <c:pt idx="38">
                  <c:v>25.871639999999999</c:v>
                </c:pt>
                <c:pt idx="39">
                  <c:v>28.690989999999999</c:v>
                </c:pt>
                <c:pt idx="40">
                  <c:v>28.174700000000001</c:v>
                </c:pt>
                <c:pt idx="41">
                  <c:v>28.114360000000001</c:v>
                </c:pt>
                <c:pt idx="42">
                  <c:v>28.12435</c:v>
                </c:pt>
                <c:pt idx="43">
                  <c:v>28.824249999999999</c:v>
                </c:pt>
                <c:pt idx="44">
                  <c:v>29.10923</c:v>
                </c:pt>
                <c:pt idx="45">
                  <c:v>28.172830000000001</c:v>
                </c:pt>
                <c:pt idx="46">
                  <c:v>27.055630000000001</c:v>
                </c:pt>
                <c:pt idx="47">
                  <c:v>27.088249999999999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66-4F68-96E3-FBC85594B372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29.5366</c:v>
                </c:pt>
                <c:pt idx="1">
                  <c:v>29.174800000000001</c:v>
                </c:pt>
                <c:pt idx="2">
                  <c:v>29.919599999999999</c:v>
                </c:pt>
                <c:pt idx="3">
                  <c:v>29.3446</c:v>
                </c:pt>
                <c:pt idx="4">
                  <c:v>29.2135</c:v>
                </c:pt>
                <c:pt idx="5">
                  <c:v>29.536000000000001</c:v>
                </c:pt>
                <c:pt idx="6">
                  <c:v>29.192900000000002</c:v>
                </c:pt>
                <c:pt idx="7">
                  <c:v>29.4344</c:v>
                </c:pt>
                <c:pt idx="8">
                  <c:v>28.813500000000001</c:v>
                </c:pt>
                <c:pt idx="9">
                  <c:v>28.695</c:v>
                </c:pt>
                <c:pt idx="10">
                  <c:v>28.763200000000001</c:v>
                </c:pt>
                <c:pt idx="11">
                  <c:v>24.305299999999999</c:v>
                </c:pt>
                <c:pt idx="12">
                  <c:v>22.8718</c:v>
                </c:pt>
                <c:pt idx="13">
                  <c:v>23.222000000000001</c:v>
                </c:pt>
                <c:pt idx="14">
                  <c:v>26.963100000000001</c:v>
                </c:pt>
                <c:pt idx="15">
                  <c:v>27.3535</c:v>
                </c:pt>
                <c:pt idx="16">
                  <c:v>27.890799999999999</c:v>
                </c:pt>
                <c:pt idx="17">
                  <c:v>27.460100000000001</c:v>
                </c:pt>
                <c:pt idx="18">
                  <c:v>27.483000000000001</c:v>
                </c:pt>
                <c:pt idx="19">
                  <c:v>28.075800000000001</c:v>
                </c:pt>
                <c:pt idx="20">
                  <c:v>26.8688</c:v>
                </c:pt>
                <c:pt idx="21">
                  <c:v>28.1343</c:v>
                </c:pt>
                <c:pt idx="22">
                  <c:v>28.586300000000001</c:v>
                </c:pt>
                <c:pt idx="23">
                  <c:v>28.0806</c:v>
                </c:pt>
                <c:pt idx="24">
                  <c:v>27.155899999999999</c:v>
                </c:pt>
                <c:pt idx="25">
                  <c:v>27.341699999999999</c:v>
                </c:pt>
                <c:pt idx="26">
                  <c:v>27.488800000000001</c:v>
                </c:pt>
                <c:pt idx="27">
                  <c:v>27.140599999999999</c:v>
                </c:pt>
                <c:pt idx="28">
                  <c:v>28.122</c:v>
                </c:pt>
                <c:pt idx="29">
                  <c:v>28.8904</c:v>
                </c:pt>
                <c:pt idx="30">
                  <c:v>29.039300000000001</c:v>
                </c:pt>
                <c:pt idx="31">
                  <c:v>28.3399</c:v>
                </c:pt>
                <c:pt idx="32">
                  <c:v>28.066400000000002</c:v>
                </c:pt>
                <c:pt idx="33">
                  <c:v>27.8322</c:v>
                </c:pt>
                <c:pt idx="34">
                  <c:v>27.617100000000001</c:v>
                </c:pt>
                <c:pt idx="35">
                  <c:v>23.7363</c:v>
                </c:pt>
                <c:pt idx="36">
                  <c:v>23.658100000000001</c:v>
                </c:pt>
                <c:pt idx="37">
                  <c:v>26.328299999999999</c:v>
                </c:pt>
                <c:pt idx="38">
                  <c:v>27.700600000000001</c:v>
                </c:pt>
                <c:pt idx="39">
                  <c:v>28.5901</c:v>
                </c:pt>
                <c:pt idx="40">
                  <c:v>29.544</c:v>
                </c:pt>
                <c:pt idx="41">
                  <c:v>29.736000000000001</c:v>
                </c:pt>
                <c:pt idx="42">
                  <c:v>29.5413</c:v>
                </c:pt>
                <c:pt idx="43">
                  <c:v>29.8064</c:v>
                </c:pt>
                <c:pt idx="44">
                  <c:v>30.333400000000001</c:v>
                </c:pt>
                <c:pt idx="45">
                  <c:v>30.124400000000001</c:v>
                </c:pt>
                <c:pt idx="46">
                  <c:v>29.0825</c:v>
                </c:pt>
                <c:pt idx="47">
                  <c:v>28.863499999999998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66-4F68-96E3-FBC85594B372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66-4F68-96E3-FBC85594B372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164.23</c:v>
                </c:pt>
                <c:pt idx="1">
                  <c:v>161.71</c:v>
                </c:pt>
                <c:pt idx="2">
                  <c:v>165.1</c:v>
                </c:pt>
                <c:pt idx="3">
                  <c:v>163.88</c:v>
                </c:pt>
                <c:pt idx="4">
                  <c:v>164.58</c:v>
                </c:pt>
                <c:pt idx="5">
                  <c:v>164.06</c:v>
                </c:pt>
                <c:pt idx="6">
                  <c:v>164.78</c:v>
                </c:pt>
                <c:pt idx="7">
                  <c:v>162.41999999999999</c:v>
                </c:pt>
                <c:pt idx="8">
                  <c:v>162.84</c:v>
                </c:pt>
                <c:pt idx="9">
                  <c:v>164.74</c:v>
                </c:pt>
                <c:pt idx="10">
                  <c:v>162.36000000000001</c:v>
                </c:pt>
                <c:pt idx="11">
                  <c:v>163.66</c:v>
                </c:pt>
                <c:pt idx="12">
                  <c:v>163.38</c:v>
                </c:pt>
                <c:pt idx="13">
                  <c:v>162.06</c:v>
                </c:pt>
                <c:pt idx="14">
                  <c:v>160.76</c:v>
                </c:pt>
                <c:pt idx="15">
                  <c:v>158.37</c:v>
                </c:pt>
                <c:pt idx="16">
                  <c:v>156.52000000000001</c:v>
                </c:pt>
                <c:pt idx="17">
                  <c:v>158.58000000000001</c:v>
                </c:pt>
                <c:pt idx="18">
                  <c:v>158.13</c:v>
                </c:pt>
                <c:pt idx="19">
                  <c:v>157.57</c:v>
                </c:pt>
                <c:pt idx="20">
                  <c:v>156.69</c:v>
                </c:pt>
                <c:pt idx="21">
                  <c:v>157.22999999999999</c:v>
                </c:pt>
                <c:pt idx="22">
                  <c:v>154.69</c:v>
                </c:pt>
                <c:pt idx="23">
                  <c:v>156.53</c:v>
                </c:pt>
                <c:pt idx="24">
                  <c:v>155.76</c:v>
                </c:pt>
                <c:pt idx="25">
                  <c:v>157.15</c:v>
                </c:pt>
                <c:pt idx="26">
                  <c:v>157.21</c:v>
                </c:pt>
                <c:pt idx="27">
                  <c:v>159.80000000000001</c:v>
                </c:pt>
                <c:pt idx="28">
                  <c:v>159.41</c:v>
                </c:pt>
                <c:pt idx="29">
                  <c:v>163.27000000000001</c:v>
                </c:pt>
                <c:pt idx="30">
                  <c:v>164.04</c:v>
                </c:pt>
                <c:pt idx="31">
                  <c:v>164.55</c:v>
                </c:pt>
                <c:pt idx="32">
                  <c:v>164.75</c:v>
                </c:pt>
                <c:pt idx="33">
                  <c:v>163.13999999999999</c:v>
                </c:pt>
                <c:pt idx="34">
                  <c:v>164.26</c:v>
                </c:pt>
                <c:pt idx="35">
                  <c:v>164.32</c:v>
                </c:pt>
                <c:pt idx="36">
                  <c:v>162.75</c:v>
                </c:pt>
                <c:pt idx="37">
                  <c:v>161.16</c:v>
                </c:pt>
                <c:pt idx="38">
                  <c:v>161.16</c:v>
                </c:pt>
                <c:pt idx="39">
                  <c:v>160.66999999999999</c:v>
                </c:pt>
                <c:pt idx="40">
                  <c:v>159.03</c:v>
                </c:pt>
                <c:pt idx="41">
                  <c:v>165.74</c:v>
                </c:pt>
                <c:pt idx="42">
                  <c:v>164.03</c:v>
                </c:pt>
                <c:pt idx="43">
                  <c:v>164.41</c:v>
                </c:pt>
                <c:pt idx="44">
                  <c:v>165.16</c:v>
                </c:pt>
                <c:pt idx="45">
                  <c:v>163.65</c:v>
                </c:pt>
                <c:pt idx="46">
                  <c:v>164.68</c:v>
                </c:pt>
                <c:pt idx="47">
                  <c:v>163.30000000000001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B66-4F68-96E3-FBC85594B372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B66-4F68-96E3-FBC85594B372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38.710999999999999</c:v>
                </c:pt>
                <c:pt idx="1">
                  <c:v>39.469000000000001</c:v>
                </c:pt>
                <c:pt idx="2">
                  <c:v>38.198999999999998</c:v>
                </c:pt>
                <c:pt idx="3">
                  <c:v>39.308</c:v>
                </c:pt>
                <c:pt idx="4">
                  <c:v>38.555</c:v>
                </c:pt>
                <c:pt idx="5">
                  <c:v>38.399000000000001</c:v>
                </c:pt>
                <c:pt idx="6">
                  <c:v>37.938000000000002</c:v>
                </c:pt>
                <c:pt idx="7">
                  <c:v>36.607999999999997</c:v>
                </c:pt>
                <c:pt idx="8">
                  <c:v>36.381</c:v>
                </c:pt>
                <c:pt idx="9">
                  <c:v>36.444000000000003</c:v>
                </c:pt>
                <c:pt idx="10">
                  <c:v>35.662999999999997</c:v>
                </c:pt>
                <c:pt idx="11">
                  <c:v>35.411000000000001</c:v>
                </c:pt>
                <c:pt idx="12">
                  <c:v>34.655999999999999</c:v>
                </c:pt>
                <c:pt idx="13">
                  <c:v>32.478999999999999</c:v>
                </c:pt>
                <c:pt idx="14">
                  <c:v>33.064</c:v>
                </c:pt>
                <c:pt idx="15">
                  <c:v>34.651000000000003</c:v>
                </c:pt>
                <c:pt idx="16">
                  <c:v>35.426000000000002</c:v>
                </c:pt>
                <c:pt idx="17">
                  <c:v>37.055999999999997</c:v>
                </c:pt>
                <c:pt idx="18">
                  <c:v>37.146000000000001</c:v>
                </c:pt>
                <c:pt idx="19">
                  <c:v>38.087000000000003</c:v>
                </c:pt>
                <c:pt idx="20">
                  <c:v>39.14</c:v>
                </c:pt>
                <c:pt idx="21">
                  <c:v>38.393999999999998</c:v>
                </c:pt>
                <c:pt idx="22">
                  <c:v>38.89</c:v>
                </c:pt>
                <c:pt idx="23">
                  <c:v>38.642000000000003</c:v>
                </c:pt>
                <c:pt idx="24">
                  <c:v>38.590000000000003</c:v>
                </c:pt>
                <c:pt idx="25">
                  <c:v>37.390999999999998</c:v>
                </c:pt>
                <c:pt idx="26">
                  <c:v>37.396000000000001</c:v>
                </c:pt>
                <c:pt idx="27">
                  <c:v>38.4</c:v>
                </c:pt>
                <c:pt idx="28">
                  <c:v>38.127000000000002</c:v>
                </c:pt>
                <c:pt idx="29">
                  <c:v>38.704999999999998</c:v>
                </c:pt>
                <c:pt idx="30">
                  <c:v>38.301000000000002</c:v>
                </c:pt>
                <c:pt idx="31">
                  <c:v>38.476999999999997</c:v>
                </c:pt>
                <c:pt idx="32">
                  <c:v>37.786999999999999</c:v>
                </c:pt>
                <c:pt idx="33">
                  <c:v>36.31</c:v>
                </c:pt>
                <c:pt idx="34">
                  <c:v>35.628999999999998</c:v>
                </c:pt>
                <c:pt idx="35">
                  <c:v>35.362000000000002</c:v>
                </c:pt>
                <c:pt idx="36">
                  <c:v>31.451000000000001</c:v>
                </c:pt>
                <c:pt idx="37">
                  <c:v>28.981000000000002</c:v>
                </c:pt>
                <c:pt idx="38">
                  <c:v>29.167000000000002</c:v>
                </c:pt>
                <c:pt idx="39">
                  <c:v>30.686</c:v>
                </c:pt>
                <c:pt idx="40">
                  <c:v>36.020000000000003</c:v>
                </c:pt>
                <c:pt idx="41">
                  <c:v>36.518000000000001</c:v>
                </c:pt>
                <c:pt idx="42">
                  <c:v>36.893999999999998</c:v>
                </c:pt>
                <c:pt idx="43">
                  <c:v>37.637</c:v>
                </c:pt>
                <c:pt idx="44">
                  <c:v>38.526000000000003</c:v>
                </c:pt>
                <c:pt idx="45">
                  <c:v>39.856999999999999</c:v>
                </c:pt>
                <c:pt idx="46">
                  <c:v>39.003999999999998</c:v>
                </c:pt>
                <c:pt idx="47">
                  <c:v>39.03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B66-4F68-96E3-FBC85594B372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35.06</c:v>
                </c:pt>
                <c:pt idx="1">
                  <c:v>35.4</c:v>
                </c:pt>
                <c:pt idx="2">
                  <c:v>35.619999999999997</c:v>
                </c:pt>
                <c:pt idx="3">
                  <c:v>36.01</c:v>
                </c:pt>
                <c:pt idx="4">
                  <c:v>35.369999999999997</c:v>
                </c:pt>
                <c:pt idx="5">
                  <c:v>35.07</c:v>
                </c:pt>
                <c:pt idx="6">
                  <c:v>34.54</c:v>
                </c:pt>
                <c:pt idx="7">
                  <c:v>33.07</c:v>
                </c:pt>
                <c:pt idx="8">
                  <c:v>33.69</c:v>
                </c:pt>
                <c:pt idx="9">
                  <c:v>32.19</c:v>
                </c:pt>
                <c:pt idx="10">
                  <c:v>32.479999999999997</c:v>
                </c:pt>
                <c:pt idx="11">
                  <c:v>32.14</c:v>
                </c:pt>
                <c:pt idx="12">
                  <c:v>31.83</c:v>
                </c:pt>
                <c:pt idx="13">
                  <c:v>31.93</c:v>
                </c:pt>
                <c:pt idx="14">
                  <c:v>32.880000000000003</c:v>
                </c:pt>
                <c:pt idx="15">
                  <c:v>34.159999999999997</c:v>
                </c:pt>
                <c:pt idx="16">
                  <c:v>34.340000000000003</c:v>
                </c:pt>
                <c:pt idx="17">
                  <c:v>34.840000000000003</c:v>
                </c:pt>
                <c:pt idx="18">
                  <c:v>34.81</c:v>
                </c:pt>
                <c:pt idx="19">
                  <c:v>34.99</c:v>
                </c:pt>
                <c:pt idx="20">
                  <c:v>34.46</c:v>
                </c:pt>
                <c:pt idx="21">
                  <c:v>33.26</c:v>
                </c:pt>
                <c:pt idx="22">
                  <c:v>33.1</c:v>
                </c:pt>
                <c:pt idx="23">
                  <c:v>33.94</c:v>
                </c:pt>
                <c:pt idx="24">
                  <c:v>33</c:v>
                </c:pt>
                <c:pt idx="25">
                  <c:v>33.47</c:v>
                </c:pt>
                <c:pt idx="26">
                  <c:v>34.08</c:v>
                </c:pt>
                <c:pt idx="27">
                  <c:v>34.68</c:v>
                </c:pt>
                <c:pt idx="28">
                  <c:v>35.659999999999997</c:v>
                </c:pt>
                <c:pt idx="29">
                  <c:v>35.01</c:v>
                </c:pt>
                <c:pt idx="30">
                  <c:v>33.369999999999997</c:v>
                </c:pt>
                <c:pt idx="31">
                  <c:v>32.979999999999997</c:v>
                </c:pt>
                <c:pt idx="32">
                  <c:v>32.06</c:v>
                </c:pt>
                <c:pt idx="33">
                  <c:v>31.7</c:v>
                </c:pt>
                <c:pt idx="34">
                  <c:v>31.61</c:v>
                </c:pt>
                <c:pt idx="35">
                  <c:v>28.6</c:v>
                </c:pt>
                <c:pt idx="36">
                  <c:v>28.36</c:v>
                </c:pt>
                <c:pt idx="37">
                  <c:v>30.29</c:v>
                </c:pt>
                <c:pt idx="38">
                  <c:v>29.24</c:v>
                </c:pt>
                <c:pt idx="39">
                  <c:v>30.07</c:v>
                </c:pt>
                <c:pt idx="40">
                  <c:v>30.91</c:v>
                </c:pt>
                <c:pt idx="41">
                  <c:v>31.01</c:v>
                </c:pt>
                <c:pt idx="42">
                  <c:v>30.73</c:v>
                </c:pt>
                <c:pt idx="43">
                  <c:v>31.9</c:v>
                </c:pt>
                <c:pt idx="44">
                  <c:v>31.6</c:v>
                </c:pt>
                <c:pt idx="45">
                  <c:v>31.45</c:v>
                </c:pt>
                <c:pt idx="46">
                  <c:v>31.37</c:v>
                </c:pt>
                <c:pt idx="47">
                  <c:v>30.76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B66-4F68-96E3-FBC85594B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8-4968-A034-E56A03818615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179.59503000000001</c:v>
                </c:pt>
                <c:pt idx="1">
                  <c:v>179.43357</c:v>
                </c:pt>
                <c:pt idx="2">
                  <c:v>179.16012000000001</c:v>
                </c:pt>
                <c:pt idx="3">
                  <c:v>191.92769999999999</c:v>
                </c:pt>
                <c:pt idx="4">
                  <c:v>192.37411</c:v>
                </c:pt>
                <c:pt idx="5">
                  <c:v>191.29641000000001</c:v>
                </c:pt>
                <c:pt idx="6">
                  <c:v>189.70343</c:v>
                </c:pt>
                <c:pt idx="7">
                  <c:v>189.57447999999999</c:v>
                </c:pt>
                <c:pt idx="8">
                  <c:v>189.01924</c:v>
                </c:pt>
                <c:pt idx="9">
                  <c:v>188.90128000000001</c:v>
                </c:pt>
                <c:pt idx="10">
                  <c:v>188.90252000000001</c:v>
                </c:pt>
                <c:pt idx="11">
                  <c:v>189.05099999999999</c:v>
                </c:pt>
                <c:pt idx="12">
                  <c:v>188.67887999999999</c:v>
                </c:pt>
                <c:pt idx="13">
                  <c:v>189.20572999999999</c:v>
                </c:pt>
                <c:pt idx="14">
                  <c:v>189.06852000000001</c:v>
                </c:pt>
                <c:pt idx="15">
                  <c:v>188.52628000000001</c:v>
                </c:pt>
                <c:pt idx="16">
                  <c:v>189.78542999999999</c:v>
                </c:pt>
                <c:pt idx="17">
                  <c:v>190.06165999999999</c:v>
                </c:pt>
                <c:pt idx="18">
                  <c:v>189.85006999999999</c:v>
                </c:pt>
                <c:pt idx="19">
                  <c:v>189.62405000000001</c:v>
                </c:pt>
                <c:pt idx="20">
                  <c:v>189.73652999999999</c:v>
                </c:pt>
                <c:pt idx="21">
                  <c:v>190.35923</c:v>
                </c:pt>
                <c:pt idx="22">
                  <c:v>190.01374000000001</c:v>
                </c:pt>
                <c:pt idx="23">
                  <c:v>189.98254</c:v>
                </c:pt>
                <c:pt idx="24">
                  <c:v>189.84381999999999</c:v>
                </c:pt>
                <c:pt idx="25">
                  <c:v>189.26202000000001</c:v>
                </c:pt>
                <c:pt idx="26">
                  <c:v>189.48392000000001</c:v>
                </c:pt>
                <c:pt idx="27">
                  <c:v>189.49629999999999</c:v>
                </c:pt>
                <c:pt idx="28">
                  <c:v>189.7158</c:v>
                </c:pt>
                <c:pt idx="29">
                  <c:v>189.84084999999999</c:v>
                </c:pt>
                <c:pt idx="30">
                  <c:v>190.39287999999999</c:v>
                </c:pt>
                <c:pt idx="31">
                  <c:v>190.46205</c:v>
                </c:pt>
                <c:pt idx="32">
                  <c:v>190.06469000000001</c:v>
                </c:pt>
                <c:pt idx="33">
                  <c:v>189.82346000000001</c:v>
                </c:pt>
                <c:pt idx="34">
                  <c:v>189.69477000000001</c:v>
                </c:pt>
                <c:pt idx="35">
                  <c:v>160.66728000000001</c:v>
                </c:pt>
                <c:pt idx="36">
                  <c:v>58.055810000000001</c:v>
                </c:pt>
                <c:pt idx="37">
                  <c:v>57.996229999999997</c:v>
                </c:pt>
                <c:pt idx="38">
                  <c:v>58.197499999999998</c:v>
                </c:pt>
                <c:pt idx="39">
                  <c:v>58.082120000000003</c:v>
                </c:pt>
                <c:pt idx="40">
                  <c:v>73.088329999999999</c:v>
                </c:pt>
                <c:pt idx="41">
                  <c:v>73.029560000000004</c:v>
                </c:pt>
                <c:pt idx="42">
                  <c:v>95.514039999999994</c:v>
                </c:pt>
                <c:pt idx="43">
                  <c:v>193.59693999999999</c:v>
                </c:pt>
                <c:pt idx="44">
                  <c:v>193.38746</c:v>
                </c:pt>
                <c:pt idx="45">
                  <c:v>193.61188000000001</c:v>
                </c:pt>
                <c:pt idx="46">
                  <c:v>192.80616000000001</c:v>
                </c:pt>
                <c:pt idx="47">
                  <c:v>191.92976999999999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8-4968-A034-E56A03818615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33.505220000000001</c:v>
                </c:pt>
                <c:pt idx="1">
                  <c:v>33.36533</c:v>
                </c:pt>
                <c:pt idx="2">
                  <c:v>32.75188</c:v>
                </c:pt>
                <c:pt idx="3">
                  <c:v>32.594290000000001</c:v>
                </c:pt>
                <c:pt idx="4">
                  <c:v>33.257280000000002</c:v>
                </c:pt>
                <c:pt idx="5">
                  <c:v>33.20552</c:v>
                </c:pt>
                <c:pt idx="6">
                  <c:v>33.069479999999999</c:v>
                </c:pt>
                <c:pt idx="7">
                  <c:v>33.956290000000003</c:v>
                </c:pt>
                <c:pt idx="8">
                  <c:v>33.81073</c:v>
                </c:pt>
                <c:pt idx="9">
                  <c:v>32.452590000000001</c:v>
                </c:pt>
                <c:pt idx="10">
                  <c:v>32.460039999999999</c:v>
                </c:pt>
                <c:pt idx="11">
                  <c:v>31.375910000000001</c:v>
                </c:pt>
                <c:pt idx="12">
                  <c:v>30.505700000000001</c:v>
                </c:pt>
                <c:pt idx="13">
                  <c:v>28.994389999999999</c:v>
                </c:pt>
                <c:pt idx="14">
                  <c:v>29.19117</c:v>
                </c:pt>
                <c:pt idx="15">
                  <c:v>29.761009999999999</c:v>
                </c:pt>
                <c:pt idx="16">
                  <c:v>30.543019999999999</c:v>
                </c:pt>
                <c:pt idx="17">
                  <c:v>31.326239999999999</c:v>
                </c:pt>
                <c:pt idx="18">
                  <c:v>32.425109999999997</c:v>
                </c:pt>
                <c:pt idx="19">
                  <c:v>33.578800000000001</c:v>
                </c:pt>
                <c:pt idx="20">
                  <c:v>34.194220000000001</c:v>
                </c:pt>
                <c:pt idx="21">
                  <c:v>34.728520000000003</c:v>
                </c:pt>
                <c:pt idx="22">
                  <c:v>34.596499999999999</c:v>
                </c:pt>
                <c:pt idx="23">
                  <c:v>33.427630000000001</c:v>
                </c:pt>
                <c:pt idx="24">
                  <c:v>33.603140000000003</c:v>
                </c:pt>
                <c:pt idx="25">
                  <c:v>33.231540000000003</c:v>
                </c:pt>
                <c:pt idx="26">
                  <c:v>33.295070000000003</c:v>
                </c:pt>
                <c:pt idx="27">
                  <c:v>33.711709999999997</c:v>
                </c:pt>
                <c:pt idx="28">
                  <c:v>32.788609999999998</c:v>
                </c:pt>
                <c:pt idx="29">
                  <c:v>32.499870000000001</c:v>
                </c:pt>
                <c:pt idx="30">
                  <c:v>33.044110000000003</c:v>
                </c:pt>
                <c:pt idx="31">
                  <c:v>33.093829999999997</c:v>
                </c:pt>
                <c:pt idx="32">
                  <c:v>33.440770000000001</c:v>
                </c:pt>
                <c:pt idx="33">
                  <c:v>32.328679999999999</c:v>
                </c:pt>
                <c:pt idx="34">
                  <c:v>31.599679999999999</c:v>
                </c:pt>
                <c:pt idx="35">
                  <c:v>32.250030000000002</c:v>
                </c:pt>
                <c:pt idx="36">
                  <c:v>31.368929999999999</c:v>
                </c:pt>
                <c:pt idx="37">
                  <c:v>30.951799999999999</c:v>
                </c:pt>
                <c:pt idx="38">
                  <c:v>28.58342</c:v>
                </c:pt>
                <c:pt idx="39">
                  <c:v>28.87341</c:v>
                </c:pt>
                <c:pt idx="40">
                  <c:v>28.93619</c:v>
                </c:pt>
                <c:pt idx="41">
                  <c:v>32.074979999999996</c:v>
                </c:pt>
                <c:pt idx="42">
                  <c:v>33.762700000000002</c:v>
                </c:pt>
                <c:pt idx="43">
                  <c:v>33.747219999999999</c:v>
                </c:pt>
                <c:pt idx="44">
                  <c:v>33.504809999999999</c:v>
                </c:pt>
                <c:pt idx="45">
                  <c:v>33.237409999999997</c:v>
                </c:pt>
                <c:pt idx="46">
                  <c:v>33.531509999999997</c:v>
                </c:pt>
                <c:pt idx="47">
                  <c:v>34.166879999999999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28-4968-A034-E56A03818615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28-4968-A034-E56A03818615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4.6900000000000004</c:v>
                </c:pt>
                <c:pt idx="1">
                  <c:v>4.8600000000000003</c:v>
                </c:pt>
                <c:pt idx="2">
                  <c:v>5.51</c:v>
                </c:pt>
                <c:pt idx="3">
                  <c:v>5.89</c:v>
                </c:pt>
                <c:pt idx="4">
                  <c:v>5.13</c:v>
                </c:pt>
                <c:pt idx="5">
                  <c:v>5.0599999999999996</c:v>
                </c:pt>
                <c:pt idx="6">
                  <c:v>5.72</c:v>
                </c:pt>
                <c:pt idx="7">
                  <c:v>6.14</c:v>
                </c:pt>
                <c:pt idx="8">
                  <c:v>5.68</c:v>
                </c:pt>
                <c:pt idx="9">
                  <c:v>5.34</c:v>
                </c:pt>
                <c:pt idx="10">
                  <c:v>6.02</c:v>
                </c:pt>
                <c:pt idx="11">
                  <c:v>6.34</c:v>
                </c:pt>
                <c:pt idx="12">
                  <c:v>5.99</c:v>
                </c:pt>
                <c:pt idx="13">
                  <c:v>5.78</c:v>
                </c:pt>
                <c:pt idx="14">
                  <c:v>5.24</c:v>
                </c:pt>
                <c:pt idx="15">
                  <c:v>5.3</c:v>
                </c:pt>
                <c:pt idx="16">
                  <c:v>5.85</c:v>
                </c:pt>
                <c:pt idx="17">
                  <c:v>5.37</c:v>
                </c:pt>
                <c:pt idx="18">
                  <c:v>5.61</c:v>
                </c:pt>
                <c:pt idx="19">
                  <c:v>5.52</c:v>
                </c:pt>
                <c:pt idx="20">
                  <c:v>5.44</c:v>
                </c:pt>
                <c:pt idx="21">
                  <c:v>5.0599999999999996</c:v>
                </c:pt>
                <c:pt idx="22">
                  <c:v>5.64</c:v>
                </c:pt>
                <c:pt idx="23">
                  <c:v>5.88</c:v>
                </c:pt>
                <c:pt idx="24">
                  <c:v>5.61</c:v>
                </c:pt>
                <c:pt idx="25">
                  <c:v>5.68</c:v>
                </c:pt>
                <c:pt idx="26">
                  <c:v>5.26</c:v>
                </c:pt>
                <c:pt idx="27">
                  <c:v>5.76</c:v>
                </c:pt>
                <c:pt idx="28">
                  <c:v>5.92</c:v>
                </c:pt>
                <c:pt idx="29">
                  <c:v>5.79</c:v>
                </c:pt>
                <c:pt idx="30">
                  <c:v>6.01</c:v>
                </c:pt>
                <c:pt idx="31">
                  <c:v>6.19</c:v>
                </c:pt>
                <c:pt idx="32">
                  <c:v>5.25</c:v>
                </c:pt>
                <c:pt idx="33">
                  <c:v>5.18</c:v>
                </c:pt>
                <c:pt idx="34">
                  <c:v>5.72</c:v>
                </c:pt>
                <c:pt idx="35">
                  <c:v>6.18</c:v>
                </c:pt>
                <c:pt idx="36">
                  <c:v>5.93</c:v>
                </c:pt>
                <c:pt idx="37">
                  <c:v>5.45</c:v>
                </c:pt>
                <c:pt idx="38">
                  <c:v>5.1100000000000003</c:v>
                </c:pt>
                <c:pt idx="39">
                  <c:v>5.01</c:v>
                </c:pt>
                <c:pt idx="40">
                  <c:v>5.27</c:v>
                </c:pt>
                <c:pt idx="41">
                  <c:v>5.26</c:v>
                </c:pt>
                <c:pt idx="42">
                  <c:v>5.34</c:v>
                </c:pt>
                <c:pt idx="43">
                  <c:v>5.29</c:v>
                </c:pt>
                <c:pt idx="44">
                  <c:v>5.58</c:v>
                </c:pt>
                <c:pt idx="45">
                  <c:v>5.85</c:v>
                </c:pt>
                <c:pt idx="46">
                  <c:v>5.88</c:v>
                </c:pt>
                <c:pt idx="47">
                  <c:v>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28-4968-A034-E56A03818615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28-4968-A034-E56A03818615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2.5</c:v>
                </c:pt>
                <c:pt idx="4">
                  <c:v>2.5</c:v>
                </c:pt>
                <c:pt idx="5">
                  <c:v>2.6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2.5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1.7</c:v>
                </c:pt>
                <c:pt idx="16">
                  <c:v>2.2999999999999998</c:v>
                </c:pt>
                <c:pt idx="17">
                  <c:v>2.6</c:v>
                </c:pt>
                <c:pt idx="18">
                  <c:v>2.5</c:v>
                </c:pt>
                <c:pt idx="19">
                  <c:v>2.5</c:v>
                </c:pt>
                <c:pt idx="20">
                  <c:v>2.6</c:v>
                </c:pt>
                <c:pt idx="21">
                  <c:v>2.6</c:v>
                </c:pt>
                <c:pt idx="22">
                  <c:v>2.7</c:v>
                </c:pt>
                <c:pt idx="23">
                  <c:v>2.4</c:v>
                </c:pt>
                <c:pt idx="24">
                  <c:v>2.4</c:v>
                </c:pt>
                <c:pt idx="25">
                  <c:v>2.6</c:v>
                </c:pt>
                <c:pt idx="26">
                  <c:v>2.5</c:v>
                </c:pt>
                <c:pt idx="27">
                  <c:v>2.7</c:v>
                </c:pt>
                <c:pt idx="28">
                  <c:v>2.6</c:v>
                </c:pt>
                <c:pt idx="29">
                  <c:v>2.5</c:v>
                </c:pt>
                <c:pt idx="30">
                  <c:v>2.5</c:v>
                </c:pt>
                <c:pt idx="31">
                  <c:v>2.4</c:v>
                </c:pt>
                <c:pt idx="32">
                  <c:v>2.4</c:v>
                </c:pt>
                <c:pt idx="33">
                  <c:v>2.5</c:v>
                </c:pt>
                <c:pt idx="34">
                  <c:v>2.5</c:v>
                </c:pt>
                <c:pt idx="35">
                  <c:v>2.6</c:v>
                </c:pt>
                <c:pt idx="36">
                  <c:v>2.5</c:v>
                </c:pt>
                <c:pt idx="37">
                  <c:v>2.6</c:v>
                </c:pt>
                <c:pt idx="38">
                  <c:v>2.6</c:v>
                </c:pt>
                <c:pt idx="39">
                  <c:v>2.7</c:v>
                </c:pt>
                <c:pt idx="40">
                  <c:v>2.7</c:v>
                </c:pt>
                <c:pt idx="41">
                  <c:v>2.6</c:v>
                </c:pt>
                <c:pt idx="42">
                  <c:v>2.6</c:v>
                </c:pt>
                <c:pt idx="43">
                  <c:v>2.6</c:v>
                </c:pt>
                <c:pt idx="44">
                  <c:v>2.5</c:v>
                </c:pt>
                <c:pt idx="45">
                  <c:v>2.7</c:v>
                </c:pt>
                <c:pt idx="46">
                  <c:v>2.6</c:v>
                </c:pt>
                <c:pt idx="47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28-4968-A034-E56A03818615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28-4968-A034-E56A03818615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72.552800000000005</c:v>
                </c:pt>
                <c:pt idx="1">
                  <c:v>72.443129999999996</c:v>
                </c:pt>
                <c:pt idx="2">
                  <c:v>73.378050000000002</c:v>
                </c:pt>
                <c:pt idx="3">
                  <c:v>73.069289999999995</c:v>
                </c:pt>
                <c:pt idx="4">
                  <c:v>72.926320000000004</c:v>
                </c:pt>
                <c:pt idx="5">
                  <c:v>73.103819999999999</c:v>
                </c:pt>
                <c:pt idx="6">
                  <c:v>73.044470000000004</c:v>
                </c:pt>
                <c:pt idx="7">
                  <c:v>73.043599999999998</c:v>
                </c:pt>
                <c:pt idx="8">
                  <c:v>73.078749999999999</c:v>
                </c:pt>
                <c:pt idx="9">
                  <c:v>72.933199999999999</c:v>
                </c:pt>
                <c:pt idx="10">
                  <c:v>72.884550000000004</c:v>
                </c:pt>
                <c:pt idx="11">
                  <c:v>72.965580000000003</c:v>
                </c:pt>
                <c:pt idx="12">
                  <c:v>72.391930000000002</c:v>
                </c:pt>
                <c:pt idx="13">
                  <c:v>72.428210000000007</c:v>
                </c:pt>
                <c:pt idx="14">
                  <c:v>72.616240000000005</c:v>
                </c:pt>
                <c:pt idx="15">
                  <c:v>72.562250000000006</c:v>
                </c:pt>
                <c:pt idx="16">
                  <c:v>72.487859999999998</c:v>
                </c:pt>
                <c:pt idx="17">
                  <c:v>72.531180000000006</c:v>
                </c:pt>
                <c:pt idx="18">
                  <c:v>72.570959999999999</c:v>
                </c:pt>
                <c:pt idx="19">
                  <c:v>71.61318</c:v>
                </c:pt>
                <c:pt idx="20">
                  <c:v>71.897909999999996</c:v>
                </c:pt>
                <c:pt idx="21">
                  <c:v>72.561239999999998</c:v>
                </c:pt>
                <c:pt idx="22">
                  <c:v>72.255409999999998</c:v>
                </c:pt>
                <c:pt idx="23">
                  <c:v>72.134919999999994</c:v>
                </c:pt>
                <c:pt idx="24">
                  <c:v>72.423349999999999</c:v>
                </c:pt>
                <c:pt idx="25">
                  <c:v>72.559870000000004</c:v>
                </c:pt>
                <c:pt idx="26">
                  <c:v>72.812960000000004</c:v>
                </c:pt>
                <c:pt idx="27">
                  <c:v>71.019019999999998</c:v>
                </c:pt>
                <c:pt idx="28">
                  <c:v>70.12885</c:v>
                </c:pt>
                <c:pt idx="29">
                  <c:v>70.809510000000003</c:v>
                </c:pt>
                <c:pt idx="30">
                  <c:v>71.001410000000007</c:v>
                </c:pt>
                <c:pt idx="31">
                  <c:v>70.250399999999999</c:v>
                </c:pt>
                <c:pt idx="32">
                  <c:v>70.097329999999999</c:v>
                </c:pt>
                <c:pt idx="33">
                  <c:v>72.073689999999999</c:v>
                </c:pt>
                <c:pt idx="34">
                  <c:v>73.494100000000003</c:v>
                </c:pt>
                <c:pt idx="35">
                  <c:v>43.079569999999997</c:v>
                </c:pt>
                <c:pt idx="36">
                  <c:v>32.837000000000003</c:v>
                </c:pt>
                <c:pt idx="37">
                  <c:v>32.96584</c:v>
                </c:pt>
                <c:pt idx="38">
                  <c:v>33.229289999999999</c:v>
                </c:pt>
                <c:pt idx="39">
                  <c:v>32.87189</c:v>
                </c:pt>
                <c:pt idx="40">
                  <c:v>32.92689</c:v>
                </c:pt>
                <c:pt idx="41">
                  <c:v>32.849200000000003</c:v>
                </c:pt>
                <c:pt idx="42">
                  <c:v>38.992669999999997</c:v>
                </c:pt>
                <c:pt idx="43">
                  <c:v>69.383129999999994</c:v>
                </c:pt>
                <c:pt idx="44">
                  <c:v>71.916420000000002</c:v>
                </c:pt>
                <c:pt idx="45">
                  <c:v>71.741029999999995</c:v>
                </c:pt>
                <c:pt idx="46">
                  <c:v>71.003479999999996</c:v>
                </c:pt>
                <c:pt idx="47">
                  <c:v>71.20411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28-4968-A034-E56A03818615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28-4968-A034-E56A03818615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23.3</c:v>
                </c:pt>
                <c:pt idx="1">
                  <c:v>23.3</c:v>
                </c:pt>
                <c:pt idx="2">
                  <c:v>23.3</c:v>
                </c:pt>
                <c:pt idx="3">
                  <c:v>23.3</c:v>
                </c:pt>
                <c:pt idx="4">
                  <c:v>23.3</c:v>
                </c:pt>
                <c:pt idx="5">
                  <c:v>23.3</c:v>
                </c:pt>
                <c:pt idx="6">
                  <c:v>23.3</c:v>
                </c:pt>
                <c:pt idx="7">
                  <c:v>23.3</c:v>
                </c:pt>
                <c:pt idx="8">
                  <c:v>23.3</c:v>
                </c:pt>
                <c:pt idx="9">
                  <c:v>23.3</c:v>
                </c:pt>
                <c:pt idx="10">
                  <c:v>23.3</c:v>
                </c:pt>
                <c:pt idx="11">
                  <c:v>23.3</c:v>
                </c:pt>
                <c:pt idx="12">
                  <c:v>23.3</c:v>
                </c:pt>
                <c:pt idx="13">
                  <c:v>22.6</c:v>
                </c:pt>
                <c:pt idx="14">
                  <c:v>22.6</c:v>
                </c:pt>
                <c:pt idx="15">
                  <c:v>22.6</c:v>
                </c:pt>
                <c:pt idx="16">
                  <c:v>22.6</c:v>
                </c:pt>
                <c:pt idx="17">
                  <c:v>22.6</c:v>
                </c:pt>
                <c:pt idx="18">
                  <c:v>22.6</c:v>
                </c:pt>
                <c:pt idx="19">
                  <c:v>22.6</c:v>
                </c:pt>
                <c:pt idx="20">
                  <c:v>22.6</c:v>
                </c:pt>
                <c:pt idx="21">
                  <c:v>22.6</c:v>
                </c:pt>
                <c:pt idx="22">
                  <c:v>22.6</c:v>
                </c:pt>
                <c:pt idx="23">
                  <c:v>22.6</c:v>
                </c:pt>
                <c:pt idx="24">
                  <c:v>22.6</c:v>
                </c:pt>
                <c:pt idx="25">
                  <c:v>22.6</c:v>
                </c:pt>
                <c:pt idx="26">
                  <c:v>22.6</c:v>
                </c:pt>
                <c:pt idx="27">
                  <c:v>22.6</c:v>
                </c:pt>
                <c:pt idx="28">
                  <c:v>22.6</c:v>
                </c:pt>
                <c:pt idx="29">
                  <c:v>22.9</c:v>
                </c:pt>
                <c:pt idx="30">
                  <c:v>22.9</c:v>
                </c:pt>
                <c:pt idx="31">
                  <c:v>22.9</c:v>
                </c:pt>
                <c:pt idx="32">
                  <c:v>22.9</c:v>
                </c:pt>
                <c:pt idx="33">
                  <c:v>22.9</c:v>
                </c:pt>
                <c:pt idx="34">
                  <c:v>22.9</c:v>
                </c:pt>
                <c:pt idx="35">
                  <c:v>22.9</c:v>
                </c:pt>
                <c:pt idx="36">
                  <c:v>22.9</c:v>
                </c:pt>
                <c:pt idx="37">
                  <c:v>22.9</c:v>
                </c:pt>
                <c:pt idx="38">
                  <c:v>22.9</c:v>
                </c:pt>
                <c:pt idx="39">
                  <c:v>22.9</c:v>
                </c:pt>
                <c:pt idx="40">
                  <c:v>22.9</c:v>
                </c:pt>
                <c:pt idx="41">
                  <c:v>22.9</c:v>
                </c:pt>
                <c:pt idx="42">
                  <c:v>22.9</c:v>
                </c:pt>
                <c:pt idx="43">
                  <c:v>22.9</c:v>
                </c:pt>
                <c:pt idx="44">
                  <c:v>22.9</c:v>
                </c:pt>
                <c:pt idx="45">
                  <c:v>22.9</c:v>
                </c:pt>
                <c:pt idx="46">
                  <c:v>22.9</c:v>
                </c:pt>
                <c:pt idx="4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28-4968-A034-E56A03818615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28-4968-A034-E56A03818615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28-4968-A034-E56A03818615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28-4968-A034-E56A03818615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17.511749999999999</c:v>
                </c:pt>
                <c:pt idx="1">
                  <c:v>14.73002</c:v>
                </c:pt>
                <c:pt idx="2">
                  <c:v>14.76383</c:v>
                </c:pt>
                <c:pt idx="3">
                  <c:v>14.17591</c:v>
                </c:pt>
                <c:pt idx="4">
                  <c:v>14.812670000000001</c:v>
                </c:pt>
                <c:pt idx="5">
                  <c:v>16.19753</c:v>
                </c:pt>
                <c:pt idx="6">
                  <c:v>17.395389999999999</c:v>
                </c:pt>
                <c:pt idx="7">
                  <c:v>18.068899999999999</c:v>
                </c:pt>
                <c:pt idx="8">
                  <c:v>17.220800000000001</c:v>
                </c:pt>
                <c:pt idx="9">
                  <c:v>13.36562</c:v>
                </c:pt>
                <c:pt idx="10">
                  <c:v>13.569940000000001</c:v>
                </c:pt>
                <c:pt idx="11">
                  <c:v>13.095330000000001</c:v>
                </c:pt>
                <c:pt idx="12">
                  <c:v>13.298780000000001</c:v>
                </c:pt>
                <c:pt idx="13">
                  <c:v>13.17473</c:v>
                </c:pt>
                <c:pt idx="14">
                  <c:v>13.25056</c:v>
                </c:pt>
                <c:pt idx="15">
                  <c:v>13.04325</c:v>
                </c:pt>
                <c:pt idx="16">
                  <c:v>13.237030000000001</c:v>
                </c:pt>
                <c:pt idx="17">
                  <c:v>14.53084</c:v>
                </c:pt>
                <c:pt idx="18">
                  <c:v>15.237360000000001</c:v>
                </c:pt>
                <c:pt idx="19">
                  <c:v>16.649629999999998</c:v>
                </c:pt>
                <c:pt idx="20">
                  <c:v>16.955909999999999</c:v>
                </c:pt>
                <c:pt idx="21">
                  <c:v>17.64697</c:v>
                </c:pt>
                <c:pt idx="22">
                  <c:v>17.7713</c:v>
                </c:pt>
                <c:pt idx="23">
                  <c:v>17.81569</c:v>
                </c:pt>
                <c:pt idx="24">
                  <c:v>17.91011</c:v>
                </c:pt>
                <c:pt idx="25">
                  <c:v>17.925419999999999</c:v>
                </c:pt>
                <c:pt idx="26">
                  <c:v>18.237970000000001</c:v>
                </c:pt>
                <c:pt idx="27">
                  <c:v>18.287659999999999</c:v>
                </c:pt>
                <c:pt idx="28">
                  <c:v>18.273510000000002</c:v>
                </c:pt>
                <c:pt idx="29">
                  <c:v>16.379619999999999</c:v>
                </c:pt>
                <c:pt idx="30">
                  <c:v>15.488759999999999</c:v>
                </c:pt>
                <c:pt idx="31">
                  <c:v>16.29644</c:v>
                </c:pt>
                <c:pt idx="32">
                  <c:v>17.891660000000002</c:v>
                </c:pt>
                <c:pt idx="33">
                  <c:v>18.321919999999999</c:v>
                </c:pt>
                <c:pt idx="34">
                  <c:v>18.255890000000001</c:v>
                </c:pt>
                <c:pt idx="35">
                  <c:v>17.41657</c:v>
                </c:pt>
                <c:pt idx="36">
                  <c:v>17.299379999999999</c:v>
                </c:pt>
                <c:pt idx="37">
                  <c:v>18.01352</c:v>
                </c:pt>
                <c:pt idx="38">
                  <c:v>16.911339999999999</c:v>
                </c:pt>
                <c:pt idx="39">
                  <c:v>17.515899999999998</c:v>
                </c:pt>
                <c:pt idx="40">
                  <c:v>18.031020000000002</c:v>
                </c:pt>
                <c:pt idx="41">
                  <c:v>18.610690000000002</c:v>
                </c:pt>
                <c:pt idx="42">
                  <c:v>18.3566</c:v>
                </c:pt>
                <c:pt idx="43">
                  <c:v>18.48527</c:v>
                </c:pt>
                <c:pt idx="44">
                  <c:v>18.32724</c:v>
                </c:pt>
                <c:pt idx="45">
                  <c:v>18.762930000000001</c:v>
                </c:pt>
                <c:pt idx="46">
                  <c:v>18.805319999999998</c:v>
                </c:pt>
                <c:pt idx="47">
                  <c:v>18.536059999999999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28-4968-A034-E56A03818615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C28-4968-A034-E56A03818615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4.5148999999999999</c:v>
                </c:pt>
                <c:pt idx="1">
                  <c:v>4.5682499999999999</c:v>
                </c:pt>
                <c:pt idx="2">
                  <c:v>4.5877600000000003</c:v>
                </c:pt>
                <c:pt idx="3">
                  <c:v>4.5201500000000001</c:v>
                </c:pt>
                <c:pt idx="4">
                  <c:v>4.4459900000000001</c:v>
                </c:pt>
                <c:pt idx="5">
                  <c:v>4.40585</c:v>
                </c:pt>
                <c:pt idx="6">
                  <c:v>4.4944899999999999</c:v>
                </c:pt>
                <c:pt idx="7">
                  <c:v>4.6003999999999996</c:v>
                </c:pt>
                <c:pt idx="8">
                  <c:v>4.5141400000000003</c:v>
                </c:pt>
                <c:pt idx="9">
                  <c:v>4.5050299999999996</c:v>
                </c:pt>
                <c:pt idx="10">
                  <c:v>4.4920999999999998</c:v>
                </c:pt>
                <c:pt idx="11">
                  <c:v>4.3890900000000004</c:v>
                </c:pt>
                <c:pt idx="12">
                  <c:v>4.4596999999999998</c:v>
                </c:pt>
                <c:pt idx="13">
                  <c:v>4.6095199999999998</c:v>
                </c:pt>
                <c:pt idx="14">
                  <c:v>4.6457800000000002</c:v>
                </c:pt>
                <c:pt idx="15">
                  <c:v>4.7238100000000003</c:v>
                </c:pt>
                <c:pt idx="16">
                  <c:v>4.85799</c:v>
                </c:pt>
                <c:pt idx="17">
                  <c:v>4.7964900000000004</c:v>
                </c:pt>
                <c:pt idx="18">
                  <c:v>4.8771100000000001</c:v>
                </c:pt>
                <c:pt idx="19">
                  <c:v>4.9198199999999996</c:v>
                </c:pt>
                <c:pt idx="20">
                  <c:v>4.9238900000000001</c:v>
                </c:pt>
                <c:pt idx="21">
                  <c:v>4.9203099999999997</c:v>
                </c:pt>
                <c:pt idx="22">
                  <c:v>4.8956999999999997</c:v>
                </c:pt>
                <c:pt idx="23">
                  <c:v>4.8555200000000003</c:v>
                </c:pt>
                <c:pt idx="24">
                  <c:v>4.7439</c:v>
                </c:pt>
                <c:pt idx="25">
                  <c:v>4.9545700000000004</c:v>
                </c:pt>
                <c:pt idx="26">
                  <c:v>4.9793200000000004</c:v>
                </c:pt>
                <c:pt idx="27">
                  <c:v>5.0438200000000002</c:v>
                </c:pt>
                <c:pt idx="28">
                  <c:v>5.1685999999999996</c:v>
                </c:pt>
                <c:pt idx="29">
                  <c:v>5.1158099999999997</c:v>
                </c:pt>
                <c:pt idx="30">
                  <c:v>5.0813100000000002</c:v>
                </c:pt>
                <c:pt idx="31">
                  <c:v>5.1081399999999997</c:v>
                </c:pt>
                <c:pt idx="32">
                  <c:v>5.1075299999999997</c:v>
                </c:pt>
                <c:pt idx="33">
                  <c:v>5.0319900000000004</c:v>
                </c:pt>
                <c:pt idx="34">
                  <c:v>4.9977099999999997</c:v>
                </c:pt>
                <c:pt idx="35">
                  <c:v>4.8378800000000002</c:v>
                </c:pt>
                <c:pt idx="36">
                  <c:v>4.84701</c:v>
                </c:pt>
                <c:pt idx="37">
                  <c:v>4.77867</c:v>
                </c:pt>
                <c:pt idx="38">
                  <c:v>4.7968500000000001</c:v>
                </c:pt>
                <c:pt idx="39">
                  <c:v>4.74329</c:v>
                </c:pt>
                <c:pt idx="40">
                  <c:v>4.7041300000000001</c:v>
                </c:pt>
                <c:pt idx="41">
                  <c:v>4.7396200000000004</c:v>
                </c:pt>
                <c:pt idx="42">
                  <c:v>4.76471</c:v>
                </c:pt>
                <c:pt idx="43">
                  <c:v>4.92197</c:v>
                </c:pt>
                <c:pt idx="44">
                  <c:v>4.8705299999999996</c:v>
                </c:pt>
                <c:pt idx="45">
                  <c:v>4.8293299999999997</c:v>
                </c:pt>
                <c:pt idx="46">
                  <c:v>4.8583499999999997</c:v>
                </c:pt>
                <c:pt idx="47">
                  <c:v>4.8994200000000001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28-4968-A034-E56A03818615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28-4968-A034-E56A03818615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28-4968-A034-E56A03818615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65.05</c:v>
                </c:pt>
                <c:pt idx="1">
                  <c:v>64.989999999999995</c:v>
                </c:pt>
                <c:pt idx="2">
                  <c:v>66.34</c:v>
                </c:pt>
                <c:pt idx="3">
                  <c:v>66.44</c:v>
                </c:pt>
                <c:pt idx="4">
                  <c:v>66.11</c:v>
                </c:pt>
                <c:pt idx="5">
                  <c:v>65.760000000000005</c:v>
                </c:pt>
                <c:pt idx="6">
                  <c:v>60.87</c:v>
                </c:pt>
                <c:pt idx="7">
                  <c:v>61.9</c:v>
                </c:pt>
                <c:pt idx="8">
                  <c:v>61.94</c:v>
                </c:pt>
                <c:pt idx="9">
                  <c:v>62.55</c:v>
                </c:pt>
                <c:pt idx="10">
                  <c:v>62.43</c:v>
                </c:pt>
                <c:pt idx="11">
                  <c:v>60.02</c:v>
                </c:pt>
                <c:pt idx="12">
                  <c:v>60.71</c:v>
                </c:pt>
                <c:pt idx="13">
                  <c:v>56.11</c:v>
                </c:pt>
                <c:pt idx="14">
                  <c:v>55.82</c:v>
                </c:pt>
                <c:pt idx="15">
                  <c:v>55.4</c:v>
                </c:pt>
                <c:pt idx="16">
                  <c:v>53.83</c:v>
                </c:pt>
                <c:pt idx="17">
                  <c:v>53.06</c:v>
                </c:pt>
                <c:pt idx="18">
                  <c:v>55.52</c:v>
                </c:pt>
                <c:pt idx="19">
                  <c:v>55.98</c:v>
                </c:pt>
                <c:pt idx="20">
                  <c:v>54.12</c:v>
                </c:pt>
                <c:pt idx="21">
                  <c:v>51.74</c:v>
                </c:pt>
                <c:pt idx="22">
                  <c:v>48.59</c:v>
                </c:pt>
                <c:pt idx="23">
                  <c:v>52.14</c:v>
                </c:pt>
                <c:pt idx="24">
                  <c:v>55.49</c:v>
                </c:pt>
                <c:pt idx="25">
                  <c:v>55.39</c:v>
                </c:pt>
                <c:pt idx="26">
                  <c:v>55.7</c:v>
                </c:pt>
                <c:pt idx="27">
                  <c:v>55.83</c:v>
                </c:pt>
                <c:pt idx="28">
                  <c:v>55.03</c:v>
                </c:pt>
                <c:pt idx="29">
                  <c:v>55.73</c:v>
                </c:pt>
                <c:pt idx="30">
                  <c:v>55.78</c:v>
                </c:pt>
                <c:pt idx="31">
                  <c:v>56.63</c:v>
                </c:pt>
                <c:pt idx="32">
                  <c:v>56.54</c:v>
                </c:pt>
                <c:pt idx="33">
                  <c:v>55.86</c:v>
                </c:pt>
                <c:pt idx="34">
                  <c:v>55.84</c:v>
                </c:pt>
                <c:pt idx="35">
                  <c:v>24.6</c:v>
                </c:pt>
                <c:pt idx="36">
                  <c:v>4.79</c:v>
                </c:pt>
                <c:pt idx="37">
                  <c:v>4.43</c:v>
                </c:pt>
                <c:pt idx="38">
                  <c:v>5.22</c:v>
                </c:pt>
                <c:pt idx="39">
                  <c:v>5.7</c:v>
                </c:pt>
                <c:pt idx="40">
                  <c:v>4.47</c:v>
                </c:pt>
                <c:pt idx="41">
                  <c:v>4.88</c:v>
                </c:pt>
                <c:pt idx="42">
                  <c:v>6.2</c:v>
                </c:pt>
                <c:pt idx="43">
                  <c:v>6.31</c:v>
                </c:pt>
                <c:pt idx="44">
                  <c:v>28.37</c:v>
                </c:pt>
                <c:pt idx="45">
                  <c:v>49.87</c:v>
                </c:pt>
                <c:pt idx="46">
                  <c:v>50.25</c:v>
                </c:pt>
                <c:pt idx="47">
                  <c:v>50.86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C28-4968-A034-E56A0381861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10.14175</c:v>
                </c:pt>
                <c:pt idx="1">
                  <c:v>9.2382799999999996</c:v>
                </c:pt>
                <c:pt idx="2">
                  <c:v>9.13645</c:v>
                </c:pt>
                <c:pt idx="3">
                  <c:v>8.6017100000000006</c:v>
                </c:pt>
                <c:pt idx="4">
                  <c:v>9.1960099999999994</c:v>
                </c:pt>
                <c:pt idx="5">
                  <c:v>9.5165900000000008</c:v>
                </c:pt>
                <c:pt idx="6">
                  <c:v>9.8790399999999998</c:v>
                </c:pt>
                <c:pt idx="7">
                  <c:v>9.7409099999999995</c:v>
                </c:pt>
                <c:pt idx="8">
                  <c:v>9.0166400000000007</c:v>
                </c:pt>
                <c:pt idx="9">
                  <c:v>9.7488100000000006</c:v>
                </c:pt>
                <c:pt idx="10">
                  <c:v>9.4270600000000009</c:v>
                </c:pt>
                <c:pt idx="11">
                  <c:v>9.4669699999999999</c:v>
                </c:pt>
                <c:pt idx="12">
                  <c:v>9.4339200000000005</c:v>
                </c:pt>
                <c:pt idx="13">
                  <c:v>10.11243</c:v>
                </c:pt>
                <c:pt idx="14">
                  <c:v>10.23307</c:v>
                </c:pt>
                <c:pt idx="15">
                  <c:v>9.4584499999999991</c:v>
                </c:pt>
                <c:pt idx="16">
                  <c:v>9.1074699999999993</c:v>
                </c:pt>
                <c:pt idx="17">
                  <c:v>9.3786000000000005</c:v>
                </c:pt>
                <c:pt idx="18">
                  <c:v>9.5207999999999995</c:v>
                </c:pt>
                <c:pt idx="19">
                  <c:v>8.7568000000000001</c:v>
                </c:pt>
                <c:pt idx="20">
                  <c:v>9.3141599999999993</c:v>
                </c:pt>
                <c:pt idx="21">
                  <c:v>9.5111299999999996</c:v>
                </c:pt>
                <c:pt idx="22">
                  <c:v>9.6149000000000004</c:v>
                </c:pt>
                <c:pt idx="23">
                  <c:v>9.7135999999999996</c:v>
                </c:pt>
                <c:pt idx="24">
                  <c:v>9.3979199999999992</c:v>
                </c:pt>
                <c:pt idx="25">
                  <c:v>9.4344900000000003</c:v>
                </c:pt>
                <c:pt idx="26">
                  <c:v>9.5415700000000001</c:v>
                </c:pt>
                <c:pt idx="27">
                  <c:v>9.7629900000000003</c:v>
                </c:pt>
                <c:pt idx="28">
                  <c:v>10.06897</c:v>
                </c:pt>
                <c:pt idx="29">
                  <c:v>10.084099999999999</c:v>
                </c:pt>
                <c:pt idx="30">
                  <c:v>9.4612400000000001</c:v>
                </c:pt>
                <c:pt idx="31">
                  <c:v>9.3150999999999993</c:v>
                </c:pt>
                <c:pt idx="32">
                  <c:v>8.5616699999999994</c:v>
                </c:pt>
                <c:pt idx="33">
                  <c:v>9.1254899999999992</c:v>
                </c:pt>
                <c:pt idx="34">
                  <c:v>9.5383200000000006</c:v>
                </c:pt>
                <c:pt idx="35">
                  <c:v>9.8509700000000002</c:v>
                </c:pt>
                <c:pt idx="36">
                  <c:v>9.6637400000000007</c:v>
                </c:pt>
                <c:pt idx="37">
                  <c:v>9.9455200000000001</c:v>
                </c:pt>
                <c:pt idx="38">
                  <c:v>9.08629</c:v>
                </c:pt>
                <c:pt idx="39">
                  <c:v>7.9912599999999996</c:v>
                </c:pt>
                <c:pt idx="40">
                  <c:v>8.6960499999999996</c:v>
                </c:pt>
                <c:pt idx="41">
                  <c:v>9.1980199999999996</c:v>
                </c:pt>
                <c:pt idx="42">
                  <c:v>1.68225</c:v>
                </c:pt>
                <c:pt idx="43">
                  <c:v>4.64459</c:v>
                </c:pt>
                <c:pt idx="44">
                  <c:v>8.8956700000000009</c:v>
                </c:pt>
                <c:pt idx="45">
                  <c:v>9.0747099999999996</c:v>
                </c:pt>
                <c:pt idx="46">
                  <c:v>8.9354399999999998</c:v>
                </c:pt>
                <c:pt idx="47">
                  <c:v>8.7482600000000001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28-4968-A034-E56A0381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145.02005</c:v>
                </c:pt>
                <c:pt idx="1">
                  <c:v>144.71976000000001</c:v>
                </c:pt>
                <c:pt idx="2">
                  <c:v>147.23205999999999</c:v>
                </c:pt>
                <c:pt idx="3">
                  <c:v>149.32066</c:v>
                </c:pt>
                <c:pt idx="4">
                  <c:v>148.51415</c:v>
                </c:pt>
                <c:pt idx="5">
                  <c:v>144.49497</c:v>
                </c:pt>
                <c:pt idx="6">
                  <c:v>147.76449</c:v>
                </c:pt>
                <c:pt idx="7">
                  <c:v>149.12730999999999</c:v>
                </c:pt>
                <c:pt idx="8">
                  <c:v>149.68778</c:v>
                </c:pt>
                <c:pt idx="9">
                  <c:v>148.88937000000001</c:v>
                </c:pt>
                <c:pt idx="10">
                  <c:v>145.23632000000001</c:v>
                </c:pt>
                <c:pt idx="11">
                  <c:v>145.66981000000001</c:v>
                </c:pt>
                <c:pt idx="12">
                  <c:v>147.17734999999999</c:v>
                </c:pt>
                <c:pt idx="13">
                  <c:v>147.61165</c:v>
                </c:pt>
                <c:pt idx="14">
                  <c:v>143.89202</c:v>
                </c:pt>
                <c:pt idx="15">
                  <c:v>142.87450000000001</c:v>
                </c:pt>
                <c:pt idx="16">
                  <c:v>144.17596</c:v>
                </c:pt>
                <c:pt idx="17">
                  <c:v>145.51264</c:v>
                </c:pt>
                <c:pt idx="18">
                  <c:v>144.99803</c:v>
                </c:pt>
                <c:pt idx="19">
                  <c:v>145.83386999999999</c:v>
                </c:pt>
                <c:pt idx="20">
                  <c:v>141.83318</c:v>
                </c:pt>
                <c:pt idx="21">
                  <c:v>141.11033</c:v>
                </c:pt>
                <c:pt idx="22">
                  <c:v>142.56264999999999</c:v>
                </c:pt>
                <c:pt idx="23">
                  <c:v>147.25636</c:v>
                </c:pt>
                <c:pt idx="24">
                  <c:v>147.48813999999999</c:v>
                </c:pt>
                <c:pt idx="25">
                  <c:v>147.81321</c:v>
                </c:pt>
                <c:pt idx="26">
                  <c:v>146.22793999999999</c:v>
                </c:pt>
                <c:pt idx="27">
                  <c:v>147.37153000000001</c:v>
                </c:pt>
                <c:pt idx="28">
                  <c:v>149.01337000000001</c:v>
                </c:pt>
                <c:pt idx="29">
                  <c:v>150.35614000000001</c:v>
                </c:pt>
                <c:pt idx="30">
                  <c:v>150.79175000000001</c:v>
                </c:pt>
                <c:pt idx="31">
                  <c:v>150.94649000000001</c:v>
                </c:pt>
                <c:pt idx="32">
                  <c:v>150.30832000000001</c:v>
                </c:pt>
                <c:pt idx="33">
                  <c:v>150.07866000000001</c:v>
                </c:pt>
                <c:pt idx="34">
                  <c:v>148.34207000000001</c:v>
                </c:pt>
                <c:pt idx="35">
                  <c:v>145.61317</c:v>
                </c:pt>
                <c:pt idx="36">
                  <c:v>143.11190999999999</c:v>
                </c:pt>
                <c:pt idx="37">
                  <c:v>144.87110000000001</c:v>
                </c:pt>
                <c:pt idx="38">
                  <c:v>143.67671999999999</c:v>
                </c:pt>
                <c:pt idx="39">
                  <c:v>145.21941000000001</c:v>
                </c:pt>
                <c:pt idx="40">
                  <c:v>147.94574</c:v>
                </c:pt>
                <c:pt idx="41">
                  <c:v>148.30966000000001</c:v>
                </c:pt>
                <c:pt idx="42">
                  <c:v>149.05703</c:v>
                </c:pt>
                <c:pt idx="43">
                  <c:v>149.92865</c:v>
                </c:pt>
                <c:pt idx="44">
                  <c:v>152.09535</c:v>
                </c:pt>
                <c:pt idx="45">
                  <c:v>150.83706000000001</c:v>
                </c:pt>
                <c:pt idx="46">
                  <c:v>148.82697999999999</c:v>
                </c:pt>
                <c:pt idx="47">
                  <c:v>152.2859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F-448C-AAB4-3ED023E99456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1.7392000000000001</c:v>
                </c:pt>
                <c:pt idx="1">
                  <c:v>1.6362000000000001</c:v>
                </c:pt>
                <c:pt idx="2">
                  <c:v>1.8968</c:v>
                </c:pt>
                <c:pt idx="3">
                  <c:v>1.4604999999999999</c:v>
                </c:pt>
                <c:pt idx="4">
                  <c:v>1.7029000000000001</c:v>
                </c:pt>
                <c:pt idx="5">
                  <c:v>1.9513</c:v>
                </c:pt>
                <c:pt idx="6">
                  <c:v>1.8059000000000001</c:v>
                </c:pt>
                <c:pt idx="7">
                  <c:v>1.8604000000000001</c:v>
                </c:pt>
                <c:pt idx="8">
                  <c:v>1.8241000000000001</c:v>
                </c:pt>
                <c:pt idx="9">
                  <c:v>1.7392000000000001</c:v>
                </c:pt>
                <c:pt idx="10">
                  <c:v>1.6241000000000001</c:v>
                </c:pt>
                <c:pt idx="11">
                  <c:v>1.3392999999999999</c:v>
                </c:pt>
                <c:pt idx="12">
                  <c:v>1.5938000000000001</c:v>
                </c:pt>
                <c:pt idx="13">
                  <c:v>1.8180000000000001</c:v>
                </c:pt>
                <c:pt idx="14">
                  <c:v>1.7089000000000001</c:v>
                </c:pt>
                <c:pt idx="15">
                  <c:v>1.4361999999999999</c:v>
                </c:pt>
                <c:pt idx="16">
                  <c:v>1.2362</c:v>
                </c:pt>
                <c:pt idx="17">
                  <c:v>1.3452999999999999</c:v>
                </c:pt>
                <c:pt idx="18">
                  <c:v>1.2726</c:v>
                </c:pt>
                <c:pt idx="19">
                  <c:v>1.5028999999999999</c:v>
                </c:pt>
                <c:pt idx="20">
                  <c:v>1.5755999999999999</c:v>
                </c:pt>
                <c:pt idx="21">
                  <c:v>1.7089000000000001</c:v>
                </c:pt>
                <c:pt idx="22">
                  <c:v>1.7210000000000001</c:v>
                </c:pt>
                <c:pt idx="23">
                  <c:v>1.6483000000000001</c:v>
                </c:pt>
                <c:pt idx="24">
                  <c:v>1.6665000000000001</c:v>
                </c:pt>
                <c:pt idx="25">
                  <c:v>1.7877000000000001</c:v>
                </c:pt>
                <c:pt idx="26">
                  <c:v>1.7453000000000001</c:v>
                </c:pt>
                <c:pt idx="27">
                  <c:v>1.6968000000000001</c:v>
                </c:pt>
                <c:pt idx="28">
                  <c:v>1.6241000000000001</c:v>
                </c:pt>
                <c:pt idx="29">
                  <c:v>1.6907000000000001</c:v>
                </c:pt>
                <c:pt idx="30">
                  <c:v>1.6483000000000001</c:v>
                </c:pt>
                <c:pt idx="31">
                  <c:v>1.4604999999999999</c:v>
                </c:pt>
                <c:pt idx="32">
                  <c:v>1.3513999999999999</c:v>
                </c:pt>
                <c:pt idx="33">
                  <c:v>1.2423</c:v>
                </c:pt>
                <c:pt idx="34">
                  <c:v>1.0787</c:v>
                </c:pt>
                <c:pt idx="35">
                  <c:v>1.2665</c:v>
                </c:pt>
                <c:pt idx="36">
                  <c:v>1.3028999999999999</c:v>
                </c:pt>
                <c:pt idx="37">
                  <c:v>1.2786999999999999</c:v>
                </c:pt>
                <c:pt idx="38">
                  <c:v>1.2302</c:v>
                </c:pt>
                <c:pt idx="39">
                  <c:v>1.109</c:v>
                </c:pt>
                <c:pt idx="40">
                  <c:v>0.92720000000000002</c:v>
                </c:pt>
                <c:pt idx="41">
                  <c:v>1.1453</c:v>
                </c:pt>
                <c:pt idx="42">
                  <c:v>1.1332</c:v>
                </c:pt>
                <c:pt idx="43">
                  <c:v>1.0363</c:v>
                </c:pt>
                <c:pt idx="44">
                  <c:v>0.85450000000000004</c:v>
                </c:pt>
                <c:pt idx="45">
                  <c:v>0.83630000000000004</c:v>
                </c:pt>
                <c:pt idx="46">
                  <c:v>0.73329999999999995</c:v>
                </c:pt>
                <c:pt idx="47">
                  <c:v>0.61209999999999998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F-448C-AAB4-3ED023E99456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4.3407999999999998</c:v>
                </c:pt>
                <c:pt idx="1">
                  <c:v>4.3525999999999998</c:v>
                </c:pt>
                <c:pt idx="2">
                  <c:v>4.3037000000000001</c:v>
                </c:pt>
                <c:pt idx="3">
                  <c:v>4.4010999999999996</c:v>
                </c:pt>
                <c:pt idx="4">
                  <c:v>4.3061999999999996</c:v>
                </c:pt>
                <c:pt idx="5">
                  <c:v>4.3627000000000002</c:v>
                </c:pt>
                <c:pt idx="6">
                  <c:v>4.6044999999999998</c:v>
                </c:pt>
                <c:pt idx="7">
                  <c:v>4.5359999999999996</c:v>
                </c:pt>
                <c:pt idx="8">
                  <c:v>4.5972</c:v>
                </c:pt>
                <c:pt idx="9">
                  <c:v>4.6525999999999996</c:v>
                </c:pt>
                <c:pt idx="10">
                  <c:v>4.657</c:v>
                </c:pt>
                <c:pt idx="11">
                  <c:v>4.5457000000000001</c:v>
                </c:pt>
                <c:pt idx="12">
                  <c:v>4.2047999999999996</c:v>
                </c:pt>
                <c:pt idx="13">
                  <c:v>4.1227999999999998</c:v>
                </c:pt>
                <c:pt idx="14">
                  <c:v>4.4797000000000002</c:v>
                </c:pt>
                <c:pt idx="15">
                  <c:v>4.5974000000000004</c:v>
                </c:pt>
                <c:pt idx="16">
                  <c:v>4.4851999999999999</c:v>
                </c:pt>
                <c:pt idx="17">
                  <c:v>4.5364000000000004</c:v>
                </c:pt>
                <c:pt idx="18">
                  <c:v>4.5494000000000003</c:v>
                </c:pt>
                <c:pt idx="19">
                  <c:v>4.4760999999999997</c:v>
                </c:pt>
                <c:pt idx="20">
                  <c:v>4.5678000000000001</c:v>
                </c:pt>
                <c:pt idx="21">
                  <c:v>4.6109999999999998</c:v>
                </c:pt>
                <c:pt idx="22">
                  <c:v>4.8680000000000003</c:v>
                </c:pt>
                <c:pt idx="23">
                  <c:v>4.6924000000000001</c:v>
                </c:pt>
                <c:pt idx="24">
                  <c:v>4.5509000000000004</c:v>
                </c:pt>
                <c:pt idx="25">
                  <c:v>4.5921000000000003</c:v>
                </c:pt>
                <c:pt idx="26">
                  <c:v>4.7069999999999999</c:v>
                </c:pt>
                <c:pt idx="27">
                  <c:v>4.5425000000000004</c:v>
                </c:pt>
                <c:pt idx="28">
                  <c:v>4.6768000000000001</c:v>
                </c:pt>
                <c:pt idx="29">
                  <c:v>4.7001999999999997</c:v>
                </c:pt>
                <c:pt idx="30">
                  <c:v>4.7366999999999999</c:v>
                </c:pt>
                <c:pt idx="31">
                  <c:v>4.4619999999999997</c:v>
                </c:pt>
                <c:pt idx="32">
                  <c:v>4.0369000000000002</c:v>
                </c:pt>
                <c:pt idx="33">
                  <c:v>4.3322000000000003</c:v>
                </c:pt>
                <c:pt idx="34">
                  <c:v>4.6075999999999997</c:v>
                </c:pt>
                <c:pt idx="35">
                  <c:v>4.4917999999999996</c:v>
                </c:pt>
                <c:pt idx="36">
                  <c:v>4.4847000000000001</c:v>
                </c:pt>
                <c:pt idx="37">
                  <c:v>4.5811000000000002</c:v>
                </c:pt>
                <c:pt idx="38">
                  <c:v>4.6708999999999996</c:v>
                </c:pt>
                <c:pt idx="39">
                  <c:v>4.5982000000000003</c:v>
                </c:pt>
                <c:pt idx="40">
                  <c:v>4.6227</c:v>
                </c:pt>
                <c:pt idx="41">
                  <c:v>4.7214</c:v>
                </c:pt>
                <c:pt idx="42">
                  <c:v>4.5544000000000002</c:v>
                </c:pt>
                <c:pt idx="43">
                  <c:v>4.6756000000000002</c:v>
                </c:pt>
                <c:pt idx="44">
                  <c:v>4.6607000000000003</c:v>
                </c:pt>
                <c:pt idx="45">
                  <c:v>4.7754000000000003</c:v>
                </c:pt>
                <c:pt idx="46">
                  <c:v>4.7944000000000004</c:v>
                </c:pt>
                <c:pt idx="47">
                  <c:v>4.5772000000000004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BF-448C-AAB4-3ED023E99456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129.06466</c:v>
                </c:pt>
                <c:pt idx="1">
                  <c:v>128.65206000000001</c:v>
                </c:pt>
                <c:pt idx="2">
                  <c:v>130.16504</c:v>
                </c:pt>
                <c:pt idx="3">
                  <c:v>131.06808000000001</c:v>
                </c:pt>
                <c:pt idx="4">
                  <c:v>129.09139999999999</c:v>
                </c:pt>
                <c:pt idx="5">
                  <c:v>132.70974000000001</c:v>
                </c:pt>
                <c:pt idx="6">
                  <c:v>130.22798</c:v>
                </c:pt>
                <c:pt idx="7">
                  <c:v>132.08698999999999</c:v>
                </c:pt>
                <c:pt idx="8">
                  <c:v>130.84589</c:v>
                </c:pt>
                <c:pt idx="9">
                  <c:v>130.2713</c:v>
                </c:pt>
                <c:pt idx="10">
                  <c:v>132.18324000000001</c:v>
                </c:pt>
                <c:pt idx="11">
                  <c:v>130.48212000000001</c:v>
                </c:pt>
                <c:pt idx="12">
                  <c:v>130.55994000000001</c:v>
                </c:pt>
                <c:pt idx="13">
                  <c:v>124.06867</c:v>
                </c:pt>
                <c:pt idx="14">
                  <c:v>126.91679000000001</c:v>
                </c:pt>
                <c:pt idx="15">
                  <c:v>124.62269000000001</c:v>
                </c:pt>
                <c:pt idx="16">
                  <c:v>125.5831</c:v>
                </c:pt>
                <c:pt idx="17">
                  <c:v>126.42285</c:v>
                </c:pt>
                <c:pt idx="18">
                  <c:v>125.61158</c:v>
                </c:pt>
                <c:pt idx="19">
                  <c:v>129.49281999999999</c:v>
                </c:pt>
                <c:pt idx="20">
                  <c:v>78.656239999999997</c:v>
                </c:pt>
                <c:pt idx="21">
                  <c:v>75.730429999999998</c:v>
                </c:pt>
                <c:pt idx="22">
                  <c:v>73.847970000000004</c:v>
                </c:pt>
                <c:pt idx="23">
                  <c:v>115.94898999999999</c:v>
                </c:pt>
                <c:pt idx="24">
                  <c:v>125.16500000000001</c:v>
                </c:pt>
                <c:pt idx="25">
                  <c:v>124.33847</c:v>
                </c:pt>
                <c:pt idx="26">
                  <c:v>125.49184</c:v>
                </c:pt>
                <c:pt idx="27">
                  <c:v>127.59952</c:v>
                </c:pt>
                <c:pt idx="28">
                  <c:v>128.26191</c:v>
                </c:pt>
                <c:pt idx="29">
                  <c:v>129.31385</c:v>
                </c:pt>
                <c:pt idx="30">
                  <c:v>129.04357999999999</c:v>
                </c:pt>
                <c:pt idx="31">
                  <c:v>129.57225</c:v>
                </c:pt>
                <c:pt idx="32">
                  <c:v>129.1259</c:v>
                </c:pt>
                <c:pt idx="33">
                  <c:v>131.47212999999999</c:v>
                </c:pt>
                <c:pt idx="34">
                  <c:v>131.84408999999999</c:v>
                </c:pt>
                <c:pt idx="35">
                  <c:v>133.40339</c:v>
                </c:pt>
                <c:pt idx="36">
                  <c:v>129.96033</c:v>
                </c:pt>
                <c:pt idx="37">
                  <c:v>123.59796</c:v>
                </c:pt>
                <c:pt idx="38">
                  <c:v>132.57462000000001</c:v>
                </c:pt>
                <c:pt idx="39">
                  <c:v>132.36202</c:v>
                </c:pt>
                <c:pt idx="40">
                  <c:v>132.0686</c:v>
                </c:pt>
                <c:pt idx="41">
                  <c:v>132.03138000000001</c:v>
                </c:pt>
                <c:pt idx="42">
                  <c:v>134.41961000000001</c:v>
                </c:pt>
                <c:pt idx="43">
                  <c:v>132.88068000000001</c:v>
                </c:pt>
                <c:pt idx="44">
                  <c:v>131.42257000000001</c:v>
                </c:pt>
                <c:pt idx="45">
                  <c:v>130.99475000000001</c:v>
                </c:pt>
                <c:pt idx="46">
                  <c:v>131.81536</c:v>
                </c:pt>
                <c:pt idx="47">
                  <c:v>128.59350000000001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BF-448C-AAB4-3ED023E99456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15.30927</c:v>
                </c:pt>
                <c:pt idx="1">
                  <c:v>14.408049999999999</c:v>
                </c:pt>
                <c:pt idx="2">
                  <c:v>16.042680000000001</c:v>
                </c:pt>
                <c:pt idx="3">
                  <c:v>16.833629999999999</c:v>
                </c:pt>
                <c:pt idx="4">
                  <c:v>16.732140000000001</c:v>
                </c:pt>
                <c:pt idx="5">
                  <c:v>16.921900000000001</c:v>
                </c:pt>
                <c:pt idx="6">
                  <c:v>14.85702</c:v>
                </c:pt>
                <c:pt idx="7">
                  <c:v>16.699000000000002</c:v>
                </c:pt>
                <c:pt idx="8">
                  <c:v>16.088529999999999</c:v>
                </c:pt>
                <c:pt idx="9">
                  <c:v>15.67578</c:v>
                </c:pt>
                <c:pt idx="10">
                  <c:v>14.95208</c:v>
                </c:pt>
                <c:pt idx="11">
                  <c:v>14.30861</c:v>
                </c:pt>
                <c:pt idx="12">
                  <c:v>13.818899999999999</c:v>
                </c:pt>
                <c:pt idx="13">
                  <c:v>12.28177</c:v>
                </c:pt>
                <c:pt idx="14">
                  <c:v>12.370620000000001</c:v>
                </c:pt>
                <c:pt idx="15">
                  <c:v>12.53744</c:v>
                </c:pt>
                <c:pt idx="16">
                  <c:v>13.061159999999999</c:v>
                </c:pt>
                <c:pt idx="17">
                  <c:v>14.078110000000001</c:v>
                </c:pt>
                <c:pt idx="18">
                  <c:v>14.302379999999999</c:v>
                </c:pt>
                <c:pt idx="19">
                  <c:v>15.56087</c:v>
                </c:pt>
                <c:pt idx="20">
                  <c:v>15.05851</c:v>
                </c:pt>
                <c:pt idx="21">
                  <c:v>15.52913</c:v>
                </c:pt>
                <c:pt idx="22">
                  <c:v>15.713850000000001</c:v>
                </c:pt>
                <c:pt idx="23">
                  <c:v>15.088950000000001</c:v>
                </c:pt>
                <c:pt idx="24">
                  <c:v>12.999599999999999</c:v>
                </c:pt>
                <c:pt idx="25">
                  <c:v>10.36022</c:v>
                </c:pt>
                <c:pt idx="26">
                  <c:v>10.835990000000001</c:v>
                </c:pt>
                <c:pt idx="27">
                  <c:v>7.7338800000000001</c:v>
                </c:pt>
                <c:pt idx="28">
                  <c:v>11.24419</c:v>
                </c:pt>
                <c:pt idx="29">
                  <c:v>12.946759999999999</c:v>
                </c:pt>
                <c:pt idx="30">
                  <c:v>14.303660000000001</c:v>
                </c:pt>
                <c:pt idx="31">
                  <c:v>16.595030000000001</c:v>
                </c:pt>
                <c:pt idx="32">
                  <c:v>18.164899999999999</c:v>
                </c:pt>
                <c:pt idx="33">
                  <c:v>17.866350000000001</c:v>
                </c:pt>
                <c:pt idx="34">
                  <c:v>19.622039999999998</c:v>
                </c:pt>
                <c:pt idx="35">
                  <c:v>16.903500000000001</c:v>
                </c:pt>
                <c:pt idx="36">
                  <c:v>15.194240000000001</c:v>
                </c:pt>
                <c:pt idx="37">
                  <c:v>13.796250000000001</c:v>
                </c:pt>
                <c:pt idx="38">
                  <c:v>14.04058</c:v>
                </c:pt>
                <c:pt idx="39">
                  <c:v>14.29318</c:v>
                </c:pt>
                <c:pt idx="40">
                  <c:v>16.571470000000001</c:v>
                </c:pt>
                <c:pt idx="41">
                  <c:v>16.35622</c:v>
                </c:pt>
                <c:pt idx="42">
                  <c:v>17.128869999999999</c:v>
                </c:pt>
                <c:pt idx="43">
                  <c:v>17.641960000000001</c:v>
                </c:pt>
                <c:pt idx="44">
                  <c:v>15.210380000000001</c:v>
                </c:pt>
                <c:pt idx="45">
                  <c:v>17.453230000000001</c:v>
                </c:pt>
                <c:pt idx="46">
                  <c:v>18.050719999999998</c:v>
                </c:pt>
                <c:pt idx="47">
                  <c:v>17.532699999999998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BF-448C-AAB4-3ED023E99456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BF-448C-AAB4-3ED023E99456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BF-448C-AAB4-3ED023E99456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BF-448C-AAB4-3ED023E99456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BF-448C-AAB4-3ED023E9945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BF-448C-AAB4-3ED023E99456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85.656499999999994</c:v>
                </c:pt>
                <c:pt idx="1">
                  <c:v>86.071600000000004</c:v>
                </c:pt>
                <c:pt idx="2">
                  <c:v>85.110399999999998</c:v>
                </c:pt>
                <c:pt idx="3">
                  <c:v>84.855599999999995</c:v>
                </c:pt>
                <c:pt idx="4">
                  <c:v>85.014700000000005</c:v>
                </c:pt>
                <c:pt idx="5">
                  <c:v>84.3917</c:v>
                </c:pt>
                <c:pt idx="6">
                  <c:v>85.896600000000007</c:v>
                </c:pt>
                <c:pt idx="7">
                  <c:v>85.069900000000004</c:v>
                </c:pt>
                <c:pt idx="8">
                  <c:v>69.255099999999999</c:v>
                </c:pt>
                <c:pt idx="9">
                  <c:v>80.438699999999997</c:v>
                </c:pt>
                <c:pt idx="10">
                  <c:v>82.3095</c:v>
                </c:pt>
                <c:pt idx="11">
                  <c:v>83.586799999999997</c:v>
                </c:pt>
                <c:pt idx="12">
                  <c:v>83.705100000000002</c:v>
                </c:pt>
                <c:pt idx="13">
                  <c:v>83.061599999999999</c:v>
                </c:pt>
                <c:pt idx="14">
                  <c:v>84.188199999999995</c:v>
                </c:pt>
                <c:pt idx="15">
                  <c:v>83.780100000000004</c:v>
                </c:pt>
                <c:pt idx="16">
                  <c:v>83.151300000000006</c:v>
                </c:pt>
                <c:pt idx="17">
                  <c:v>83.293599999999998</c:v>
                </c:pt>
                <c:pt idx="18">
                  <c:v>83.415000000000006</c:v>
                </c:pt>
                <c:pt idx="19">
                  <c:v>82.7393</c:v>
                </c:pt>
                <c:pt idx="20">
                  <c:v>82.986500000000007</c:v>
                </c:pt>
                <c:pt idx="21">
                  <c:v>83.546000000000006</c:v>
                </c:pt>
                <c:pt idx="22">
                  <c:v>82.894599999999997</c:v>
                </c:pt>
                <c:pt idx="23">
                  <c:v>81.507099999999994</c:v>
                </c:pt>
                <c:pt idx="24">
                  <c:v>82.193899999999999</c:v>
                </c:pt>
                <c:pt idx="25">
                  <c:v>82.221199999999996</c:v>
                </c:pt>
                <c:pt idx="26">
                  <c:v>81.756200000000007</c:v>
                </c:pt>
                <c:pt idx="27">
                  <c:v>80.895399999999995</c:v>
                </c:pt>
                <c:pt idx="28">
                  <c:v>80.984899999999996</c:v>
                </c:pt>
                <c:pt idx="29">
                  <c:v>81.038600000000002</c:v>
                </c:pt>
                <c:pt idx="30">
                  <c:v>80.953400000000002</c:v>
                </c:pt>
                <c:pt idx="31">
                  <c:v>80.394300000000001</c:v>
                </c:pt>
                <c:pt idx="32">
                  <c:v>80.3904</c:v>
                </c:pt>
                <c:pt idx="33">
                  <c:v>23.151900000000001</c:v>
                </c:pt>
                <c:pt idx="34">
                  <c:v>37.891500000000001</c:v>
                </c:pt>
                <c:pt idx="35">
                  <c:v>78.280799999999999</c:v>
                </c:pt>
                <c:pt idx="36">
                  <c:v>79.101699999999994</c:v>
                </c:pt>
                <c:pt idx="37">
                  <c:v>80.636499999999998</c:v>
                </c:pt>
                <c:pt idx="38">
                  <c:v>81.394499999999994</c:v>
                </c:pt>
                <c:pt idx="39">
                  <c:v>83.586699999999993</c:v>
                </c:pt>
                <c:pt idx="40">
                  <c:v>84.165499999999994</c:v>
                </c:pt>
                <c:pt idx="41">
                  <c:v>84.712900000000005</c:v>
                </c:pt>
                <c:pt idx="42">
                  <c:v>84.709000000000003</c:v>
                </c:pt>
                <c:pt idx="43">
                  <c:v>84.646199999999993</c:v>
                </c:pt>
                <c:pt idx="44">
                  <c:v>83.656400000000005</c:v>
                </c:pt>
                <c:pt idx="45">
                  <c:v>82.900599999999997</c:v>
                </c:pt>
                <c:pt idx="46">
                  <c:v>81.898899999999998</c:v>
                </c:pt>
                <c:pt idx="47">
                  <c:v>81.187799999999996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BF-448C-AAB4-3ED023E99456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18.15307</c:v>
                </c:pt>
                <c:pt idx="1">
                  <c:v>18.161010000000001</c:v>
                </c:pt>
                <c:pt idx="2">
                  <c:v>18.158919999999998</c:v>
                </c:pt>
                <c:pt idx="3">
                  <c:v>18.169139999999999</c:v>
                </c:pt>
                <c:pt idx="4">
                  <c:v>18.161059999999999</c:v>
                </c:pt>
                <c:pt idx="5">
                  <c:v>18.274100000000001</c:v>
                </c:pt>
                <c:pt idx="6">
                  <c:v>18.20138</c:v>
                </c:pt>
                <c:pt idx="7">
                  <c:v>18.224550000000001</c:v>
                </c:pt>
                <c:pt idx="8">
                  <c:v>18.29325</c:v>
                </c:pt>
                <c:pt idx="9">
                  <c:v>18.291820000000001</c:v>
                </c:pt>
                <c:pt idx="10">
                  <c:v>18.270949999999999</c:v>
                </c:pt>
                <c:pt idx="11">
                  <c:v>18.25478</c:v>
                </c:pt>
                <c:pt idx="12">
                  <c:v>18.258949999999999</c:v>
                </c:pt>
                <c:pt idx="13">
                  <c:v>18.167290000000001</c:v>
                </c:pt>
                <c:pt idx="14">
                  <c:v>18.16058</c:v>
                </c:pt>
                <c:pt idx="15">
                  <c:v>18.172740000000001</c:v>
                </c:pt>
                <c:pt idx="16">
                  <c:v>17.91168</c:v>
                </c:pt>
                <c:pt idx="17">
                  <c:v>17.892679999999999</c:v>
                </c:pt>
                <c:pt idx="18">
                  <c:v>17.88129</c:v>
                </c:pt>
                <c:pt idx="19">
                  <c:v>17.875900000000001</c:v>
                </c:pt>
                <c:pt idx="20">
                  <c:v>17.923660000000002</c:v>
                </c:pt>
                <c:pt idx="21">
                  <c:v>17.883970000000001</c:v>
                </c:pt>
                <c:pt idx="22">
                  <c:v>17.881789999999999</c:v>
                </c:pt>
                <c:pt idx="23">
                  <c:v>17.84102</c:v>
                </c:pt>
                <c:pt idx="24">
                  <c:v>17.880739999999999</c:v>
                </c:pt>
                <c:pt idx="25">
                  <c:v>17.904910000000001</c:v>
                </c:pt>
                <c:pt idx="26">
                  <c:v>17.89405</c:v>
                </c:pt>
                <c:pt idx="27">
                  <c:v>17.898260000000001</c:v>
                </c:pt>
                <c:pt idx="28">
                  <c:v>17.900099999999998</c:v>
                </c:pt>
                <c:pt idx="29">
                  <c:v>17.92792</c:v>
                </c:pt>
                <c:pt idx="30">
                  <c:v>17.965140000000002</c:v>
                </c:pt>
                <c:pt idx="31">
                  <c:v>18.000170000000001</c:v>
                </c:pt>
                <c:pt idx="32">
                  <c:v>18.032050000000002</c:v>
                </c:pt>
                <c:pt idx="33">
                  <c:v>18.073709999999998</c:v>
                </c:pt>
                <c:pt idx="34">
                  <c:v>18.069870000000002</c:v>
                </c:pt>
                <c:pt idx="35">
                  <c:v>1.68895</c:v>
                </c:pt>
                <c:pt idx="36">
                  <c:v>1.6426400000000001</c:v>
                </c:pt>
                <c:pt idx="37">
                  <c:v>1.6384700000000001</c:v>
                </c:pt>
                <c:pt idx="38">
                  <c:v>1.64154</c:v>
                </c:pt>
                <c:pt idx="39">
                  <c:v>1.63948</c:v>
                </c:pt>
                <c:pt idx="40">
                  <c:v>1.6677299999999999</c:v>
                </c:pt>
                <c:pt idx="41">
                  <c:v>1.6611400000000001</c:v>
                </c:pt>
                <c:pt idx="42">
                  <c:v>5.0376700000000003</c:v>
                </c:pt>
                <c:pt idx="43">
                  <c:v>5.1260899999999996</c:v>
                </c:pt>
                <c:pt idx="44">
                  <c:v>5.1993600000000004</c:v>
                </c:pt>
                <c:pt idx="45">
                  <c:v>5.04887</c:v>
                </c:pt>
                <c:pt idx="46">
                  <c:v>5.0531300000000003</c:v>
                </c:pt>
                <c:pt idx="47">
                  <c:v>5.0629999999999997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BF-448C-AAB4-3ED023E99456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0.56759999999999999</c:v>
                </c:pt>
                <c:pt idx="1">
                  <c:v>0.53239999999999998</c:v>
                </c:pt>
                <c:pt idx="2">
                  <c:v>0.47939999999999999</c:v>
                </c:pt>
                <c:pt idx="3">
                  <c:v>0.44419999999999998</c:v>
                </c:pt>
                <c:pt idx="4">
                  <c:v>0.39710000000000001</c:v>
                </c:pt>
                <c:pt idx="5">
                  <c:v>0.39419999999999999</c:v>
                </c:pt>
                <c:pt idx="6">
                  <c:v>0.38500000000000001</c:v>
                </c:pt>
                <c:pt idx="7">
                  <c:v>0.37659999999999999</c:v>
                </c:pt>
                <c:pt idx="8">
                  <c:v>0.36159999999999998</c:v>
                </c:pt>
                <c:pt idx="9">
                  <c:v>0.35880000000000001</c:v>
                </c:pt>
                <c:pt idx="10">
                  <c:v>0.35389999999999999</c:v>
                </c:pt>
                <c:pt idx="11">
                  <c:v>0.35959999999999998</c:v>
                </c:pt>
                <c:pt idx="12">
                  <c:v>0.36940000000000001</c:v>
                </c:pt>
                <c:pt idx="13">
                  <c:v>0.37659999999999999</c:v>
                </c:pt>
                <c:pt idx="14">
                  <c:v>0.46110000000000001</c:v>
                </c:pt>
                <c:pt idx="15">
                  <c:v>0.48270000000000002</c:v>
                </c:pt>
                <c:pt idx="16">
                  <c:v>0.57240000000000002</c:v>
                </c:pt>
                <c:pt idx="17">
                  <c:v>0.6623</c:v>
                </c:pt>
                <c:pt idx="18">
                  <c:v>0.81599999999999995</c:v>
                </c:pt>
                <c:pt idx="19">
                  <c:v>0.97840000000000005</c:v>
                </c:pt>
                <c:pt idx="20">
                  <c:v>1.3163</c:v>
                </c:pt>
                <c:pt idx="21">
                  <c:v>1.5125999999999999</c:v>
                </c:pt>
                <c:pt idx="22">
                  <c:v>1.6296999999999999</c:v>
                </c:pt>
                <c:pt idx="23">
                  <c:v>1.6412</c:v>
                </c:pt>
                <c:pt idx="24">
                  <c:v>1.6728000000000001</c:v>
                </c:pt>
                <c:pt idx="25">
                  <c:v>1.6521999999999999</c:v>
                </c:pt>
                <c:pt idx="26">
                  <c:v>1.6516999999999999</c:v>
                </c:pt>
                <c:pt idx="27">
                  <c:v>1.6660999999999999</c:v>
                </c:pt>
                <c:pt idx="28">
                  <c:v>1.6509</c:v>
                </c:pt>
                <c:pt idx="29">
                  <c:v>1.6785000000000001</c:v>
                </c:pt>
                <c:pt idx="30">
                  <c:v>1.6618999999999999</c:v>
                </c:pt>
                <c:pt idx="31">
                  <c:v>1.6796</c:v>
                </c:pt>
                <c:pt idx="32">
                  <c:v>1.6858</c:v>
                </c:pt>
                <c:pt idx="33">
                  <c:v>1.6619999999999999</c:v>
                </c:pt>
                <c:pt idx="34">
                  <c:v>1.6952</c:v>
                </c:pt>
                <c:pt idx="35">
                  <c:v>1.7482</c:v>
                </c:pt>
                <c:pt idx="36">
                  <c:v>1.7703</c:v>
                </c:pt>
                <c:pt idx="37">
                  <c:v>1.7537</c:v>
                </c:pt>
                <c:pt idx="38">
                  <c:v>1.7609999999999999</c:v>
                </c:pt>
                <c:pt idx="39">
                  <c:v>1.7641</c:v>
                </c:pt>
                <c:pt idx="40">
                  <c:v>1.7413000000000001</c:v>
                </c:pt>
                <c:pt idx="41">
                  <c:v>1.7174</c:v>
                </c:pt>
                <c:pt idx="42">
                  <c:v>1.6587000000000001</c:v>
                </c:pt>
                <c:pt idx="43">
                  <c:v>1.4778</c:v>
                </c:pt>
                <c:pt idx="44">
                  <c:v>1.0286</c:v>
                </c:pt>
                <c:pt idx="45">
                  <c:v>0.79920000000000002</c:v>
                </c:pt>
                <c:pt idx="46">
                  <c:v>0.69320000000000004</c:v>
                </c:pt>
                <c:pt idx="47">
                  <c:v>0.63229999999999997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BF-448C-AAB4-3ED023E99456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0.56200000000000006</c:v>
                </c:pt>
                <c:pt idx="1">
                  <c:v>0.56399999999999995</c:v>
                </c:pt>
                <c:pt idx="2">
                  <c:v>0.56499999999999995</c:v>
                </c:pt>
                <c:pt idx="3">
                  <c:v>0.56299999999999994</c:v>
                </c:pt>
                <c:pt idx="4">
                  <c:v>0.54200000000000004</c:v>
                </c:pt>
                <c:pt idx="5">
                  <c:v>0.54300000000000004</c:v>
                </c:pt>
                <c:pt idx="6">
                  <c:v>0.55400000000000005</c:v>
                </c:pt>
                <c:pt idx="7">
                  <c:v>0.57199999999999995</c:v>
                </c:pt>
                <c:pt idx="8">
                  <c:v>0.56200000000000006</c:v>
                </c:pt>
                <c:pt idx="9">
                  <c:v>0.48299999999999998</c:v>
                </c:pt>
                <c:pt idx="10">
                  <c:v>0.57899999999999996</c:v>
                </c:pt>
                <c:pt idx="11">
                  <c:v>0.60799999999999998</c:v>
                </c:pt>
                <c:pt idx="12">
                  <c:v>0.57199999999999995</c:v>
                </c:pt>
                <c:pt idx="13">
                  <c:v>0.55900000000000005</c:v>
                </c:pt>
                <c:pt idx="14">
                  <c:v>0.54</c:v>
                </c:pt>
                <c:pt idx="15">
                  <c:v>0.55800000000000005</c:v>
                </c:pt>
                <c:pt idx="16">
                  <c:v>0.52600000000000002</c:v>
                </c:pt>
                <c:pt idx="17">
                  <c:v>0.54700000000000004</c:v>
                </c:pt>
                <c:pt idx="18">
                  <c:v>0.54800000000000004</c:v>
                </c:pt>
                <c:pt idx="19">
                  <c:v>0.54700000000000004</c:v>
                </c:pt>
                <c:pt idx="20">
                  <c:v>0.57999999999999996</c:v>
                </c:pt>
                <c:pt idx="21">
                  <c:v>0.49299999999999999</c:v>
                </c:pt>
                <c:pt idx="22">
                  <c:v>0.56100000000000005</c:v>
                </c:pt>
                <c:pt idx="23">
                  <c:v>0.54800000000000004</c:v>
                </c:pt>
                <c:pt idx="24">
                  <c:v>0.56799999999999995</c:v>
                </c:pt>
                <c:pt idx="25">
                  <c:v>0.58899999999999997</c:v>
                </c:pt>
                <c:pt idx="26">
                  <c:v>0.59499999999999997</c:v>
                </c:pt>
                <c:pt idx="27">
                  <c:v>0.55700000000000005</c:v>
                </c:pt>
                <c:pt idx="28">
                  <c:v>0.55300000000000005</c:v>
                </c:pt>
                <c:pt idx="29">
                  <c:v>0.55600000000000005</c:v>
                </c:pt>
                <c:pt idx="30">
                  <c:v>0.54</c:v>
                </c:pt>
                <c:pt idx="31">
                  <c:v>0.53400000000000003</c:v>
                </c:pt>
                <c:pt idx="32">
                  <c:v>0.56499999999999995</c:v>
                </c:pt>
                <c:pt idx="33">
                  <c:v>0.53700000000000003</c:v>
                </c:pt>
                <c:pt idx="34">
                  <c:v>0.59099999999999997</c:v>
                </c:pt>
                <c:pt idx="35">
                  <c:v>0.63300000000000001</c:v>
                </c:pt>
                <c:pt idx="36">
                  <c:v>0.60899999999999999</c:v>
                </c:pt>
                <c:pt idx="37">
                  <c:v>0.60499999999999998</c:v>
                </c:pt>
                <c:pt idx="38">
                  <c:v>0.59899999999999998</c:v>
                </c:pt>
                <c:pt idx="39">
                  <c:v>0.59899999999999998</c:v>
                </c:pt>
                <c:pt idx="40">
                  <c:v>0.59299999999999997</c:v>
                </c:pt>
                <c:pt idx="41">
                  <c:v>0.60299999999999998</c:v>
                </c:pt>
                <c:pt idx="42">
                  <c:v>0.624</c:v>
                </c:pt>
                <c:pt idx="43">
                  <c:v>0.59199999999999997</c:v>
                </c:pt>
                <c:pt idx="44">
                  <c:v>0.56799999999999995</c:v>
                </c:pt>
                <c:pt idx="45">
                  <c:v>0.50900000000000001</c:v>
                </c:pt>
                <c:pt idx="46">
                  <c:v>0.55700000000000005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BF-448C-AAB4-3ED023E99456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32.387599999999999</c:v>
                </c:pt>
                <c:pt idx="1">
                  <c:v>32.392449999999997</c:v>
                </c:pt>
                <c:pt idx="2">
                  <c:v>33.868429999999996</c:v>
                </c:pt>
                <c:pt idx="3">
                  <c:v>33.514980000000001</c:v>
                </c:pt>
                <c:pt idx="4">
                  <c:v>32.03105</c:v>
                </c:pt>
                <c:pt idx="5">
                  <c:v>32.3217</c:v>
                </c:pt>
                <c:pt idx="6">
                  <c:v>34.076410000000003</c:v>
                </c:pt>
                <c:pt idx="7">
                  <c:v>34.980829999999997</c:v>
                </c:pt>
                <c:pt idx="8">
                  <c:v>33.263120000000001</c:v>
                </c:pt>
                <c:pt idx="9">
                  <c:v>32.894759999999998</c:v>
                </c:pt>
                <c:pt idx="10">
                  <c:v>31.933430000000001</c:v>
                </c:pt>
                <c:pt idx="11">
                  <c:v>31.31973</c:v>
                </c:pt>
                <c:pt idx="12">
                  <c:v>29.69351</c:v>
                </c:pt>
                <c:pt idx="13">
                  <c:v>29.526710000000001</c:v>
                </c:pt>
                <c:pt idx="14">
                  <c:v>30.13561</c:v>
                </c:pt>
                <c:pt idx="15">
                  <c:v>31.49935</c:v>
                </c:pt>
                <c:pt idx="16">
                  <c:v>32.212539999999997</c:v>
                </c:pt>
                <c:pt idx="17">
                  <c:v>32.438389999999998</c:v>
                </c:pt>
                <c:pt idx="18">
                  <c:v>32.580170000000003</c:v>
                </c:pt>
                <c:pt idx="19">
                  <c:v>32.054360000000003</c:v>
                </c:pt>
                <c:pt idx="20">
                  <c:v>31.857399999999998</c:v>
                </c:pt>
                <c:pt idx="21">
                  <c:v>33.75123</c:v>
                </c:pt>
                <c:pt idx="22">
                  <c:v>33.352310000000003</c:v>
                </c:pt>
                <c:pt idx="23">
                  <c:v>33.068100000000001</c:v>
                </c:pt>
                <c:pt idx="24">
                  <c:v>32.891620000000003</c:v>
                </c:pt>
                <c:pt idx="25">
                  <c:v>32.367649999999998</c:v>
                </c:pt>
                <c:pt idx="26">
                  <c:v>32.210850000000001</c:v>
                </c:pt>
                <c:pt idx="27">
                  <c:v>32.286589999999997</c:v>
                </c:pt>
                <c:pt idx="28">
                  <c:v>32.142229999999998</c:v>
                </c:pt>
                <c:pt idx="29">
                  <c:v>33.37744</c:v>
                </c:pt>
                <c:pt idx="30">
                  <c:v>34.396090000000001</c:v>
                </c:pt>
                <c:pt idx="31">
                  <c:v>34.547699999999999</c:v>
                </c:pt>
                <c:pt idx="32">
                  <c:v>35.040109999999999</c:v>
                </c:pt>
                <c:pt idx="33">
                  <c:v>35.112310000000001</c:v>
                </c:pt>
                <c:pt idx="34">
                  <c:v>33.25855</c:v>
                </c:pt>
                <c:pt idx="35">
                  <c:v>32.261490000000002</c:v>
                </c:pt>
                <c:pt idx="36">
                  <c:v>31.99483</c:v>
                </c:pt>
                <c:pt idx="37">
                  <c:v>29.805389999999999</c:v>
                </c:pt>
                <c:pt idx="38">
                  <c:v>29.977889999999999</c:v>
                </c:pt>
                <c:pt idx="39">
                  <c:v>31.071819999999999</c:v>
                </c:pt>
                <c:pt idx="40">
                  <c:v>30.3108</c:v>
                </c:pt>
                <c:pt idx="41">
                  <c:v>29.41169</c:v>
                </c:pt>
                <c:pt idx="42">
                  <c:v>31.679849999999998</c:v>
                </c:pt>
                <c:pt idx="43">
                  <c:v>32.342919999999999</c:v>
                </c:pt>
                <c:pt idx="44">
                  <c:v>32.666220000000003</c:v>
                </c:pt>
                <c:pt idx="45">
                  <c:v>32.47775</c:v>
                </c:pt>
                <c:pt idx="46">
                  <c:v>31.651869999999999</c:v>
                </c:pt>
                <c:pt idx="47">
                  <c:v>31.85408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BF-448C-AAB4-3ED023E99456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414.46066000000002</c:v>
                </c:pt>
                <c:pt idx="1">
                  <c:v>414.54725000000002</c:v>
                </c:pt>
                <c:pt idx="2">
                  <c:v>399.59528</c:v>
                </c:pt>
                <c:pt idx="3">
                  <c:v>394.17459000000002</c:v>
                </c:pt>
                <c:pt idx="4">
                  <c:v>395.25256000000002</c:v>
                </c:pt>
                <c:pt idx="5">
                  <c:v>391.50231000000002</c:v>
                </c:pt>
                <c:pt idx="6">
                  <c:v>394.89082000000002</c:v>
                </c:pt>
                <c:pt idx="7">
                  <c:v>389.02814999999998</c:v>
                </c:pt>
                <c:pt idx="8">
                  <c:v>355.70481999999998</c:v>
                </c:pt>
                <c:pt idx="9">
                  <c:v>346.79557</c:v>
                </c:pt>
                <c:pt idx="10">
                  <c:v>339.18036000000001</c:v>
                </c:pt>
                <c:pt idx="11">
                  <c:v>332.41946999999999</c:v>
                </c:pt>
                <c:pt idx="12">
                  <c:v>318.64632</c:v>
                </c:pt>
                <c:pt idx="13">
                  <c:v>336.67541</c:v>
                </c:pt>
                <c:pt idx="14">
                  <c:v>373.20803000000001</c:v>
                </c:pt>
                <c:pt idx="15">
                  <c:v>390.88774999999998</c:v>
                </c:pt>
                <c:pt idx="16">
                  <c:v>400.32173</c:v>
                </c:pt>
                <c:pt idx="17">
                  <c:v>405.83371</c:v>
                </c:pt>
                <c:pt idx="18">
                  <c:v>415.32988999999998</c:v>
                </c:pt>
                <c:pt idx="19">
                  <c:v>406.82949000000002</c:v>
                </c:pt>
                <c:pt idx="20">
                  <c:v>406.66620999999998</c:v>
                </c:pt>
                <c:pt idx="21">
                  <c:v>394.68878000000001</c:v>
                </c:pt>
                <c:pt idx="22">
                  <c:v>381.18513000000002</c:v>
                </c:pt>
                <c:pt idx="23">
                  <c:v>393.52395000000001</c:v>
                </c:pt>
                <c:pt idx="24">
                  <c:v>410.62779999999998</c:v>
                </c:pt>
                <c:pt idx="25">
                  <c:v>410.40386000000001</c:v>
                </c:pt>
                <c:pt idx="26">
                  <c:v>412.72143</c:v>
                </c:pt>
                <c:pt idx="27">
                  <c:v>412.17176999999998</c:v>
                </c:pt>
                <c:pt idx="28">
                  <c:v>406.22942</c:v>
                </c:pt>
                <c:pt idx="29">
                  <c:v>405.24725999999998</c:v>
                </c:pt>
                <c:pt idx="30">
                  <c:v>408.79665999999997</c:v>
                </c:pt>
                <c:pt idx="31">
                  <c:v>417.25159000000002</c:v>
                </c:pt>
                <c:pt idx="32">
                  <c:v>419.30185</c:v>
                </c:pt>
                <c:pt idx="33">
                  <c:v>421.32941</c:v>
                </c:pt>
                <c:pt idx="34">
                  <c:v>418.25895000000003</c:v>
                </c:pt>
                <c:pt idx="35">
                  <c:v>410.65769</c:v>
                </c:pt>
                <c:pt idx="36">
                  <c:v>415.28766999999999</c:v>
                </c:pt>
                <c:pt idx="37">
                  <c:v>413.40571</c:v>
                </c:pt>
                <c:pt idx="38">
                  <c:v>377.93871000000001</c:v>
                </c:pt>
                <c:pt idx="39">
                  <c:v>413.32839999999999</c:v>
                </c:pt>
                <c:pt idx="40">
                  <c:v>416.99489999999997</c:v>
                </c:pt>
                <c:pt idx="41">
                  <c:v>426.22343999999998</c:v>
                </c:pt>
                <c:pt idx="42">
                  <c:v>426.07337000000001</c:v>
                </c:pt>
                <c:pt idx="43">
                  <c:v>416.19403999999997</c:v>
                </c:pt>
                <c:pt idx="44">
                  <c:v>409.96697999999998</c:v>
                </c:pt>
                <c:pt idx="45">
                  <c:v>334.61725999999999</c:v>
                </c:pt>
                <c:pt idx="46">
                  <c:v>391.24657000000002</c:v>
                </c:pt>
                <c:pt idx="47">
                  <c:v>398.97483999999997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9BF-448C-AAB4-3ED023E99456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BF-448C-AAB4-3ED023E99456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148.72909999999999</c:v>
                </c:pt>
                <c:pt idx="1">
                  <c:v>152.43709999999999</c:v>
                </c:pt>
                <c:pt idx="2">
                  <c:v>156.54179999999999</c:v>
                </c:pt>
                <c:pt idx="3">
                  <c:v>153.0361</c:v>
                </c:pt>
                <c:pt idx="4">
                  <c:v>152.10290000000001</c:v>
                </c:pt>
                <c:pt idx="5">
                  <c:v>153.42160000000001</c:v>
                </c:pt>
                <c:pt idx="6">
                  <c:v>147.71770000000001</c:v>
                </c:pt>
                <c:pt idx="7">
                  <c:v>151.0839</c:v>
                </c:pt>
                <c:pt idx="8">
                  <c:v>143.77180000000001</c:v>
                </c:pt>
                <c:pt idx="9">
                  <c:v>151.708</c:v>
                </c:pt>
                <c:pt idx="10">
                  <c:v>149.66239999999999</c:v>
                </c:pt>
                <c:pt idx="11">
                  <c:v>141.9496</c:v>
                </c:pt>
                <c:pt idx="12">
                  <c:v>135.4007</c:v>
                </c:pt>
                <c:pt idx="13">
                  <c:v>151.26240000000001</c:v>
                </c:pt>
                <c:pt idx="14">
                  <c:v>149.92769999999999</c:v>
                </c:pt>
                <c:pt idx="15">
                  <c:v>154.30090000000001</c:v>
                </c:pt>
                <c:pt idx="16">
                  <c:v>154.17660000000001</c:v>
                </c:pt>
                <c:pt idx="17">
                  <c:v>150.54050000000001</c:v>
                </c:pt>
                <c:pt idx="18">
                  <c:v>149.58150000000001</c:v>
                </c:pt>
                <c:pt idx="19">
                  <c:v>153.57900000000001</c:v>
                </c:pt>
                <c:pt idx="20">
                  <c:v>153.5155</c:v>
                </c:pt>
                <c:pt idx="21">
                  <c:v>148.95519999999999</c:v>
                </c:pt>
                <c:pt idx="22">
                  <c:v>150.76660000000001</c:v>
                </c:pt>
                <c:pt idx="23">
                  <c:v>152.74</c:v>
                </c:pt>
                <c:pt idx="24">
                  <c:v>148.36799999999999</c:v>
                </c:pt>
                <c:pt idx="25">
                  <c:v>143.8835</c:v>
                </c:pt>
                <c:pt idx="26">
                  <c:v>152.91300000000001</c:v>
                </c:pt>
                <c:pt idx="27">
                  <c:v>154.3493</c:v>
                </c:pt>
                <c:pt idx="28">
                  <c:v>149.77940000000001</c:v>
                </c:pt>
                <c:pt idx="29">
                  <c:v>156.2586</c:v>
                </c:pt>
                <c:pt idx="30">
                  <c:v>152.28829999999999</c:v>
                </c:pt>
                <c:pt idx="31">
                  <c:v>158.03739999999999</c:v>
                </c:pt>
                <c:pt idx="32">
                  <c:v>155.30109999999999</c:v>
                </c:pt>
                <c:pt idx="33">
                  <c:v>156.46350000000001</c:v>
                </c:pt>
                <c:pt idx="34">
                  <c:v>145.6576</c:v>
                </c:pt>
                <c:pt idx="35">
                  <c:v>153.90989999999999</c:v>
                </c:pt>
                <c:pt idx="36">
                  <c:v>146.21969999999999</c:v>
                </c:pt>
                <c:pt idx="37">
                  <c:v>144.08240000000001</c:v>
                </c:pt>
                <c:pt idx="38">
                  <c:v>145.61179999999999</c:v>
                </c:pt>
                <c:pt idx="39">
                  <c:v>149.0127</c:v>
                </c:pt>
                <c:pt idx="40">
                  <c:v>152.82599999999999</c:v>
                </c:pt>
                <c:pt idx="41">
                  <c:v>147.84180000000001</c:v>
                </c:pt>
                <c:pt idx="42">
                  <c:v>156.67959999999999</c:v>
                </c:pt>
                <c:pt idx="43">
                  <c:v>156.36250000000001</c:v>
                </c:pt>
                <c:pt idx="44">
                  <c:v>160.81209999999999</c:v>
                </c:pt>
                <c:pt idx="45">
                  <c:v>154.26779999999999</c:v>
                </c:pt>
                <c:pt idx="46">
                  <c:v>155.40049999999999</c:v>
                </c:pt>
                <c:pt idx="47">
                  <c:v>158.43879999999999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9BF-448C-AAB4-3ED023E99456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18.369</c:v>
                </c:pt>
                <c:pt idx="1">
                  <c:v>18.155000000000001</c:v>
                </c:pt>
                <c:pt idx="2">
                  <c:v>18.494</c:v>
                </c:pt>
                <c:pt idx="3">
                  <c:v>18.402000000000001</c:v>
                </c:pt>
                <c:pt idx="4">
                  <c:v>18.417000000000002</c:v>
                </c:pt>
                <c:pt idx="5">
                  <c:v>18.686</c:v>
                </c:pt>
                <c:pt idx="6">
                  <c:v>18.466999999999999</c:v>
                </c:pt>
                <c:pt idx="7">
                  <c:v>18.317</c:v>
                </c:pt>
                <c:pt idx="8">
                  <c:v>18.824999999999999</c:v>
                </c:pt>
                <c:pt idx="9">
                  <c:v>19.126000000000001</c:v>
                </c:pt>
                <c:pt idx="10">
                  <c:v>18.948</c:v>
                </c:pt>
                <c:pt idx="11">
                  <c:v>18.629000000000001</c:v>
                </c:pt>
                <c:pt idx="12">
                  <c:v>18.274999999999999</c:v>
                </c:pt>
                <c:pt idx="13">
                  <c:v>17.646000000000001</c:v>
                </c:pt>
                <c:pt idx="14">
                  <c:v>17.524999999999999</c:v>
                </c:pt>
                <c:pt idx="15">
                  <c:v>18.085999999999999</c:v>
                </c:pt>
                <c:pt idx="16">
                  <c:v>18.123000000000001</c:v>
                </c:pt>
                <c:pt idx="17">
                  <c:v>17.792000000000002</c:v>
                </c:pt>
                <c:pt idx="18">
                  <c:v>17.664999999999999</c:v>
                </c:pt>
                <c:pt idx="19">
                  <c:v>17.754999999999999</c:v>
                </c:pt>
                <c:pt idx="20">
                  <c:v>17.858000000000001</c:v>
                </c:pt>
                <c:pt idx="21">
                  <c:v>17.600999999999999</c:v>
                </c:pt>
                <c:pt idx="22">
                  <c:v>17.844000000000001</c:v>
                </c:pt>
                <c:pt idx="23">
                  <c:v>17.920000000000002</c:v>
                </c:pt>
                <c:pt idx="24">
                  <c:v>17.875</c:v>
                </c:pt>
                <c:pt idx="25">
                  <c:v>17.72</c:v>
                </c:pt>
                <c:pt idx="26">
                  <c:v>17.975000000000001</c:v>
                </c:pt>
                <c:pt idx="27">
                  <c:v>17.952999999999999</c:v>
                </c:pt>
                <c:pt idx="28">
                  <c:v>17.954000000000001</c:v>
                </c:pt>
                <c:pt idx="29">
                  <c:v>17.925000000000001</c:v>
                </c:pt>
                <c:pt idx="30">
                  <c:v>17.713999999999999</c:v>
                </c:pt>
                <c:pt idx="31">
                  <c:v>17.93</c:v>
                </c:pt>
                <c:pt idx="32">
                  <c:v>18.257999999999999</c:v>
                </c:pt>
                <c:pt idx="33">
                  <c:v>18.582000000000001</c:v>
                </c:pt>
                <c:pt idx="34">
                  <c:v>18.513999999999999</c:v>
                </c:pt>
                <c:pt idx="35">
                  <c:v>16.661000000000001</c:v>
                </c:pt>
                <c:pt idx="36">
                  <c:v>16.420000000000002</c:v>
                </c:pt>
                <c:pt idx="37">
                  <c:v>16.120999999999999</c:v>
                </c:pt>
                <c:pt idx="38">
                  <c:v>15.817</c:v>
                </c:pt>
                <c:pt idx="39">
                  <c:v>16.260000000000002</c:v>
                </c:pt>
                <c:pt idx="40">
                  <c:v>18.25</c:v>
                </c:pt>
                <c:pt idx="41">
                  <c:v>18.321999999999999</c:v>
                </c:pt>
                <c:pt idx="42">
                  <c:v>18.452999999999999</c:v>
                </c:pt>
                <c:pt idx="43">
                  <c:v>18.390999999999998</c:v>
                </c:pt>
                <c:pt idx="44">
                  <c:v>18.434000000000001</c:v>
                </c:pt>
                <c:pt idx="45">
                  <c:v>18.696000000000002</c:v>
                </c:pt>
                <c:pt idx="46">
                  <c:v>18.709</c:v>
                </c:pt>
                <c:pt idx="47">
                  <c:v>18.628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BF-448C-AAB4-3ED023E99456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BF-448C-AAB4-3ED023E99456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BF-448C-AAB4-3ED023E99456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17.671900000000001</c:v>
                </c:pt>
                <c:pt idx="1">
                  <c:v>16.935199999999998</c:v>
                </c:pt>
                <c:pt idx="2">
                  <c:v>17.206499999999998</c:v>
                </c:pt>
                <c:pt idx="3">
                  <c:v>17.5763</c:v>
                </c:pt>
                <c:pt idx="4">
                  <c:v>17.043199999999999</c:v>
                </c:pt>
                <c:pt idx="5">
                  <c:v>18.376200000000001</c:v>
                </c:pt>
                <c:pt idx="6">
                  <c:v>17.276</c:v>
                </c:pt>
                <c:pt idx="7">
                  <c:v>17.298500000000001</c:v>
                </c:pt>
                <c:pt idx="8">
                  <c:v>17.5108</c:v>
                </c:pt>
                <c:pt idx="9">
                  <c:v>16.873100000000001</c:v>
                </c:pt>
                <c:pt idx="10">
                  <c:v>16.273399999999999</c:v>
                </c:pt>
                <c:pt idx="11">
                  <c:v>15.301500000000001</c:v>
                </c:pt>
                <c:pt idx="12">
                  <c:v>15.596399999999999</c:v>
                </c:pt>
                <c:pt idx="13">
                  <c:v>15.8385</c:v>
                </c:pt>
                <c:pt idx="14">
                  <c:v>15.6296</c:v>
                </c:pt>
                <c:pt idx="15">
                  <c:v>15.354200000000001</c:v>
                </c:pt>
                <c:pt idx="16">
                  <c:v>15.038399999999999</c:v>
                </c:pt>
                <c:pt idx="17">
                  <c:v>15.0656</c:v>
                </c:pt>
                <c:pt idx="18">
                  <c:v>16.5838</c:v>
                </c:pt>
                <c:pt idx="19">
                  <c:v>17.354199999999999</c:v>
                </c:pt>
                <c:pt idx="20">
                  <c:v>17.1158</c:v>
                </c:pt>
                <c:pt idx="21">
                  <c:v>16.5608</c:v>
                </c:pt>
                <c:pt idx="22">
                  <c:v>17.166</c:v>
                </c:pt>
                <c:pt idx="23">
                  <c:v>16.440300000000001</c:v>
                </c:pt>
                <c:pt idx="24">
                  <c:v>16.2454</c:v>
                </c:pt>
                <c:pt idx="25">
                  <c:v>16.506799999999998</c:v>
                </c:pt>
                <c:pt idx="26">
                  <c:v>16.940300000000001</c:v>
                </c:pt>
                <c:pt idx="27">
                  <c:v>17.9297</c:v>
                </c:pt>
                <c:pt idx="28">
                  <c:v>17.471</c:v>
                </c:pt>
                <c:pt idx="29">
                  <c:v>17.54</c:v>
                </c:pt>
                <c:pt idx="30">
                  <c:v>16.9496</c:v>
                </c:pt>
                <c:pt idx="31">
                  <c:v>17.304400000000001</c:v>
                </c:pt>
                <c:pt idx="32">
                  <c:v>17.269400000000001</c:v>
                </c:pt>
                <c:pt idx="33">
                  <c:v>17.7636</c:v>
                </c:pt>
                <c:pt idx="34">
                  <c:v>17.214200000000002</c:v>
                </c:pt>
                <c:pt idx="35">
                  <c:v>16.417899999999999</c:v>
                </c:pt>
                <c:pt idx="36">
                  <c:v>15.091100000000001</c:v>
                </c:pt>
                <c:pt idx="37">
                  <c:v>14.8644</c:v>
                </c:pt>
                <c:pt idx="38">
                  <c:v>14.481</c:v>
                </c:pt>
                <c:pt idx="39">
                  <c:v>14.6007</c:v>
                </c:pt>
                <c:pt idx="40">
                  <c:v>16.5471</c:v>
                </c:pt>
                <c:pt idx="41">
                  <c:v>17.040400000000002</c:v>
                </c:pt>
                <c:pt idx="42">
                  <c:v>17.9207</c:v>
                </c:pt>
                <c:pt idx="43">
                  <c:v>18.1511</c:v>
                </c:pt>
                <c:pt idx="44">
                  <c:v>18.703800000000001</c:v>
                </c:pt>
                <c:pt idx="45">
                  <c:v>17.845700000000001</c:v>
                </c:pt>
                <c:pt idx="46">
                  <c:v>18.354600000000001</c:v>
                </c:pt>
                <c:pt idx="47">
                  <c:v>18.456399999999999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9BF-448C-AAB4-3ED023E99456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4.72173</c:v>
                </c:pt>
                <c:pt idx="1">
                  <c:v>4.7910300000000001</c:v>
                </c:pt>
                <c:pt idx="2">
                  <c:v>4.7743000000000002</c:v>
                </c:pt>
                <c:pt idx="3">
                  <c:v>4.4213500000000003</c:v>
                </c:pt>
                <c:pt idx="4">
                  <c:v>4.4270699999999996</c:v>
                </c:pt>
                <c:pt idx="5">
                  <c:v>4.4310700000000001</c:v>
                </c:pt>
                <c:pt idx="6">
                  <c:v>4.4260799999999998</c:v>
                </c:pt>
                <c:pt idx="7">
                  <c:v>4.4345600000000003</c:v>
                </c:pt>
                <c:pt idx="8">
                  <c:v>4.7367299999999997</c:v>
                </c:pt>
                <c:pt idx="9">
                  <c:v>4.62385</c:v>
                </c:pt>
                <c:pt idx="10">
                  <c:v>4.4592400000000003</c:v>
                </c:pt>
                <c:pt idx="11">
                  <c:v>4.4242299999999997</c:v>
                </c:pt>
                <c:pt idx="12">
                  <c:v>4.3401699999999996</c:v>
                </c:pt>
                <c:pt idx="13">
                  <c:v>4.2793900000000002</c:v>
                </c:pt>
                <c:pt idx="14">
                  <c:v>4.2666399999999998</c:v>
                </c:pt>
                <c:pt idx="15">
                  <c:v>4.2854099999999997</c:v>
                </c:pt>
                <c:pt idx="16">
                  <c:v>4.3258700000000001</c:v>
                </c:pt>
                <c:pt idx="17">
                  <c:v>4.3289900000000001</c:v>
                </c:pt>
                <c:pt idx="18">
                  <c:v>4.3788200000000002</c:v>
                </c:pt>
                <c:pt idx="19">
                  <c:v>4.4474099999999996</c:v>
                </c:pt>
                <c:pt idx="20">
                  <c:v>4.0356699999999996</c:v>
                </c:pt>
                <c:pt idx="21">
                  <c:v>3.5613600000000001</c:v>
                </c:pt>
                <c:pt idx="22">
                  <c:v>3.55871</c:v>
                </c:pt>
                <c:pt idx="23">
                  <c:v>4.15158</c:v>
                </c:pt>
                <c:pt idx="24">
                  <c:v>4.0791300000000001</c:v>
                </c:pt>
                <c:pt idx="25">
                  <c:v>4.0601599999999998</c:v>
                </c:pt>
                <c:pt idx="26">
                  <c:v>4.0584499999999997</c:v>
                </c:pt>
                <c:pt idx="27">
                  <c:v>4.3804499999999997</c:v>
                </c:pt>
                <c:pt idx="28">
                  <c:v>4.1642099999999997</c:v>
                </c:pt>
                <c:pt idx="29">
                  <c:v>4.1014099999999996</c:v>
                </c:pt>
                <c:pt idx="30">
                  <c:v>4.3577599999999999</c:v>
                </c:pt>
                <c:pt idx="31">
                  <c:v>4.5011099999999997</c:v>
                </c:pt>
                <c:pt idx="32">
                  <c:v>4.4970400000000001</c:v>
                </c:pt>
                <c:pt idx="33">
                  <c:v>4.55267</c:v>
                </c:pt>
                <c:pt idx="34">
                  <c:v>4.78139</c:v>
                </c:pt>
                <c:pt idx="35">
                  <c:v>4.7314100000000003</c:v>
                </c:pt>
                <c:pt idx="36">
                  <c:v>4.4903599999999999</c:v>
                </c:pt>
                <c:pt idx="37">
                  <c:v>4.4864300000000004</c:v>
                </c:pt>
                <c:pt idx="38">
                  <c:v>4.4840099999999996</c:v>
                </c:pt>
                <c:pt idx="39">
                  <c:v>4.4743399999999998</c:v>
                </c:pt>
                <c:pt idx="40">
                  <c:v>4.6026300000000004</c:v>
                </c:pt>
                <c:pt idx="41">
                  <c:v>4.81311</c:v>
                </c:pt>
                <c:pt idx="42">
                  <c:v>4.9559300000000004</c:v>
                </c:pt>
                <c:pt idx="43">
                  <c:v>5.0045000000000002</c:v>
                </c:pt>
                <c:pt idx="44">
                  <c:v>4.8914</c:v>
                </c:pt>
                <c:pt idx="45">
                  <c:v>4.9266699999999997</c:v>
                </c:pt>
                <c:pt idx="46">
                  <c:v>4.9250699999999998</c:v>
                </c:pt>
                <c:pt idx="47">
                  <c:v>4.8775500000000003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9BF-448C-AAB4-3ED023E99456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9BF-448C-AAB4-3ED023E99456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9BF-448C-AAB4-3ED023E99456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15.90476</c:v>
                </c:pt>
                <c:pt idx="1">
                  <c:v>16.38448</c:v>
                </c:pt>
                <c:pt idx="2">
                  <c:v>15.56104</c:v>
                </c:pt>
                <c:pt idx="3">
                  <c:v>15.76093</c:v>
                </c:pt>
                <c:pt idx="4">
                  <c:v>16.281079999999999</c:v>
                </c:pt>
                <c:pt idx="5">
                  <c:v>16.989979999999999</c:v>
                </c:pt>
                <c:pt idx="6">
                  <c:v>17.0367</c:v>
                </c:pt>
                <c:pt idx="7">
                  <c:v>16.713380000000001</c:v>
                </c:pt>
                <c:pt idx="8">
                  <c:v>16.648309999999999</c:v>
                </c:pt>
                <c:pt idx="9">
                  <c:v>15.422029999999999</c:v>
                </c:pt>
                <c:pt idx="10">
                  <c:v>14.444710000000001</c:v>
                </c:pt>
                <c:pt idx="11">
                  <c:v>14.24268</c:v>
                </c:pt>
                <c:pt idx="12">
                  <c:v>14.08569</c:v>
                </c:pt>
                <c:pt idx="13">
                  <c:v>13.63265</c:v>
                </c:pt>
                <c:pt idx="14">
                  <c:v>13.962630000000001</c:v>
                </c:pt>
                <c:pt idx="15">
                  <c:v>13.723800000000001</c:v>
                </c:pt>
                <c:pt idx="16">
                  <c:v>14.569100000000001</c:v>
                </c:pt>
                <c:pt idx="17">
                  <c:v>14.65368</c:v>
                </c:pt>
                <c:pt idx="18">
                  <c:v>15.191129999999999</c:v>
                </c:pt>
                <c:pt idx="19">
                  <c:v>15.10009</c:v>
                </c:pt>
                <c:pt idx="20">
                  <c:v>15.84615</c:v>
                </c:pt>
                <c:pt idx="21">
                  <c:v>16.19455</c:v>
                </c:pt>
                <c:pt idx="22">
                  <c:v>16.261189999999999</c:v>
                </c:pt>
                <c:pt idx="23">
                  <c:v>16.668410000000002</c:v>
                </c:pt>
                <c:pt idx="24">
                  <c:v>15.731439999999999</c:v>
                </c:pt>
                <c:pt idx="25">
                  <c:v>15.9787</c:v>
                </c:pt>
                <c:pt idx="26">
                  <c:v>16.231539999999999</c:v>
                </c:pt>
                <c:pt idx="27">
                  <c:v>16.17887</c:v>
                </c:pt>
                <c:pt idx="28">
                  <c:v>17.02393</c:v>
                </c:pt>
                <c:pt idx="29">
                  <c:v>17.49044</c:v>
                </c:pt>
                <c:pt idx="30">
                  <c:v>16.922039999999999</c:v>
                </c:pt>
                <c:pt idx="31">
                  <c:v>17.038219999999999</c:v>
                </c:pt>
                <c:pt idx="32">
                  <c:v>16.784859999999998</c:v>
                </c:pt>
                <c:pt idx="33">
                  <c:v>16.596019999999999</c:v>
                </c:pt>
                <c:pt idx="34">
                  <c:v>15.411809999999999</c:v>
                </c:pt>
                <c:pt idx="35">
                  <c:v>14.906499999999999</c:v>
                </c:pt>
                <c:pt idx="36">
                  <c:v>13.503220000000001</c:v>
                </c:pt>
                <c:pt idx="37">
                  <c:v>13.49349</c:v>
                </c:pt>
                <c:pt idx="38">
                  <c:v>13.58305</c:v>
                </c:pt>
                <c:pt idx="39">
                  <c:v>14.61084</c:v>
                </c:pt>
                <c:pt idx="40">
                  <c:v>15.337899999999999</c:v>
                </c:pt>
                <c:pt idx="41">
                  <c:v>15.27847</c:v>
                </c:pt>
                <c:pt idx="42">
                  <c:v>15.69523</c:v>
                </c:pt>
                <c:pt idx="43">
                  <c:v>15.940530000000001</c:v>
                </c:pt>
                <c:pt idx="44">
                  <c:v>16.532219999999999</c:v>
                </c:pt>
                <c:pt idx="45">
                  <c:v>16.141169999999999</c:v>
                </c:pt>
                <c:pt idx="46">
                  <c:v>17.020140000000001</c:v>
                </c:pt>
                <c:pt idx="47">
                  <c:v>16.45112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9BF-448C-AAB4-3ED023E99456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258.36</c:v>
                </c:pt>
                <c:pt idx="1">
                  <c:v>267.2</c:v>
                </c:pt>
                <c:pt idx="2">
                  <c:v>274.44</c:v>
                </c:pt>
                <c:pt idx="3">
                  <c:v>268.51</c:v>
                </c:pt>
                <c:pt idx="4">
                  <c:v>268.93</c:v>
                </c:pt>
                <c:pt idx="5">
                  <c:v>282.29000000000002</c:v>
                </c:pt>
                <c:pt idx="6">
                  <c:v>273.10000000000002</c:v>
                </c:pt>
                <c:pt idx="7">
                  <c:v>274.72000000000003</c:v>
                </c:pt>
                <c:pt idx="8">
                  <c:v>281.87</c:v>
                </c:pt>
                <c:pt idx="9">
                  <c:v>276.57</c:v>
                </c:pt>
                <c:pt idx="10">
                  <c:v>273.23</c:v>
                </c:pt>
                <c:pt idx="11">
                  <c:v>276.44</c:v>
                </c:pt>
                <c:pt idx="12">
                  <c:v>279.70999999999998</c:v>
                </c:pt>
                <c:pt idx="13">
                  <c:v>272.3</c:v>
                </c:pt>
                <c:pt idx="14">
                  <c:v>273.70999999999998</c:v>
                </c:pt>
                <c:pt idx="15">
                  <c:v>274.36</c:v>
                </c:pt>
                <c:pt idx="16">
                  <c:v>274.60000000000002</c:v>
                </c:pt>
                <c:pt idx="17">
                  <c:v>274.73</c:v>
                </c:pt>
                <c:pt idx="18">
                  <c:v>270.32</c:v>
                </c:pt>
                <c:pt idx="19">
                  <c:v>270.98</c:v>
                </c:pt>
                <c:pt idx="20">
                  <c:v>253.26</c:v>
                </c:pt>
                <c:pt idx="21">
                  <c:v>248.27</c:v>
                </c:pt>
                <c:pt idx="22">
                  <c:v>248.53</c:v>
                </c:pt>
                <c:pt idx="23">
                  <c:v>245.56</c:v>
                </c:pt>
                <c:pt idx="24">
                  <c:v>252.55</c:v>
                </c:pt>
                <c:pt idx="25">
                  <c:v>253.32</c:v>
                </c:pt>
                <c:pt idx="26">
                  <c:v>249.23</c:v>
                </c:pt>
                <c:pt idx="27">
                  <c:v>265.67</c:v>
                </c:pt>
                <c:pt idx="28">
                  <c:v>261.05</c:v>
                </c:pt>
                <c:pt idx="29">
                  <c:v>260.06</c:v>
                </c:pt>
                <c:pt idx="30">
                  <c:v>263.66000000000003</c:v>
                </c:pt>
                <c:pt idx="31">
                  <c:v>262.97000000000003</c:v>
                </c:pt>
                <c:pt idx="32">
                  <c:v>260.64999999999998</c:v>
                </c:pt>
                <c:pt idx="33">
                  <c:v>262.55</c:v>
                </c:pt>
                <c:pt idx="34">
                  <c:v>255.32</c:v>
                </c:pt>
                <c:pt idx="35">
                  <c:v>258.14999999999998</c:v>
                </c:pt>
                <c:pt idx="36">
                  <c:v>266.95999999999998</c:v>
                </c:pt>
                <c:pt idx="37">
                  <c:v>260.52</c:v>
                </c:pt>
                <c:pt idx="38">
                  <c:v>257.44</c:v>
                </c:pt>
                <c:pt idx="39">
                  <c:v>253.21</c:v>
                </c:pt>
                <c:pt idx="40">
                  <c:v>257.63</c:v>
                </c:pt>
                <c:pt idx="41">
                  <c:v>270.87</c:v>
                </c:pt>
                <c:pt idx="42">
                  <c:v>284.7</c:v>
                </c:pt>
                <c:pt idx="43">
                  <c:v>291.54000000000002</c:v>
                </c:pt>
                <c:pt idx="44">
                  <c:v>291.44</c:v>
                </c:pt>
                <c:pt idx="45">
                  <c:v>289.47000000000003</c:v>
                </c:pt>
                <c:pt idx="46">
                  <c:v>287.51</c:v>
                </c:pt>
                <c:pt idx="47">
                  <c:v>288.20999999999998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9BF-448C-AAB4-3ED023E99456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9BF-448C-AAB4-3ED023E99456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23.594000000000001</c:v>
                </c:pt>
                <c:pt idx="1">
                  <c:v>25.097999999999999</c:v>
                </c:pt>
                <c:pt idx="2">
                  <c:v>25.675000000000001</c:v>
                </c:pt>
                <c:pt idx="3">
                  <c:v>25.817</c:v>
                </c:pt>
                <c:pt idx="4">
                  <c:v>25.9</c:v>
                </c:pt>
                <c:pt idx="5">
                  <c:v>25.138000000000002</c:v>
                </c:pt>
                <c:pt idx="6">
                  <c:v>26.175999999999998</c:v>
                </c:pt>
                <c:pt idx="7">
                  <c:v>25.788</c:v>
                </c:pt>
                <c:pt idx="8">
                  <c:v>25.747</c:v>
                </c:pt>
                <c:pt idx="9">
                  <c:v>26.036000000000001</c:v>
                </c:pt>
                <c:pt idx="10">
                  <c:v>26.478999999999999</c:v>
                </c:pt>
                <c:pt idx="11">
                  <c:v>26.297999999999998</c:v>
                </c:pt>
                <c:pt idx="12">
                  <c:v>26.184999999999999</c:v>
                </c:pt>
                <c:pt idx="13">
                  <c:v>25.8</c:v>
                </c:pt>
                <c:pt idx="14">
                  <c:v>26.341999999999999</c:v>
                </c:pt>
                <c:pt idx="15">
                  <c:v>26.456</c:v>
                </c:pt>
                <c:pt idx="16">
                  <c:v>32.673000000000002</c:v>
                </c:pt>
                <c:pt idx="17">
                  <c:v>33.003999999999998</c:v>
                </c:pt>
                <c:pt idx="18">
                  <c:v>33.07</c:v>
                </c:pt>
                <c:pt idx="19">
                  <c:v>32.914999999999999</c:v>
                </c:pt>
                <c:pt idx="20">
                  <c:v>30.536000000000001</c:v>
                </c:pt>
                <c:pt idx="21">
                  <c:v>32.154000000000003</c:v>
                </c:pt>
                <c:pt idx="22">
                  <c:v>32.695</c:v>
                </c:pt>
                <c:pt idx="23">
                  <c:v>32.07</c:v>
                </c:pt>
                <c:pt idx="24">
                  <c:v>31.305</c:v>
                </c:pt>
                <c:pt idx="25">
                  <c:v>29.614000000000001</c:v>
                </c:pt>
                <c:pt idx="26">
                  <c:v>29.498999999999999</c:v>
                </c:pt>
                <c:pt idx="27">
                  <c:v>31.239000000000001</c:v>
                </c:pt>
                <c:pt idx="28">
                  <c:v>32.326000000000001</c:v>
                </c:pt>
                <c:pt idx="29">
                  <c:v>30.364999999999998</c:v>
                </c:pt>
                <c:pt idx="30">
                  <c:v>30.545000000000002</c:v>
                </c:pt>
                <c:pt idx="31">
                  <c:v>30.756</c:v>
                </c:pt>
                <c:pt idx="32">
                  <c:v>29.036000000000001</c:v>
                </c:pt>
                <c:pt idx="33">
                  <c:v>30.471</c:v>
                </c:pt>
                <c:pt idx="34">
                  <c:v>31.265000000000001</c:v>
                </c:pt>
                <c:pt idx="35">
                  <c:v>30.359000000000002</c:v>
                </c:pt>
                <c:pt idx="36">
                  <c:v>27.928000000000001</c:v>
                </c:pt>
                <c:pt idx="37">
                  <c:v>26.559000000000001</c:v>
                </c:pt>
                <c:pt idx="38">
                  <c:v>25.507999999999999</c:v>
                </c:pt>
                <c:pt idx="39">
                  <c:v>25.591000000000001</c:v>
                </c:pt>
                <c:pt idx="40">
                  <c:v>26.559000000000001</c:v>
                </c:pt>
                <c:pt idx="41">
                  <c:v>26.29</c:v>
                </c:pt>
                <c:pt idx="42">
                  <c:v>26.303999999999998</c:v>
                </c:pt>
                <c:pt idx="43">
                  <c:v>26.51</c:v>
                </c:pt>
                <c:pt idx="44">
                  <c:v>30.463999999999999</c:v>
                </c:pt>
                <c:pt idx="45">
                  <c:v>30.712</c:v>
                </c:pt>
                <c:pt idx="46">
                  <c:v>30.478000000000002</c:v>
                </c:pt>
                <c:pt idx="47">
                  <c:v>31.114999999999998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9BF-448C-AAB4-3ED023E99456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9BF-448C-AAB4-3ED023E99456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39.712000000000003</c:v>
                </c:pt>
                <c:pt idx="1">
                  <c:v>39.222000000000001</c:v>
                </c:pt>
                <c:pt idx="2">
                  <c:v>39.045999999999999</c:v>
                </c:pt>
                <c:pt idx="3">
                  <c:v>39.281999999999996</c:v>
                </c:pt>
                <c:pt idx="4">
                  <c:v>39.131</c:v>
                </c:pt>
                <c:pt idx="5">
                  <c:v>38.770000000000003</c:v>
                </c:pt>
                <c:pt idx="6">
                  <c:v>38.625999999999998</c:v>
                </c:pt>
                <c:pt idx="7">
                  <c:v>38.703000000000003</c:v>
                </c:pt>
                <c:pt idx="8">
                  <c:v>38.832999999999998</c:v>
                </c:pt>
                <c:pt idx="9">
                  <c:v>38.720999999999997</c:v>
                </c:pt>
                <c:pt idx="10">
                  <c:v>38.444000000000003</c:v>
                </c:pt>
                <c:pt idx="11">
                  <c:v>38.040999999999997</c:v>
                </c:pt>
                <c:pt idx="12">
                  <c:v>37.582999999999998</c:v>
                </c:pt>
                <c:pt idx="13">
                  <c:v>37.694000000000003</c:v>
                </c:pt>
                <c:pt idx="14">
                  <c:v>33.595999999999997</c:v>
                </c:pt>
                <c:pt idx="15">
                  <c:v>29.271000000000001</c:v>
                </c:pt>
                <c:pt idx="16">
                  <c:v>24.603000000000002</c:v>
                </c:pt>
                <c:pt idx="17">
                  <c:v>21.43</c:v>
                </c:pt>
                <c:pt idx="18">
                  <c:v>21.100999999999999</c:v>
                </c:pt>
                <c:pt idx="19">
                  <c:v>20.893000000000001</c:v>
                </c:pt>
                <c:pt idx="20">
                  <c:v>20.547999999999998</c:v>
                </c:pt>
                <c:pt idx="21">
                  <c:v>21.698</c:v>
                </c:pt>
                <c:pt idx="22">
                  <c:v>22.29</c:v>
                </c:pt>
                <c:pt idx="23">
                  <c:v>21.882000000000001</c:v>
                </c:pt>
                <c:pt idx="24">
                  <c:v>21.225999999999999</c:v>
                </c:pt>
                <c:pt idx="25">
                  <c:v>15.42</c:v>
                </c:pt>
                <c:pt idx="26">
                  <c:v>3.6659999999999999</c:v>
                </c:pt>
                <c:pt idx="27">
                  <c:v>3.9119999999999999</c:v>
                </c:pt>
                <c:pt idx="28">
                  <c:v>10.913</c:v>
                </c:pt>
                <c:pt idx="29">
                  <c:v>18.655999999999999</c:v>
                </c:pt>
                <c:pt idx="30">
                  <c:v>25.111999999999998</c:v>
                </c:pt>
                <c:pt idx="31">
                  <c:v>16.847999999999999</c:v>
                </c:pt>
                <c:pt idx="32">
                  <c:v>21.375</c:v>
                </c:pt>
                <c:pt idx="33">
                  <c:v>23.893999999999998</c:v>
                </c:pt>
                <c:pt idx="34">
                  <c:v>21.286000000000001</c:v>
                </c:pt>
                <c:pt idx="35">
                  <c:v>20.719000000000001</c:v>
                </c:pt>
                <c:pt idx="36">
                  <c:v>14.717000000000001</c:v>
                </c:pt>
                <c:pt idx="37">
                  <c:v>13.625</c:v>
                </c:pt>
                <c:pt idx="38">
                  <c:v>13.346</c:v>
                </c:pt>
                <c:pt idx="39">
                  <c:v>17.963000000000001</c:v>
                </c:pt>
                <c:pt idx="40">
                  <c:v>18.646999999999998</c:v>
                </c:pt>
                <c:pt idx="41">
                  <c:v>18.768000000000001</c:v>
                </c:pt>
                <c:pt idx="42">
                  <c:v>18.646000000000001</c:v>
                </c:pt>
                <c:pt idx="43">
                  <c:v>18.725999999999999</c:v>
                </c:pt>
                <c:pt idx="44">
                  <c:v>23.859000000000002</c:v>
                </c:pt>
                <c:pt idx="45">
                  <c:v>24.129000000000001</c:v>
                </c:pt>
                <c:pt idx="46">
                  <c:v>25.123999999999999</c:v>
                </c:pt>
                <c:pt idx="47">
                  <c:v>26.928999999999998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9BF-448C-AAB4-3ED023E99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1057.4000000000001</c:v>
                </c:pt>
                <c:pt idx="1">
                  <c:v>1047.0999999999999</c:v>
                </c:pt>
                <c:pt idx="2">
                  <c:v>1027.9000000000001</c:v>
                </c:pt>
                <c:pt idx="3">
                  <c:v>1045.9000000000001</c:v>
                </c:pt>
                <c:pt idx="4">
                  <c:v>1041.9000000000001</c:v>
                </c:pt>
                <c:pt idx="5">
                  <c:v>1047</c:v>
                </c:pt>
                <c:pt idx="6">
                  <c:v>1052.2</c:v>
                </c:pt>
                <c:pt idx="7">
                  <c:v>1053.0999999999999</c:v>
                </c:pt>
                <c:pt idx="8">
                  <c:v>1053.7</c:v>
                </c:pt>
                <c:pt idx="9">
                  <c:v>1038.5999999999999</c:v>
                </c:pt>
                <c:pt idx="10">
                  <c:v>1026.2</c:v>
                </c:pt>
                <c:pt idx="11">
                  <c:v>1063.5</c:v>
                </c:pt>
                <c:pt idx="12">
                  <c:v>1066.8</c:v>
                </c:pt>
                <c:pt idx="13">
                  <c:v>1071.4000000000001</c:v>
                </c:pt>
                <c:pt idx="14">
                  <c:v>1068.2</c:v>
                </c:pt>
                <c:pt idx="15">
                  <c:v>1038</c:v>
                </c:pt>
                <c:pt idx="16">
                  <c:v>1047.2</c:v>
                </c:pt>
                <c:pt idx="17">
                  <c:v>1051.5999999999999</c:v>
                </c:pt>
                <c:pt idx="18">
                  <c:v>1043.5999999999999</c:v>
                </c:pt>
                <c:pt idx="19">
                  <c:v>1032.4000000000001</c:v>
                </c:pt>
                <c:pt idx="20">
                  <c:v>1046.3</c:v>
                </c:pt>
                <c:pt idx="21">
                  <c:v>1042.5999999999999</c:v>
                </c:pt>
                <c:pt idx="22">
                  <c:v>1043.5</c:v>
                </c:pt>
                <c:pt idx="23">
                  <c:v>1032.2</c:v>
                </c:pt>
                <c:pt idx="24">
                  <c:v>1032.9000000000001</c:v>
                </c:pt>
                <c:pt idx="25">
                  <c:v>1033.0999999999999</c:v>
                </c:pt>
                <c:pt idx="26">
                  <c:v>1029.4000000000001</c:v>
                </c:pt>
                <c:pt idx="27">
                  <c:v>1045.4000000000001</c:v>
                </c:pt>
                <c:pt idx="28">
                  <c:v>1031.7</c:v>
                </c:pt>
                <c:pt idx="29">
                  <c:v>1032.3</c:v>
                </c:pt>
                <c:pt idx="30">
                  <c:v>1041</c:v>
                </c:pt>
                <c:pt idx="31">
                  <c:v>1045.4000000000001</c:v>
                </c:pt>
                <c:pt idx="32">
                  <c:v>1042.4000000000001</c:v>
                </c:pt>
                <c:pt idx="33">
                  <c:v>1021.7</c:v>
                </c:pt>
                <c:pt idx="34">
                  <c:v>1035.9000000000001</c:v>
                </c:pt>
                <c:pt idx="35">
                  <c:v>1036.3</c:v>
                </c:pt>
                <c:pt idx="36">
                  <c:v>1054.2</c:v>
                </c:pt>
                <c:pt idx="37">
                  <c:v>1053.5999999999999</c:v>
                </c:pt>
                <c:pt idx="38">
                  <c:v>1061.3</c:v>
                </c:pt>
                <c:pt idx="39">
                  <c:v>1066.9000000000001</c:v>
                </c:pt>
                <c:pt idx="40">
                  <c:v>1068.5999999999999</c:v>
                </c:pt>
                <c:pt idx="41">
                  <c:v>1064</c:v>
                </c:pt>
                <c:pt idx="42">
                  <c:v>1065</c:v>
                </c:pt>
                <c:pt idx="43">
                  <c:v>1064.9000000000001</c:v>
                </c:pt>
                <c:pt idx="44">
                  <c:v>1058.8</c:v>
                </c:pt>
                <c:pt idx="45">
                  <c:v>1067.9000000000001</c:v>
                </c:pt>
                <c:pt idx="46">
                  <c:v>1067</c:v>
                </c:pt>
                <c:pt idx="47">
                  <c:v>1053.3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A-445C-B764-E93E0FCD942D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2537.4</c:v>
                </c:pt>
                <c:pt idx="1">
                  <c:v>2527.5</c:v>
                </c:pt>
                <c:pt idx="2">
                  <c:v>2459.9</c:v>
                </c:pt>
                <c:pt idx="3">
                  <c:v>2483.3000000000002</c:v>
                </c:pt>
                <c:pt idx="4">
                  <c:v>2524.1</c:v>
                </c:pt>
                <c:pt idx="5">
                  <c:v>2394.1999999999998</c:v>
                </c:pt>
                <c:pt idx="6">
                  <c:v>2388.5</c:v>
                </c:pt>
                <c:pt idx="7">
                  <c:v>2330.6</c:v>
                </c:pt>
                <c:pt idx="8">
                  <c:v>2263.3000000000002</c:v>
                </c:pt>
                <c:pt idx="9">
                  <c:v>2243.6</c:v>
                </c:pt>
                <c:pt idx="10">
                  <c:v>2353.6999999999998</c:v>
                </c:pt>
                <c:pt idx="11">
                  <c:v>2558.5</c:v>
                </c:pt>
                <c:pt idx="12">
                  <c:v>2659.3</c:v>
                </c:pt>
                <c:pt idx="13">
                  <c:v>2380.5</c:v>
                </c:pt>
                <c:pt idx="14">
                  <c:v>2329.4</c:v>
                </c:pt>
                <c:pt idx="15">
                  <c:v>2162</c:v>
                </c:pt>
                <c:pt idx="16">
                  <c:v>2406.1</c:v>
                </c:pt>
                <c:pt idx="17">
                  <c:v>2421</c:v>
                </c:pt>
                <c:pt idx="18">
                  <c:v>2611.3000000000002</c:v>
                </c:pt>
                <c:pt idx="19">
                  <c:v>2659.6</c:v>
                </c:pt>
                <c:pt idx="20">
                  <c:v>2789</c:v>
                </c:pt>
                <c:pt idx="21">
                  <c:v>2810.2</c:v>
                </c:pt>
                <c:pt idx="22">
                  <c:v>2795.7</c:v>
                </c:pt>
                <c:pt idx="23">
                  <c:v>2854.8</c:v>
                </c:pt>
                <c:pt idx="24">
                  <c:v>2746.8</c:v>
                </c:pt>
                <c:pt idx="25">
                  <c:v>2473.6</c:v>
                </c:pt>
                <c:pt idx="26">
                  <c:v>2413.6999999999998</c:v>
                </c:pt>
                <c:pt idx="27">
                  <c:v>2454.1</c:v>
                </c:pt>
                <c:pt idx="28">
                  <c:v>2412</c:v>
                </c:pt>
                <c:pt idx="29">
                  <c:v>2484.9</c:v>
                </c:pt>
                <c:pt idx="30">
                  <c:v>2482.1</c:v>
                </c:pt>
                <c:pt idx="31">
                  <c:v>2549.1999999999998</c:v>
                </c:pt>
                <c:pt idx="32">
                  <c:v>2673</c:v>
                </c:pt>
                <c:pt idx="33">
                  <c:v>2728.8</c:v>
                </c:pt>
                <c:pt idx="34">
                  <c:v>2821.5</c:v>
                </c:pt>
                <c:pt idx="35">
                  <c:v>2743.2</c:v>
                </c:pt>
                <c:pt idx="36">
                  <c:v>2813.1</c:v>
                </c:pt>
                <c:pt idx="37">
                  <c:v>2744.6</c:v>
                </c:pt>
                <c:pt idx="38">
                  <c:v>3024.9</c:v>
                </c:pt>
                <c:pt idx="39">
                  <c:v>3120.7</c:v>
                </c:pt>
                <c:pt idx="40">
                  <c:v>3169.8</c:v>
                </c:pt>
                <c:pt idx="41">
                  <c:v>3058.9</c:v>
                </c:pt>
                <c:pt idx="42">
                  <c:v>3124.3</c:v>
                </c:pt>
                <c:pt idx="43">
                  <c:v>2977.6</c:v>
                </c:pt>
                <c:pt idx="44">
                  <c:v>3005.2</c:v>
                </c:pt>
                <c:pt idx="45">
                  <c:v>2921.4</c:v>
                </c:pt>
                <c:pt idx="46">
                  <c:v>2743.4</c:v>
                </c:pt>
                <c:pt idx="47">
                  <c:v>2584.6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A-445C-B764-E93E0FCD942D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2953.5</c:v>
                </c:pt>
                <c:pt idx="1">
                  <c:v>2831.8</c:v>
                </c:pt>
                <c:pt idx="2">
                  <c:v>2836</c:v>
                </c:pt>
                <c:pt idx="3">
                  <c:v>2835.8</c:v>
                </c:pt>
                <c:pt idx="4">
                  <c:v>2750.2</c:v>
                </c:pt>
                <c:pt idx="5">
                  <c:v>2819.7</c:v>
                </c:pt>
                <c:pt idx="6">
                  <c:v>2825.9</c:v>
                </c:pt>
                <c:pt idx="7">
                  <c:v>2849.8</c:v>
                </c:pt>
                <c:pt idx="8">
                  <c:v>2868.1</c:v>
                </c:pt>
                <c:pt idx="9">
                  <c:v>2860.6</c:v>
                </c:pt>
                <c:pt idx="10">
                  <c:v>2912.2</c:v>
                </c:pt>
                <c:pt idx="11">
                  <c:v>2888.9</c:v>
                </c:pt>
                <c:pt idx="12">
                  <c:v>2888.8</c:v>
                </c:pt>
                <c:pt idx="13">
                  <c:v>2919.9</c:v>
                </c:pt>
                <c:pt idx="14">
                  <c:v>2909</c:v>
                </c:pt>
                <c:pt idx="15">
                  <c:v>2829.4</c:v>
                </c:pt>
                <c:pt idx="16">
                  <c:v>2915</c:v>
                </c:pt>
                <c:pt idx="17">
                  <c:v>2873.5</c:v>
                </c:pt>
                <c:pt idx="18">
                  <c:v>2917.2</c:v>
                </c:pt>
                <c:pt idx="19">
                  <c:v>2854.6</c:v>
                </c:pt>
                <c:pt idx="20">
                  <c:v>2796.7</c:v>
                </c:pt>
                <c:pt idx="21">
                  <c:v>2804.5</c:v>
                </c:pt>
                <c:pt idx="22">
                  <c:v>2787.8</c:v>
                </c:pt>
                <c:pt idx="23">
                  <c:v>2792.3</c:v>
                </c:pt>
                <c:pt idx="24">
                  <c:v>2786.1</c:v>
                </c:pt>
                <c:pt idx="25">
                  <c:v>2866.6</c:v>
                </c:pt>
                <c:pt idx="26">
                  <c:v>2859.1</c:v>
                </c:pt>
                <c:pt idx="27">
                  <c:v>2822.5</c:v>
                </c:pt>
                <c:pt idx="28">
                  <c:v>2896</c:v>
                </c:pt>
                <c:pt idx="29">
                  <c:v>2904.7</c:v>
                </c:pt>
                <c:pt idx="30">
                  <c:v>2870.3</c:v>
                </c:pt>
                <c:pt idx="31">
                  <c:v>2933.4</c:v>
                </c:pt>
                <c:pt idx="32">
                  <c:v>3103.7</c:v>
                </c:pt>
                <c:pt idx="33">
                  <c:v>3191.5</c:v>
                </c:pt>
                <c:pt idx="34">
                  <c:v>3251</c:v>
                </c:pt>
                <c:pt idx="35">
                  <c:v>3174.5</c:v>
                </c:pt>
                <c:pt idx="36">
                  <c:v>3184.7</c:v>
                </c:pt>
                <c:pt idx="37">
                  <c:v>3171.2</c:v>
                </c:pt>
                <c:pt idx="38">
                  <c:v>2845.8</c:v>
                </c:pt>
                <c:pt idx="39">
                  <c:v>2831.6</c:v>
                </c:pt>
                <c:pt idx="40">
                  <c:v>2831.4</c:v>
                </c:pt>
                <c:pt idx="41">
                  <c:v>2992</c:v>
                </c:pt>
                <c:pt idx="42">
                  <c:v>3043.6</c:v>
                </c:pt>
                <c:pt idx="43">
                  <c:v>3146.3</c:v>
                </c:pt>
                <c:pt idx="44">
                  <c:v>2991</c:v>
                </c:pt>
                <c:pt idx="45">
                  <c:v>2925.9</c:v>
                </c:pt>
                <c:pt idx="46">
                  <c:v>2922.1</c:v>
                </c:pt>
                <c:pt idx="47">
                  <c:v>2923.6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A-445C-B764-E93E0FCD942D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8.5</c:v>
                </c:pt>
                <c:pt idx="14">
                  <c:v>44.7</c:v>
                </c:pt>
                <c:pt idx="15">
                  <c:v>45.4</c:v>
                </c:pt>
                <c:pt idx="16">
                  <c:v>45.7</c:v>
                </c:pt>
                <c:pt idx="17">
                  <c:v>45.2</c:v>
                </c:pt>
                <c:pt idx="18">
                  <c:v>45.2</c:v>
                </c:pt>
                <c:pt idx="19">
                  <c:v>45.3</c:v>
                </c:pt>
                <c:pt idx="20">
                  <c:v>44.7</c:v>
                </c:pt>
                <c:pt idx="21">
                  <c:v>44.4</c:v>
                </c:pt>
                <c:pt idx="22">
                  <c:v>83.9</c:v>
                </c:pt>
                <c:pt idx="23">
                  <c:v>84</c:v>
                </c:pt>
                <c:pt idx="24">
                  <c:v>83.7</c:v>
                </c:pt>
                <c:pt idx="25">
                  <c:v>83.6</c:v>
                </c:pt>
                <c:pt idx="26">
                  <c:v>83.7</c:v>
                </c:pt>
                <c:pt idx="27">
                  <c:v>43.7</c:v>
                </c:pt>
                <c:pt idx="28">
                  <c:v>43.6</c:v>
                </c:pt>
                <c:pt idx="29">
                  <c:v>43.8</c:v>
                </c:pt>
                <c:pt idx="30">
                  <c:v>43.7</c:v>
                </c:pt>
                <c:pt idx="31">
                  <c:v>43.7</c:v>
                </c:pt>
                <c:pt idx="32">
                  <c:v>43.9</c:v>
                </c:pt>
                <c:pt idx="33">
                  <c:v>43.5</c:v>
                </c:pt>
                <c:pt idx="34">
                  <c:v>43.8</c:v>
                </c:pt>
                <c:pt idx="35">
                  <c:v>43.7</c:v>
                </c:pt>
                <c:pt idx="36">
                  <c:v>44.6</c:v>
                </c:pt>
                <c:pt idx="37">
                  <c:v>44.5</c:v>
                </c:pt>
                <c:pt idx="38">
                  <c:v>44.8</c:v>
                </c:pt>
                <c:pt idx="39">
                  <c:v>44.7</c:v>
                </c:pt>
                <c:pt idx="40">
                  <c:v>81.900000000000006</c:v>
                </c:pt>
                <c:pt idx="41">
                  <c:v>82</c:v>
                </c:pt>
                <c:pt idx="42">
                  <c:v>82.8</c:v>
                </c:pt>
                <c:pt idx="43">
                  <c:v>81.5</c:v>
                </c:pt>
                <c:pt idx="44">
                  <c:v>80.099999999999994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A-445C-B764-E93E0FCD942D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52.3</c:v>
                </c:pt>
                <c:pt idx="27">
                  <c:v>80.7</c:v>
                </c:pt>
                <c:pt idx="28">
                  <c:v>80.599999999999994</c:v>
                </c:pt>
                <c:pt idx="29">
                  <c:v>80.400000000000006</c:v>
                </c:pt>
                <c:pt idx="30">
                  <c:v>81.5</c:v>
                </c:pt>
                <c:pt idx="31">
                  <c:v>80.7</c:v>
                </c:pt>
                <c:pt idx="32">
                  <c:v>80.599999999999994</c:v>
                </c:pt>
                <c:pt idx="33">
                  <c:v>80.5</c:v>
                </c:pt>
                <c:pt idx="34">
                  <c:v>80.400000000000006</c:v>
                </c:pt>
                <c:pt idx="35">
                  <c:v>80.599999999999994</c:v>
                </c:pt>
                <c:pt idx="36">
                  <c:v>80.7</c:v>
                </c:pt>
                <c:pt idx="37">
                  <c:v>80.599999999999994</c:v>
                </c:pt>
                <c:pt idx="38">
                  <c:v>80.5</c:v>
                </c:pt>
                <c:pt idx="39">
                  <c:v>80.400000000000006</c:v>
                </c:pt>
                <c:pt idx="40">
                  <c:v>80.7</c:v>
                </c:pt>
                <c:pt idx="41">
                  <c:v>80.2</c:v>
                </c:pt>
                <c:pt idx="42">
                  <c:v>52.1</c:v>
                </c:pt>
                <c:pt idx="43">
                  <c:v>74.8</c:v>
                </c:pt>
                <c:pt idx="44">
                  <c:v>31.2</c:v>
                </c:pt>
                <c:pt idx="45">
                  <c:v>31.1</c:v>
                </c:pt>
                <c:pt idx="46">
                  <c:v>30.4</c:v>
                </c:pt>
                <c:pt idx="47">
                  <c:v>31.2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A-445C-B764-E93E0FCD942D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64</c:v>
                </c:pt>
                <c:pt idx="28">
                  <c:v>107.3</c:v>
                </c:pt>
                <c:pt idx="29">
                  <c:v>113</c:v>
                </c:pt>
                <c:pt idx="30">
                  <c:v>116.3</c:v>
                </c:pt>
                <c:pt idx="31">
                  <c:v>121.3</c:v>
                </c:pt>
                <c:pt idx="32">
                  <c:v>119.8</c:v>
                </c:pt>
                <c:pt idx="33">
                  <c:v>99.1</c:v>
                </c:pt>
                <c:pt idx="34">
                  <c:v>76.8</c:v>
                </c:pt>
                <c:pt idx="35">
                  <c:v>75.900000000000006</c:v>
                </c:pt>
                <c:pt idx="36">
                  <c:v>76.3</c:v>
                </c:pt>
                <c:pt idx="37">
                  <c:v>76.8</c:v>
                </c:pt>
                <c:pt idx="38">
                  <c:v>116</c:v>
                </c:pt>
                <c:pt idx="39">
                  <c:v>117.1</c:v>
                </c:pt>
                <c:pt idx="40">
                  <c:v>74.099999999999994</c:v>
                </c:pt>
                <c:pt idx="41">
                  <c:v>9.9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EA-445C-B764-E93E0FCD942D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39.4</c:v>
                </c:pt>
                <c:pt idx="1">
                  <c:v>39.1</c:v>
                </c:pt>
                <c:pt idx="2">
                  <c:v>39.5</c:v>
                </c:pt>
                <c:pt idx="3">
                  <c:v>39.6</c:v>
                </c:pt>
                <c:pt idx="4">
                  <c:v>39.4</c:v>
                </c:pt>
                <c:pt idx="5">
                  <c:v>39.6</c:v>
                </c:pt>
                <c:pt idx="6">
                  <c:v>39</c:v>
                </c:pt>
                <c:pt idx="7">
                  <c:v>38.9</c:v>
                </c:pt>
                <c:pt idx="8">
                  <c:v>39</c:v>
                </c:pt>
                <c:pt idx="9">
                  <c:v>39.1</c:v>
                </c:pt>
                <c:pt idx="10">
                  <c:v>38.4</c:v>
                </c:pt>
                <c:pt idx="11">
                  <c:v>36.5</c:v>
                </c:pt>
                <c:pt idx="12">
                  <c:v>34</c:v>
                </c:pt>
                <c:pt idx="13">
                  <c:v>35.299999999999997</c:v>
                </c:pt>
                <c:pt idx="14">
                  <c:v>35</c:v>
                </c:pt>
                <c:pt idx="15">
                  <c:v>35.5</c:v>
                </c:pt>
                <c:pt idx="16">
                  <c:v>35.200000000000003</c:v>
                </c:pt>
                <c:pt idx="17">
                  <c:v>36.200000000000003</c:v>
                </c:pt>
                <c:pt idx="18">
                  <c:v>37</c:v>
                </c:pt>
                <c:pt idx="19">
                  <c:v>39.299999999999997</c:v>
                </c:pt>
                <c:pt idx="20">
                  <c:v>39.1</c:v>
                </c:pt>
                <c:pt idx="21">
                  <c:v>39.700000000000003</c:v>
                </c:pt>
                <c:pt idx="22">
                  <c:v>40.1</c:v>
                </c:pt>
                <c:pt idx="23">
                  <c:v>39.6</c:v>
                </c:pt>
                <c:pt idx="24">
                  <c:v>38.799999999999997</c:v>
                </c:pt>
                <c:pt idx="25">
                  <c:v>38.799999999999997</c:v>
                </c:pt>
                <c:pt idx="26">
                  <c:v>38.9</c:v>
                </c:pt>
                <c:pt idx="27">
                  <c:v>37.5</c:v>
                </c:pt>
                <c:pt idx="28">
                  <c:v>36.700000000000003</c:v>
                </c:pt>
                <c:pt idx="29">
                  <c:v>34.700000000000003</c:v>
                </c:pt>
                <c:pt idx="30">
                  <c:v>37</c:v>
                </c:pt>
                <c:pt idx="31">
                  <c:v>36.299999999999997</c:v>
                </c:pt>
                <c:pt idx="32">
                  <c:v>36.6</c:v>
                </c:pt>
                <c:pt idx="33">
                  <c:v>36.6</c:v>
                </c:pt>
                <c:pt idx="34">
                  <c:v>38.200000000000003</c:v>
                </c:pt>
                <c:pt idx="35">
                  <c:v>38.4</c:v>
                </c:pt>
                <c:pt idx="36">
                  <c:v>38.4</c:v>
                </c:pt>
                <c:pt idx="37">
                  <c:v>37.4</c:v>
                </c:pt>
                <c:pt idx="38">
                  <c:v>36.1</c:v>
                </c:pt>
                <c:pt idx="39">
                  <c:v>35</c:v>
                </c:pt>
                <c:pt idx="40">
                  <c:v>34.1</c:v>
                </c:pt>
                <c:pt idx="41">
                  <c:v>38</c:v>
                </c:pt>
                <c:pt idx="42">
                  <c:v>37.700000000000003</c:v>
                </c:pt>
                <c:pt idx="43">
                  <c:v>38.799999999999997</c:v>
                </c:pt>
                <c:pt idx="44">
                  <c:v>38.799999999999997</c:v>
                </c:pt>
                <c:pt idx="45">
                  <c:v>38.1</c:v>
                </c:pt>
                <c:pt idx="46">
                  <c:v>37.1</c:v>
                </c:pt>
                <c:pt idx="47">
                  <c:v>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A-445C-B764-E93E0FCD942D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EA-445C-B764-E93E0FCD942D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</c:v>
                </c:pt>
                <c:pt idx="12">
                  <c:v>29.6</c:v>
                </c:pt>
                <c:pt idx="13">
                  <c:v>245.9</c:v>
                </c:pt>
                <c:pt idx="14">
                  <c:v>496.7</c:v>
                </c:pt>
                <c:pt idx="15">
                  <c:v>727.9</c:v>
                </c:pt>
                <c:pt idx="16">
                  <c:v>758.3</c:v>
                </c:pt>
                <c:pt idx="17">
                  <c:v>787.7</c:v>
                </c:pt>
                <c:pt idx="18">
                  <c:v>812.4</c:v>
                </c:pt>
                <c:pt idx="19">
                  <c:v>819.3</c:v>
                </c:pt>
                <c:pt idx="20">
                  <c:v>818.4</c:v>
                </c:pt>
                <c:pt idx="21">
                  <c:v>817.4</c:v>
                </c:pt>
                <c:pt idx="22">
                  <c:v>820.6</c:v>
                </c:pt>
                <c:pt idx="23">
                  <c:v>827.4</c:v>
                </c:pt>
                <c:pt idx="24">
                  <c:v>838.3</c:v>
                </c:pt>
                <c:pt idx="25">
                  <c:v>845.1</c:v>
                </c:pt>
                <c:pt idx="26">
                  <c:v>843.7</c:v>
                </c:pt>
                <c:pt idx="27">
                  <c:v>840.6</c:v>
                </c:pt>
                <c:pt idx="28">
                  <c:v>836</c:v>
                </c:pt>
                <c:pt idx="29">
                  <c:v>815</c:v>
                </c:pt>
                <c:pt idx="30">
                  <c:v>772.3</c:v>
                </c:pt>
                <c:pt idx="31">
                  <c:v>607.70000000000005</c:v>
                </c:pt>
                <c:pt idx="32">
                  <c:v>306.89999999999998</c:v>
                </c:pt>
                <c:pt idx="33">
                  <c:v>36.700000000000003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EA-445C-B764-E93E0FCD942D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79.599999999999994</c:v>
                </c:pt>
                <c:pt idx="1">
                  <c:v>75.099999999999994</c:v>
                </c:pt>
                <c:pt idx="2">
                  <c:v>72.5</c:v>
                </c:pt>
                <c:pt idx="3">
                  <c:v>67.900000000000006</c:v>
                </c:pt>
                <c:pt idx="4">
                  <c:v>80</c:v>
                </c:pt>
                <c:pt idx="5">
                  <c:v>87.9</c:v>
                </c:pt>
                <c:pt idx="6">
                  <c:v>75.2</c:v>
                </c:pt>
                <c:pt idx="7">
                  <c:v>82.6</c:v>
                </c:pt>
                <c:pt idx="8">
                  <c:v>87.9</c:v>
                </c:pt>
                <c:pt idx="9">
                  <c:v>94.4</c:v>
                </c:pt>
                <c:pt idx="10">
                  <c:v>112</c:v>
                </c:pt>
                <c:pt idx="11">
                  <c:v>122.5</c:v>
                </c:pt>
                <c:pt idx="12">
                  <c:v>135.6</c:v>
                </c:pt>
                <c:pt idx="13">
                  <c:v>148.1</c:v>
                </c:pt>
                <c:pt idx="14">
                  <c:v>159.19999999999999</c:v>
                </c:pt>
                <c:pt idx="15">
                  <c:v>155</c:v>
                </c:pt>
                <c:pt idx="16">
                  <c:v>151.30000000000001</c:v>
                </c:pt>
                <c:pt idx="17">
                  <c:v>162.9</c:v>
                </c:pt>
                <c:pt idx="18">
                  <c:v>171</c:v>
                </c:pt>
                <c:pt idx="19">
                  <c:v>192.9</c:v>
                </c:pt>
                <c:pt idx="20">
                  <c:v>200.6</c:v>
                </c:pt>
                <c:pt idx="21">
                  <c:v>217.3</c:v>
                </c:pt>
                <c:pt idx="22">
                  <c:v>242.8</c:v>
                </c:pt>
                <c:pt idx="23">
                  <c:v>279.3</c:v>
                </c:pt>
                <c:pt idx="24">
                  <c:v>336.2</c:v>
                </c:pt>
                <c:pt idx="25">
                  <c:v>396.3</c:v>
                </c:pt>
                <c:pt idx="26">
                  <c:v>417.6</c:v>
                </c:pt>
                <c:pt idx="27">
                  <c:v>417.4</c:v>
                </c:pt>
                <c:pt idx="28">
                  <c:v>416.4</c:v>
                </c:pt>
                <c:pt idx="29">
                  <c:v>432.8</c:v>
                </c:pt>
                <c:pt idx="30">
                  <c:v>517.1</c:v>
                </c:pt>
                <c:pt idx="31">
                  <c:v>532.79999999999995</c:v>
                </c:pt>
                <c:pt idx="32">
                  <c:v>557</c:v>
                </c:pt>
                <c:pt idx="33">
                  <c:v>578.20000000000005</c:v>
                </c:pt>
                <c:pt idx="34">
                  <c:v>588.1</c:v>
                </c:pt>
                <c:pt idx="35">
                  <c:v>585.20000000000005</c:v>
                </c:pt>
                <c:pt idx="36">
                  <c:v>576.79999999999995</c:v>
                </c:pt>
                <c:pt idx="37">
                  <c:v>586.70000000000005</c:v>
                </c:pt>
                <c:pt idx="38">
                  <c:v>547.9</c:v>
                </c:pt>
                <c:pt idx="39">
                  <c:v>520.5</c:v>
                </c:pt>
                <c:pt idx="40">
                  <c:v>463.5</c:v>
                </c:pt>
                <c:pt idx="41">
                  <c:v>424.5</c:v>
                </c:pt>
                <c:pt idx="42">
                  <c:v>333.4</c:v>
                </c:pt>
                <c:pt idx="43">
                  <c:v>316.3</c:v>
                </c:pt>
                <c:pt idx="44">
                  <c:v>250.9</c:v>
                </c:pt>
                <c:pt idx="45">
                  <c:v>212.8</c:v>
                </c:pt>
                <c:pt idx="46">
                  <c:v>223.6</c:v>
                </c:pt>
                <c:pt idx="4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EA-445C-B764-E93E0FCD942D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34.4</c:v>
                </c:pt>
                <c:pt idx="1">
                  <c:v>34.299999999999997</c:v>
                </c:pt>
                <c:pt idx="2">
                  <c:v>34.1</c:v>
                </c:pt>
                <c:pt idx="3">
                  <c:v>33.6</c:v>
                </c:pt>
                <c:pt idx="4">
                  <c:v>34.5</c:v>
                </c:pt>
                <c:pt idx="5">
                  <c:v>34.4</c:v>
                </c:pt>
                <c:pt idx="6">
                  <c:v>33.9</c:v>
                </c:pt>
                <c:pt idx="7">
                  <c:v>34.700000000000003</c:v>
                </c:pt>
                <c:pt idx="8">
                  <c:v>34.5</c:v>
                </c:pt>
                <c:pt idx="9">
                  <c:v>34.6</c:v>
                </c:pt>
                <c:pt idx="10">
                  <c:v>34.4</c:v>
                </c:pt>
                <c:pt idx="11">
                  <c:v>34.5</c:v>
                </c:pt>
                <c:pt idx="12">
                  <c:v>34.4</c:v>
                </c:pt>
                <c:pt idx="13">
                  <c:v>34.4</c:v>
                </c:pt>
                <c:pt idx="14">
                  <c:v>34.5</c:v>
                </c:pt>
                <c:pt idx="15">
                  <c:v>34.5</c:v>
                </c:pt>
                <c:pt idx="16">
                  <c:v>34.299999999999997</c:v>
                </c:pt>
                <c:pt idx="17">
                  <c:v>34.5</c:v>
                </c:pt>
                <c:pt idx="18">
                  <c:v>34.1</c:v>
                </c:pt>
                <c:pt idx="19">
                  <c:v>34</c:v>
                </c:pt>
                <c:pt idx="20">
                  <c:v>34.200000000000003</c:v>
                </c:pt>
                <c:pt idx="21">
                  <c:v>33.799999999999997</c:v>
                </c:pt>
                <c:pt idx="22">
                  <c:v>33.799999999999997</c:v>
                </c:pt>
                <c:pt idx="23">
                  <c:v>34</c:v>
                </c:pt>
                <c:pt idx="24">
                  <c:v>33.700000000000003</c:v>
                </c:pt>
                <c:pt idx="25">
                  <c:v>33.299999999999997</c:v>
                </c:pt>
                <c:pt idx="26">
                  <c:v>33.9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</c:v>
                </c:pt>
                <c:pt idx="30">
                  <c:v>33.5</c:v>
                </c:pt>
                <c:pt idx="31">
                  <c:v>34.1</c:v>
                </c:pt>
                <c:pt idx="32">
                  <c:v>34.200000000000003</c:v>
                </c:pt>
                <c:pt idx="33">
                  <c:v>34.4</c:v>
                </c:pt>
                <c:pt idx="34">
                  <c:v>34.299999999999997</c:v>
                </c:pt>
                <c:pt idx="35">
                  <c:v>34.5</c:v>
                </c:pt>
                <c:pt idx="36">
                  <c:v>34.299999999999997</c:v>
                </c:pt>
                <c:pt idx="37">
                  <c:v>34.1</c:v>
                </c:pt>
                <c:pt idx="38">
                  <c:v>34.299999999999997</c:v>
                </c:pt>
                <c:pt idx="39">
                  <c:v>34.299999999999997</c:v>
                </c:pt>
                <c:pt idx="40">
                  <c:v>34.1</c:v>
                </c:pt>
                <c:pt idx="41">
                  <c:v>33.799999999999997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34</c:v>
                </c:pt>
                <c:pt idx="45">
                  <c:v>32.799999999999997</c:v>
                </c:pt>
                <c:pt idx="46">
                  <c:v>33.200000000000003</c:v>
                </c:pt>
                <c:pt idx="47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EA-445C-B764-E93E0FCD9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 &amp; FLEXIGAS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25155.650000000005</c:v>
                </c:pt>
                <c:pt idx="1">
                  <c:v>63107.45</c:v>
                </c:pt>
                <c:pt idx="2">
                  <c:v>69994.900000000009</c:v>
                </c:pt>
                <c:pt idx="3">
                  <c:v>884.15000000000009</c:v>
                </c:pt>
                <c:pt idx="4">
                  <c:v>756.1</c:v>
                </c:pt>
                <c:pt idx="5">
                  <c:v>681.84999999999991</c:v>
                </c:pt>
                <c:pt idx="6">
                  <c:v>0</c:v>
                </c:pt>
                <c:pt idx="7">
                  <c:v>904.29999999999984</c:v>
                </c:pt>
                <c:pt idx="8">
                  <c:v>48</c:v>
                </c:pt>
                <c:pt idx="9">
                  <c:v>7352.55</c:v>
                </c:pt>
                <c:pt idx="10">
                  <c:v>6843.7999999999993</c:v>
                </c:pt>
                <c:pt idx="11">
                  <c:v>818.24999999999977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21B-4B8D-BCD4-EBDC4A1B6E53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440.35</c:v>
                </c:pt>
                <c:pt idx="2">
                  <c:v>0</c:v>
                </c:pt>
                <c:pt idx="3">
                  <c:v>0</c:v>
                </c:pt>
                <c:pt idx="4">
                  <c:v>264.8</c:v>
                </c:pt>
                <c:pt idx="5">
                  <c:v>172.15</c:v>
                </c:pt>
                <c:pt idx="6">
                  <c:v>44.05</c:v>
                </c:pt>
                <c:pt idx="7">
                  <c:v>0</c:v>
                </c:pt>
                <c:pt idx="8">
                  <c:v>199.15</c:v>
                </c:pt>
                <c:pt idx="9">
                  <c:v>0</c:v>
                </c:pt>
                <c:pt idx="10">
                  <c:v>253.6</c:v>
                </c:pt>
                <c:pt idx="11">
                  <c:v>2.7</c:v>
                </c:pt>
                <c:pt idx="12">
                  <c:v>8.0500000000000007</c:v>
                </c:pt>
                <c:pt idx="13">
                  <c:v>343.1</c:v>
                </c:pt>
                <c:pt idx="14">
                  <c:v>0</c:v>
                </c:pt>
                <c:pt idx="15">
                  <c:v>198.2</c:v>
                </c:pt>
                <c:pt idx="16">
                  <c:v>289.89999999999998</c:v>
                </c:pt>
                <c:pt idx="17">
                  <c:v>117.7</c:v>
                </c:pt>
                <c:pt idx="18">
                  <c:v>68.650000000000006</c:v>
                </c:pt>
                <c:pt idx="19">
                  <c:v>61.15</c:v>
                </c:pt>
                <c:pt idx="20">
                  <c:v>489.4</c:v>
                </c:pt>
                <c:pt idx="21">
                  <c:v>233.5</c:v>
                </c:pt>
                <c:pt idx="22">
                  <c:v>162.85</c:v>
                </c:pt>
                <c:pt idx="23">
                  <c:v>526.9</c:v>
                </c:pt>
                <c:pt idx="24">
                  <c:v>354.45</c:v>
                </c:pt>
                <c:pt idx="25">
                  <c:v>874.85</c:v>
                </c:pt>
                <c:pt idx="26">
                  <c:v>0</c:v>
                </c:pt>
                <c:pt idx="27">
                  <c:v>0</c:v>
                </c:pt>
                <c:pt idx="28">
                  <c:v>133.19999999999999</c:v>
                </c:pt>
                <c:pt idx="29">
                  <c:v>1641.3</c:v>
                </c:pt>
                <c:pt idx="30">
                  <c:v>257.39999999999998</c:v>
                </c:pt>
                <c:pt idx="31">
                  <c:v>11.25</c:v>
                </c:pt>
                <c:pt idx="32">
                  <c:v>0</c:v>
                </c:pt>
                <c:pt idx="33">
                  <c:v>241.9</c:v>
                </c:pt>
                <c:pt idx="34">
                  <c:v>83.45</c:v>
                </c:pt>
                <c:pt idx="35">
                  <c:v>209.5</c:v>
                </c:pt>
                <c:pt idx="36">
                  <c:v>229.65</c:v>
                </c:pt>
                <c:pt idx="37">
                  <c:v>236.4</c:v>
                </c:pt>
                <c:pt idx="38">
                  <c:v>108.65</c:v>
                </c:pt>
                <c:pt idx="39">
                  <c:v>605.54999999999995</c:v>
                </c:pt>
                <c:pt idx="40">
                  <c:v>324.05</c:v>
                </c:pt>
                <c:pt idx="41">
                  <c:v>294.45</c:v>
                </c:pt>
                <c:pt idx="42">
                  <c:v>0</c:v>
                </c:pt>
                <c:pt idx="43">
                  <c:v>0</c:v>
                </c:pt>
                <c:pt idx="44">
                  <c:v>181.65</c:v>
                </c:pt>
                <c:pt idx="45">
                  <c:v>0</c:v>
                </c:pt>
                <c:pt idx="46">
                  <c:v>1886</c:v>
                </c:pt>
                <c:pt idx="47">
                  <c:v>1468.55</c:v>
                </c:pt>
                <c:pt idx="48">
                  <c:v>753.1</c:v>
                </c:pt>
                <c:pt idx="49">
                  <c:v>2.6</c:v>
                </c:pt>
                <c:pt idx="50">
                  <c:v>55.45</c:v>
                </c:pt>
                <c:pt idx="51">
                  <c:v>114.9</c:v>
                </c:pt>
                <c:pt idx="52">
                  <c:v>0</c:v>
                </c:pt>
                <c:pt idx="53">
                  <c:v>98.9</c:v>
                </c:pt>
                <c:pt idx="54">
                  <c:v>72.650000000000006</c:v>
                </c:pt>
                <c:pt idx="55">
                  <c:v>188.35</c:v>
                </c:pt>
                <c:pt idx="56">
                  <c:v>1010</c:v>
                </c:pt>
                <c:pt idx="57">
                  <c:v>808.25</c:v>
                </c:pt>
                <c:pt idx="58">
                  <c:v>14.4</c:v>
                </c:pt>
                <c:pt idx="59">
                  <c:v>776.6</c:v>
                </c:pt>
                <c:pt idx="60">
                  <c:v>1026.9000000000001</c:v>
                </c:pt>
                <c:pt idx="61">
                  <c:v>0</c:v>
                </c:pt>
                <c:pt idx="62">
                  <c:v>125.2</c:v>
                </c:pt>
                <c:pt idx="63">
                  <c:v>225.7</c:v>
                </c:pt>
                <c:pt idx="64">
                  <c:v>650.65</c:v>
                </c:pt>
                <c:pt idx="65">
                  <c:v>0</c:v>
                </c:pt>
                <c:pt idx="66">
                  <c:v>0</c:v>
                </c:pt>
                <c:pt idx="67">
                  <c:v>48</c:v>
                </c:pt>
                <c:pt idx="68">
                  <c:v>0</c:v>
                </c:pt>
                <c:pt idx="69">
                  <c:v>109.9</c:v>
                </c:pt>
                <c:pt idx="70">
                  <c:v>31.2</c:v>
                </c:pt>
                <c:pt idx="71">
                  <c:v>468.65</c:v>
                </c:pt>
                <c:pt idx="72">
                  <c:v>239.75</c:v>
                </c:pt>
                <c:pt idx="73">
                  <c:v>447.4</c:v>
                </c:pt>
                <c:pt idx="74">
                  <c:v>104.95</c:v>
                </c:pt>
                <c:pt idx="75">
                  <c:v>385.75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F7E-4EDB-8780-EC41CF222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20777.70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952.3</c:v>
                </c:pt>
                <c:pt idx="1">
                  <c:v>5629.05</c:v>
                </c:pt>
                <c:pt idx="2">
                  <c:v>6843.8</c:v>
                </c:pt>
                <c:pt idx="3">
                  <c:v>7352.55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E7A-4075-9B55-1BB6CE9D176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18.5</c:v>
                </c:pt>
                <c:pt idx="1">
                  <c:v>18.2</c:v>
                </c:pt>
                <c:pt idx="2">
                  <c:v>18.7</c:v>
                </c:pt>
                <c:pt idx="3">
                  <c:v>18.7</c:v>
                </c:pt>
                <c:pt idx="4">
                  <c:v>18.5</c:v>
                </c:pt>
                <c:pt idx="5">
                  <c:v>18.5</c:v>
                </c:pt>
                <c:pt idx="6">
                  <c:v>18</c:v>
                </c:pt>
                <c:pt idx="7">
                  <c:v>18.399999999999999</c:v>
                </c:pt>
                <c:pt idx="8">
                  <c:v>18.5</c:v>
                </c:pt>
                <c:pt idx="9">
                  <c:v>18.8</c:v>
                </c:pt>
                <c:pt idx="10">
                  <c:v>18.899999999999999</c:v>
                </c:pt>
                <c:pt idx="11">
                  <c:v>18.7</c:v>
                </c:pt>
                <c:pt idx="12">
                  <c:v>16.5</c:v>
                </c:pt>
                <c:pt idx="13">
                  <c:v>18.2</c:v>
                </c:pt>
                <c:pt idx="14">
                  <c:v>18.399999999999999</c:v>
                </c:pt>
                <c:pt idx="15">
                  <c:v>18.600000000000001</c:v>
                </c:pt>
                <c:pt idx="16">
                  <c:v>18.3</c:v>
                </c:pt>
                <c:pt idx="17">
                  <c:v>18.3</c:v>
                </c:pt>
                <c:pt idx="18">
                  <c:v>18</c:v>
                </c:pt>
                <c:pt idx="19">
                  <c:v>18</c:v>
                </c:pt>
                <c:pt idx="20">
                  <c:v>18.100000000000001</c:v>
                </c:pt>
                <c:pt idx="21">
                  <c:v>18.2</c:v>
                </c:pt>
                <c:pt idx="22">
                  <c:v>18.7</c:v>
                </c:pt>
                <c:pt idx="23">
                  <c:v>18.5</c:v>
                </c:pt>
                <c:pt idx="24">
                  <c:v>18.100000000000001</c:v>
                </c:pt>
                <c:pt idx="25">
                  <c:v>18</c:v>
                </c:pt>
                <c:pt idx="26">
                  <c:v>18.2</c:v>
                </c:pt>
                <c:pt idx="27">
                  <c:v>18</c:v>
                </c:pt>
                <c:pt idx="28">
                  <c:v>18.8</c:v>
                </c:pt>
                <c:pt idx="29">
                  <c:v>18.100000000000001</c:v>
                </c:pt>
                <c:pt idx="30">
                  <c:v>18.399999999999999</c:v>
                </c:pt>
                <c:pt idx="31">
                  <c:v>18.2</c:v>
                </c:pt>
                <c:pt idx="32">
                  <c:v>17.8</c:v>
                </c:pt>
                <c:pt idx="33">
                  <c:v>18</c:v>
                </c:pt>
                <c:pt idx="34">
                  <c:v>18.5</c:v>
                </c:pt>
                <c:pt idx="35">
                  <c:v>18.600000000000001</c:v>
                </c:pt>
                <c:pt idx="36">
                  <c:v>19</c:v>
                </c:pt>
                <c:pt idx="37">
                  <c:v>18.5</c:v>
                </c:pt>
                <c:pt idx="38">
                  <c:v>18.100000000000001</c:v>
                </c:pt>
                <c:pt idx="39">
                  <c:v>18</c:v>
                </c:pt>
                <c:pt idx="40">
                  <c:v>18.100000000000001</c:v>
                </c:pt>
                <c:pt idx="41">
                  <c:v>18.5</c:v>
                </c:pt>
                <c:pt idx="42">
                  <c:v>18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18.8</c:v>
                </c:pt>
                <c:pt idx="46">
                  <c:v>18.7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8-47F9-ADC8-80B29A38639F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FFB8-47F9-ADC8-80B29A38639F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FFB8-47F9-ADC8-80B29A38639F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10.8</c:v>
                </c:pt>
                <c:pt idx="1">
                  <c:v>10.8</c:v>
                </c:pt>
                <c:pt idx="2">
                  <c:v>10.8</c:v>
                </c:pt>
                <c:pt idx="3">
                  <c:v>10.8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10.9</c:v>
                </c:pt>
                <c:pt idx="8">
                  <c:v>11.3</c:v>
                </c:pt>
                <c:pt idx="9">
                  <c:v>11.3</c:v>
                </c:pt>
                <c:pt idx="10">
                  <c:v>11.3</c:v>
                </c:pt>
                <c:pt idx="11">
                  <c:v>11.3</c:v>
                </c:pt>
                <c:pt idx="12">
                  <c:v>11.3</c:v>
                </c:pt>
                <c:pt idx="13">
                  <c:v>11</c:v>
                </c:pt>
                <c:pt idx="14">
                  <c:v>11.4</c:v>
                </c:pt>
                <c:pt idx="15">
                  <c:v>11.4</c:v>
                </c:pt>
                <c:pt idx="16">
                  <c:v>11.3</c:v>
                </c:pt>
                <c:pt idx="17">
                  <c:v>11.4</c:v>
                </c:pt>
                <c:pt idx="18">
                  <c:v>11.4</c:v>
                </c:pt>
                <c:pt idx="19">
                  <c:v>11.4</c:v>
                </c:pt>
                <c:pt idx="20">
                  <c:v>11.1</c:v>
                </c:pt>
                <c:pt idx="21">
                  <c:v>11.1</c:v>
                </c:pt>
                <c:pt idx="22">
                  <c:v>11.2</c:v>
                </c:pt>
                <c:pt idx="23">
                  <c:v>11.2</c:v>
                </c:pt>
                <c:pt idx="24">
                  <c:v>11.4</c:v>
                </c:pt>
                <c:pt idx="25">
                  <c:v>11.4</c:v>
                </c:pt>
                <c:pt idx="26">
                  <c:v>11</c:v>
                </c:pt>
                <c:pt idx="27">
                  <c:v>10.9</c:v>
                </c:pt>
                <c:pt idx="28">
                  <c:v>10.9</c:v>
                </c:pt>
                <c:pt idx="29">
                  <c:v>10.9</c:v>
                </c:pt>
                <c:pt idx="30">
                  <c:v>10.3</c:v>
                </c:pt>
                <c:pt idx="31">
                  <c:v>10</c:v>
                </c:pt>
                <c:pt idx="32">
                  <c:v>10.8</c:v>
                </c:pt>
                <c:pt idx="33">
                  <c:v>10.8</c:v>
                </c:pt>
                <c:pt idx="34">
                  <c:v>11</c:v>
                </c:pt>
                <c:pt idx="35">
                  <c:v>11</c:v>
                </c:pt>
                <c:pt idx="36">
                  <c:v>10.4</c:v>
                </c:pt>
                <c:pt idx="37">
                  <c:v>10.8</c:v>
                </c:pt>
                <c:pt idx="38">
                  <c:v>10.8</c:v>
                </c:pt>
                <c:pt idx="39">
                  <c:v>10.8</c:v>
                </c:pt>
                <c:pt idx="40">
                  <c:v>10.8</c:v>
                </c:pt>
                <c:pt idx="41">
                  <c:v>11.3</c:v>
                </c:pt>
                <c:pt idx="42">
                  <c:v>11.1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10.7</c:v>
                </c:pt>
                <c:pt idx="47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B8-47F9-ADC8-80B29A38639F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10.1</c:v>
                </c:pt>
                <c:pt idx="1">
                  <c:v>10.1</c:v>
                </c:pt>
                <c:pt idx="2">
                  <c:v>10</c:v>
                </c:pt>
                <c:pt idx="3">
                  <c:v>10.1</c:v>
                </c:pt>
                <c:pt idx="4">
                  <c:v>9.6999999999999993</c:v>
                </c:pt>
                <c:pt idx="5">
                  <c:v>9.9</c:v>
                </c:pt>
                <c:pt idx="6">
                  <c:v>9.8000000000000007</c:v>
                </c:pt>
                <c:pt idx="7">
                  <c:v>9.6</c:v>
                </c:pt>
                <c:pt idx="8">
                  <c:v>9.1999999999999993</c:v>
                </c:pt>
                <c:pt idx="9">
                  <c:v>9</c:v>
                </c:pt>
                <c:pt idx="10">
                  <c:v>8.1999999999999993</c:v>
                </c:pt>
                <c:pt idx="11">
                  <c:v>6.5</c:v>
                </c:pt>
                <c:pt idx="12">
                  <c:v>6.2</c:v>
                </c:pt>
                <c:pt idx="13">
                  <c:v>6.1</c:v>
                </c:pt>
                <c:pt idx="14">
                  <c:v>5.2</c:v>
                </c:pt>
                <c:pt idx="15">
                  <c:v>5.5</c:v>
                </c:pt>
                <c:pt idx="16">
                  <c:v>5.6</c:v>
                </c:pt>
                <c:pt idx="17">
                  <c:v>6.5</c:v>
                </c:pt>
                <c:pt idx="18">
                  <c:v>7.6</c:v>
                </c:pt>
                <c:pt idx="19">
                  <c:v>9.9</c:v>
                </c:pt>
                <c:pt idx="20">
                  <c:v>9.9</c:v>
                </c:pt>
                <c:pt idx="21">
                  <c:v>10.4</c:v>
                </c:pt>
                <c:pt idx="22">
                  <c:v>10.199999999999999</c:v>
                </c:pt>
                <c:pt idx="23">
                  <c:v>9.9</c:v>
                </c:pt>
                <c:pt idx="24">
                  <c:v>9.3000000000000007</c:v>
                </c:pt>
                <c:pt idx="25">
                  <c:v>9.4</c:v>
                </c:pt>
                <c:pt idx="26">
                  <c:v>9.6999999999999993</c:v>
                </c:pt>
                <c:pt idx="27">
                  <c:v>8.6</c:v>
                </c:pt>
                <c:pt idx="28">
                  <c:v>7</c:v>
                </c:pt>
                <c:pt idx="29">
                  <c:v>5.7</c:v>
                </c:pt>
                <c:pt idx="30">
                  <c:v>8.3000000000000007</c:v>
                </c:pt>
                <c:pt idx="31">
                  <c:v>8.1</c:v>
                </c:pt>
                <c:pt idx="32">
                  <c:v>8</c:v>
                </c:pt>
                <c:pt idx="33">
                  <c:v>7.8</c:v>
                </c:pt>
                <c:pt idx="34">
                  <c:v>8.6999999999999993</c:v>
                </c:pt>
                <c:pt idx="35">
                  <c:v>8.8000000000000007</c:v>
                </c:pt>
                <c:pt idx="36">
                  <c:v>9</c:v>
                </c:pt>
                <c:pt idx="37">
                  <c:v>8.1</c:v>
                </c:pt>
                <c:pt idx="38">
                  <c:v>7.2</c:v>
                </c:pt>
                <c:pt idx="39">
                  <c:v>6.2</c:v>
                </c:pt>
                <c:pt idx="40">
                  <c:v>5.2</c:v>
                </c:pt>
                <c:pt idx="41">
                  <c:v>8.1999999999999993</c:v>
                </c:pt>
                <c:pt idx="42">
                  <c:v>8.6</c:v>
                </c:pt>
                <c:pt idx="43">
                  <c:v>9</c:v>
                </c:pt>
                <c:pt idx="44">
                  <c:v>8.9</c:v>
                </c:pt>
                <c:pt idx="45">
                  <c:v>8.1</c:v>
                </c:pt>
                <c:pt idx="46">
                  <c:v>7.7</c:v>
                </c:pt>
                <c:pt idx="47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B8-47F9-ADC8-80B29A38639F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5-FFB8-47F9-ADC8-80B29A38639F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34.4</c:v>
                </c:pt>
                <c:pt idx="1">
                  <c:v>34.299999999999997</c:v>
                </c:pt>
                <c:pt idx="2">
                  <c:v>34.1</c:v>
                </c:pt>
                <c:pt idx="3">
                  <c:v>33.6</c:v>
                </c:pt>
                <c:pt idx="4">
                  <c:v>34.5</c:v>
                </c:pt>
                <c:pt idx="5">
                  <c:v>34.4</c:v>
                </c:pt>
                <c:pt idx="6">
                  <c:v>33.9</c:v>
                </c:pt>
                <c:pt idx="7">
                  <c:v>34.700000000000003</c:v>
                </c:pt>
                <c:pt idx="8">
                  <c:v>34.5</c:v>
                </c:pt>
                <c:pt idx="9">
                  <c:v>34.6</c:v>
                </c:pt>
                <c:pt idx="10">
                  <c:v>34.4</c:v>
                </c:pt>
                <c:pt idx="11">
                  <c:v>34.5</c:v>
                </c:pt>
                <c:pt idx="12">
                  <c:v>34.4</c:v>
                </c:pt>
                <c:pt idx="13">
                  <c:v>34.4</c:v>
                </c:pt>
                <c:pt idx="14">
                  <c:v>34.5</c:v>
                </c:pt>
                <c:pt idx="15">
                  <c:v>34.5</c:v>
                </c:pt>
                <c:pt idx="16">
                  <c:v>34.299999999999997</c:v>
                </c:pt>
                <c:pt idx="17">
                  <c:v>34.5</c:v>
                </c:pt>
                <c:pt idx="18">
                  <c:v>34.1</c:v>
                </c:pt>
                <c:pt idx="19">
                  <c:v>34</c:v>
                </c:pt>
                <c:pt idx="20">
                  <c:v>34.200000000000003</c:v>
                </c:pt>
                <c:pt idx="21">
                  <c:v>33.799999999999997</c:v>
                </c:pt>
                <c:pt idx="22">
                  <c:v>33.799999999999997</c:v>
                </c:pt>
                <c:pt idx="23">
                  <c:v>34</c:v>
                </c:pt>
                <c:pt idx="24">
                  <c:v>33.700000000000003</c:v>
                </c:pt>
                <c:pt idx="25">
                  <c:v>33.299999999999997</c:v>
                </c:pt>
                <c:pt idx="26">
                  <c:v>33.9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</c:v>
                </c:pt>
                <c:pt idx="30">
                  <c:v>33.5</c:v>
                </c:pt>
                <c:pt idx="31">
                  <c:v>34.1</c:v>
                </c:pt>
                <c:pt idx="32">
                  <c:v>34.200000000000003</c:v>
                </c:pt>
                <c:pt idx="33">
                  <c:v>34.4</c:v>
                </c:pt>
                <c:pt idx="34">
                  <c:v>34.299999999999997</c:v>
                </c:pt>
                <c:pt idx="35">
                  <c:v>34.5</c:v>
                </c:pt>
                <c:pt idx="36">
                  <c:v>34.299999999999997</c:v>
                </c:pt>
                <c:pt idx="37">
                  <c:v>34.1</c:v>
                </c:pt>
                <c:pt idx="38">
                  <c:v>34.299999999999997</c:v>
                </c:pt>
                <c:pt idx="39">
                  <c:v>34.299999999999997</c:v>
                </c:pt>
                <c:pt idx="40">
                  <c:v>34.1</c:v>
                </c:pt>
                <c:pt idx="41">
                  <c:v>33.799999999999997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34</c:v>
                </c:pt>
                <c:pt idx="45">
                  <c:v>32.799999999999997</c:v>
                </c:pt>
                <c:pt idx="46">
                  <c:v>33.200000000000003</c:v>
                </c:pt>
                <c:pt idx="47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B8-47F9-ADC8-80B29A386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ENERGIA RENOVABLE DEL SUR S.A.</c:v>
                </c:pt>
                <c:pt idx="19">
                  <c:v>INLAND ENERGY SAC</c:v>
                </c:pt>
                <c:pt idx="20">
                  <c:v>GENERADORA DE ENERGÍA DEL PERÚ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EMPRESA DE GENERACION HUANZA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TERMOSELVA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VARI ENERGIA S.A.C.</c:v>
                </c:pt>
                <c:pt idx="33">
                  <c:v>EMPRESA DE GENERACION ELECTRICA SANTA ANA S.A.C.</c:v>
                </c:pt>
                <c:pt idx="34">
                  <c:v>EGESUR</c:v>
                </c:pt>
                <c:pt idx="35">
                  <c:v>EMPRESA ELECTRICA AGUA AZUL</c:v>
                </c:pt>
                <c:pt idx="36">
                  <c:v>PARQUE EOLICO MARCONA S.A.C.</c:v>
                </c:pt>
                <c:pt idx="37">
                  <c:v>GM OPERACIONES S.A.C.</c:v>
                </c:pt>
                <c:pt idx="38">
                  <c:v>CASA GRANDE S.A.A.</c:v>
                </c:pt>
                <c:pt idx="39">
                  <c:v>ANDEAN POWER S.A.C.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GR TARUCA SOCIEDAD ANONIMA CERRADA</c:v>
                </c:pt>
                <c:pt idx="43">
                  <c:v>EMPRESA ELECTRICA RIO DOBLE</c:v>
                </c:pt>
                <c:pt idx="44">
                  <c:v>GR PAINO SOCIEDAD ANONIMA CERRADA</c:v>
                </c:pt>
                <c:pt idx="45">
                  <c:v>BIOENERGIA DEL CHIRA S.A.</c:v>
                </c:pt>
                <c:pt idx="46">
                  <c:v>AGRO INDUSTRIAL PARAMONGA S.A.</c:v>
                </c:pt>
                <c:pt idx="47">
                  <c:v>MINERA CERRO VERDE</c:v>
                </c:pt>
                <c:pt idx="48">
                  <c:v>AGROLMOS SOCIEDAD ANONIMA - AGROLMOS S.A.</c:v>
                </c:pt>
                <c:pt idx="49">
                  <c:v>HUAURA POWER GROUP S.A.</c:v>
                </c:pt>
                <c:pt idx="50">
                  <c:v>PETRAMAS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INVERSIONES SHAQSHA S.A.C.</c:v>
                </c:pt>
                <c:pt idx="59">
                  <c:v>AGROINDUSTRIAS SAN JACINTO S.A.A.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HIDROCAÑETE S.A.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879842.01999499998</c:v>
                </c:pt>
                <c:pt idx="1">
                  <c:v>546296.23950000003</c:v>
                </c:pt>
                <c:pt idx="2">
                  <c:v>534190.98499999999</c:v>
                </c:pt>
                <c:pt idx="3">
                  <c:v>526273.25500999996</c:v>
                </c:pt>
                <c:pt idx="4">
                  <c:v>292940.61998999998</c:v>
                </c:pt>
                <c:pt idx="5">
                  <c:v>184293.95</c:v>
                </c:pt>
                <c:pt idx="6">
                  <c:v>161380.94500000001</c:v>
                </c:pt>
                <c:pt idx="7">
                  <c:v>150216.47500000001</c:v>
                </c:pt>
                <c:pt idx="8">
                  <c:v>124736.38499999999</c:v>
                </c:pt>
                <c:pt idx="9">
                  <c:v>101681.78</c:v>
                </c:pt>
                <c:pt idx="10">
                  <c:v>101196.68</c:v>
                </c:pt>
                <c:pt idx="11">
                  <c:v>88066.69</c:v>
                </c:pt>
                <c:pt idx="12">
                  <c:v>65881.634999999995</c:v>
                </c:pt>
                <c:pt idx="13">
                  <c:v>57342.48</c:v>
                </c:pt>
                <c:pt idx="14">
                  <c:v>50588.34</c:v>
                </c:pt>
                <c:pt idx="15">
                  <c:v>49717.45</c:v>
                </c:pt>
                <c:pt idx="16">
                  <c:v>45248</c:v>
                </c:pt>
                <c:pt idx="17">
                  <c:v>34253.74</c:v>
                </c:pt>
                <c:pt idx="18">
                  <c:v>33169.514999999999</c:v>
                </c:pt>
                <c:pt idx="19">
                  <c:v>33047.89</c:v>
                </c:pt>
                <c:pt idx="20">
                  <c:v>30676.7595</c:v>
                </c:pt>
                <c:pt idx="21">
                  <c:v>30490.29</c:v>
                </c:pt>
                <c:pt idx="22">
                  <c:v>28387</c:v>
                </c:pt>
                <c:pt idx="23">
                  <c:v>28250.325000000001</c:v>
                </c:pt>
                <c:pt idx="24">
                  <c:v>27991.555</c:v>
                </c:pt>
                <c:pt idx="25">
                  <c:v>23330.85</c:v>
                </c:pt>
                <c:pt idx="26">
                  <c:v>16160.705</c:v>
                </c:pt>
                <c:pt idx="27">
                  <c:v>15568.8</c:v>
                </c:pt>
                <c:pt idx="28">
                  <c:v>13131.805</c:v>
                </c:pt>
                <c:pt idx="29">
                  <c:v>12398.85</c:v>
                </c:pt>
                <c:pt idx="30">
                  <c:v>11778.924955</c:v>
                </c:pt>
                <c:pt idx="31">
                  <c:v>11647.06</c:v>
                </c:pt>
                <c:pt idx="32">
                  <c:v>11395.06</c:v>
                </c:pt>
                <c:pt idx="33">
                  <c:v>10931.74</c:v>
                </c:pt>
                <c:pt idx="34">
                  <c:v>10915.754999999999</c:v>
                </c:pt>
                <c:pt idx="35">
                  <c:v>9993.32</c:v>
                </c:pt>
                <c:pt idx="36">
                  <c:v>9700.56</c:v>
                </c:pt>
                <c:pt idx="37">
                  <c:v>8956</c:v>
                </c:pt>
                <c:pt idx="38">
                  <c:v>8269.2710499999994</c:v>
                </c:pt>
                <c:pt idx="39">
                  <c:v>7716.72</c:v>
                </c:pt>
                <c:pt idx="40">
                  <c:v>7245.3465999999999</c:v>
                </c:pt>
                <c:pt idx="41">
                  <c:v>6899.38</c:v>
                </c:pt>
                <c:pt idx="42">
                  <c:v>6756.1850000000004</c:v>
                </c:pt>
                <c:pt idx="43">
                  <c:v>6393.53</c:v>
                </c:pt>
                <c:pt idx="44">
                  <c:v>5810.8050000000003</c:v>
                </c:pt>
                <c:pt idx="45">
                  <c:v>5751.85</c:v>
                </c:pt>
                <c:pt idx="46">
                  <c:v>5719</c:v>
                </c:pt>
                <c:pt idx="47">
                  <c:v>5072.5</c:v>
                </c:pt>
                <c:pt idx="48">
                  <c:v>4313.5969500000001</c:v>
                </c:pt>
                <c:pt idx="49">
                  <c:v>4129.45</c:v>
                </c:pt>
                <c:pt idx="50">
                  <c:v>4039.1</c:v>
                </c:pt>
                <c:pt idx="51">
                  <c:v>3408.197275</c:v>
                </c:pt>
                <c:pt idx="52">
                  <c:v>2918.1</c:v>
                </c:pt>
                <c:pt idx="53">
                  <c:v>2823.969165</c:v>
                </c:pt>
                <c:pt idx="54">
                  <c:v>2780.16</c:v>
                </c:pt>
                <c:pt idx="55">
                  <c:v>2643.3449999999998</c:v>
                </c:pt>
                <c:pt idx="56">
                  <c:v>2263.431</c:v>
                </c:pt>
                <c:pt idx="57">
                  <c:v>2093.61</c:v>
                </c:pt>
                <c:pt idx="58">
                  <c:v>1901.61</c:v>
                </c:pt>
                <c:pt idx="59">
                  <c:v>1782.31</c:v>
                </c:pt>
                <c:pt idx="60">
                  <c:v>1650.15</c:v>
                </c:pt>
                <c:pt idx="61">
                  <c:v>1347.07</c:v>
                </c:pt>
                <c:pt idx="62">
                  <c:v>1280.55</c:v>
                </c:pt>
                <c:pt idx="63">
                  <c:v>266</c:v>
                </c:pt>
                <c:pt idx="64">
                  <c:v>236.35</c:v>
                </c:pt>
                <c:pt idx="65">
                  <c:v>203.8</c:v>
                </c:pt>
                <c:pt idx="66">
                  <c:v>96.85</c:v>
                </c:pt>
                <c:pt idx="67">
                  <c:v>84.85</c:v>
                </c:pt>
                <c:pt idx="68">
                  <c:v>79.75</c:v>
                </c:pt>
                <c:pt idx="69">
                  <c:v>56</c:v>
                </c:pt>
                <c:pt idx="70">
                  <c:v>54.1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555-48C1-989C-2932E32B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322.60000000000002</c:v>
                </c:pt>
                <c:pt idx="1">
                  <c:v>298.89999999999998</c:v>
                </c:pt>
                <c:pt idx="2">
                  <c:v>292.89999999999998</c:v>
                </c:pt>
                <c:pt idx="3">
                  <c:v>297.60000000000002</c:v>
                </c:pt>
                <c:pt idx="4">
                  <c:v>302.2</c:v>
                </c:pt>
                <c:pt idx="5">
                  <c:v>302.89999999999998</c:v>
                </c:pt>
                <c:pt idx="6">
                  <c:v>297.2</c:v>
                </c:pt>
                <c:pt idx="7">
                  <c:v>303.8</c:v>
                </c:pt>
                <c:pt idx="8">
                  <c:v>288.7</c:v>
                </c:pt>
                <c:pt idx="9">
                  <c:v>300.60000000000002</c:v>
                </c:pt>
                <c:pt idx="10">
                  <c:v>302.2</c:v>
                </c:pt>
                <c:pt idx="11">
                  <c:v>366.4</c:v>
                </c:pt>
                <c:pt idx="12">
                  <c:v>373.9</c:v>
                </c:pt>
                <c:pt idx="13">
                  <c:v>374.4</c:v>
                </c:pt>
                <c:pt idx="14">
                  <c:v>416.4</c:v>
                </c:pt>
                <c:pt idx="15">
                  <c:v>405.5</c:v>
                </c:pt>
                <c:pt idx="16">
                  <c:v>410.2</c:v>
                </c:pt>
                <c:pt idx="17">
                  <c:v>424</c:v>
                </c:pt>
                <c:pt idx="18">
                  <c:v>449.1</c:v>
                </c:pt>
                <c:pt idx="19">
                  <c:v>483.1</c:v>
                </c:pt>
                <c:pt idx="20">
                  <c:v>498.4</c:v>
                </c:pt>
                <c:pt idx="21">
                  <c:v>492</c:v>
                </c:pt>
                <c:pt idx="22">
                  <c:v>524.9</c:v>
                </c:pt>
                <c:pt idx="23">
                  <c:v>517.79999999999995</c:v>
                </c:pt>
                <c:pt idx="24">
                  <c:v>514.70000000000005</c:v>
                </c:pt>
                <c:pt idx="25">
                  <c:v>488.9</c:v>
                </c:pt>
                <c:pt idx="26">
                  <c:v>463.6</c:v>
                </c:pt>
                <c:pt idx="27">
                  <c:v>491.6</c:v>
                </c:pt>
                <c:pt idx="28">
                  <c:v>545.4</c:v>
                </c:pt>
                <c:pt idx="29">
                  <c:v>520.4</c:v>
                </c:pt>
                <c:pt idx="30">
                  <c:v>519</c:v>
                </c:pt>
                <c:pt idx="31">
                  <c:v>518</c:v>
                </c:pt>
                <c:pt idx="32">
                  <c:v>513.1</c:v>
                </c:pt>
                <c:pt idx="33">
                  <c:v>491.2</c:v>
                </c:pt>
                <c:pt idx="34">
                  <c:v>492.1</c:v>
                </c:pt>
                <c:pt idx="35">
                  <c:v>491.4</c:v>
                </c:pt>
                <c:pt idx="36">
                  <c:v>485.1</c:v>
                </c:pt>
                <c:pt idx="37">
                  <c:v>542.29999999999995</c:v>
                </c:pt>
                <c:pt idx="38">
                  <c:v>583.1</c:v>
                </c:pt>
                <c:pt idx="39">
                  <c:v>594.1</c:v>
                </c:pt>
                <c:pt idx="40">
                  <c:v>588.4</c:v>
                </c:pt>
                <c:pt idx="41">
                  <c:v>545.4</c:v>
                </c:pt>
                <c:pt idx="42">
                  <c:v>529.29999999999995</c:v>
                </c:pt>
                <c:pt idx="43">
                  <c:v>511.8</c:v>
                </c:pt>
                <c:pt idx="44">
                  <c:v>505</c:v>
                </c:pt>
                <c:pt idx="45">
                  <c:v>335.4</c:v>
                </c:pt>
                <c:pt idx="46">
                  <c:v>333.3</c:v>
                </c:pt>
                <c:pt idx="47">
                  <c:v>325.3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F-456D-8DFC-EAC297C1FDD2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5754.5</c:v>
                </c:pt>
                <c:pt idx="1">
                  <c:v>5694.5</c:v>
                </c:pt>
                <c:pt idx="2">
                  <c:v>5628.5</c:v>
                </c:pt>
                <c:pt idx="3">
                  <c:v>5649.3</c:v>
                </c:pt>
                <c:pt idx="4">
                  <c:v>5611.2</c:v>
                </c:pt>
                <c:pt idx="5">
                  <c:v>5565</c:v>
                </c:pt>
                <c:pt idx="6">
                  <c:v>5560.3</c:v>
                </c:pt>
                <c:pt idx="7">
                  <c:v>5527.7</c:v>
                </c:pt>
                <c:pt idx="8">
                  <c:v>5498.8</c:v>
                </c:pt>
                <c:pt idx="9">
                  <c:v>5471.9</c:v>
                </c:pt>
                <c:pt idx="10">
                  <c:v>5644.4</c:v>
                </c:pt>
                <c:pt idx="11">
                  <c:v>5775.1</c:v>
                </c:pt>
                <c:pt idx="12">
                  <c:v>5875.2</c:v>
                </c:pt>
                <c:pt idx="13">
                  <c:v>5649.7</c:v>
                </c:pt>
                <c:pt idx="14">
                  <c:v>5584.2</c:v>
                </c:pt>
                <c:pt idx="15">
                  <c:v>5331.8</c:v>
                </c:pt>
                <c:pt idx="16">
                  <c:v>5657.4</c:v>
                </c:pt>
                <c:pt idx="17">
                  <c:v>5625.1</c:v>
                </c:pt>
                <c:pt idx="18">
                  <c:v>5843.1</c:v>
                </c:pt>
                <c:pt idx="19">
                  <c:v>5816.7</c:v>
                </c:pt>
                <c:pt idx="20">
                  <c:v>5881.8</c:v>
                </c:pt>
                <c:pt idx="21">
                  <c:v>5932.9</c:v>
                </c:pt>
                <c:pt idx="22">
                  <c:v>5931.3</c:v>
                </c:pt>
                <c:pt idx="23">
                  <c:v>6031</c:v>
                </c:pt>
                <c:pt idx="24">
                  <c:v>5976</c:v>
                </c:pt>
                <c:pt idx="25">
                  <c:v>5872</c:v>
                </c:pt>
                <c:pt idx="26">
                  <c:v>5897.4</c:v>
                </c:pt>
                <c:pt idx="27">
                  <c:v>5924.6</c:v>
                </c:pt>
                <c:pt idx="28">
                  <c:v>5944.8</c:v>
                </c:pt>
                <c:pt idx="29">
                  <c:v>6068.6</c:v>
                </c:pt>
                <c:pt idx="30">
                  <c:v>6114.9</c:v>
                </c:pt>
                <c:pt idx="31">
                  <c:v>6243.8</c:v>
                </c:pt>
                <c:pt idx="32">
                  <c:v>6563.6</c:v>
                </c:pt>
                <c:pt idx="33">
                  <c:v>6662.4</c:v>
                </c:pt>
                <c:pt idx="34">
                  <c:v>6863.6</c:v>
                </c:pt>
                <c:pt idx="35">
                  <c:v>6708.4</c:v>
                </c:pt>
                <c:pt idx="36">
                  <c:v>6803.5</c:v>
                </c:pt>
                <c:pt idx="37">
                  <c:v>6675.8</c:v>
                </c:pt>
                <c:pt idx="38">
                  <c:v>6555.6</c:v>
                </c:pt>
                <c:pt idx="39">
                  <c:v>6603.1</c:v>
                </c:pt>
                <c:pt idx="40">
                  <c:v>6595.3</c:v>
                </c:pt>
                <c:pt idx="41">
                  <c:v>6584.9</c:v>
                </c:pt>
                <c:pt idx="42">
                  <c:v>6588.8</c:v>
                </c:pt>
                <c:pt idx="43">
                  <c:v>6564.3</c:v>
                </c:pt>
                <c:pt idx="44">
                  <c:v>6339.4</c:v>
                </c:pt>
                <c:pt idx="45">
                  <c:v>6244.2</c:v>
                </c:pt>
                <c:pt idx="46">
                  <c:v>6079.7</c:v>
                </c:pt>
                <c:pt idx="47">
                  <c:v>5910.6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F-456D-8DFC-EAC297C1FDD2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626.6</c:v>
                </c:pt>
                <c:pt idx="1">
                  <c:v>563.5</c:v>
                </c:pt>
                <c:pt idx="2">
                  <c:v>550.5</c:v>
                </c:pt>
                <c:pt idx="3">
                  <c:v>561.20000000000005</c:v>
                </c:pt>
                <c:pt idx="4">
                  <c:v>558.70000000000005</c:v>
                </c:pt>
                <c:pt idx="5">
                  <c:v>556.9</c:v>
                </c:pt>
                <c:pt idx="6">
                  <c:v>559.20000000000005</c:v>
                </c:pt>
                <c:pt idx="7">
                  <c:v>560.20000000000005</c:v>
                </c:pt>
                <c:pt idx="8">
                  <c:v>561</c:v>
                </c:pt>
                <c:pt idx="9">
                  <c:v>540.4</c:v>
                </c:pt>
                <c:pt idx="10">
                  <c:v>532.29999999999995</c:v>
                </c:pt>
                <c:pt idx="11">
                  <c:v>566.1</c:v>
                </c:pt>
                <c:pt idx="12">
                  <c:v>601.4</c:v>
                </c:pt>
                <c:pt idx="13">
                  <c:v>821.9</c:v>
                </c:pt>
                <c:pt idx="14">
                  <c:v>1078.0999999999999</c:v>
                </c:pt>
                <c:pt idx="15">
                  <c:v>1292.4000000000001</c:v>
                </c:pt>
                <c:pt idx="16">
                  <c:v>1327.5</c:v>
                </c:pt>
                <c:pt idx="17">
                  <c:v>1365.5</c:v>
                </c:pt>
                <c:pt idx="18">
                  <c:v>1381.6</c:v>
                </c:pt>
                <c:pt idx="19">
                  <c:v>1379.6</c:v>
                </c:pt>
                <c:pt idx="20">
                  <c:v>1390.8</c:v>
                </c:pt>
                <c:pt idx="21">
                  <c:v>1387</c:v>
                </c:pt>
                <c:pt idx="22">
                  <c:v>1394</c:v>
                </c:pt>
                <c:pt idx="23">
                  <c:v>1396.8</c:v>
                </c:pt>
                <c:pt idx="24">
                  <c:v>1407.8</c:v>
                </c:pt>
                <c:pt idx="25">
                  <c:v>1411.5</c:v>
                </c:pt>
                <c:pt idx="26">
                  <c:v>1413.3</c:v>
                </c:pt>
                <c:pt idx="27">
                  <c:v>1425.9</c:v>
                </c:pt>
                <c:pt idx="28">
                  <c:v>1406.3</c:v>
                </c:pt>
                <c:pt idx="29">
                  <c:v>1388.6</c:v>
                </c:pt>
                <c:pt idx="30">
                  <c:v>1362.9</c:v>
                </c:pt>
                <c:pt idx="31">
                  <c:v>1224.8</c:v>
                </c:pt>
                <c:pt idx="32">
                  <c:v>923.4</c:v>
                </c:pt>
                <c:pt idx="33">
                  <c:v>699.4</c:v>
                </c:pt>
                <c:pt idx="34">
                  <c:v>616.29999999999995</c:v>
                </c:pt>
                <c:pt idx="35">
                  <c:v>614.5</c:v>
                </c:pt>
                <c:pt idx="36">
                  <c:v>616.5</c:v>
                </c:pt>
                <c:pt idx="37">
                  <c:v>613.4</c:v>
                </c:pt>
                <c:pt idx="38">
                  <c:v>654.9</c:v>
                </c:pt>
                <c:pt idx="39">
                  <c:v>656</c:v>
                </c:pt>
                <c:pt idx="40">
                  <c:v>656.5</c:v>
                </c:pt>
                <c:pt idx="41">
                  <c:v>655</c:v>
                </c:pt>
                <c:pt idx="42">
                  <c:v>656.5</c:v>
                </c:pt>
                <c:pt idx="43">
                  <c:v>659.6</c:v>
                </c:pt>
                <c:pt idx="44">
                  <c:v>647.6</c:v>
                </c:pt>
                <c:pt idx="45">
                  <c:v>652.4</c:v>
                </c:pt>
                <c:pt idx="46">
                  <c:v>645.79999999999995</c:v>
                </c:pt>
                <c:pt idx="47">
                  <c:v>631.6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F-456D-8DFC-EAC297C1F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3594.8</c:v>
                </c:pt>
                <c:pt idx="1">
                  <c:v>3574.6</c:v>
                </c:pt>
                <c:pt idx="2">
                  <c:v>3487.8</c:v>
                </c:pt>
                <c:pt idx="3">
                  <c:v>3529.2</c:v>
                </c:pt>
                <c:pt idx="4">
                  <c:v>3566</c:v>
                </c:pt>
                <c:pt idx="5">
                  <c:v>3441.2</c:v>
                </c:pt>
                <c:pt idx="6">
                  <c:v>3440.7</c:v>
                </c:pt>
                <c:pt idx="7">
                  <c:v>3383.7</c:v>
                </c:pt>
                <c:pt idx="8">
                  <c:v>3317</c:v>
                </c:pt>
                <c:pt idx="9">
                  <c:v>3282.2</c:v>
                </c:pt>
                <c:pt idx="10">
                  <c:v>3379.9</c:v>
                </c:pt>
                <c:pt idx="11">
                  <c:v>3622</c:v>
                </c:pt>
                <c:pt idx="12">
                  <c:v>3726.1</c:v>
                </c:pt>
                <c:pt idx="13">
                  <c:v>3451.9</c:v>
                </c:pt>
                <c:pt idx="14">
                  <c:v>3397.6</c:v>
                </c:pt>
                <c:pt idx="15">
                  <c:v>3200</c:v>
                </c:pt>
                <c:pt idx="16">
                  <c:v>3453.3</c:v>
                </c:pt>
                <c:pt idx="17">
                  <c:v>3472.6</c:v>
                </c:pt>
                <c:pt idx="18">
                  <c:v>3654.9</c:v>
                </c:pt>
                <c:pt idx="19">
                  <c:v>3692</c:v>
                </c:pt>
                <c:pt idx="20">
                  <c:v>3835.3</c:v>
                </c:pt>
                <c:pt idx="21">
                  <c:v>3852.8</c:v>
                </c:pt>
                <c:pt idx="22">
                  <c:v>3839.2</c:v>
                </c:pt>
                <c:pt idx="23">
                  <c:v>3887</c:v>
                </c:pt>
                <c:pt idx="24">
                  <c:v>3779.7</c:v>
                </c:pt>
                <c:pt idx="25">
                  <c:v>3506.7</c:v>
                </c:pt>
                <c:pt idx="26">
                  <c:v>3443.1</c:v>
                </c:pt>
                <c:pt idx="27">
                  <c:v>3499.5</c:v>
                </c:pt>
                <c:pt idx="28">
                  <c:v>3443.7</c:v>
                </c:pt>
                <c:pt idx="29">
                  <c:v>3517.2</c:v>
                </c:pt>
                <c:pt idx="30">
                  <c:v>3523.1</c:v>
                </c:pt>
                <c:pt idx="31">
                  <c:v>3594.6</c:v>
                </c:pt>
                <c:pt idx="32">
                  <c:v>3715.4</c:v>
                </c:pt>
                <c:pt idx="33">
                  <c:v>3750.5</c:v>
                </c:pt>
                <c:pt idx="34">
                  <c:v>3857.4</c:v>
                </c:pt>
                <c:pt idx="35">
                  <c:v>3779.5</c:v>
                </c:pt>
                <c:pt idx="36">
                  <c:v>3867.3</c:v>
                </c:pt>
                <c:pt idx="37">
                  <c:v>3798.2</c:v>
                </c:pt>
                <c:pt idx="38">
                  <c:v>4086.2</c:v>
                </c:pt>
                <c:pt idx="39">
                  <c:v>4187.6000000000004</c:v>
                </c:pt>
                <c:pt idx="40">
                  <c:v>4238.3999999999996</c:v>
                </c:pt>
                <c:pt idx="41">
                  <c:v>4122.8999999999996</c:v>
                </c:pt>
                <c:pt idx="42">
                  <c:v>4189.3</c:v>
                </c:pt>
                <c:pt idx="43">
                  <c:v>4042.5</c:v>
                </c:pt>
                <c:pt idx="44">
                  <c:v>4064</c:v>
                </c:pt>
                <c:pt idx="45">
                  <c:v>3989.3</c:v>
                </c:pt>
                <c:pt idx="46">
                  <c:v>3810.4</c:v>
                </c:pt>
                <c:pt idx="47">
                  <c:v>3637.9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4-430C-AA14-5B40420529FA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3029.3</c:v>
                </c:pt>
                <c:pt idx="1">
                  <c:v>2907.2</c:v>
                </c:pt>
                <c:pt idx="2">
                  <c:v>2911.6</c:v>
                </c:pt>
                <c:pt idx="3">
                  <c:v>2911</c:v>
                </c:pt>
                <c:pt idx="4">
                  <c:v>2826.1</c:v>
                </c:pt>
                <c:pt idx="5">
                  <c:v>2895.7</c:v>
                </c:pt>
                <c:pt idx="6">
                  <c:v>2900.8</c:v>
                </c:pt>
                <c:pt idx="7">
                  <c:v>2925.4</c:v>
                </c:pt>
                <c:pt idx="8">
                  <c:v>2943.6</c:v>
                </c:pt>
                <c:pt idx="9">
                  <c:v>2936.3</c:v>
                </c:pt>
                <c:pt idx="10">
                  <c:v>2987</c:v>
                </c:pt>
                <c:pt idx="11">
                  <c:v>2961.9</c:v>
                </c:pt>
                <c:pt idx="12">
                  <c:v>2959.2</c:v>
                </c:pt>
                <c:pt idx="13">
                  <c:v>3000.1</c:v>
                </c:pt>
                <c:pt idx="14">
                  <c:v>3025.2</c:v>
                </c:pt>
                <c:pt idx="15">
                  <c:v>2946.8</c:v>
                </c:pt>
                <c:pt idx="16">
                  <c:v>3032.2</c:v>
                </c:pt>
                <c:pt idx="17">
                  <c:v>2991.4</c:v>
                </c:pt>
                <c:pt idx="18">
                  <c:v>3035.5</c:v>
                </c:pt>
                <c:pt idx="19">
                  <c:v>2975.2</c:v>
                </c:pt>
                <c:pt idx="20">
                  <c:v>2916.7</c:v>
                </c:pt>
                <c:pt idx="21">
                  <c:v>2924.4</c:v>
                </c:pt>
                <c:pt idx="22">
                  <c:v>2947.6</c:v>
                </c:pt>
                <c:pt idx="23">
                  <c:v>2951.9</c:v>
                </c:pt>
                <c:pt idx="24">
                  <c:v>2944.3</c:v>
                </c:pt>
                <c:pt idx="25">
                  <c:v>3024.3</c:v>
                </c:pt>
                <c:pt idx="26">
                  <c:v>3069.9</c:v>
                </c:pt>
                <c:pt idx="27">
                  <c:v>3084.6</c:v>
                </c:pt>
                <c:pt idx="28">
                  <c:v>3200.4</c:v>
                </c:pt>
                <c:pt idx="29">
                  <c:v>3212.6</c:v>
                </c:pt>
                <c:pt idx="30">
                  <c:v>3184.3</c:v>
                </c:pt>
                <c:pt idx="31">
                  <c:v>3251.5</c:v>
                </c:pt>
                <c:pt idx="32">
                  <c:v>3420.8</c:v>
                </c:pt>
                <c:pt idx="33">
                  <c:v>3487.6</c:v>
                </c:pt>
                <c:pt idx="34">
                  <c:v>3526.5</c:v>
                </c:pt>
                <c:pt idx="35">
                  <c:v>3449.6</c:v>
                </c:pt>
                <c:pt idx="36">
                  <c:v>3461</c:v>
                </c:pt>
                <c:pt idx="37">
                  <c:v>3446.6</c:v>
                </c:pt>
                <c:pt idx="38">
                  <c:v>3159.5</c:v>
                </c:pt>
                <c:pt idx="39">
                  <c:v>3145.1</c:v>
                </c:pt>
                <c:pt idx="40">
                  <c:v>3138.3</c:v>
                </c:pt>
                <c:pt idx="41">
                  <c:v>3237.9</c:v>
                </c:pt>
                <c:pt idx="42">
                  <c:v>3251.9</c:v>
                </c:pt>
                <c:pt idx="43">
                  <c:v>3376.9</c:v>
                </c:pt>
                <c:pt idx="44">
                  <c:v>3177.1</c:v>
                </c:pt>
                <c:pt idx="45">
                  <c:v>3029.9</c:v>
                </c:pt>
                <c:pt idx="46">
                  <c:v>3024.8</c:v>
                </c:pt>
                <c:pt idx="47">
                  <c:v>3027.6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4-430C-AA14-5B40420529FA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</c:v>
                </c:pt>
                <c:pt idx="12">
                  <c:v>29.6</c:v>
                </c:pt>
                <c:pt idx="13">
                  <c:v>245.9</c:v>
                </c:pt>
                <c:pt idx="14">
                  <c:v>496.7</c:v>
                </c:pt>
                <c:pt idx="15">
                  <c:v>727.9</c:v>
                </c:pt>
                <c:pt idx="16">
                  <c:v>758.3</c:v>
                </c:pt>
                <c:pt idx="17">
                  <c:v>787.7</c:v>
                </c:pt>
                <c:pt idx="18">
                  <c:v>812.4</c:v>
                </c:pt>
                <c:pt idx="19">
                  <c:v>819.3</c:v>
                </c:pt>
                <c:pt idx="20">
                  <c:v>818.4</c:v>
                </c:pt>
                <c:pt idx="21">
                  <c:v>817.4</c:v>
                </c:pt>
                <c:pt idx="22">
                  <c:v>820.6</c:v>
                </c:pt>
                <c:pt idx="23">
                  <c:v>827.4</c:v>
                </c:pt>
                <c:pt idx="24">
                  <c:v>838.3</c:v>
                </c:pt>
                <c:pt idx="25">
                  <c:v>845.1</c:v>
                </c:pt>
                <c:pt idx="26">
                  <c:v>843.7</c:v>
                </c:pt>
                <c:pt idx="27">
                  <c:v>840.6</c:v>
                </c:pt>
                <c:pt idx="28">
                  <c:v>836</c:v>
                </c:pt>
                <c:pt idx="29">
                  <c:v>815</c:v>
                </c:pt>
                <c:pt idx="30">
                  <c:v>772.3</c:v>
                </c:pt>
                <c:pt idx="31">
                  <c:v>607.70000000000005</c:v>
                </c:pt>
                <c:pt idx="32">
                  <c:v>306.89999999999998</c:v>
                </c:pt>
                <c:pt idx="33">
                  <c:v>36.700000000000003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4-430C-AA14-5B40420529FA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79.599999999999994</c:v>
                </c:pt>
                <c:pt idx="1">
                  <c:v>75.099999999999994</c:v>
                </c:pt>
                <c:pt idx="2">
                  <c:v>72.5</c:v>
                </c:pt>
                <c:pt idx="3">
                  <c:v>67.900000000000006</c:v>
                </c:pt>
                <c:pt idx="4">
                  <c:v>80</c:v>
                </c:pt>
                <c:pt idx="5">
                  <c:v>87.9</c:v>
                </c:pt>
                <c:pt idx="6">
                  <c:v>75.2</c:v>
                </c:pt>
                <c:pt idx="7">
                  <c:v>82.6</c:v>
                </c:pt>
                <c:pt idx="8">
                  <c:v>87.9</c:v>
                </c:pt>
                <c:pt idx="9">
                  <c:v>94.4</c:v>
                </c:pt>
                <c:pt idx="10">
                  <c:v>112</c:v>
                </c:pt>
                <c:pt idx="11">
                  <c:v>122.5</c:v>
                </c:pt>
                <c:pt idx="12">
                  <c:v>135.6</c:v>
                </c:pt>
                <c:pt idx="13">
                  <c:v>148.1</c:v>
                </c:pt>
                <c:pt idx="14">
                  <c:v>159.19999999999999</c:v>
                </c:pt>
                <c:pt idx="15">
                  <c:v>155</c:v>
                </c:pt>
                <c:pt idx="16">
                  <c:v>151.30000000000001</c:v>
                </c:pt>
                <c:pt idx="17">
                  <c:v>162.9</c:v>
                </c:pt>
                <c:pt idx="18">
                  <c:v>171</c:v>
                </c:pt>
                <c:pt idx="19">
                  <c:v>192.9</c:v>
                </c:pt>
                <c:pt idx="20">
                  <c:v>200.6</c:v>
                </c:pt>
                <c:pt idx="21">
                  <c:v>217.3</c:v>
                </c:pt>
                <c:pt idx="22">
                  <c:v>242.8</c:v>
                </c:pt>
                <c:pt idx="23">
                  <c:v>279.3</c:v>
                </c:pt>
                <c:pt idx="24">
                  <c:v>336.2</c:v>
                </c:pt>
                <c:pt idx="25">
                  <c:v>396.3</c:v>
                </c:pt>
                <c:pt idx="26">
                  <c:v>417.6</c:v>
                </c:pt>
                <c:pt idx="27">
                  <c:v>417.4</c:v>
                </c:pt>
                <c:pt idx="28">
                  <c:v>416.4</c:v>
                </c:pt>
                <c:pt idx="29">
                  <c:v>432.8</c:v>
                </c:pt>
                <c:pt idx="30">
                  <c:v>517.1</c:v>
                </c:pt>
                <c:pt idx="31">
                  <c:v>532.79999999999995</c:v>
                </c:pt>
                <c:pt idx="32">
                  <c:v>557</c:v>
                </c:pt>
                <c:pt idx="33">
                  <c:v>578.20000000000005</c:v>
                </c:pt>
                <c:pt idx="34">
                  <c:v>588.1</c:v>
                </c:pt>
                <c:pt idx="35">
                  <c:v>585.20000000000005</c:v>
                </c:pt>
                <c:pt idx="36">
                  <c:v>576.79999999999995</c:v>
                </c:pt>
                <c:pt idx="37">
                  <c:v>586.70000000000005</c:v>
                </c:pt>
                <c:pt idx="38">
                  <c:v>547.9</c:v>
                </c:pt>
                <c:pt idx="39">
                  <c:v>520.5</c:v>
                </c:pt>
                <c:pt idx="40">
                  <c:v>463.5</c:v>
                </c:pt>
                <c:pt idx="41">
                  <c:v>424.5</c:v>
                </c:pt>
                <c:pt idx="42">
                  <c:v>333.4</c:v>
                </c:pt>
                <c:pt idx="43">
                  <c:v>316.3</c:v>
                </c:pt>
                <c:pt idx="44">
                  <c:v>250.9</c:v>
                </c:pt>
                <c:pt idx="45">
                  <c:v>212.8</c:v>
                </c:pt>
                <c:pt idx="46">
                  <c:v>223.6</c:v>
                </c:pt>
                <c:pt idx="4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94-430C-AA14-5B4042052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239.3</c:v>
                </c:pt>
                <c:pt idx="1">
                  <c:v>228.7</c:v>
                </c:pt>
                <c:pt idx="2">
                  <c:v>227</c:v>
                </c:pt>
                <c:pt idx="3">
                  <c:v>228.7</c:v>
                </c:pt>
                <c:pt idx="4">
                  <c:v>228.3</c:v>
                </c:pt>
                <c:pt idx="5">
                  <c:v>232.5</c:v>
                </c:pt>
                <c:pt idx="6">
                  <c:v>233</c:v>
                </c:pt>
                <c:pt idx="7">
                  <c:v>233.3</c:v>
                </c:pt>
                <c:pt idx="8">
                  <c:v>233.3</c:v>
                </c:pt>
                <c:pt idx="9">
                  <c:v>232.1</c:v>
                </c:pt>
                <c:pt idx="10">
                  <c:v>230.6</c:v>
                </c:pt>
                <c:pt idx="11">
                  <c:v>242.9</c:v>
                </c:pt>
                <c:pt idx="12">
                  <c:v>243.4</c:v>
                </c:pt>
                <c:pt idx="13">
                  <c:v>244</c:v>
                </c:pt>
                <c:pt idx="14">
                  <c:v>244.4</c:v>
                </c:pt>
                <c:pt idx="15">
                  <c:v>240.3</c:v>
                </c:pt>
                <c:pt idx="16">
                  <c:v>235</c:v>
                </c:pt>
                <c:pt idx="17">
                  <c:v>232.1</c:v>
                </c:pt>
                <c:pt idx="18">
                  <c:v>232.4</c:v>
                </c:pt>
                <c:pt idx="19">
                  <c:v>231.2</c:v>
                </c:pt>
                <c:pt idx="20">
                  <c:v>232.9</c:v>
                </c:pt>
                <c:pt idx="21">
                  <c:v>233.9</c:v>
                </c:pt>
                <c:pt idx="22">
                  <c:v>231.3</c:v>
                </c:pt>
                <c:pt idx="23">
                  <c:v>229.6</c:v>
                </c:pt>
                <c:pt idx="24">
                  <c:v>228.1</c:v>
                </c:pt>
                <c:pt idx="25">
                  <c:v>232.6</c:v>
                </c:pt>
                <c:pt idx="26">
                  <c:v>231.5</c:v>
                </c:pt>
                <c:pt idx="27">
                  <c:v>231.7</c:v>
                </c:pt>
                <c:pt idx="28">
                  <c:v>230.3</c:v>
                </c:pt>
                <c:pt idx="29">
                  <c:v>228.6</c:v>
                </c:pt>
                <c:pt idx="30">
                  <c:v>228</c:v>
                </c:pt>
                <c:pt idx="31">
                  <c:v>225.7</c:v>
                </c:pt>
                <c:pt idx="32">
                  <c:v>224.6</c:v>
                </c:pt>
                <c:pt idx="33">
                  <c:v>221.8</c:v>
                </c:pt>
                <c:pt idx="34">
                  <c:v>229.1</c:v>
                </c:pt>
                <c:pt idx="35">
                  <c:v>229</c:v>
                </c:pt>
                <c:pt idx="36">
                  <c:v>238.7</c:v>
                </c:pt>
                <c:pt idx="37">
                  <c:v>237.9</c:v>
                </c:pt>
                <c:pt idx="38">
                  <c:v>241.4</c:v>
                </c:pt>
                <c:pt idx="39">
                  <c:v>242.7</c:v>
                </c:pt>
                <c:pt idx="40">
                  <c:v>243.6</c:v>
                </c:pt>
                <c:pt idx="41">
                  <c:v>240.7</c:v>
                </c:pt>
                <c:pt idx="42">
                  <c:v>239.8</c:v>
                </c:pt>
                <c:pt idx="43">
                  <c:v>241</c:v>
                </c:pt>
                <c:pt idx="44">
                  <c:v>240.5</c:v>
                </c:pt>
                <c:pt idx="45">
                  <c:v>243.8</c:v>
                </c:pt>
                <c:pt idx="46">
                  <c:v>242.1</c:v>
                </c:pt>
                <c:pt idx="47">
                  <c:v>244.7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E-4016-B30E-E312D2E3A77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41.4</c:v>
                </c:pt>
                <c:pt idx="1">
                  <c:v>41.1</c:v>
                </c:pt>
                <c:pt idx="2">
                  <c:v>41.5</c:v>
                </c:pt>
                <c:pt idx="3">
                  <c:v>41.6</c:v>
                </c:pt>
                <c:pt idx="4">
                  <c:v>41.4</c:v>
                </c:pt>
                <c:pt idx="5">
                  <c:v>41.6</c:v>
                </c:pt>
                <c:pt idx="6">
                  <c:v>41</c:v>
                </c:pt>
                <c:pt idx="7">
                  <c:v>40.9</c:v>
                </c:pt>
                <c:pt idx="8">
                  <c:v>41</c:v>
                </c:pt>
                <c:pt idx="9">
                  <c:v>41.1</c:v>
                </c:pt>
                <c:pt idx="10">
                  <c:v>40.4</c:v>
                </c:pt>
                <c:pt idx="11">
                  <c:v>38.5</c:v>
                </c:pt>
                <c:pt idx="12">
                  <c:v>36</c:v>
                </c:pt>
                <c:pt idx="13">
                  <c:v>37.299999999999997</c:v>
                </c:pt>
                <c:pt idx="14">
                  <c:v>37</c:v>
                </c:pt>
                <c:pt idx="15">
                  <c:v>37.5</c:v>
                </c:pt>
                <c:pt idx="16">
                  <c:v>37.200000000000003</c:v>
                </c:pt>
                <c:pt idx="17">
                  <c:v>38.200000000000003</c:v>
                </c:pt>
                <c:pt idx="18">
                  <c:v>39</c:v>
                </c:pt>
                <c:pt idx="19">
                  <c:v>41.3</c:v>
                </c:pt>
                <c:pt idx="20">
                  <c:v>41.1</c:v>
                </c:pt>
                <c:pt idx="21">
                  <c:v>41.7</c:v>
                </c:pt>
                <c:pt idx="22">
                  <c:v>42.1</c:v>
                </c:pt>
                <c:pt idx="23">
                  <c:v>41.6</c:v>
                </c:pt>
                <c:pt idx="24">
                  <c:v>40.799999999999997</c:v>
                </c:pt>
                <c:pt idx="25">
                  <c:v>40.799999999999997</c:v>
                </c:pt>
                <c:pt idx="26">
                  <c:v>40.9</c:v>
                </c:pt>
                <c:pt idx="27">
                  <c:v>39.5</c:v>
                </c:pt>
                <c:pt idx="28">
                  <c:v>38.700000000000003</c:v>
                </c:pt>
                <c:pt idx="29">
                  <c:v>36.700000000000003</c:v>
                </c:pt>
                <c:pt idx="30">
                  <c:v>39</c:v>
                </c:pt>
                <c:pt idx="31">
                  <c:v>38.299999999999997</c:v>
                </c:pt>
                <c:pt idx="32">
                  <c:v>38.6</c:v>
                </c:pt>
                <c:pt idx="33">
                  <c:v>38.6</c:v>
                </c:pt>
                <c:pt idx="34">
                  <c:v>40.200000000000003</c:v>
                </c:pt>
                <c:pt idx="35">
                  <c:v>40.4</c:v>
                </c:pt>
                <c:pt idx="36">
                  <c:v>40.4</c:v>
                </c:pt>
                <c:pt idx="37">
                  <c:v>39.4</c:v>
                </c:pt>
                <c:pt idx="38">
                  <c:v>38.1</c:v>
                </c:pt>
                <c:pt idx="39">
                  <c:v>37</c:v>
                </c:pt>
                <c:pt idx="40">
                  <c:v>36.1</c:v>
                </c:pt>
                <c:pt idx="41">
                  <c:v>40</c:v>
                </c:pt>
                <c:pt idx="42">
                  <c:v>39.700000000000003</c:v>
                </c:pt>
                <c:pt idx="43">
                  <c:v>40.799999999999997</c:v>
                </c:pt>
                <c:pt idx="44">
                  <c:v>40.799999999999997</c:v>
                </c:pt>
                <c:pt idx="45">
                  <c:v>40.1</c:v>
                </c:pt>
                <c:pt idx="46">
                  <c:v>39.1</c:v>
                </c:pt>
                <c:pt idx="47">
                  <c:v>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E-4016-B30E-E312D2E3A77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</c:v>
                </c:pt>
                <c:pt idx="12">
                  <c:v>29.6</c:v>
                </c:pt>
                <c:pt idx="13">
                  <c:v>245.9</c:v>
                </c:pt>
                <c:pt idx="14">
                  <c:v>496.7</c:v>
                </c:pt>
                <c:pt idx="15">
                  <c:v>727.9</c:v>
                </c:pt>
                <c:pt idx="16">
                  <c:v>758.3</c:v>
                </c:pt>
                <c:pt idx="17">
                  <c:v>787.7</c:v>
                </c:pt>
                <c:pt idx="18">
                  <c:v>812.4</c:v>
                </c:pt>
                <c:pt idx="19">
                  <c:v>819.3</c:v>
                </c:pt>
                <c:pt idx="20">
                  <c:v>818.4</c:v>
                </c:pt>
                <c:pt idx="21">
                  <c:v>817.4</c:v>
                </c:pt>
                <c:pt idx="22">
                  <c:v>820.6</c:v>
                </c:pt>
                <c:pt idx="23">
                  <c:v>827.4</c:v>
                </c:pt>
                <c:pt idx="24">
                  <c:v>838.3</c:v>
                </c:pt>
                <c:pt idx="25">
                  <c:v>845.1</c:v>
                </c:pt>
                <c:pt idx="26">
                  <c:v>843.7</c:v>
                </c:pt>
                <c:pt idx="27">
                  <c:v>840.6</c:v>
                </c:pt>
                <c:pt idx="28">
                  <c:v>836</c:v>
                </c:pt>
                <c:pt idx="29">
                  <c:v>815</c:v>
                </c:pt>
                <c:pt idx="30">
                  <c:v>772.3</c:v>
                </c:pt>
                <c:pt idx="31">
                  <c:v>607.70000000000005</c:v>
                </c:pt>
                <c:pt idx="32">
                  <c:v>306.89999999999998</c:v>
                </c:pt>
                <c:pt idx="33">
                  <c:v>36.700000000000003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1E-4016-B30E-E312D2E3A77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79.599999999999994</c:v>
                </c:pt>
                <c:pt idx="1">
                  <c:v>75.099999999999994</c:v>
                </c:pt>
                <c:pt idx="2">
                  <c:v>72.5</c:v>
                </c:pt>
                <c:pt idx="3">
                  <c:v>67.900000000000006</c:v>
                </c:pt>
                <c:pt idx="4">
                  <c:v>80</c:v>
                </c:pt>
                <c:pt idx="5">
                  <c:v>87.9</c:v>
                </c:pt>
                <c:pt idx="6">
                  <c:v>75.2</c:v>
                </c:pt>
                <c:pt idx="7">
                  <c:v>82.6</c:v>
                </c:pt>
                <c:pt idx="8">
                  <c:v>87.9</c:v>
                </c:pt>
                <c:pt idx="9">
                  <c:v>94.4</c:v>
                </c:pt>
                <c:pt idx="10">
                  <c:v>112</c:v>
                </c:pt>
                <c:pt idx="11">
                  <c:v>122.5</c:v>
                </c:pt>
                <c:pt idx="12">
                  <c:v>135.6</c:v>
                </c:pt>
                <c:pt idx="13">
                  <c:v>148.1</c:v>
                </c:pt>
                <c:pt idx="14">
                  <c:v>159.19999999999999</c:v>
                </c:pt>
                <c:pt idx="15">
                  <c:v>155</c:v>
                </c:pt>
                <c:pt idx="16">
                  <c:v>151.30000000000001</c:v>
                </c:pt>
                <c:pt idx="17">
                  <c:v>162.9</c:v>
                </c:pt>
                <c:pt idx="18">
                  <c:v>171</c:v>
                </c:pt>
                <c:pt idx="19">
                  <c:v>192.9</c:v>
                </c:pt>
                <c:pt idx="20">
                  <c:v>200.6</c:v>
                </c:pt>
                <c:pt idx="21">
                  <c:v>217.3</c:v>
                </c:pt>
                <c:pt idx="22">
                  <c:v>242.8</c:v>
                </c:pt>
                <c:pt idx="23">
                  <c:v>279.3</c:v>
                </c:pt>
                <c:pt idx="24">
                  <c:v>336.2</c:v>
                </c:pt>
                <c:pt idx="25">
                  <c:v>396.3</c:v>
                </c:pt>
                <c:pt idx="26">
                  <c:v>417.6</c:v>
                </c:pt>
                <c:pt idx="27">
                  <c:v>417.4</c:v>
                </c:pt>
                <c:pt idx="28">
                  <c:v>416.4</c:v>
                </c:pt>
                <c:pt idx="29">
                  <c:v>432.8</c:v>
                </c:pt>
                <c:pt idx="30">
                  <c:v>517.1</c:v>
                </c:pt>
                <c:pt idx="31">
                  <c:v>532.79999999999995</c:v>
                </c:pt>
                <c:pt idx="32">
                  <c:v>557</c:v>
                </c:pt>
                <c:pt idx="33">
                  <c:v>578.20000000000005</c:v>
                </c:pt>
                <c:pt idx="34">
                  <c:v>588.1</c:v>
                </c:pt>
                <c:pt idx="35">
                  <c:v>585.20000000000005</c:v>
                </c:pt>
                <c:pt idx="36">
                  <c:v>576.79999999999995</c:v>
                </c:pt>
                <c:pt idx="37">
                  <c:v>586.70000000000005</c:v>
                </c:pt>
                <c:pt idx="38">
                  <c:v>547.9</c:v>
                </c:pt>
                <c:pt idx="39">
                  <c:v>520.5</c:v>
                </c:pt>
                <c:pt idx="40">
                  <c:v>463.5</c:v>
                </c:pt>
                <c:pt idx="41">
                  <c:v>424.5</c:v>
                </c:pt>
                <c:pt idx="42">
                  <c:v>333.4</c:v>
                </c:pt>
                <c:pt idx="43">
                  <c:v>316.3</c:v>
                </c:pt>
                <c:pt idx="44">
                  <c:v>250.9</c:v>
                </c:pt>
                <c:pt idx="45">
                  <c:v>212.8</c:v>
                </c:pt>
                <c:pt idx="46">
                  <c:v>223.6</c:v>
                </c:pt>
                <c:pt idx="4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1E-4016-B30E-E312D2E3A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-70</c:v>
                </c:pt>
                <c:pt idx="1">
                  <c:v>-72.430000000000007</c:v>
                </c:pt>
                <c:pt idx="2">
                  <c:v>-70.33</c:v>
                </c:pt>
                <c:pt idx="3">
                  <c:v>-68.23</c:v>
                </c:pt>
                <c:pt idx="4">
                  <c:v>-66.86</c:v>
                </c:pt>
                <c:pt idx="5">
                  <c:v>-63.58</c:v>
                </c:pt>
                <c:pt idx="6">
                  <c:v>-67.69</c:v>
                </c:pt>
                <c:pt idx="7">
                  <c:v>-66.25</c:v>
                </c:pt>
                <c:pt idx="8">
                  <c:v>-64</c:v>
                </c:pt>
                <c:pt idx="9">
                  <c:v>-63.73</c:v>
                </c:pt>
                <c:pt idx="10">
                  <c:v>-68.209999999999994</c:v>
                </c:pt>
                <c:pt idx="11">
                  <c:v>-66.3</c:v>
                </c:pt>
                <c:pt idx="12">
                  <c:v>-67.38</c:v>
                </c:pt>
                <c:pt idx="13">
                  <c:v>-69.349999999999994</c:v>
                </c:pt>
                <c:pt idx="14">
                  <c:v>-67.97</c:v>
                </c:pt>
                <c:pt idx="15">
                  <c:v>-65.73</c:v>
                </c:pt>
                <c:pt idx="16">
                  <c:v>-74.98</c:v>
                </c:pt>
                <c:pt idx="17">
                  <c:v>-70.319999999999993</c:v>
                </c:pt>
                <c:pt idx="18">
                  <c:v>-73.97</c:v>
                </c:pt>
                <c:pt idx="19">
                  <c:v>-70.61</c:v>
                </c:pt>
                <c:pt idx="20">
                  <c:v>-71.89</c:v>
                </c:pt>
                <c:pt idx="21">
                  <c:v>-73.010000000000005</c:v>
                </c:pt>
                <c:pt idx="22">
                  <c:v>-74.86</c:v>
                </c:pt>
                <c:pt idx="23">
                  <c:v>-75.760000000000005</c:v>
                </c:pt>
                <c:pt idx="24">
                  <c:v>-70.83</c:v>
                </c:pt>
                <c:pt idx="25">
                  <c:v>-67.989999999999995</c:v>
                </c:pt>
                <c:pt idx="26">
                  <c:v>-77.099999999999994</c:v>
                </c:pt>
                <c:pt idx="27">
                  <c:v>-76.38</c:v>
                </c:pt>
                <c:pt idx="28">
                  <c:v>-74.959999999999994</c:v>
                </c:pt>
                <c:pt idx="29">
                  <c:v>-78.16</c:v>
                </c:pt>
                <c:pt idx="30">
                  <c:v>-76.36</c:v>
                </c:pt>
                <c:pt idx="31">
                  <c:v>-77.23</c:v>
                </c:pt>
                <c:pt idx="32">
                  <c:v>-79.16</c:v>
                </c:pt>
                <c:pt idx="33">
                  <c:v>-75.22</c:v>
                </c:pt>
                <c:pt idx="34">
                  <c:v>-72.52</c:v>
                </c:pt>
                <c:pt idx="35">
                  <c:v>-69.38</c:v>
                </c:pt>
                <c:pt idx="36">
                  <c:v>-80.73</c:v>
                </c:pt>
                <c:pt idx="37">
                  <c:v>-75.17</c:v>
                </c:pt>
                <c:pt idx="38">
                  <c:v>-73.58</c:v>
                </c:pt>
                <c:pt idx="39">
                  <c:v>-70.650000000000006</c:v>
                </c:pt>
                <c:pt idx="40">
                  <c:v>-69.760000000000005</c:v>
                </c:pt>
                <c:pt idx="41">
                  <c:v>-71.75</c:v>
                </c:pt>
                <c:pt idx="42">
                  <c:v>-70.12</c:v>
                </c:pt>
                <c:pt idx="43">
                  <c:v>-71.540000000000006</c:v>
                </c:pt>
                <c:pt idx="44">
                  <c:v>-65.489999999999995</c:v>
                </c:pt>
                <c:pt idx="45">
                  <c:v>-78.319999999999993</c:v>
                </c:pt>
                <c:pt idx="46">
                  <c:v>-78.66</c:v>
                </c:pt>
                <c:pt idx="47">
                  <c:v>-74.69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E-4C88-933E-205E103EE81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-69.599999999999994</c:v>
                </c:pt>
                <c:pt idx="1">
                  <c:v>-71.56</c:v>
                </c:pt>
                <c:pt idx="2">
                  <c:v>-69.739999999999995</c:v>
                </c:pt>
                <c:pt idx="3">
                  <c:v>-66.97</c:v>
                </c:pt>
                <c:pt idx="4">
                  <c:v>-68.3</c:v>
                </c:pt>
                <c:pt idx="5">
                  <c:v>-63.3</c:v>
                </c:pt>
                <c:pt idx="6">
                  <c:v>-67.05</c:v>
                </c:pt>
                <c:pt idx="7">
                  <c:v>-65.73</c:v>
                </c:pt>
                <c:pt idx="8">
                  <c:v>-63.11</c:v>
                </c:pt>
                <c:pt idx="9">
                  <c:v>-63.75</c:v>
                </c:pt>
                <c:pt idx="10">
                  <c:v>-68.52</c:v>
                </c:pt>
                <c:pt idx="11">
                  <c:v>-64.959999999999994</c:v>
                </c:pt>
                <c:pt idx="12">
                  <c:v>-67.010000000000005</c:v>
                </c:pt>
                <c:pt idx="13">
                  <c:v>-69.150000000000006</c:v>
                </c:pt>
                <c:pt idx="14">
                  <c:v>-68.849999999999994</c:v>
                </c:pt>
                <c:pt idx="15">
                  <c:v>-65.98</c:v>
                </c:pt>
                <c:pt idx="16">
                  <c:v>-74.66</c:v>
                </c:pt>
                <c:pt idx="17">
                  <c:v>-70.739999999999995</c:v>
                </c:pt>
                <c:pt idx="18">
                  <c:v>-73.959999999999994</c:v>
                </c:pt>
                <c:pt idx="19">
                  <c:v>-71.53</c:v>
                </c:pt>
                <c:pt idx="20">
                  <c:v>-73.13</c:v>
                </c:pt>
                <c:pt idx="21">
                  <c:v>-72.849999999999994</c:v>
                </c:pt>
                <c:pt idx="22">
                  <c:v>-75.31</c:v>
                </c:pt>
                <c:pt idx="23">
                  <c:v>-76.52</c:v>
                </c:pt>
                <c:pt idx="24">
                  <c:v>-71.040000000000006</c:v>
                </c:pt>
                <c:pt idx="25">
                  <c:v>-68.66</c:v>
                </c:pt>
                <c:pt idx="26">
                  <c:v>-77.03</c:v>
                </c:pt>
                <c:pt idx="27">
                  <c:v>-77.17</c:v>
                </c:pt>
                <c:pt idx="28">
                  <c:v>-75.08</c:v>
                </c:pt>
                <c:pt idx="29">
                  <c:v>-77.86</c:v>
                </c:pt>
                <c:pt idx="30">
                  <c:v>-77.099999999999994</c:v>
                </c:pt>
                <c:pt idx="31">
                  <c:v>-77.97</c:v>
                </c:pt>
                <c:pt idx="32">
                  <c:v>-79.290000000000006</c:v>
                </c:pt>
                <c:pt idx="33">
                  <c:v>-75.41</c:v>
                </c:pt>
                <c:pt idx="34">
                  <c:v>-73.010000000000005</c:v>
                </c:pt>
                <c:pt idx="35">
                  <c:v>-69.989999999999995</c:v>
                </c:pt>
                <c:pt idx="36">
                  <c:v>-80.89</c:v>
                </c:pt>
                <c:pt idx="37">
                  <c:v>-75.099999999999994</c:v>
                </c:pt>
                <c:pt idx="38">
                  <c:v>-74.040000000000006</c:v>
                </c:pt>
                <c:pt idx="39">
                  <c:v>-70.73</c:v>
                </c:pt>
                <c:pt idx="40">
                  <c:v>-69.47</c:v>
                </c:pt>
                <c:pt idx="41">
                  <c:v>-72.430000000000007</c:v>
                </c:pt>
                <c:pt idx="42">
                  <c:v>-70.39</c:v>
                </c:pt>
                <c:pt idx="43">
                  <c:v>-71.510000000000005</c:v>
                </c:pt>
                <c:pt idx="44">
                  <c:v>-65.64</c:v>
                </c:pt>
                <c:pt idx="45">
                  <c:v>-79.540000000000006</c:v>
                </c:pt>
                <c:pt idx="46">
                  <c:v>-78.25</c:v>
                </c:pt>
                <c:pt idx="47">
                  <c:v>-75.180000000000007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E-4C88-933E-205E103EE81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-53.120399999999997</c:v>
                </c:pt>
                <c:pt idx="1">
                  <c:v>-57.0383</c:v>
                </c:pt>
                <c:pt idx="2">
                  <c:v>-52.458199999999998</c:v>
                </c:pt>
                <c:pt idx="3">
                  <c:v>-55.5212</c:v>
                </c:pt>
                <c:pt idx="4">
                  <c:v>-58.642699999999998</c:v>
                </c:pt>
                <c:pt idx="5">
                  <c:v>-54.914700000000003</c:v>
                </c:pt>
                <c:pt idx="6">
                  <c:v>-62.110599999999998</c:v>
                </c:pt>
                <c:pt idx="7">
                  <c:v>-57.210700000000003</c:v>
                </c:pt>
                <c:pt idx="8">
                  <c:v>-51.105899999999998</c:v>
                </c:pt>
                <c:pt idx="9">
                  <c:v>-49.9679</c:v>
                </c:pt>
                <c:pt idx="10">
                  <c:v>-58.591999999999999</c:v>
                </c:pt>
                <c:pt idx="11">
                  <c:v>-56.374499999999998</c:v>
                </c:pt>
                <c:pt idx="12">
                  <c:v>-57.612200000000001</c:v>
                </c:pt>
                <c:pt idx="13">
                  <c:v>-52.563299999999998</c:v>
                </c:pt>
                <c:pt idx="14">
                  <c:v>-51.948399999999999</c:v>
                </c:pt>
                <c:pt idx="15">
                  <c:v>-47.607799999999997</c:v>
                </c:pt>
                <c:pt idx="16">
                  <c:v>-54.636899999999997</c:v>
                </c:pt>
                <c:pt idx="17">
                  <c:v>-50.116399999999999</c:v>
                </c:pt>
                <c:pt idx="18">
                  <c:v>-58.891800000000003</c:v>
                </c:pt>
                <c:pt idx="19">
                  <c:v>-61.055700000000002</c:v>
                </c:pt>
                <c:pt idx="20">
                  <c:v>-64.2684</c:v>
                </c:pt>
                <c:pt idx="21">
                  <c:v>-62.731000000000002</c:v>
                </c:pt>
                <c:pt idx="22">
                  <c:v>-61.054200000000002</c:v>
                </c:pt>
                <c:pt idx="23">
                  <c:v>-65.006699999999995</c:v>
                </c:pt>
                <c:pt idx="24">
                  <c:v>-55.408799999999999</c:v>
                </c:pt>
                <c:pt idx="25">
                  <c:v>-50.733699999999999</c:v>
                </c:pt>
                <c:pt idx="26">
                  <c:v>-54.433700000000002</c:v>
                </c:pt>
                <c:pt idx="27">
                  <c:v>-56.866999999999997</c:v>
                </c:pt>
                <c:pt idx="28">
                  <c:v>-61.096400000000003</c:v>
                </c:pt>
                <c:pt idx="29">
                  <c:v>-67.941999999999993</c:v>
                </c:pt>
                <c:pt idx="30">
                  <c:v>-56.696399999999997</c:v>
                </c:pt>
                <c:pt idx="31">
                  <c:v>-58.746600000000001</c:v>
                </c:pt>
                <c:pt idx="32">
                  <c:v>-66.950400000000002</c:v>
                </c:pt>
                <c:pt idx="33">
                  <c:v>-58.109400000000001</c:v>
                </c:pt>
                <c:pt idx="34">
                  <c:v>-59.369700000000002</c:v>
                </c:pt>
                <c:pt idx="35">
                  <c:v>-53.430700000000002</c:v>
                </c:pt>
                <c:pt idx="36">
                  <c:v>-64.842200000000005</c:v>
                </c:pt>
                <c:pt idx="37">
                  <c:v>-58.478099999999998</c:v>
                </c:pt>
                <c:pt idx="38">
                  <c:v>-63.392200000000003</c:v>
                </c:pt>
                <c:pt idx="39">
                  <c:v>-63.228999999999999</c:v>
                </c:pt>
                <c:pt idx="40">
                  <c:v>-61.9255</c:v>
                </c:pt>
                <c:pt idx="41">
                  <c:v>-58.969299999999997</c:v>
                </c:pt>
                <c:pt idx="42">
                  <c:v>-63.616999999999997</c:v>
                </c:pt>
                <c:pt idx="43">
                  <c:v>-55.121200000000002</c:v>
                </c:pt>
                <c:pt idx="44">
                  <c:v>-56.375100000000003</c:v>
                </c:pt>
                <c:pt idx="45">
                  <c:v>-65.3583</c:v>
                </c:pt>
                <c:pt idx="46">
                  <c:v>-64.204800000000006</c:v>
                </c:pt>
                <c:pt idx="47">
                  <c:v>-54.706499999999998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E-4C88-933E-205E103EE81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-52.708100000000002</c:v>
                </c:pt>
                <c:pt idx="1">
                  <c:v>-56.436</c:v>
                </c:pt>
                <c:pt idx="2">
                  <c:v>-52.582599999999999</c:v>
                </c:pt>
                <c:pt idx="3">
                  <c:v>-54.829900000000002</c:v>
                </c:pt>
                <c:pt idx="4">
                  <c:v>-56.452399999999997</c:v>
                </c:pt>
                <c:pt idx="5">
                  <c:v>-54.963200000000001</c:v>
                </c:pt>
                <c:pt idx="6">
                  <c:v>-61.762599999999999</c:v>
                </c:pt>
                <c:pt idx="7">
                  <c:v>-57.207299999999996</c:v>
                </c:pt>
                <c:pt idx="8">
                  <c:v>-51.550600000000003</c:v>
                </c:pt>
                <c:pt idx="9">
                  <c:v>-49.792000000000002</c:v>
                </c:pt>
                <c:pt idx="10">
                  <c:v>-58.486400000000003</c:v>
                </c:pt>
                <c:pt idx="11">
                  <c:v>-55.5944</c:v>
                </c:pt>
                <c:pt idx="12">
                  <c:v>-57.910200000000003</c:v>
                </c:pt>
                <c:pt idx="13">
                  <c:v>-52.734099999999998</c:v>
                </c:pt>
                <c:pt idx="14">
                  <c:v>-51.522100000000002</c:v>
                </c:pt>
                <c:pt idx="15">
                  <c:v>-47.695399999999999</c:v>
                </c:pt>
                <c:pt idx="16">
                  <c:v>-53.177300000000002</c:v>
                </c:pt>
                <c:pt idx="17">
                  <c:v>-50.153599999999997</c:v>
                </c:pt>
                <c:pt idx="18">
                  <c:v>-58.659300000000002</c:v>
                </c:pt>
                <c:pt idx="19">
                  <c:v>-60.866399999999999</c:v>
                </c:pt>
                <c:pt idx="20">
                  <c:v>-63.840699999999998</c:v>
                </c:pt>
                <c:pt idx="21">
                  <c:v>-62.306600000000003</c:v>
                </c:pt>
                <c:pt idx="22">
                  <c:v>-61.037199999999999</c:v>
                </c:pt>
                <c:pt idx="23">
                  <c:v>-63.4923</c:v>
                </c:pt>
                <c:pt idx="24">
                  <c:v>-55.069200000000002</c:v>
                </c:pt>
                <c:pt idx="25">
                  <c:v>-50.968400000000003</c:v>
                </c:pt>
                <c:pt idx="26">
                  <c:v>-54.204700000000003</c:v>
                </c:pt>
                <c:pt idx="27">
                  <c:v>-56.517400000000002</c:v>
                </c:pt>
                <c:pt idx="28">
                  <c:v>-60.689799999999998</c:v>
                </c:pt>
                <c:pt idx="29">
                  <c:v>-66.873099999999994</c:v>
                </c:pt>
                <c:pt idx="30">
                  <c:v>-56.847099999999998</c:v>
                </c:pt>
                <c:pt idx="31">
                  <c:v>-58.8735</c:v>
                </c:pt>
                <c:pt idx="32">
                  <c:v>-66.356999999999999</c:v>
                </c:pt>
                <c:pt idx="33">
                  <c:v>-58.723300000000002</c:v>
                </c:pt>
                <c:pt idx="34">
                  <c:v>-59.773299999999999</c:v>
                </c:pt>
                <c:pt idx="35">
                  <c:v>-53.246699999999997</c:v>
                </c:pt>
                <c:pt idx="36">
                  <c:v>-65.016199999999998</c:v>
                </c:pt>
                <c:pt idx="37">
                  <c:v>-58.8536</c:v>
                </c:pt>
                <c:pt idx="38">
                  <c:v>-63.244500000000002</c:v>
                </c:pt>
                <c:pt idx="39">
                  <c:v>-63.058</c:v>
                </c:pt>
                <c:pt idx="40">
                  <c:v>-62.045499999999997</c:v>
                </c:pt>
                <c:pt idx="41">
                  <c:v>-59.319600000000001</c:v>
                </c:pt>
                <c:pt idx="42">
                  <c:v>-63.216500000000003</c:v>
                </c:pt>
                <c:pt idx="43">
                  <c:v>-54.868499999999997</c:v>
                </c:pt>
                <c:pt idx="44">
                  <c:v>-56.570900000000002</c:v>
                </c:pt>
                <c:pt idx="45">
                  <c:v>-65.320899999999995</c:v>
                </c:pt>
                <c:pt idx="46">
                  <c:v>-63.783200000000001</c:v>
                </c:pt>
                <c:pt idx="47">
                  <c:v>-54.727899999999998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EE-4C88-933E-205E103EE81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-459.76780000000002</c:v>
                </c:pt>
                <c:pt idx="1">
                  <c:v>-452.53539999999998</c:v>
                </c:pt>
                <c:pt idx="2">
                  <c:v>-448.452</c:v>
                </c:pt>
                <c:pt idx="3">
                  <c:v>-439.04829999999998</c:v>
                </c:pt>
                <c:pt idx="4">
                  <c:v>-420.39120000000003</c:v>
                </c:pt>
                <c:pt idx="5">
                  <c:v>-396.21109999999999</c:v>
                </c:pt>
                <c:pt idx="6">
                  <c:v>-411.94029999999998</c:v>
                </c:pt>
                <c:pt idx="7">
                  <c:v>-423.17380000000003</c:v>
                </c:pt>
                <c:pt idx="8">
                  <c:v>-415.58150000000001</c:v>
                </c:pt>
                <c:pt idx="9">
                  <c:v>-421.26420000000002</c:v>
                </c:pt>
                <c:pt idx="10">
                  <c:v>-435.23570000000001</c:v>
                </c:pt>
                <c:pt idx="11">
                  <c:v>-429.35500000000002</c:v>
                </c:pt>
                <c:pt idx="12">
                  <c:v>-435.959</c:v>
                </c:pt>
                <c:pt idx="13">
                  <c:v>-467.36869999999999</c:v>
                </c:pt>
                <c:pt idx="14">
                  <c:v>-468.03680000000003</c:v>
                </c:pt>
                <c:pt idx="15">
                  <c:v>-484.37259999999998</c:v>
                </c:pt>
                <c:pt idx="16">
                  <c:v>-521.71720000000005</c:v>
                </c:pt>
                <c:pt idx="17">
                  <c:v>-522.29380000000003</c:v>
                </c:pt>
                <c:pt idx="18">
                  <c:v>-535.40549999999996</c:v>
                </c:pt>
                <c:pt idx="19">
                  <c:v>-524.22860000000003</c:v>
                </c:pt>
                <c:pt idx="20">
                  <c:v>-531.36890000000005</c:v>
                </c:pt>
                <c:pt idx="21">
                  <c:v>-537.00869999999998</c:v>
                </c:pt>
                <c:pt idx="22">
                  <c:v>-559.8913</c:v>
                </c:pt>
                <c:pt idx="23">
                  <c:v>-542.2124</c:v>
                </c:pt>
                <c:pt idx="24">
                  <c:v>-525.46249999999998</c:v>
                </c:pt>
                <c:pt idx="25">
                  <c:v>-532.72590000000002</c:v>
                </c:pt>
                <c:pt idx="26">
                  <c:v>-536.16560000000004</c:v>
                </c:pt>
                <c:pt idx="27">
                  <c:v>-528.39179999999999</c:v>
                </c:pt>
                <c:pt idx="28">
                  <c:v>-518.99879999999996</c:v>
                </c:pt>
                <c:pt idx="29">
                  <c:v>-519.71529999999996</c:v>
                </c:pt>
                <c:pt idx="30">
                  <c:v>-533.04259999999999</c:v>
                </c:pt>
                <c:pt idx="31">
                  <c:v>-530.50229999999999</c:v>
                </c:pt>
                <c:pt idx="32">
                  <c:v>-520.22400000000005</c:v>
                </c:pt>
                <c:pt idx="33">
                  <c:v>-513.68740000000003</c:v>
                </c:pt>
                <c:pt idx="34">
                  <c:v>-475.9049</c:v>
                </c:pt>
                <c:pt idx="35">
                  <c:v>-480.16410000000002</c:v>
                </c:pt>
                <c:pt idx="36">
                  <c:v>-535.07860000000005</c:v>
                </c:pt>
                <c:pt idx="37">
                  <c:v>-533.43799999999999</c:v>
                </c:pt>
                <c:pt idx="38">
                  <c:v>-486.8372</c:v>
                </c:pt>
                <c:pt idx="39">
                  <c:v>-463.33620000000002</c:v>
                </c:pt>
                <c:pt idx="40">
                  <c:v>-454.0772</c:v>
                </c:pt>
                <c:pt idx="41">
                  <c:v>-488.99149999999997</c:v>
                </c:pt>
                <c:pt idx="42">
                  <c:v>-489.23250000000002</c:v>
                </c:pt>
                <c:pt idx="43">
                  <c:v>-496.56319999999999</c:v>
                </c:pt>
                <c:pt idx="44">
                  <c:v>-457.25259999999997</c:v>
                </c:pt>
                <c:pt idx="45">
                  <c:v>-500.38200000000001</c:v>
                </c:pt>
                <c:pt idx="46">
                  <c:v>-498.75729999999999</c:v>
                </c:pt>
                <c:pt idx="47">
                  <c:v>-490.66649999999998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EE-4C88-933E-205E103EE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155.13239999999999</c:v>
                </c:pt>
                <c:pt idx="1">
                  <c:v>164.01079999999999</c:v>
                </c:pt>
                <c:pt idx="2">
                  <c:v>165.44229999999999</c:v>
                </c:pt>
                <c:pt idx="3">
                  <c:v>161.0104</c:v>
                </c:pt>
                <c:pt idx="4">
                  <c:v>160.03819999999999</c:v>
                </c:pt>
                <c:pt idx="5">
                  <c:v>160.1241</c:v>
                </c:pt>
                <c:pt idx="6">
                  <c:v>159.64349999999999</c:v>
                </c:pt>
                <c:pt idx="7">
                  <c:v>161.79839999999999</c:v>
                </c:pt>
                <c:pt idx="8">
                  <c:v>151.14070000000001</c:v>
                </c:pt>
                <c:pt idx="9">
                  <c:v>157.03030000000001</c:v>
                </c:pt>
                <c:pt idx="10">
                  <c:v>159.52029999999999</c:v>
                </c:pt>
                <c:pt idx="11">
                  <c:v>156.0189</c:v>
                </c:pt>
                <c:pt idx="12">
                  <c:v>154.4315</c:v>
                </c:pt>
                <c:pt idx="13">
                  <c:v>130.84389999999999</c:v>
                </c:pt>
                <c:pt idx="14">
                  <c:v>110.5829</c:v>
                </c:pt>
                <c:pt idx="15">
                  <c:v>90.790199999999999</c:v>
                </c:pt>
                <c:pt idx="16">
                  <c:v>94.956599999999995</c:v>
                </c:pt>
                <c:pt idx="17">
                  <c:v>98.231999999999999</c:v>
                </c:pt>
                <c:pt idx="18">
                  <c:v>139.96270000000001</c:v>
                </c:pt>
                <c:pt idx="19">
                  <c:v>141.48070000000001</c:v>
                </c:pt>
                <c:pt idx="20">
                  <c:v>128.0566</c:v>
                </c:pt>
                <c:pt idx="21">
                  <c:v>128.04759999999999</c:v>
                </c:pt>
                <c:pt idx="22">
                  <c:v>126.7316</c:v>
                </c:pt>
                <c:pt idx="23">
                  <c:v>133.76009999999999</c:v>
                </c:pt>
                <c:pt idx="24">
                  <c:v>128.5754</c:v>
                </c:pt>
                <c:pt idx="25">
                  <c:v>117.10290000000001</c:v>
                </c:pt>
                <c:pt idx="26">
                  <c:v>117.51909999999999</c:v>
                </c:pt>
                <c:pt idx="27">
                  <c:v>120.8164</c:v>
                </c:pt>
                <c:pt idx="28">
                  <c:v>126.0342</c:v>
                </c:pt>
                <c:pt idx="29">
                  <c:v>132.56059999999999</c:v>
                </c:pt>
                <c:pt idx="30">
                  <c:v>133.16069999999999</c:v>
                </c:pt>
                <c:pt idx="31">
                  <c:v>152.79900000000001</c:v>
                </c:pt>
                <c:pt idx="32">
                  <c:v>190.5626</c:v>
                </c:pt>
                <c:pt idx="33">
                  <c:v>209.19980000000001</c:v>
                </c:pt>
                <c:pt idx="34">
                  <c:v>157.62139999999999</c:v>
                </c:pt>
                <c:pt idx="35">
                  <c:v>162.19890000000001</c:v>
                </c:pt>
                <c:pt idx="36">
                  <c:v>165.5659</c:v>
                </c:pt>
                <c:pt idx="37">
                  <c:v>161.9384</c:v>
                </c:pt>
                <c:pt idx="38">
                  <c:v>156.31100000000001</c:v>
                </c:pt>
                <c:pt idx="39">
                  <c:v>166.33750000000001</c:v>
                </c:pt>
                <c:pt idx="40">
                  <c:v>166.2662</c:v>
                </c:pt>
                <c:pt idx="41">
                  <c:v>168.857</c:v>
                </c:pt>
                <c:pt idx="42">
                  <c:v>172.5016</c:v>
                </c:pt>
                <c:pt idx="43">
                  <c:v>170.01339999999999</c:v>
                </c:pt>
                <c:pt idx="44">
                  <c:v>166.02600000000001</c:v>
                </c:pt>
                <c:pt idx="45">
                  <c:v>153.83099999999999</c:v>
                </c:pt>
                <c:pt idx="46">
                  <c:v>155.1465</c:v>
                </c:pt>
                <c:pt idx="47">
                  <c:v>155.1207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C-4712-9EF6-86265B417004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156.53210000000001</c:v>
                </c:pt>
                <c:pt idx="1">
                  <c:v>162.56829999999999</c:v>
                </c:pt>
                <c:pt idx="2">
                  <c:v>166.0412</c:v>
                </c:pt>
                <c:pt idx="3">
                  <c:v>159.99359999999999</c:v>
                </c:pt>
                <c:pt idx="4">
                  <c:v>160.73580000000001</c:v>
                </c:pt>
                <c:pt idx="5">
                  <c:v>159.84049999999999</c:v>
                </c:pt>
                <c:pt idx="6">
                  <c:v>158.78720000000001</c:v>
                </c:pt>
                <c:pt idx="7">
                  <c:v>159.3553</c:v>
                </c:pt>
                <c:pt idx="8">
                  <c:v>150.98769999999999</c:v>
                </c:pt>
                <c:pt idx="9">
                  <c:v>158.63409999999999</c:v>
                </c:pt>
                <c:pt idx="10">
                  <c:v>160.21019999999999</c:v>
                </c:pt>
                <c:pt idx="11">
                  <c:v>156.1456</c:v>
                </c:pt>
                <c:pt idx="12">
                  <c:v>153.38579999999999</c:v>
                </c:pt>
                <c:pt idx="13">
                  <c:v>131.97290000000001</c:v>
                </c:pt>
                <c:pt idx="14">
                  <c:v>111.42230000000001</c:v>
                </c:pt>
                <c:pt idx="15">
                  <c:v>91.906599999999997</c:v>
                </c:pt>
                <c:pt idx="16">
                  <c:v>94.975999999999999</c:v>
                </c:pt>
                <c:pt idx="17">
                  <c:v>98.443600000000004</c:v>
                </c:pt>
                <c:pt idx="18">
                  <c:v>137.4564</c:v>
                </c:pt>
                <c:pt idx="19">
                  <c:v>140.13</c:v>
                </c:pt>
                <c:pt idx="20">
                  <c:v>127.9375</c:v>
                </c:pt>
                <c:pt idx="21">
                  <c:v>126</c:v>
                </c:pt>
                <c:pt idx="22">
                  <c:v>125.92659999999999</c:v>
                </c:pt>
                <c:pt idx="23">
                  <c:v>131.31950000000001</c:v>
                </c:pt>
                <c:pt idx="24">
                  <c:v>130.22550000000001</c:v>
                </c:pt>
                <c:pt idx="25">
                  <c:v>116.9117</c:v>
                </c:pt>
                <c:pt idx="26">
                  <c:v>118.2839</c:v>
                </c:pt>
                <c:pt idx="27">
                  <c:v>120.51439999999999</c:v>
                </c:pt>
                <c:pt idx="28">
                  <c:v>125.7945</c:v>
                </c:pt>
                <c:pt idx="29">
                  <c:v>130.17910000000001</c:v>
                </c:pt>
                <c:pt idx="30">
                  <c:v>134.37960000000001</c:v>
                </c:pt>
                <c:pt idx="31">
                  <c:v>149.37809999999999</c:v>
                </c:pt>
                <c:pt idx="32">
                  <c:v>190.2371</c:v>
                </c:pt>
                <c:pt idx="33">
                  <c:v>207.1645</c:v>
                </c:pt>
                <c:pt idx="34">
                  <c:v>159.33959999999999</c:v>
                </c:pt>
                <c:pt idx="35">
                  <c:v>162.17599999999999</c:v>
                </c:pt>
                <c:pt idx="36">
                  <c:v>165.15880000000001</c:v>
                </c:pt>
                <c:pt idx="37">
                  <c:v>162.02199999999999</c:v>
                </c:pt>
                <c:pt idx="38">
                  <c:v>156.07239999999999</c:v>
                </c:pt>
                <c:pt idx="39">
                  <c:v>165.1173</c:v>
                </c:pt>
                <c:pt idx="40">
                  <c:v>166.45679999999999</c:v>
                </c:pt>
                <c:pt idx="41">
                  <c:v>168.35990000000001</c:v>
                </c:pt>
                <c:pt idx="42">
                  <c:v>170.97489999999999</c:v>
                </c:pt>
                <c:pt idx="43">
                  <c:v>170.09800000000001</c:v>
                </c:pt>
                <c:pt idx="44">
                  <c:v>165.92060000000001</c:v>
                </c:pt>
                <c:pt idx="45">
                  <c:v>152.75059999999999</c:v>
                </c:pt>
                <c:pt idx="46">
                  <c:v>158.2088</c:v>
                </c:pt>
                <c:pt idx="47">
                  <c:v>156.78100000000001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C-4712-9EF6-86265B417004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477.87310000000002</c:v>
                </c:pt>
                <c:pt idx="1">
                  <c:v>501.39460000000003</c:v>
                </c:pt>
                <c:pt idx="2">
                  <c:v>504.1551</c:v>
                </c:pt>
                <c:pt idx="3">
                  <c:v>499.97559999999999</c:v>
                </c:pt>
                <c:pt idx="4">
                  <c:v>492.12580000000003</c:v>
                </c:pt>
                <c:pt idx="5">
                  <c:v>504.15570000000002</c:v>
                </c:pt>
                <c:pt idx="6">
                  <c:v>489.70659999999998</c:v>
                </c:pt>
                <c:pt idx="7">
                  <c:v>499.05939999999998</c:v>
                </c:pt>
                <c:pt idx="8">
                  <c:v>472.56119999999999</c:v>
                </c:pt>
                <c:pt idx="9">
                  <c:v>482.85359999999997</c:v>
                </c:pt>
                <c:pt idx="10">
                  <c:v>491.42860000000002</c:v>
                </c:pt>
                <c:pt idx="11">
                  <c:v>473.0686</c:v>
                </c:pt>
                <c:pt idx="12">
                  <c:v>463.97669999999999</c:v>
                </c:pt>
                <c:pt idx="13">
                  <c:v>371.44819999999999</c:v>
                </c:pt>
                <c:pt idx="14">
                  <c:v>278.34519999999998</c:v>
                </c:pt>
                <c:pt idx="15">
                  <c:v>177.21709999999999</c:v>
                </c:pt>
                <c:pt idx="16">
                  <c:v>236.26</c:v>
                </c:pt>
                <c:pt idx="17">
                  <c:v>228.45429999999999</c:v>
                </c:pt>
                <c:pt idx="18">
                  <c:v>179.42410000000001</c:v>
                </c:pt>
                <c:pt idx="19">
                  <c:v>179.9161</c:v>
                </c:pt>
                <c:pt idx="20">
                  <c:v>146.84479999999999</c:v>
                </c:pt>
                <c:pt idx="21">
                  <c:v>142.8853</c:v>
                </c:pt>
                <c:pt idx="22">
                  <c:v>134.5909</c:v>
                </c:pt>
                <c:pt idx="23">
                  <c:v>170.78100000000001</c:v>
                </c:pt>
                <c:pt idx="24">
                  <c:v>170.85230000000001</c:v>
                </c:pt>
                <c:pt idx="25">
                  <c:v>159.1525</c:v>
                </c:pt>
                <c:pt idx="26">
                  <c:v>160.9375</c:v>
                </c:pt>
                <c:pt idx="27">
                  <c:v>167.0136</c:v>
                </c:pt>
                <c:pt idx="28">
                  <c:v>180.28049999999999</c:v>
                </c:pt>
                <c:pt idx="29">
                  <c:v>204.4367</c:v>
                </c:pt>
                <c:pt idx="30">
                  <c:v>215.9323</c:v>
                </c:pt>
                <c:pt idx="31">
                  <c:v>281.52179999999998</c:v>
                </c:pt>
                <c:pt idx="32">
                  <c:v>412.76139999999998</c:v>
                </c:pt>
                <c:pt idx="33">
                  <c:v>422.39550000000003</c:v>
                </c:pt>
                <c:pt idx="34">
                  <c:v>569.37540000000001</c:v>
                </c:pt>
                <c:pt idx="35">
                  <c:v>577.4076</c:v>
                </c:pt>
                <c:pt idx="36">
                  <c:v>580.54139999999995</c:v>
                </c:pt>
                <c:pt idx="37">
                  <c:v>573.1508</c:v>
                </c:pt>
                <c:pt idx="38">
                  <c:v>538.2414</c:v>
                </c:pt>
                <c:pt idx="39">
                  <c:v>558.73329999999999</c:v>
                </c:pt>
                <c:pt idx="40">
                  <c:v>556.70330000000001</c:v>
                </c:pt>
                <c:pt idx="41">
                  <c:v>556.85910000000001</c:v>
                </c:pt>
                <c:pt idx="42">
                  <c:v>554.45830000000001</c:v>
                </c:pt>
                <c:pt idx="43">
                  <c:v>540.58130000000006</c:v>
                </c:pt>
                <c:pt idx="44">
                  <c:v>502.78550000000001</c:v>
                </c:pt>
                <c:pt idx="45">
                  <c:v>457.98970000000003</c:v>
                </c:pt>
                <c:pt idx="46">
                  <c:v>491.7183</c:v>
                </c:pt>
                <c:pt idx="47">
                  <c:v>481.50479999999999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C-4712-9EF6-86265B417004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385.86810000000003</c:v>
                </c:pt>
                <c:pt idx="1">
                  <c:v>401.68369999999999</c:v>
                </c:pt>
                <c:pt idx="2">
                  <c:v>411.14030000000002</c:v>
                </c:pt>
                <c:pt idx="3">
                  <c:v>400.94810000000001</c:v>
                </c:pt>
                <c:pt idx="4">
                  <c:v>397.0204</c:v>
                </c:pt>
                <c:pt idx="5">
                  <c:v>403.61529999999999</c:v>
                </c:pt>
                <c:pt idx="6">
                  <c:v>395.64080000000001</c:v>
                </c:pt>
                <c:pt idx="7">
                  <c:v>398.6223</c:v>
                </c:pt>
                <c:pt idx="8">
                  <c:v>375.34699999999998</c:v>
                </c:pt>
                <c:pt idx="9">
                  <c:v>392.42619999999999</c:v>
                </c:pt>
                <c:pt idx="10">
                  <c:v>389.12790000000001</c:v>
                </c:pt>
                <c:pt idx="11">
                  <c:v>381.36340000000001</c:v>
                </c:pt>
                <c:pt idx="12">
                  <c:v>369.48540000000003</c:v>
                </c:pt>
                <c:pt idx="13">
                  <c:v>294.05889999999999</c:v>
                </c:pt>
                <c:pt idx="14">
                  <c:v>207.84100000000001</c:v>
                </c:pt>
                <c:pt idx="15">
                  <c:v>116.6317</c:v>
                </c:pt>
                <c:pt idx="16">
                  <c:v>35.835900000000002</c:v>
                </c:pt>
                <c:pt idx="17">
                  <c:v>26.5153</c:v>
                </c:pt>
                <c:pt idx="18">
                  <c:v>-1.8601000000000001</c:v>
                </c:pt>
                <c:pt idx="19">
                  <c:v>1.8767</c:v>
                </c:pt>
                <c:pt idx="20">
                  <c:v>-17.242799999999999</c:v>
                </c:pt>
                <c:pt idx="21">
                  <c:v>-23.088799999999999</c:v>
                </c:pt>
                <c:pt idx="22">
                  <c:v>-25.8659</c:v>
                </c:pt>
                <c:pt idx="23">
                  <c:v>-8.5798000000000005</c:v>
                </c:pt>
                <c:pt idx="24">
                  <c:v>-10.934699999999999</c:v>
                </c:pt>
                <c:pt idx="25">
                  <c:v>-18.148399999999999</c:v>
                </c:pt>
                <c:pt idx="26">
                  <c:v>-9.7407000000000004</c:v>
                </c:pt>
                <c:pt idx="27">
                  <c:v>-11.774800000000001</c:v>
                </c:pt>
                <c:pt idx="28">
                  <c:v>-5.5503999999999998</c:v>
                </c:pt>
                <c:pt idx="29">
                  <c:v>12.243600000000001</c:v>
                </c:pt>
                <c:pt idx="30">
                  <c:v>28.5975</c:v>
                </c:pt>
                <c:pt idx="31">
                  <c:v>78.771000000000001</c:v>
                </c:pt>
                <c:pt idx="32">
                  <c:v>191.55860000000001</c:v>
                </c:pt>
                <c:pt idx="33">
                  <c:v>349.04739999999998</c:v>
                </c:pt>
                <c:pt idx="34">
                  <c:v>454.149</c:v>
                </c:pt>
                <c:pt idx="35">
                  <c:v>459.7901</c:v>
                </c:pt>
                <c:pt idx="36">
                  <c:v>465.91300000000001</c:v>
                </c:pt>
                <c:pt idx="37">
                  <c:v>450.49549999999999</c:v>
                </c:pt>
                <c:pt idx="38">
                  <c:v>426.37189999999998</c:v>
                </c:pt>
                <c:pt idx="39">
                  <c:v>448.2713</c:v>
                </c:pt>
                <c:pt idx="40">
                  <c:v>438.99270000000001</c:v>
                </c:pt>
                <c:pt idx="41">
                  <c:v>446.42899999999997</c:v>
                </c:pt>
                <c:pt idx="42">
                  <c:v>443.42140000000001</c:v>
                </c:pt>
                <c:pt idx="43">
                  <c:v>427.97680000000003</c:v>
                </c:pt>
                <c:pt idx="44">
                  <c:v>405.60890000000001</c:v>
                </c:pt>
                <c:pt idx="45">
                  <c:v>376.83859999999999</c:v>
                </c:pt>
                <c:pt idx="46">
                  <c:v>394.16559999999998</c:v>
                </c:pt>
                <c:pt idx="47">
                  <c:v>396.37860000000001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CC-4712-9EF6-86265B41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6703.7</c:v>
                </c:pt>
                <c:pt idx="1">
                  <c:v>6556.9</c:v>
                </c:pt>
                <c:pt idx="2">
                  <c:v>6471.9</c:v>
                </c:pt>
                <c:pt idx="3">
                  <c:v>6508.1</c:v>
                </c:pt>
                <c:pt idx="4">
                  <c:v>6472.1</c:v>
                </c:pt>
                <c:pt idx="5">
                  <c:v>6424.8</c:v>
                </c:pt>
                <c:pt idx="6">
                  <c:v>6416.7</c:v>
                </c:pt>
                <c:pt idx="7">
                  <c:v>6391.7</c:v>
                </c:pt>
                <c:pt idx="8">
                  <c:v>6348.5</c:v>
                </c:pt>
                <c:pt idx="9">
                  <c:v>6312.9</c:v>
                </c:pt>
                <c:pt idx="10">
                  <c:v>6478.9</c:v>
                </c:pt>
                <c:pt idx="11">
                  <c:v>6707.6</c:v>
                </c:pt>
                <c:pt idx="12">
                  <c:v>6850.5</c:v>
                </c:pt>
                <c:pt idx="13">
                  <c:v>6846</c:v>
                </c:pt>
                <c:pt idx="14">
                  <c:v>7078.7</c:v>
                </c:pt>
                <c:pt idx="15">
                  <c:v>7029.7</c:v>
                </c:pt>
                <c:pt idx="16">
                  <c:v>7395.1</c:v>
                </c:pt>
                <c:pt idx="17">
                  <c:v>7414.6</c:v>
                </c:pt>
                <c:pt idx="18">
                  <c:v>7673.8</c:v>
                </c:pt>
                <c:pt idx="19">
                  <c:v>7679.4</c:v>
                </c:pt>
                <c:pt idx="20">
                  <c:v>7771</c:v>
                </c:pt>
                <c:pt idx="21">
                  <c:v>7811.9</c:v>
                </c:pt>
                <c:pt idx="22">
                  <c:v>7850.2</c:v>
                </c:pt>
                <c:pt idx="23">
                  <c:v>7945.6</c:v>
                </c:pt>
                <c:pt idx="24">
                  <c:v>7898.5</c:v>
                </c:pt>
                <c:pt idx="25">
                  <c:v>7772.4</c:v>
                </c:pt>
                <c:pt idx="26">
                  <c:v>7774.3</c:v>
                </c:pt>
                <c:pt idx="27">
                  <c:v>7842.1</c:v>
                </c:pt>
                <c:pt idx="28">
                  <c:v>7896.5</c:v>
                </c:pt>
                <c:pt idx="29">
                  <c:v>7977.6</c:v>
                </c:pt>
                <c:pt idx="30">
                  <c:v>7996.8</c:v>
                </c:pt>
                <c:pt idx="31">
                  <c:v>7986.6</c:v>
                </c:pt>
                <c:pt idx="32">
                  <c:v>8000.1</c:v>
                </c:pt>
                <c:pt idx="33">
                  <c:v>7853</c:v>
                </c:pt>
                <c:pt idx="34">
                  <c:v>7972</c:v>
                </c:pt>
                <c:pt idx="35">
                  <c:v>7814.3</c:v>
                </c:pt>
                <c:pt idx="36">
                  <c:v>7905.1</c:v>
                </c:pt>
                <c:pt idx="37">
                  <c:v>7831.5</c:v>
                </c:pt>
                <c:pt idx="38">
                  <c:v>7793.6</c:v>
                </c:pt>
                <c:pt idx="39">
                  <c:v>7853.2</c:v>
                </c:pt>
                <c:pt idx="40">
                  <c:v>7840.2</c:v>
                </c:pt>
                <c:pt idx="41">
                  <c:v>7785.3</c:v>
                </c:pt>
                <c:pt idx="42">
                  <c:v>7774.6</c:v>
                </c:pt>
                <c:pt idx="43">
                  <c:v>7735.7</c:v>
                </c:pt>
                <c:pt idx="44">
                  <c:v>7492</c:v>
                </c:pt>
                <c:pt idx="45">
                  <c:v>7232</c:v>
                </c:pt>
                <c:pt idx="46">
                  <c:v>7058.8</c:v>
                </c:pt>
                <c:pt idx="47">
                  <c:v>6867.5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0-41CC-90E9-CAC12FF40F13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6836.0916200000001</c:v>
                </c:pt>
                <c:pt idx="1">
                  <c:v>6753.1967100000002</c:v>
                </c:pt>
                <c:pt idx="2">
                  <c:v>6658.3008900000004</c:v>
                </c:pt>
                <c:pt idx="3">
                  <c:v>6555.9462199999998</c:v>
                </c:pt>
                <c:pt idx="4">
                  <c:v>6490.3754200000003</c:v>
                </c:pt>
                <c:pt idx="5">
                  <c:v>6465.93833</c:v>
                </c:pt>
                <c:pt idx="6">
                  <c:v>6448.9227300000002</c:v>
                </c:pt>
                <c:pt idx="7">
                  <c:v>6447.3055999999997</c:v>
                </c:pt>
                <c:pt idx="8">
                  <c:v>6480.3532999999998</c:v>
                </c:pt>
                <c:pt idx="9">
                  <c:v>6538.1119699999999</c:v>
                </c:pt>
                <c:pt idx="10">
                  <c:v>6598.8827199999996</c:v>
                </c:pt>
                <c:pt idx="11">
                  <c:v>6732.8316599999998</c:v>
                </c:pt>
                <c:pt idx="12">
                  <c:v>6856.4376400000001</c:v>
                </c:pt>
                <c:pt idx="13">
                  <c:v>6951.2451499999997</c:v>
                </c:pt>
                <c:pt idx="14">
                  <c:v>7077.30537</c:v>
                </c:pt>
                <c:pt idx="15">
                  <c:v>7179.84112</c:v>
                </c:pt>
                <c:pt idx="16">
                  <c:v>7356.7221799999998</c:v>
                </c:pt>
                <c:pt idx="17">
                  <c:v>7501.1177799999996</c:v>
                </c:pt>
                <c:pt idx="18">
                  <c:v>7674.4230900000002</c:v>
                </c:pt>
                <c:pt idx="19">
                  <c:v>7770.5464199999997</c:v>
                </c:pt>
                <c:pt idx="20">
                  <c:v>7868.1365699999997</c:v>
                </c:pt>
                <c:pt idx="21">
                  <c:v>7952.44038</c:v>
                </c:pt>
                <c:pt idx="22">
                  <c:v>8015.11841</c:v>
                </c:pt>
                <c:pt idx="23">
                  <c:v>7987.7582199999997</c:v>
                </c:pt>
                <c:pt idx="24">
                  <c:v>7930.9171299999998</c:v>
                </c:pt>
                <c:pt idx="25">
                  <c:v>7896.3492500000002</c:v>
                </c:pt>
                <c:pt idx="26">
                  <c:v>7882.6943499999998</c:v>
                </c:pt>
                <c:pt idx="27">
                  <c:v>7912.7741500000002</c:v>
                </c:pt>
                <c:pt idx="28">
                  <c:v>7986.60286</c:v>
                </c:pt>
                <c:pt idx="29">
                  <c:v>8003.78089</c:v>
                </c:pt>
                <c:pt idx="30">
                  <c:v>8026.4849899999999</c:v>
                </c:pt>
                <c:pt idx="31">
                  <c:v>8069.4241000000002</c:v>
                </c:pt>
                <c:pt idx="32">
                  <c:v>8067.3733899999997</c:v>
                </c:pt>
                <c:pt idx="33">
                  <c:v>8058.99755</c:v>
                </c:pt>
                <c:pt idx="34">
                  <c:v>8070.1565399999999</c:v>
                </c:pt>
                <c:pt idx="35">
                  <c:v>8059.0071500000004</c:v>
                </c:pt>
                <c:pt idx="36">
                  <c:v>8093.5357299999996</c:v>
                </c:pt>
                <c:pt idx="37">
                  <c:v>8056.1652999999997</c:v>
                </c:pt>
                <c:pt idx="38">
                  <c:v>8018.4294499999996</c:v>
                </c:pt>
                <c:pt idx="39">
                  <c:v>7992.6141900000002</c:v>
                </c:pt>
                <c:pt idx="40">
                  <c:v>7966.5028899999998</c:v>
                </c:pt>
                <c:pt idx="41">
                  <c:v>7955.4200099999998</c:v>
                </c:pt>
                <c:pt idx="42">
                  <c:v>7881.42767</c:v>
                </c:pt>
                <c:pt idx="43">
                  <c:v>7755.4802300000001</c:v>
                </c:pt>
                <c:pt idx="44">
                  <c:v>7617.6048499999997</c:v>
                </c:pt>
                <c:pt idx="45">
                  <c:v>7358.1261999999997</c:v>
                </c:pt>
                <c:pt idx="46">
                  <c:v>7182.0987599999999</c:v>
                </c:pt>
                <c:pt idx="47">
                  <c:v>6991.8103899999996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D0-41CC-90E9-CAC12FF4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MAR 19</c:v>
                </c:pt>
                <c:pt idx="1">
                  <c:v>MIE 20</c:v>
                </c:pt>
                <c:pt idx="2">
                  <c:v>JUE 21</c:v>
                </c:pt>
                <c:pt idx="3">
                  <c:v>VIE 22</c:v>
                </c:pt>
                <c:pt idx="4">
                  <c:v>SAB 23</c:v>
                </c:pt>
                <c:pt idx="5">
                  <c:v>DOM 24</c:v>
                </c:pt>
                <c:pt idx="6">
                  <c:v>LUN 25</c:v>
                </c:pt>
                <c:pt idx="7">
                  <c:v>MAR 26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6706439.2310699997</c:v>
                </c:pt>
                <c:pt idx="1">
                  <c:v>7020587.12567</c:v>
                </c:pt>
                <c:pt idx="2">
                  <c:v>8310454.4255299997</c:v>
                </c:pt>
                <c:pt idx="3">
                  <c:v>6890444.8956000004</c:v>
                </c:pt>
                <c:pt idx="4">
                  <c:v>6399178.8949199999</c:v>
                </c:pt>
                <c:pt idx="5">
                  <c:v>6100604.0474199997</c:v>
                </c:pt>
                <c:pt idx="6">
                  <c:v>7842958.2228300003</c:v>
                </c:pt>
                <c:pt idx="7">
                  <c:v>7889515.43774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5-4F10-9F78-BCF50C3E4AA8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0.16005442216780166</c:v>
                </c:pt>
                <c:pt idx="1">
                  <c:v>4.9920887141839579E-2</c:v>
                </c:pt>
                <c:pt idx="2">
                  <c:v>2.6530986898502609E-2</c:v>
                </c:pt>
                <c:pt idx="3">
                  <c:v>5.0683466126196803E-3</c:v>
                </c:pt>
                <c:pt idx="4">
                  <c:v>-0.1330484464707736</c:v>
                </c:pt>
                <c:pt idx="5">
                  <c:v>-8.3888870610543592E-2</c:v>
                </c:pt>
                <c:pt idx="6">
                  <c:v>7.5654320431161895E-2</c:v>
                </c:pt>
                <c:pt idx="7">
                  <c:v>6.2424762647836501E-2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5781141.9041338004</c:v>
                </c:pt>
                <c:pt idx="1">
                  <c:v>6686777.2721255999</c:v>
                </c:pt>
                <c:pt idx="2">
                  <c:v>8095668.3544825995</c:v>
                </c:pt>
                <c:pt idx="3">
                  <c:v>6855697.8426620001</c:v>
                </c:pt>
                <c:pt idx="4">
                  <c:v>7381241.6263284003</c:v>
                </c:pt>
                <c:pt idx="5">
                  <c:v>6659240.1857248005</c:v>
                </c:pt>
                <c:pt idx="6">
                  <c:v>7291337.0716404999</c:v>
                </c:pt>
                <c:pt idx="7">
                  <c:v>7425952.1380858002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5-4F10-9F78-BCF50C3E4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18</v>
      </c>
      <c r="I7" s="6" t="s">
        <v>19</v>
      </c>
      <c r="J7" s="4"/>
      <c r="K7" s="4" t="s">
        <v>20</v>
      </c>
      <c r="L7" s="4">
        <v>220</v>
      </c>
    </row>
    <row r="8" spans="1:12" x14ac:dyDescent="0.3">
      <c r="A8" s="1"/>
      <c r="B8" s="4" t="s">
        <v>13</v>
      </c>
      <c r="C8" s="5" t="s">
        <v>21</v>
      </c>
      <c r="D8" s="5" t="s">
        <v>22</v>
      </c>
      <c r="E8" s="5" t="s">
        <v>23</v>
      </c>
      <c r="F8" s="5" t="s">
        <v>24</v>
      </c>
      <c r="G8" s="4" t="s">
        <v>25</v>
      </c>
      <c r="H8" s="4" t="s">
        <v>26</v>
      </c>
      <c r="I8" s="6" t="s">
        <v>27</v>
      </c>
      <c r="J8" s="4"/>
      <c r="K8" s="4" t="s">
        <v>20</v>
      </c>
      <c r="L8" s="4">
        <v>6.3</v>
      </c>
    </row>
    <row r="9" spans="1:12" x14ac:dyDescent="0.3">
      <c r="A9" s="1"/>
      <c r="B9" s="4" t="s">
        <v>13</v>
      </c>
      <c r="C9" s="5" t="s">
        <v>28</v>
      </c>
      <c r="D9" s="5" t="s">
        <v>29</v>
      </c>
      <c r="E9" s="5" t="s">
        <v>30</v>
      </c>
      <c r="F9" s="5" t="s">
        <v>31</v>
      </c>
      <c r="G9" s="4" t="s">
        <v>32</v>
      </c>
      <c r="H9" s="4" t="s">
        <v>33</v>
      </c>
      <c r="I9" s="6" t="s">
        <v>34</v>
      </c>
      <c r="J9" s="4"/>
      <c r="K9" s="4" t="s">
        <v>20</v>
      </c>
      <c r="L9" s="4">
        <v>0</v>
      </c>
    </row>
    <row r="10" spans="1:12" x14ac:dyDescent="0.3">
      <c r="A10" s="1"/>
      <c r="B10" s="4" t="s">
        <v>13</v>
      </c>
      <c r="C10" s="5" t="s">
        <v>35</v>
      </c>
      <c r="D10" s="5" t="s">
        <v>36</v>
      </c>
      <c r="E10" s="5" t="s">
        <v>16</v>
      </c>
      <c r="F10" s="5" t="s">
        <v>37</v>
      </c>
      <c r="G10" s="4" t="s">
        <v>38</v>
      </c>
      <c r="H10" s="4" t="s">
        <v>39</v>
      </c>
      <c r="I10" s="6" t="s">
        <v>40</v>
      </c>
      <c r="J10" s="4"/>
      <c r="K10" s="4" t="s">
        <v>41</v>
      </c>
      <c r="L10" s="4">
        <v>60</v>
      </c>
    </row>
    <row r="11" spans="1:12" x14ac:dyDescent="0.3">
      <c r="A11" s="1"/>
      <c r="B11" s="4" t="s">
        <v>42</v>
      </c>
      <c r="C11" s="5" t="s">
        <v>43</v>
      </c>
      <c r="D11" s="5" t="s">
        <v>44</v>
      </c>
      <c r="E11" s="5" t="s">
        <v>16</v>
      </c>
      <c r="F11" s="5" t="s">
        <v>45</v>
      </c>
      <c r="G11" s="4" t="s">
        <v>46</v>
      </c>
      <c r="H11" s="4" t="s">
        <v>47</v>
      </c>
      <c r="I11" s="6" t="s">
        <v>48</v>
      </c>
      <c r="J11" s="4"/>
      <c r="K11" s="4" t="s">
        <v>20</v>
      </c>
      <c r="L11" s="4"/>
    </row>
    <row r="12" spans="1:12" x14ac:dyDescent="0.3">
      <c r="A12" s="1"/>
      <c r="B12" s="4" t="s">
        <v>42</v>
      </c>
      <c r="C12" s="5" t="s">
        <v>49</v>
      </c>
      <c r="D12" s="5" t="s">
        <v>50</v>
      </c>
      <c r="E12" s="5" t="s">
        <v>16</v>
      </c>
      <c r="F12" s="5" t="s">
        <v>51</v>
      </c>
      <c r="G12" s="4" t="s">
        <v>52</v>
      </c>
      <c r="H12" s="4" t="s">
        <v>53</v>
      </c>
      <c r="I12" s="6" t="s">
        <v>54</v>
      </c>
      <c r="J12" s="4"/>
      <c r="K12" s="4" t="s">
        <v>20</v>
      </c>
      <c r="L12" s="4"/>
    </row>
    <row r="13" spans="1:12" ht="26.4" x14ac:dyDescent="0.3">
      <c r="A13" s="1"/>
      <c r="B13" s="4" t="s">
        <v>42</v>
      </c>
      <c r="C13" s="5" t="s">
        <v>55</v>
      </c>
      <c r="D13" s="5" t="s">
        <v>56</v>
      </c>
      <c r="E13" s="5" t="s">
        <v>57</v>
      </c>
      <c r="F13" s="5" t="s">
        <v>58</v>
      </c>
      <c r="G13" s="4" t="s">
        <v>59</v>
      </c>
      <c r="H13" s="4" t="s">
        <v>60</v>
      </c>
      <c r="I13" s="6" t="s">
        <v>61</v>
      </c>
      <c r="J13" s="4"/>
      <c r="K13" s="4" t="s">
        <v>41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0" t="s">
        <v>62</v>
      </c>
      <c r="C5" s="200"/>
      <c r="D5" s="200"/>
      <c r="E5" s="200"/>
      <c r="F5" s="200"/>
      <c r="G5" s="200"/>
      <c r="H5" s="200"/>
      <c r="I5" s="200"/>
    </row>
    <row r="6" spans="1:9" ht="40.049999999999997" customHeight="1" x14ac:dyDescent="0.3">
      <c r="A6" s="1"/>
      <c r="B6" s="7" t="s">
        <v>63</v>
      </c>
      <c r="C6" s="3" t="s">
        <v>64</v>
      </c>
      <c r="D6" s="3" t="s">
        <v>65</v>
      </c>
      <c r="E6" s="7" t="s">
        <v>3</v>
      </c>
      <c r="F6" s="7" t="s">
        <v>4</v>
      </c>
      <c r="G6" s="7" t="s">
        <v>66</v>
      </c>
      <c r="H6" s="7" t="s">
        <v>6</v>
      </c>
      <c r="I6" s="7" t="s">
        <v>9</v>
      </c>
    </row>
    <row r="7" spans="1:9" x14ac:dyDescent="0.3">
      <c r="A7" s="1"/>
      <c r="B7" s="4" t="s">
        <v>67</v>
      </c>
      <c r="C7" s="4" t="s">
        <v>68</v>
      </c>
      <c r="D7" s="4" t="s">
        <v>69</v>
      </c>
      <c r="E7" s="5" t="s">
        <v>70</v>
      </c>
      <c r="F7" s="5" t="s">
        <v>71</v>
      </c>
      <c r="G7" s="5" t="s">
        <v>72</v>
      </c>
      <c r="H7" s="5" t="s">
        <v>73</v>
      </c>
      <c r="I7" s="5" t="s">
        <v>74</v>
      </c>
    </row>
    <row r="8" spans="1:9" x14ac:dyDescent="0.3">
      <c r="A8" s="1"/>
      <c r="B8" s="4" t="s">
        <v>67</v>
      </c>
      <c r="C8" s="4" t="s">
        <v>68</v>
      </c>
      <c r="D8" s="4" t="s">
        <v>69</v>
      </c>
      <c r="E8" s="5" t="s">
        <v>75</v>
      </c>
      <c r="F8" s="5" t="s">
        <v>76</v>
      </c>
      <c r="G8" s="5" t="s">
        <v>77</v>
      </c>
      <c r="H8" s="5" t="s">
        <v>78</v>
      </c>
      <c r="I8" s="5" t="s">
        <v>79</v>
      </c>
    </row>
    <row r="9" spans="1:9" x14ac:dyDescent="0.3">
      <c r="A9" s="1"/>
      <c r="B9" s="4" t="s">
        <v>67</v>
      </c>
      <c r="C9" s="4" t="s">
        <v>68</v>
      </c>
      <c r="D9" s="4" t="s">
        <v>69</v>
      </c>
      <c r="E9" s="5" t="s">
        <v>80</v>
      </c>
      <c r="F9" s="5" t="s">
        <v>81</v>
      </c>
      <c r="G9" s="5" t="s">
        <v>72</v>
      </c>
      <c r="H9" s="5" t="s">
        <v>73</v>
      </c>
      <c r="I9" s="5" t="s">
        <v>82</v>
      </c>
    </row>
    <row r="10" spans="1:9" x14ac:dyDescent="0.3">
      <c r="A10" s="1"/>
      <c r="B10" s="4" t="s">
        <v>67</v>
      </c>
      <c r="C10" s="4" t="s">
        <v>68</v>
      </c>
      <c r="D10" s="4" t="s">
        <v>69</v>
      </c>
      <c r="E10" s="5" t="s">
        <v>83</v>
      </c>
      <c r="F10" s="5" t="s">
        <v>84</v>
      </c>
      <c r="G10" s="5" t="s">
        <v>72</v>
      </c>
      <c r="H10" s="5" t="s">
        <v>73</v>
      </c>
      <c r="I10" s="5" t="s">
        <v>85</v>
      </c>
    </row>
    <row r="11" spans="1:9" x14ac:dyDescent="0.3">
      <c r="A11" s="1"/>
      <c r="B11" s="4" t="s">
        <v>67</v>
      </c>
      <c r="C11" s="4" t="s">
        <v>68</v>
      </c>
      <c r="D11" s="4" t="s">
        <v>69</v>
      </c>
      <c r="E11" s="5" t="s">
        <v>86</v>
      </c>
      <c r="F11" s="5" t="s">
        <v>87</v>
      </c>
      <c r="G11" s="5" t="s">
        <v>88</v>
      </c>
      <c r="H11" s="5" t="s">
        <v>73</v>
      </c>
      <c r="I11" s="5" t="s">
        <v>89</v>
      </c>
    </row>
    <row r="12" spans="1:9" x14ac:dyDescent="0.3">
      <c r="A12" s="1"/>
      <c r="B12" s="4" t="s">
        <v>67</v>
      </c>
      <c r="C12" s="4" t="s">
        <v>68</v>
      </c>
      <c r="D12" s="4" t="s">
        <v>69</v>
      </c>
      <c r="E12" s="5" t="s">
        <v>86</v>
      </c>
      <c r="F12" s="5" t="s">
        <v>87</v>
      </c>
      <c r="G12" s="5" t="s">
        <v>90</v>
      </c>
      <c r="H12" s="5" t="s">
        <v>91</v>
      </c>
      <c r="I12" s="5" t="s">
        <v>92</v>
      </c>
    </row>
    <row r="13" spans="1:9" x14ac:dyDescent="0.3">
      <c r="A13" s="1"/>
      <c r="B13" s="4" t="s">
        <v>67</v>
      </c>
      <c r="C13" s="4" t="s">
        <v>68</v>
      </c>
      <c r="D13" s="4" t="s">
        <v>69</v>
      </c>
      <c r="E13" s="5" t="s">
        <v>93</v>
      </c>
      <c r="F13" s="5" t="s">
        <v>94</v>
      </c>
      <c r="G13" s="5" t="s">
        <v>95</v>
      </c>
      <c r="H13" s="5" t="s">
        <v>96</v>
      </c>
      <c r="I13" s="5" t="s">
        <v>97</v>
      </c>
    </row>
    <row r="14" spans="1:9" x14ac:dyDescent="0.3">
      <c r="A14" s="1"/>
      <c r="B14" s="4" t="s">
        <v>67</v>
      </c>
      <c r="C14" s="4" t="s">
        <v>68</v>
      </c>
      <c r="D14" s="4" t="s">
        <v>69</v>
      </c>
      <c r="E14" s="5" t="s">
        <v>93</v>
      </c>
      <c r="F14" s="5" t="s">
        <v>94</v>
      </c>
      <c r="G14" s="5" t="s">
        <v>95</v>
      </c>
      <c r="H14" s="5" t="s">
        <v>96</v>
      </c>
      <c r="I14" s="5" t="s">
        <v>98</v>
      </c>
    </row>
    <row r="15" spans="1:9" x14ac:dyDescent="0.3">
      <c r="A15" s="1"/>
      <c r="B15" s="4" t="s">
        <v>67</v>
      </c>
      <c r="C15" s="4" t="s">
        <v>68</v>
      </c>
      <c r="D15" s="4" t="s">
        <v>69</v>
      </c>
      <c r="E15" s="5" t="s">
        <v>93</v>
      </c>
      <c r="F15" s="5" t="s">
        <v>99</v>
      </c>
      <c r="G15" s="5" t="s">
        <v>88</v>
      </c>
      <c r="H15" s="5" t="s">
        <v>73</v>
      </c>
      <c r="I15" s="5" t="s">
        <v>100</v>
      </c>
    </row>
    <row r="16" spans="1:9" x14ac:dyDescent="0.3">
      <c r="A16" s="1"/>
      <c r="B16" s="4" t="s">
        <v>67</v>
      </c>
      <c r="C16" s="4" t="s">
        <v>68</v>
      </c>
      <c r="D16" s="4" t="s">
        <v>69</v>
      </c>
      <c r="E16" s="5" t="s">
        <v>93</v>
      </c>
      <c r="F16" s="5" t="s">
        <v>99</v>
      </c>
      <c r="G16" s="5" t="s">
        <v>88</v>
      </c>
      <c r="H16" s="5" t="s">
        <v>73</v>
      </c>
      <c r="I16" s="5" t="s">
        <v>101</v>
      </c>
    </row>
    <row r="17" spans="1:9" x14ac:dyDescent="0.3">
      <c r="A17" s="1"/>
      <c r="B17" s="4" t="s">
        <v>67</v>
      </c>
      <c r="C17" s="4" t="s">
        <v>68</v>
      </c>
      <c r="D17" s="4" t="s">
        <v>69</v>
      </c>
      <c r="E17" s="5" t="s">
        <v>93</v>
      </c>
      <c r="F17" s="5" t="s">
        <v>102</v>
      </c>
      <c r="G17" s="5" t="s">
        <v>88</v>
      </c>
      <c r="H17" s="5" t="s">
        <v>73</v>
      </c>
      <c r="I17" s="5" t="s">
        <v>100</v>
      </c>
    </row>
    <row r="18" spans="1:9" x14ac:dyDescent="0.3">
      <c r="A18" s="1"/>
      <c r="B18" s="4" t="s">
        <v>67</v>
      </c>
      <c r="C18" s="4" t="s">
        <v>68</v>
      </c>
      <c r="D18" s="4" t="s">
        <v>69</v>
      </c>
      <c r="E18" s="5" t="s">
        <v>103</v>
      </c>
      <c r="F18" s="5" t="s">
        <v>104</v>
      </c>
      <c r="G18" s="5" t="s">
        <v>88</v>
      </c>
      <c r="H18" s="5" t="s">
        <v>73</v>
      </c>
      <c r="I18" s="5" t="s">
        <v>105</v>
      </c>
    </row>
    <row r="19" spans="1:9" x14ac:dyDescent="0.3">
      <c r="A19" s="1"/>
      <c r="B19" s="4" t="s">
        <v>67</v>
      </c>
      <c r="C19" s="4" t="s">
        <v>68</v>
      </c>
      <c r="D19" s="4" t="s">
        <v>69</v>
      </c>
      <c r="E19" s="5" t="s">
        <v>106</v>
      </c>
      <c r="F19" s="5" t="s">
        <v>107</v>
      </c>
      <c r="G19" s="5" t="s">
        <v>72</v>
      </c>
      <c r="H19" s="5" t="s">
        <v>73</v>
      </c>
      <c r="I19" s="5" t="s">
        <v>108</v>
      </c>
    </row>
    <row r="20" spans="1:9" x14ac:dyDescent="0.3">
      <c r="A20" s="1"/>
      <c r="B20" s="4" t="s">
        <v>67</v>
      </c>
      <c r="C20" s="4" t="s">
        <v>68</v>
      </c>
      <c r="D20" s="4" t="s">
        <v>69</v>
      </c>
      <c r="E20" s="5" t="s">
        <v>106</v>
      </c>
      <c r="F20" s="5" t="s">
        <v>107</v>
      </c>
      <c r="G20" s="5" t="s">
        <v>72</v>
      </c>
      <c r="H20" s="5" t="s">
        <v>73</v>
      </c>
      <c r="I20" s="5" t="s">
        <v>109</v>
      </c>
    </row>
    <row r="21" spans="1:9" x14ac:dyDescent="0.3">
      <c r="A21" s="1"/>
      <c r="B21" s="4" t="s">
        <v>67</v>
      </c>
      <c r="C21" s="4" t="s">
        <v>68</v>
      </c>
      <c r="D21" s="4" t="s">
        <v>69</v>
      </c>
      <c r="E21" s="5" t="s">
        <v>106</v>
      </c>
      <c r="F21" s="5" t="s">
        <v>107</v>
      </c>
      <c r="G21" s="5" t="s">
        <v>95</v>
      </c>
      <c r="H21" s="5" t="s">
        <v>110</v>
      </c>
      <c r="I21" s="5" t="s">
        <v>111</v>
      </c>
    </row>
    <row r="22" spans="1:9" x14ac:dyDescent="0.3">
      <c r="A22" s="1"/>
      <c r="B22" s="4" t="s">
        <v>67</v>
      </c>
      <c r="C22" s="4" t="s">
        <v>68</v>
      </c>
      <c r="D22" s="4" t="s">
        <v>69</v>
      </c>
      <c r="E22" s="5" t="s">
        <v>106</v>
      </c>
      <c r="F22" s="5" t="s">
        <v>112</v>
      </c>
      <c r="G22" s="5" t="s">
        <v>72</v>
      </c>
      <c r="H22" s="5" t="s">
        <v>73</v>
      </c>
      <c r="I22" s="5" t="s">
        <v>113</v>
      </c>
    </row>
    <row r="23" spans="1:9" x14ac:dyDescent="0.3">
      <c r="A23" s="1"/>
      <c r="B23" s="4" t="s">
        <v>67</v>
      </c>
      <c r="C23" s="4" t="s">
        <v>68</v>
      </c>
      <c r="D23" s="4" t="s">
        <v>69</v>
      </c>
      <c r="E23" s="5" t="s">
        <v>106</v>
      </c>
      <c r="F23" s="5" t="s">
        <v>112</v>
      </c>
      <c r="G23" s="5" t="s">
        <v>72</v>
      </c>
      <c r="H23" s="5" t="s">
        <v>73</v>
      </c>
      <c r="I23" s="5" t="s">
        <v>114</v>
      </c>
    </row>
    <row r="24" spans="1:9" x14ac:dyDescent="0.3">
      <c r="A24" s="1"/>
      <c r="B24" s="4" t="s">
        <v>67</v>
      </c>
      <c r="C24" s="4" t="s">
        <v>68</v>
      </c>
      <c r="D24" s="4" t="s">
        <v>69</v>
      </c>
      <c r="E24" s="5" t="s">
        <v>106</v>
      </c>
      <c r="F24" s="5" t="s">
        <v>115</v>
      </c>
      <c r="G24" s="5" t="s">
        <v>88</v>
      </c>
      <c r="H24" s="5" t="s">
        <v>73</v>
      </c>
      <c r="I24" s="5" t="s">
        <v>116</v>
      </c>
    </row>
    <row r="25" spans="1:9" x14ac:dyDescent="0.3">
      <c r="A25" s="1"/>
      <c r="B25" s="4" t="s">
        <v>67</v>
      </c>
      <c r="C25" s="4" t="s">
        <v>68</v>
      </c>
      <c r="D25" s="4" t="s">
        <v>69</v>
      </c>
      <c r="E25" s="5" t="s">
        <v>106</v>
      </c>
      <c r="F25" s="5" t="s">
        <v>115</v>
      </c>
      <c r="G25" s="5" t="s">
        <v>88</v>
      </c>
      <c r="H25" s="5" t="s">
        <v>73</v>
      </c>
      <c r="I25" s="5" t="s">
        <v>117</v>
      </c>
    </row>
    <row r="26" spans="1:9" x14ac:dyDescent="0.3">
      <c r="A26" s="1"/>
      <c r="B26" s="4" t="s">
        <v>67</v>
      </c>
      <c r="C26" s="4" t="s">
        <v>68</v>
      </c>
      <c r="D26" s="4" t="s">
        <v>69</v>
      </c>
      <c r="E26" s="5" t="s">
        <v>106</v>
      </c>
      <c r="F26" s="5" t="s">
        <v>115</v>
      </c>
      <c r="G26" s="5" t="s">
        <v>88</v>
      </c>
      <c r="H26" s="5" t="s">
        <v>73</v>
      </c>
      <c r="I26" s="5" t="s">
        <v>118</v>
      </c>
    </row>
    <row r="27" spans="1:9" x14ac:dyDescent="0.3">
      <c r="A27" s="1"/>
      <c r="B27" s="4" t="s">
        <v>67</v>
      </c>
      <c r="C27" s="4" t="s">
        <v>68</v>
      </c>
      <c r="D27" s="4" t="s">
        <v>69</v>
      </c>
      <c r="E27" s="5" t="s">
        <v>106</v>
      </c>
      <c r="F27" s="5" t="s">
        <v>119</v>
      </c>
      <c r="G27" s="5" t="s">
        <v>88</v>
      </c>
      <c r="H27" s="5" t="s">
        <v>73</v>
      </c>
      <c r="I27" s="5" t="s">
        <v>120</v>
      </c>
    </row>
    <row r="28" spans="1:9" x14ac:dyDescent="0.3">
      <c r="A28" s="1"/>
      <c r="B28" s="4" t="s">
        <v>67</v>
      </c>
      <c r="C28" s="4" t="s">
        <v>68</v>
      </c>
      <c r="D28" s="4" t="s">
        <v>69</v>
      </c>
      <c r="E28" s="5" t="s">
        <v>106</v>
      </c>
      <c r="F28" s="5" t="s">
        <v>119</v>
      </c>
      <c r="G28" s="5" t="s">
        <v>88</v>
      </c>
      <c r="H28" s="5" t="s">
        <v>73</v>
      </c>
      <c r="I28" s="5" t="s">
        <v>121</v>
      </c>
    </row>
    <row r="29" spans="1:9" x14ac:dyDescent="0.3">
      <c r="A29" s="1"/>
      <c r="B29" s="4" t="s">
        <v>67</v>
      </c>
      <c r="C29" s="4" t="s">
        <v>68</v>
      </c>
      <c r="D29" s="4" t="s">
        <v>69</v>
      </c>
      <c r="E29" s="5" t="s">
        <v>122</v>
      </c>
      <c r="F29" s="5" t="s">
        <v>123</v>
      </c>
      <c r="G29" s="5" t="s">
        <v>72</v>
      </c>
      <c r="H29" s="5" t="s">
        <v>73</v>
      </c>
      <c r="I29" s="5" t="s">
        <v>124</v>
      </c>
    </row>
    <row r="30" spans="1:9" x14ac:dyDescent="0.3">
      <c r="A30" s="1"/>
      <c r="B30" s="4" t="s">
        <v>67</v>
      </c>
      <c r="C30" s="4" t="s">
        <v>68</v>
      </c>
      <c r="D30" s="4" t="s">
        <v>69</v>
      </c>
      <c r="E30" s="5" t="s">
        <v>122</v>
      </c>
      <c r="F30" s="5" t="s">
        <v>123</v>
      </c>
      <c r="G30" s="5" t="s">
        <v>72</v>
      </c>
      <c r="H30" s="5" t="s">
        <v>73</v>
      </c>
      <c r="I30" s="5" t="s">
        <v>125</v>
      </c>
    </row>
    <row r="31" spans="1:9" x14ac:dyDescent="0.3">
      <c r="A31" s="1"/>
      <c r="B31" s="4" t="s">
        <v>67</v>
      </c>
      <c r="C31" s="4" t="s">
        <v>68</v>
      </c>
      <c r="D31" s="4" t="s">
        <v>69</v>
      </c>
      <c r="E31" s="5" t="s">
        <v>122</v>
      </c>
      <c r="F31" s="5" t="s">
        <v>123</v>
      </c>
      <c r="G31" s="5" t="s">
        <v>72</v>
      </c>
      <c r="H31" s="5" t="s">
        <v>73</v>
      </c>
      <c r="I31" s="5" t="s">
        <v>126</v>
      </c>
    </row>
    <row r="32" spans="1:9" x14ac:dyDescent="0.3">
      <c r="A32" s="1"/>
      <c r="B32" s="4" t="s">
        <v>67</v>
      </c>
      <c r="C32" s="4" t="s">
        <v>68</v>
      </c>
      <c r="D32" s="4" t="s">
        <v>69</v>
      </c>
      <c r="E32" s="5" t="s">
        <v>122</v>
      </c>
      <c r="F32" s="5" t="s">
        <v>123</v>
      </c>
      <c r="G32" s="5" t="s">
        <v>72</v>
      </c>
      <c r="H32" s="5" t="s">
        <v>73</v>
      </c>
      <c r="I32" s="5" t="s">
        <v>127</v>
      </c>
    </row>
    <row r="33" spans="1:9" x14ac:dyDescent="0.3">
      <c r="A33" s="1"/>
      <c r="B33" s="4" t="s">
        <v>67</v>
      </c>
      <c r="C33" s="4" t="s">
        <v>68</v>
      </c>
      <c r="D33" s="4" t="s">
        <v>69</v>
      </c>
      <c r="E33" s="5" t="s">
        <v>122</v>
      </c>
      <c r="F33" s="5" t="s">
        <v>128</v>
      </c>
      <c r="G33" s="5" t="s">
        <v>72</v>
      </c>
      <c r="H33" s="5" t="s">
        <v>73</v>
      </c>
      <c r="I33" s="5" t="s">
        <v>129</v>
      </c>
    </row>
    <row r="34" spans="1:9" x14ac:dyDescent="0.3">
      <c r="A34" s="1"/>
      <c r="B34" s="4" t="s">
        <v>67</v>
      </c>
      <c r="C34" s="4" t="s">
        <v>68</v>
      </c>
      <c r="D34" s="4" t="s">
        <v>69</v>
      </c>
      <c r="E34" s="5" t="s">
        <v>130</v>
      </c>
      <c r="F34" s="5" t="s">
        <v>131</v>
      </c>
      <c r="G34" s="5" t="s">
        <v>72</v>
      </c>
      <c r="H34" s="5" t="s">
        <v>73</v>
      </c>
      <c r="I34" s="5" t="s">
        <v>132</v>
      </c>
    </row>
    <row r="35" spans="1:9" x14ac:dyDescent="0.3">
      <c r="A35" s="1"/>
      <c r="B35" s="4" t="s">
        <v>67</v>
      </c>
      <c r="C35" s="4" t="s">
        <v>68</v>
      </c>
      <c r="D35" s="4" t="s">
        <v>69</v>
      </c>
      <c r="E35" s="5" t="s">
        <v>130</v>
      </c>
      <c r="F35" s="5" t="s">
        <v>133</v>
      </c>
      <c r="G35" s="5" t="s">
        <v>72</v>
      </c>
      <c r="H35" s="5" t="s">
        <v>73</v>
      </c>
      <c r="I35" s="5" t="s">
        <v>134</v>
      </c>
    </row>
    <row r="36" spans="1:9" x14ac:dyDescent="0.3">
      <c r="A36" s="1"/>
      <c r="B36" s="4" t="s">
        <v>67</v>
      </c>
      <c r="C36" s="4" t="s">
        <v>68</v>
      </c>
      <c r="D36" s="4" t="s">
        <v>69</v>
      </c>
      <c r="E36" s="5" t="s">
        <v>130</v>
      </c>
      <c r="F36" s="5" t="s">
        <v>135</v>
      </c>
      <c r="G36" s="5" t="s">
        <v>136</v>
      </c>
      <c r="H36" s="5" t="s">
        <v>73</v>
      </c>
      <c r="I36" s="5" t="s">
        <v>137</v>
      </c>
    </row>
    <row r="37" spans="1:9" x14ac:dyDescent="0.3">
      <c r="A37" s="1"/>
      <c r="B37" s="4" t="s">
        <v>67</v>
      </c>
      <c r="C37" s="4" t="s">
        <v>68</v>
      </c>
      <c r="D37" s="4" t="s">
        <v>69</v>
      </c>
      <c r="E37" s="5" t="s">
        <v>130</v>
      </c>
      <c r="F37" s="5" t="s">
        <v>138</v>
      </c>
      <c r="G37" s="5" t="s">
        <v>90</v>
      </c>
      <c r="H37" s="5" t="s">
        <v>139</v>
      </c>
      <c r="I37" s="5" t="s">
        <v>140</v>
      </c>
    </row>
    <row r="38" spans="1:9" x14ac:dyDescent="0.3">
      <c r="A38" s="1"/>
      <c r="B38" s="4" t="s">
        <v>67</v>
      </c>
      <c r="C38" s="4" t="s">
        <v>68</v>
      </c>
      <c r="D38" s="4" t="s">
        <v>69</v>
      </c>
      <c r="E38" s="5" t="s">
        <v>130</v>
      </c>
      <c r="F38" s="5" t="s">
        <v>138</v>
      </c>
      <c r="G38" s="5" t="s">
        <v>90</v>
      </c>
      <c r="H38" s="5" t="s">
        <v>139</v>
      </c>
      <c r="I38" s="5" t="s">
        <v>141</v>
      </c>
    </row>
    <row r="39" spans="1:9" x14ac:dyDescent="0.3">
      <c r="A39" s="1"/>
      <c r="B39" s="4" t="s">
        <v>67</v>
      </c>
      <c r="C39" s="4" t="s">
        <v>68</v>
      </c>
      <c r="D39" s="4" t="s">
        <v>69</v>
      </c>
      <c r="E39" s="5" t="s">
        <v>130</v>
      </c>
      <c r="F39" s="5" t="s">
        <v>142</v>
      </c>
      <c r="G39" s="5" t="s">
        <v>90</v>
      </c>
      <c r="H39" s="5" t="s">
        <v>143</v>
      </c>
      <c r="I39" s="5" t="s">
        <v>144</v>
      </c>
    </row>
    <row r="40" spans="1:9" x14ac:dyDescent="0.3">
      <c r="A40" s="1"/>
      <c r="B40" s="4" t="s">
        <v>67</v>
      </c>
      <c r="C40" s="4" t="s">
        <v>68</v>
      </c>
      <c r="D40" s="4" t="s">
        <v>69</v>
      </c>
      <c r="E40" s="5" t="s">
        <v>130</v>
      </c>
      <c r="F40" s="5" t="s">
        <v>145</v>
      </c>
      <c r="G40" s="5" t="s">
        <v>88</v>
      </c>
      <c r="H40" s="5" t="s">
        <v>73</v>
      </c>
      <c r="I40" s="5" t="s">
        <v>146</v>
      </c>
    </row>
    <row r="41" spans="1:9" x14ac:dyDescent="0.3">
      <c r="A41" s="1"/>
      <c r="B41" s="4" t="s">
        <v>67</v>
      </c>
      <c r="C41" s="4" t="s">
        <v>68</v>
      </c>
      <c r="D41" s="4" t="s">
        <v>69</v>
      </c>
      <c r="E41" s="5" t="s">
        <v>130</v>
      </c>
      <c r="F41" s="5" t="s">
        <v>145</v>
      </c>
      <c r="G41" s="5" t="s">
        <v>88</v>
      </c>
      <c r="H41" s="5" t="s">
        <v>73</v>
      </c>
      <c r="I41" s="5" t="s">
        <v>147</v>
      </c>
    </row>
    <row r="42" spans="1:9" x14ac:dyDescent="0.3">
      <c r="A42" s="1"/>
      <c r="B42" s="4" t="s">
        <v>67</v>
      </c>
      <c r="C42" s="4" t="s">
        <v>68</v>
      </c>
      <c r="D42" s="4" t="s">
        <v>69</v>
      </c>
      <c r="E42" s="5" t="s">
        <v>148</v>
      </c>
      <c r="F42" s="5" t="s">
        <v>149</v>
      </c>
      <c r="G42" s="5" t="s">
        <v>88</v>
      </c>
      <c r="H42" s="5" t="s">
        <v>73</v>
      </c>
      <c r="I42" s="5" t="s">
        <v>150</v>
      </c>
    </row>
    <row r="43" spans="1:9" x14ac:dyDescent="0.3">
      <c r="A43" s="1"/>
      <c r="B43" s="4" t="s">
        <v>67</v>
      </c>
      <c r="C43" s="4" t="s">
        <v>68</v>
      </c>
      <c r="D43" s="4" t="s">
        <v>69</v>
      </c>
      <c r="E43" s="5" t="s">
        <v>151</v>
      </c>
      <c r="F43" s="5" t="s">
        <v>152</v>
      </c>
      <c r="G43" s="5" t="s">
        <v>72</v>
      </c>
      <c r="H43" s="5" t="s">
        <v>73</v>
      </c>
      <c r="I43" s="5" t="s">
        <v>153</v>
      </c>
    </row>
    <row r="44" spans="1:9" x14ac:dyDescent="0.3">
      <c r="A44" s="1"/>
      <c r="B44" s="4" t="s">
        <v>67</v>
      </c>
      <c r="C44" s="4" t="s">
        <v>68</v>
      </c>
      <c r="D44" s="4" t="s">
        <v>69</v>
      </c>
      <c r="E44" s="5" t="s">
        <v>151</v>
      </c>
      <c r="F44" s="5" t="s">
        <v>154</v>
      </c>
      <c r="G44" s="5" t="s">
        <v>72</v>
      </c>
      <c r="H44" s="5" t="s">
        <v>73</v>
      </c>
      <c r="I44" s="5" t="s">
        <v>155</v>
      </c>
    </row>
    <row r="45" spans="1:9" x14ac:dyDescent="0.3">
      <c r="A45" s="1"/>
      <c r="B45" s="4" t="s">
        <v>67</v>
      </c>
      <c r="C45" s="4" t="s">
        <v>68</v>
      </c>
      <c r="D45" s="4" t="s">
        <v>69</v>
      </c>
      <c r="E45" s="5" t="s">
        <v>151</v>
      </c>
      <c r="F45" s="5" t="s">
        <v>154</v>
      </c>
      <c r="G45" s="5" t="s">
        <v>95</v>
      </c>
      <c r="H45" s="5" t="s">
        <v>24</v>
      </c>
      <c r="I45" s="5" t="s">
        <v>156</v>
      </c>
    </row>
    <row r="46" spans="1:9" x14ac:dyDescent="0.3">
      <c r="A46" s="1"/>
      <c r="B46" s="4" t="s">
        <v>67</v>
      </c>
      <c r="C46" s="4" t="s">
        <v>68</v>
      </c>
      <c r="D46" s="4" t="s">
        <v>69</v>
      </c>
      <c r="E46" s="5" t="s">
        <v>151</v>
      </c>
      <c r="F46" s="5" t="s">
        <v>157</v>
      </c>
      <c r="G46" s="5" t="s">
        <v>72</v>
      </c>
      <c r="H46" s="5" t="s">
        <v>73</v>
      </c>
      <c r="I46" s="5" t="s">
        <v>158</v>
      </c>
    </row>
    <row r="47" spans="1:9" x14ac:dyDescent="0.3">
      <c r="A47" s="1"/>
      <c r="B47" s="4" t="s">
        <v>67</v>
      </c>
      <c r="C47" s="4" t="s">
        <v>68</v>
      </c>
      <c r="D47" s="4" t="s">
        <v>69</v>
      </c>
      <c r="E47" s="5" t="s">
        <v>159</v>
      </c>
      <c r="F47" s="5" t="s">
        <v>160</v>
      </c>
      <c r="G47" s="5" t="s">
        <v>88</v>
      </c>
      <c r="H47" s="5" t="s">
        <v>73</v>
      </c>
      <c r="I47" s="5" t="s">
        <v>161</v>
      </c>
    </row>
    <row r="48" spans="1:9" x14ac:dyDescent="0.3">
      <c r="A48" s="1"/>
      <c r="B48" s="4" t="s">
        <v>67</v>
      </c>
      <c r="C48" s="4" t="s">
        <v>68</v>
      </c>
      <c r="D48" s="4" t="s">
        <v>69</v>
      </c>
      <c r="E48" s="5" t="s">
        <v>159</v>
      </c>
      <c r="F48" s="5" t="s">
        <v>160</v>
      </c>
      <c r="G48" s="5" t="s">
        <v>88</v>
      </c>
      <c r="H48" s="5" t="s">
        <v>73</v>
      </c>
      <c r="I48" s="5" t="s">
        <v>162</v>
      </c>
    </row>
    <row r="49" spans="1:9" x14ac:dyDescent="0.3">
      <c r="A49" s="1"/>
      <c r="B49" s="4" t="s">
        <v>67</v>
      </c>
      <c r="C49" s="4" t="s">
        <v>68</v>
      </c>
      <c r="D49" s="4" t="s">
        <v>69</v>
      </c>
      <c r="E49" s="5" t="s">
        <v>159</v>
      </c>
      <c r="F49" s="5" t="s">
        <v>160</v>
      </c>
      <c r="G49" s="5" t="s">
        <v>88</v>
      </c>
      <c r="H49" s="5" t="s">
        <v>73</v>
      </c>
      <c r="I49" s="5" t="s">
        <v>163</v>
      </c>
    </row>
    <row r="50" spans="1:9" x14ac:dyDescent="0.3">
      <c r="A50" s="1"/>
      <c r="B50" s="4" t="s">
        <v>67</v>
      </c>
      <c r="C50" s="4" t="s">
        <v>68</v>
      </c>
      <c r="D50" s="4" t="s">
        <v>69</v>
      </c>
      <c r="E50" s="5" t="s">
        <v>164</v>
      </c>
      <c r="F50" s="5" t="s">
        <v>165</v>
      </c>
      <c r="G50" s="5" t="s">
        <v>88</v>
      </c>
      <c r="H50" s="5" t="s">
        <v>73</v>
      </c>
      <c r="I50" s="5" t="s">
        <v>166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9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ht="26.4" x14ac:dyDescent="0.3">
      <c r="A7" s="1"/>
      <c r="B7" s="5" t="s">
        <v>181</v>
      </c>
      <c r="C7" s="5" t="s">
        <v>182</v>
      </c>
      <c r="D7" s="5" t="s">
        <v>73</v>
      </c>
      <c r="E7" s="4" t="s">
        <v>183</v>
      </c>
      <c r="F7" s="4" t="s">
        <v>184</v>
      </c>
      <c r="G7" s="6" t="s">
        <v>185</v>
      </c>
      <c r="H7" s="8">
        <v>17</v>
      </c>
      <c r="I7" s="5" t="s">
        <v>186</v>
      </c>
      <c r="J7" s="5" t="s">
        <v>187</v>
      </c>
      <c r="K7" s="5" t="s">
        <v>188</v>
      </c>
      <c r="L7" s="5" t="s">
        <v>189</v>
      </c>
      <c r="M7" s="8">
        <v>13417</v>
      </c>
      <c r="N7" s="5" t="s">
        <v>190</v>
      </c>
    </row>
    <row r="8" spans="1:14" ht="26.4" x14ac:dyDescent="0.3">
      <c r="A8" s="1"/>
      <c r="B8" s="5" t="s">
        <v>181</v>
      </c>
      <c r="C8" s="5" t="s">
        <v>182</v>
      </c>
      <c r="D8" s="5" t="s">
        <v>73</v>
      </c>
      <c r="E8" s="4" t="s">
        <v>183</v>
      </c>
      <c r="F8" s="4" t="s">
        <v>184</v>
      </c>
      <c r="G8" s="6" t="s">
        <v>191</v>
      </c>
      <c r="H8" s="8">
        <v>17</v>
      </c>
      <c r="I8" s="5" t="s">
        <v>186</v>
      </c>
      <c r="J8" s="5" t="s">
        <v>187</v>
      </c>
      <c r="K8" s="5" t="s">
        <v>188</v>
      </c>
      <c r="L8" s="5" t="s">
        <v>189</v>
      </c>
      <c r="M8" s="8">
        <v>13417</v>
      </c>
      <c r="N8" s="5" t="s">
        <v>190</v>
      </c>
    </row>
    <row r="9" spans="1:14" x14ac:dyDescent="0.3">
      <c r="A9" s="1"/>
      <c r="B9" s="5" t="s">
        <v>192</v>
      </c>
      <c r="C9" s="5" t="s">
        <v>193</v>
      </c>
      <c r="D9" s="5" t="s">
        <v>73</v>
      </c>
      <c r="E9" s="4" t="s">
        <v>183</v>
      </c>
      <c r="F9" s="4" t="s">
        <v>184</v>
      </c>
      <c r="G9" s="6" t="s">
        <v>194</v>
      </c>
      <c r="H9" s="8">
        <v>8.15</v>
      </c>
      <c r="I9" s="5" t="s">
        <v>186</v>
      </c>
      <c r="J9" s="5" t="s">
        <v>187</v>
      </c>
      <c r="K9" s="5" t="s">
        <v>188</v>
      </c>
      <c r="L9" s="5" t="s">
        <v>195</v>
      </c>
      <c r="M9" s="8">
        <v>19865</v>
      </c>
      <c r="N9" s="5" t="s">
        <v>190</v>
      </c>
    </row>
    <row r="10" spans="1:14" x14ac:dyDescent="0.3">
      <c r="A10" s="1"/>
      <c r="B10" s="5" t="s">
        <v>196</v>
      </c>
      <c r="C10" s="5" t="s">
        <v>197</v>
      </c>
      <c r="D10" s="5" t="s">
        <v>198</v>
      </c>
      <c r="E10" s="4" t="s">
        <v>199</v>
      </c>
      <c r="F10" s="4" t="s">
        <v>200</v>
      </c>
      <c r="G10" s="6" t="s">
        <v>201</v>
      </c>
      <c r="H10" s="8">
        <v>0</v>
      </c>
      <c r="I10" s="5" t="s">
        <v>186</v>
      </c>
      <c r="J10" s="5" t="s">
        <v>202</v>
      </c>
      <c r="K10" s="5" t="s">
        <v>188</v>
      </c>
      <c r="L10" s="5" t="s">
        <v>195</v>
      </c>
      <c r="M10" s="8">
        <v>13652</v>
      </c>
      <c r="N10" s="5" t="s">
        <v>203</v>
      </c>
    </row>
    <row r="11" spans="1:14" ht="26.4" x14ac:dyDescent="0.3">
      <c r="A11" s="1"/>
      <c r="B11" s="5" t="s">
        <v>196</v>
      </c>
      <c r="C11" s="5" t="s">
        <v>204</v>
      </c>
      <c r="D11" s="5" t="s">
        <v>205</v>
      </c>
      <c r="E11" s="4" t="s">
        <v>183</v>
      </c>
      <c r="F11" s="4" t="s">
        <v>184</v>
      </c>
      <c r="G11" s="6" t="s">
        <v>206</v>
      </c>
      <c r="H11" s="8">
        <v>0</v>
      </c>
      <c r="I11" s="5" t="s">
        <v>186</v>
      </c>
      <c r="J11" s="5" t="s">
        <v>202</v>
      </c>
      <c r="K11" s="5" t="s">
        <v>188</v>
      </c>
      <c r="L11" s="5" t="s">
        <v>189</v>
      </c>
      <c r="M11" s="8">
        <v>13761</v>
      </c>
      <c r="N11" s="5" t="s">
        <v>203</v>
      </c>
    </row>
    <row r="12" spans="1:14" x14ac:dyDescent="0.3">
      <c r="A12" s="1"/>
      <c r="B12" s="5" t="s">
        <v>196</v>
      </c>
      <c r="C12" s="5" t="s">
        <v>207</v>
      </c>
      <c r="D12" s="5" t="s">
        <v>208</v>
      </c>
      <c r="E12" s="4" t="s">
        <v>183</v>
      </c>
      <c r="F12" s="4" t="s">
        <v>184</v>
      </c>
      <c r="G12" s="6" t="s">
        <v>209</v>
      </c>
      <c r="H12" s="8">
        <v>0</v>
      </c>
      <c r="I12" s="5" t="s">
        <v>186</v>
      </c>
      <c r="J12" s="5" t="s">
        <v>187</v>
      </c>
      <c r="K12" s="5" t="s">
        <v>188</v>
      </c>
      <c r="L12" s="5" t="s">
        <v>189</v>
      </c>
      <c r="M12" s="8">
        <v>13771</v>
      </c>
      <c r="N12" s="5" t="s">
        <v>203</v>
      </c>
    </row>
    <row r="13" spans="1:14" ht="26.4" x14ac:dyDescent="0.3">
      <c r="A13" s="1"/>
      <c r="B13" s="5" t="s">
        <v>196</v>
      </c>
      <c r="C13" s="5" t="s">
        <v>207</v>
      </c>
      <c r="D13" s="5" t="s">
        <v>210</v>
      </c>
      <c r="E13" s="4" t="s">
        <v>211</v>
      </c>
      <c r="F13" s="4" t="s">
        <v>212</v>
      </c>
      <c r="G13" s="6" t="s">
        <v>213</v>
      </c>
      <c r="H13" s="8">
        <v>0</v>
      </c>
      <c r="I13" s="5" t="s">
        <v>186</v>
      </c>
      <c r="J13" s="5" t="s">
        <v>187</v>
      </c>
      <c r="K13" s="5" t="s">
        <v>188</v>
      </c>
      <c r="L13" s="5" t="s">
        <v>214</v>
      </c>
      <c r="M13" s="8">
        <v>13797</v>
      </c>
      <c r="N13" s="5" t="s">
        <v>203</v>
      </c>
    </row>
    <row r="14" spans="1:14" ht="26.4" x14ac:dyDescent="0.3">
      <c r="A14" s="1"/>
      <c r="B14" s="5" t="s">
        <v>196</v>
      </c>
      <c r="C14" s="5" t="s">
        <v>207</v>
      </c>
      <c r="D14" s="5" t="s">
        <v>215</v>
      </c>
      <c r="E14" s="4" t="s">
        <v>211</v>
      </c>
      <c r="F14" s="4" t="s">
        <v>212</v>
      </c>
      <c r="G14" s="6" t="s">
        <v>216</v>
      </c>
      <c r="H14" s="8">
        <v>0</v>
      </c>
      <c r="I14" s="5" t="s">
        <v>186</v>
      </c>
      <c r="J14" s="5" t="s">
        <v>187</v>
      </c>
      <c r="K14" s="5" t="s">
        <v>188</v>
      </c>
      <c r="L14" s="5" t="s">
        <v>214</v>
      </c>
      <c r="M14" s="8">
        <v>13861</v>
      </c>
      <c r="N14" s="5" t="s">
        <v>203</v>
      </c>
    </row>
    <row r="15" spans="1:14" x14ac:dyDescent="0.3">
      <c r="A15" s="1"/>
      <c r="B15" s="5" t="s">
        <v>196</v>
      </c>
      <c r="C15" s="5" t="s">
        <v>207</v>
      </c>
      <c r="D15" s="5" t="s">
        <v>217</v>
      </c>
      <c r="E15" s="4" t="s">
        <v>218</v>
      </c>
      <c r="F15" s="4" t="s">
        <v>219</v>
      </c>
      <c r="G15" s="6" t="s">
        <v>220</v>
      </c>
      <c r="H15" s="8">
        <v>0</v>
      </c>
      <c r="I15" s="5" t="s">
        <v>186</v>
      </c>
      <c r="J15" s="5" t="s">
        <v>187</v>
      </c>
      <c r="K15" s="5" t="s">
        <v>188</v>
      </c>
      <c r="L15" s="5" t="s">
        <v>195</v>
      </c>
      <c r="M15" s="8">
        <v>13864</v>
      </c>
      <c r="N15" s="5" t="s">
        <v>203</v>
      </c>
    </row>
    <row r="16" spans="1:14" ht="26.4" x14ac:dyDescent="0.3">
      <c r="A16" s="1"/>
      <c r="B16" s="5" t="s">
        <v>196</v>
      </c>
      <c r="C16" s="5" t="s">
        <v>221</v>
      </c>
      <c r="D16" s="5" t="s">
        <v>222</v>
      </c>
      <c r="E16" s="4" t="s">
        <v>223</v>
      </c>
      <c r="F16" s="4" t="s">
        <v>224</v>
      </c>
      <c r="G16" s="6" t="s">
        <v>225</v>
      </c>
      <c r="H16" s="8">
        <v>0</v>
      </c>
      <c r="I16" s="5" t="s">
        <v>186</v>
      </c>
      <c r="J16" s="5" t="s">
        <v>187</v>
      </c>
      <c r="K16" s="5" t="s">
        <v>188</v>
      </c>
      <c r="L16" s="5" t="s">
        <v>195</v>
      </c>
      <c r="M16" s="8">
        <v>14962</v>
      </c>
      <c r="N16" s="5" t="s">
        <v>203</v>
      </c>
    </row>
    <row r="17" spans="1:14" x14ac:dyDescent="0.3">
      <c r="A17" s="1"/>
      <c r="B17" s="5" t="s">
        <v>226</v>
      </c>
      <c r="C17" s="5" t="s">
        <v>227</v>
      </c>
      <c r="D17" s="5" t="s">
        <v>228</v>
      </c>
      <c r="E17" s="4" t="s">
        <v>229</v>
      </c>
      <c r="F17" s="4" t="s">
        <v>230</v>
      </c>
      <c r="G17" s="6" t="s">
        <v>231</v>
      </c>
      <c r="H17" s="8">
        <v>0</v>
      </c>
      <c r="I17" s="5" t="s">
        <v>186</v>
      </c>
      <c r="J17" s="5" t="s">
        <v>202</v>
      </c>
      <c r="K17" s="5" t="s">
        <v>188</v>
      </c>
      <c r="L17" s="5" t="s">
        <v>195</v>
      </c>
      <c r="M17" s="8">
        <v>14930</v>
      </c>
      <c r="N17" s="5" t="s">
        <v>203</v>
      </c>
    </row>
    <row r="18" spans="1:14" x14ac:dyDescent="0.3">
      <c r="A18" s="1"/>
      <c r="B18" s="5" t="s">
        <v>226</v>
      </c>
      <c r="C18" s="5" t="s">
        <v>227</v>
      </c>
      <c r="D18" s="5" t="s">
        <v>232</v>
      </c>
      <c r="E18" s="4" t="s">
        <v>229</v>
      </c>
      <c r="F18" s="4" t="s">
        <v>230</v>
      </c>
      <c r="G18" s="6" t="s">
        <v>231</v>
      </c>
      <c r="H18" s="8">
        <v>0</v>
      </c>
      <c r="I18" s="5" t="s">
        <v>186</v>
      </c>
      <c r="J18" s="5" t="s">
        <v>202</v>
      </c>
      <c r="K18" s="5" t="s">
        <v>188</v>
      </c>
      <c r="L18" s="5" t="s">
        <v>195</v>
      </c>
      <c r="M18" s="8">
        <v>14929</v>
      </c>
      <c r="N18" s="5" t="s">
        <v>203</v>
      </c>
    </row>
    <row r="19" spans="1:14" x14ac:dyDescent="0.3">
      <c r="A19" s="1"/>
      <c r="B19" s="5" t="s">
        <v>233</v>
      </c>
      <c r="C19" s="5" t="s">
        <v>234</v>
      </c>
      <c r="D19" s="5" t="s">
        <v>73</v>
      </c>
      <c r="E19" s="4" t="s">
        <v>183</v>
      </c>
      <c r="F19" s="4" t="s">
        <v>184</v>
      </c>
      <c r="G19" s="6" t="s">
        <v>235</v>
      </c>
      <c r="H19" s="8">
        <v>25</v>
      </c>
      <c r="I19" s="5" t="s">
        <v>236</v>
      </c>
      <c r="J19" s="5" t="s">
        <v>187</v>
      </c>
      <c r="K19" s="5" t="s">
        <v>188</v>
      </c>
      <c r="L19" s="5" t="s">
        <v>189</v>
      </c>
      <c r="M19" s="8">
        <v>26890</v>
      </c>
      <c r="N19" s="5" t="s">
        <v>190</v>
      </c>
    </row>
    <row r="20" spans="1:14" x14ac:dyDescent="0.3">
      <c r="A20" s="1"/>
      <c r="B20" s="5" t="s">
        <v>21</v>
      </c>
      <c r="C20" s="5" t="s">
        <v>22</v>
      </c>
      <c r="D20" s="5" t="s">
        <v>24</v>
      </c>
      <c r="E20" s="4" t="s">
        <v>237</v>
      </c>
      <c r="F20" s="4" t="s">
        <v>238</v>
      </c>
      <c r="G20" s="6" t="s">
        <v>239</v>
      </c>
      <c r="H20" s="8">
        <v>7.55</v>
      </c>
      <c r="I20" s="5" t="s">
        <v>186</v>
      </c>
      <c r="J20" s="5" t="s">
        <v>187</v>
      </c>
      <c r="K20" s="5" t="s">
        <v>188</v>
      </c>
      <c r="L20" s="5" t="s">
        <v>240</v>
      </c>
      <c r="M20" s="8">
        <v>20668</v>
      </c>
      <c r="N20" s="5" t="s">
        <v>190</v>
      </c>
    </row>
    <row r="21" spans="1:14" x14ac:dyDescent="0.3">
      <c r="A21" s="1"/>
      <c r="B21" s="5" t="s">
        <v>21</v>
      </c>
      <c r="C21" s="5" t="s">
        <v>22</v>
      </c>
      <c r="D21" s="5" t="s">
        <v>24</v>
      </c>
      <c r="E21" s="4" t="s">
        <v>238</v>
      </c>
      <c r="F21" s="4" t="s">
        <v>241</v>
      </c>
      <c r="G21" s="6" t="s">
        <v>242</v>
      </c>
      <c r="H21" s="8">
        <v>0</v>
      </c>
      <c r="I21" s="5" t="s">
        <v>236</v>
      </c>
      <c r="J21" s="5" t="s">
        <v>202</v>
      </c>
      <c r="K21" s="5" t="s">
        <v>188</v>
      </c>
      <c r="L21" s="5" t="s">
        <v>243</v>
      </c>
      <c r="M21" s="8">
        <v>20668</v>
      </c>
      <c r="N21" s="5" t="s">
        <v>190</v>
      </c>
    </row>
    <row r="22" spans="1:14" ht="26.4" x14ac:dyDescent="0.3">
      <c r="A22" s="1"/>
      <c r="B22" s="5" t="s">
        <v>244</v>
      </c>
      <c r="C22" s="5" t="s">
        <v>245</v>
      </c>
      <c r="D22" s="5" t="s">
        <v>246</v>
      </c>
      <c r="E22" s="4" t="s">
        <v>247</v>
      </c>
      <c r="F22" s="4" t="s">
        <v>248</v>
      </c>
      <c r="G22" s="6" t="s">
        <v>249</v>
      </c>
      <c r="H22" s="8">
        <v>0</v>
      </c>
      <c r="I22" s="5" t="s">
        <v>186</v>
      </c>
      <c r="J22" s="5" t="s">
        <v>187</v>
      </c>
      <c r="K22" s="5" t="s">
        <v>188</v>
      </c>
      <c r="L22" s="5" t="s">
        <v>240</v>
      </c>
      <c r="M22" s="8">
        <v>8830</v>
      </c>
      <c r="N22" s="5" t="s">
        <v>203</v>
      </c>
    </row>
    <row r="23" spans="1:14" x14ac:dyDescent="0.3">
      <c r="A23" s="1"/>
      <c r="B23" s="5" t="s">
        <v>250</v>
      </c>
      <c r="C23" s="5" t="s">
        <v>251</v>
      </c>
      <c r="D23" s="5" t="s">
        <v>252</v>
      </c>
      <c r="E23" s="4" t="s">
        <v>183</v>
      </c>
      <c r="F23" s="4" t="s">
        <v>184</v>
      </c>
      <c r="G23" s="6" t="s">
        <v>253</v>
      </c>
      <c r="H23" s="8">
        <v>0</v>
      </c>
      <c r="I23" s="5" t="s">
        <v>186</v>
      </c>
      <c r="J23" s="5" t="s">
        <v>202</v>
      </c>
      <c r="K23" s="5" t="s">
        <v>188</v>
      </c>
      <c r="L23" s="5" t="s">
        <v>189</v>
      </c>
      <c r="M23" s="8">
        <v>1337</v>
      </c>
      <c r="N23" s="5" t="s">
        <v>203</v>
      </c>
    </row>
    <row r="24" spans="1:14" x14ac:dyDescent="0.3">
      <c r="A24" s="1"/>
      <c r="B24" s="5" t="s">
        <v>250</v>
      </c>
      <c r="C24" s="5" t="s">
        <v>251</v>
      </c>
      <c r="D24" s="5" t="s">
        <v>254</v>
      </c>
      <c r="E24" s="4" t="s">
        <v>183</v>
      </c>
      <c r="F24" s="4" t="s">
        <v>184</v>
      </c>
      <c r="G24" s="6" t="s">
        <v>255</v>
      </c>
      <c r="H24" s="8">
        <v>0</v>
      </c>
      <c r="I24" s="5" t="s">
        <v>236</v>
      </c>
      <c r="J24" s="5" t="s">
        <v>202</v>
      </c>
      <c r="K24" s="5" t="s">
        <v>188</v>
      </c>
      <c r="L24" s="5" t="s">
        <v>189</v>
      </c>
      <c r="M24" s="8">
        <v>316</v>
      </c>
      <c r="N24" s="5" t="s">
        <v>203</v>
      </c>
    </row>
    <row r="25" spans="1:14" ht="26.4" x14ac:dyDescent="0.3">
      <c r="A25" s="1"/>
      <c r="B25" s="5" t="s">
        <v>75</v>
      </c>
      <c r="C25" s="5" t="s">
        <v>256</v>
      </c>
      <c r="D25" s="5" t="s">
        <v>257</v>
      </c>
      <c r="E25" s="4" t="s">
        <v>183</v>
      </c>
      <c r="F25" s="4" t="s">
        <v>184</v>
      </c>
      <c r="G25" s="6" t="s">
        <v>258</v>
      </c>
      <c r="H25" s="8">
        <v>0</v>
      </c>
      <c r="I25" s="5" t="s">
        <v>186</v>
      </c>
      <c r="J25" s="5" t="s">
        <v>202</v>
      </c>
      <c r="K25" s="5" t="s">
        <v>188</v>
      </c>
      <c r="L25" s="5" t="s">
        <v>189</v>
      </c>
      <c r="M25" s="8">
        <v>11052</v>
      </c>
      <c r="N25" s="5" t="s">
        <v>203</v>
      </c>
    </row>
    <row r="26" spans="1:14" x14ac:dyDescent="0.3">
      <c r="A26" s="1"/>
      <c r="B26" s="5" t="s">
        <v>28</v>
      </c>
      <c r="C26" s="5" t="s">
        <v>259</v>
      </c>
      <c r="D26" s="5" t="s">
        <v>260</v>
      </c>
      <c r="E26" s="4" t="s">
        <v>183</v>
      </c>
      <c r="F26" s="4" t="s">
        <v>184</v>
      </c>
      <c r="G26" s="6" t="s">
        <v>261</v>
      </c>
      <c r="H26" s="8">
        <v>0</v>
      </c>
      <c r="I26" s="5" t="s">
        <v>186</v>
      </c>
      <c r="J26" s="5" t="s">
        <v>202</v>
      </c>
      <c r="K26" s="5" t="s">
        <v>188</v>
      </c>
      <c r="L26" s="5" t="s">
        <v>189</v>
      </c>
      <c r="M26" s="8">
        <v>19961</v>
      </c>
      <c r="N26" s="5" t="s">
        <v>203</v>
      </c>
    </row>
    <row r="27" spans="1:14" x14ac:dyDescent="0.3">
      <c r="A27" s="1"/>
      <c r="B27" s="5" t="s">
        <v>28</v>
      </c>
      <c r="C27" s="5" t="s">
        <v>29</v>
      </c>
      <c r="D27" s="5" t="s">
        <v>262</v>
      </c>
      <c r="E27" s="4" t="s">
        <v>183</v>
      </c>
      <c r="F27" s="4" t="s">
        <v>184</v>
      </c>
      <c r="G27" s="6" t="s">
        <v>263</v>
      </c>
      <c r="H27" s="8">
        <v>0</v>
      </c>
      <c r="I27" s="5" t="s">
        <v>186</v>
      </c>
      <c r="J27" s="5" t="s">
        <v>187</v>
      </c>
      <c r="K27" s="5" t="s">
        <v>188</v>
      </c>
      <c r="L27" s="5" t="s">
        <v>240</v>
      </c>
      <c r="M27" s="8">
        <v>12592</v>
      </c>
      <c r="N27" s="5" t="s">
        <v>203</v>
      </c>
    </row>
    <row r="28" spans="1:14" ht="26.4" x14ac:dyDescent="0.3">
      <c r="A28" s="1"/>
      <c r="B28" s="5" t="s">
        <v>28</v>
      </c>
      <c r="C28" s="5" t="s">
        <v>29</v>
      </c>
      <c r="D28" s="5" t="s">
        <v>31</v>
      </c>
      <c r="E28" s="4" t="s">
        <v>264</v>
      </c>
      <c r="F28" s="4" t="s">
        <v>265</v>
      </c>
      <c r="G28" s="6" t="s">
        <v>266</v>
      </c>
      <c r="H28" s="8">
        <v>5.7320000000000002</v>
      </c>
      <c r="I28" s="5" t="s">
        <v>236</v>
      </c>
      <c r="J28" s="5" t="s">
        <v>187</v>
      </c>
      <c r="K28" s="5" t="s">
        <v>188</v>
      </c>
      <c r="L28" s="5" t="s">
        <v>189</v>
      </c>
      <c r="M28" s="8">
        <v>12779</v>
      </c>
      <c r="N28" s="5" t="s">
        <v>190</v>
      </c>
    </row>
    <row r="29" spans="1:14" x14ac:dyDescent="0.3">
      <c r="A29" s="1"/>
      <c r="B29" s="5" t="s">
        <v>28</v>
      </c>
      <c r="C29" s="5" t="s">
        <v>29</v>
      </c>
      <c r="D29" s="5" t="s">
        <v>31</v>
      </c>
      <c r="E29" s="4" t="s">
        <v>265</v>
      </c>
      <c r="F29" s="4" t="s">
        <v>267</v>
      </c>
      <c r="G29" s="6" t="s">
        <v>268</v>
      </c>
      <c r="H29" s="8">
        <v>0</v>
      </c>
      <c r="I29" s="5" t="s">
        <v>236</v>
      </c>
      <c r="J29" s="5" t="s">
        <v>202</v>
      </c>
      <c r="K29" s="5" t="s">
        <v>188</v>
      </c>
      <c r="L29" s="5" t="s">
        <v>243</v>
      </c>
      <c r="M29" s="8">
        <v>12779</v>
      </c>
      <c r="N29" s="5" t="s">
        <v>190</v>
      </c>
    </row>
    <row r="30" spans="1:14" ht="26.4" x14ac:dyDescent="0.3">
      <c r="A30" s="1"/>
      <c r="B30" s="5" t="s">
        <v>28</v>
      </c>
      <c r="C30" s="5" t="s">
        <v>29</v>
      </c>
      <c r="D30" s="5" t="s">
        <v>31</v>
      </c>
      <c r="E30" s="4" t="s">
        <v>267</v>
      </c>
      <c r="F30" s="4" t="s">
        <v>184</v>
      </c>
      <c r="G30" s="6" t="s">
        <v>269</v>
      </c>
      <c r="H30" s="8">
        <v>5.7320000000000002</v>
      </c>
      <c r="I30" s="5" t="s">
        <v>236</v>
      </c>
      <c r="J30" s="5" t="s">
        <v>187</v>
      </c>
      <c r="K30" s="5" t="s">
        <v>188</v>
      </c>
      <c r="L30" s="5" t="s">
        <v>240</v>
      </c>
      <c r="M30" s="8">
        <v>12779</v>
      </c>
      <c r="N30" s="5" t="s">
        <v>190</v>
      </c>
    </row>
    <row r="31" spans="1:14" x14ac:dyDescent="0.3">
      <c r="A31" s="1"/>
      <c r="B31" s="5" t="s">
        <v>80</v>
      </c>
      <c r="C31" s="5" t="s">
        <v>270</v>
      </c>
      <c r="D31" s="5" t="s">
        <v>271</v>
      </c>
      <c r="E31" s="4" t="s">
        <v>183</v>
      </c>
      <c r="F31" s="4" t="s">
        <v>184</v>
      </c>
      <c r="G31" s="6" t="s">
        <v>272</v>
      </c>
      <c r="H31" s="8">
        <v>0</v>
      </c>
      <c r="I31" s="5" t="s">
        <v>186</v>
      </c>
      <c r="J31" s="5" t="s">
        <v>202</v>
      </c>
      <c r="K31" s="5" t="s">
        <v>188</v>
      </c>
      <c r="L31" s="5" t="s">
        <v>195</v>
      </c>
      <c r="M31" s="8">
        <v>544</v>
      </c>
      <c r="N31" s="5" t="s">
        <v>203</v>
      </c>
    </row>
    <row r="32" spans="1:14" x14ac:dyDescent="0.3">
      <c r="A32" s="1"/>
      <c r="B32" s="5" t="s">
        <v>80</v>
      </c>
      <c r="C32" s="5" t="s">
        <v>273</v>
      </c>
      <c r="D32" s="5" t="s">
        <v>274</v>
      </c>
      <c r="E32" s="4" t="s">
        <v>275</v>
      </c>
      <c r="F32" s="4" t="s">
        <v>276</v>
      </c>
      <c r="G32" s="6" t="s">
        <v>277</v>
      </c>
      <c r="H32" s="8">
        <v>100</v>
      </c>
      <c r="I32" s="5" t="s">
        <v>186</v>
      </c>
      <c r="J32" s="5" t="s">
        <v>187</v>
      </c>
      <c r="K32" s="5" t="s">
        <v>188</v>
      </c>
      <c r="L32" s="5" t="s">
        <v>195</v>
      </c>
      <c r="M32" s="8">
        <v>4</v>
      </c>
      <c r="N32" s="5" t="s">
        <v>190</v>
      </c>
    </row>
    <row r="33" spans="1:14" x14ac:dyDescent="0.3">
      <c r="A33" s="1"/>
      <c r="B33" s="5" t="s">
        <v>278</v>
      </c>
      <c r="C33" s="5" t="s">
        <v>279</v>
      </c>
      <c r="D33" s="5" t="s">
        <v>280</v>
      </c>
      <c r="E33" s="4" t="s">
        <v>183</v>
      </c>
      <c r="F33" s="4" t="s">
        <v>184</v>
      </c>
      <c r="G33" s="6" t="s">
        <v>281</v>
      </c>
      <c r="H33" s="8">
        <v>2.5070000000000001</v>
      </c>
      <c r="I33" s="5" t="s">
        <v>186</v>
      </c>
      <c r="J33" s="5" t="s">
        <v>187</v>
      </c>
      <c r="K33" s="5" t="s">
        <v>188</v>
      </c>
      <c r="L33" s="5" t="s">
        <v>195</v>
      </c>
      <c r="M33" s="8">
        <v>14793</v>
      </c>
      <c r="N33" s="5" t="s">
        <v>190</v>
      </c>
    </row>
    <row r="34" spans="1:14" x14ac:dyDescent="0.3">
      <c r="A34" s="1"/>
      <c r="B34" s="5" t="s">
        <v>83</v>
      </c>
      <c r="C34" s="5" t="s">
        <v>282</v>
      </c>
      <c r="D34" s="5" t="s">
        <v>283</v>
      </c>
      <c r="E34" s="4" t="s">
        <v>183</v>
      </c>
      <c r="F34" s="4" t="s">
        <v>184</v>
      </c>
      <c r="G34" s="6" t="s">
        <v>284</v>
      </c>
      <c r="H34" s="8">
        <v>235</v>
      </c>
      <c r="I34" s="5" t="s">
        <v>186</v>
      </c>
      <c r="J34" s="5" t="s">
        <v>187</v>
      </c>
      <c r="K34" s="5" t="s">
        <v>188</v>
      </c>
      <c r="L34" s="5" t="s">
        <v>195</v>
      </c>
      <c r="M34" s="8">
        <v>15583</v>
      </c>
      <c r="N34" s="5" t="s">
        <v>203</v>
      </c>
    </row>
    <row r="35" spans="1:14" x14ac:dyDescent="0.3">
      <c r="A35" s="1"/>
      <c r="B35" s="5" t="s">
        <v>83</v>
      </c>
      <c r="C35" s="5" t="s">
        <v>282</v>
      </c>
      <c r="D35" s="5" t="s">
        <v>110</v>
      </c>
      <c r="E35" s="4" t="s">
        <v>183</v>
      </c>
      <c r="F35" s="4" t="s">
        <v>184</v>
      </c>
      <c r="G35" s="6" t="s">
        <v>285</v>
      </c>
      <c r="H35" s="8">
        <v>235</v>
      </c>
      <c r="I35" s="5" t="s">
        <v>186</v>
      </c>
      <c r="J35" s="5" t="s">
        <v>187</v>
      </c>
      <c r="K35" s="5" t="s">
        <v>188</v>
      </c>
      <c r="L35" s="5" t="s">
        <v>195</v>
      </c>
      <c r="M35" s="8">
        <v>14972</v>
      </c>
      <c r="N35" s="5" t="s">
        <v>190</v>
      </c>
    </row>
    <row r="36" spans="1:14" x14ac:dyDescent="0.3">
      <c r="A36" s="1"/>
      <c r="B36" s="5" t="s">
        <v>286</v>
      </c>
      <c r="C36" s="5" t="s">
        <v>287</v>
      </c>
      <c r="D36" s="5" t="s">
        <v>288</v>
      </c>
      <c r="E36" s="4" t="s">
        <v>183</v>
      </c>
      <c r="F36" s="4" t="s">
        <v>184</v>
      </c>
      <c r="G36" s="6" t="s">
        <v>289</v>
      </c>
      <c r="H36" s="8">
        <v>47</v>
      </c>
      <c r="I36" s="5" t="s">
        <v>186</v>
      </c>
      <c r="J36" s="5" t="s">
        <v>187</v>
      </c>
      <c r="K36" s="5" t="s">
        <v>188</v>
      </c>
      <c r="L36" s="5" t="s">
        <v>195</v>
      </c>
      <c r="M36" s="8">
        <v>14007</v>
      </c>
      <c r="N36" s="5" t="s">
        <v>190</v>
      </c>
    </row>
    <row r="37" spans="1:14" x14ac:dyDescent="0.3">
      <c r="A37" s="1"/>
      <c r="B37" s="5" t="s">
        <v>286</v>
      </c>
      <c r="C37" s="5" t="s">
        <v>287</v>
      </c>
      <c r="D37" s="5" t="s">
        <v>73</v>
      </c>
      <c r="E37" s="4" t="s">
        <v>211</v>
      </c>
      <c r="F37" s="4" t="s">
        <v>290</v>
      </c>
      <c r="G37" s="6" t="s">
        <v>291</v>
      </c>
      <c r="H37" s="8">
        <v>94</v>
      </c>
      <c r="I37" s="5" t="s">
        <v>186</v>
      </c>
      <c r="J37" s="5" t="s">
        <v>187</v>
      </c>
      <c r="K37" s="5" t="s">
        <v>188</v>
      </c>
      <c r="L37" s="5" t="s">
        <v>195</v>
      </c>
      <c r="M37" s="8">
        <v>14005</v>
      </c>
      <c r="N37" s="5" t="s">
        <v>190</v>
      </c>
    </row>
    <row r="38" spans="1:14" ht="26.4" x14ac:dyDescent="0.3">
      <c r="A38" s="1"/>
      <c r="B38" s="5" t="s">
        <v>286</v>
      </c>
      <c r="C38" s="5" t="s">
        <v>287</v>
      </c>
      <c r="D38" s="5" t="s">
        <v>254</v>
      </c>
      <c r="E38" s="4" t="s">
        <v>292</v>
      </c>
      <c r="F38" s="4" t="s">
        <v>290</v>
      </c>
      <c r="G38" s="6" t="s">
        <v>293</v>
      </c>
      <c r="H38" s="8">
        <v>94</v>
      </c>
      <c r="I38" s="5" t="s">
        <v>186</v>
      </c>
      <c r="J38" s="5" t="s">
        <v>187</v>
      </c>
      <c r="K38" s="5" t="s">
        <v>188</v>
      </c>
      <c r="L38" s="5" t="s">
        <v>195</v>
      </c>
      <c r="M38" s="8">
        <v>13677</v>
      </c>
      <c r="N38" s="5" t="s">
        <v>203</v>
      </c>
    </row>
    <row r="39" spans="1:14" x14ac:dyDescent="0.3">
      <c r="A39" s="1"/>
      <c r="B39" s="5" t="s">
        <v>286</v>
      </c>
      <c r="C39" s="5" t="s">
        <v>287</v>
      </c>
      <c r="D39" s="5" t="s">
        <v>294</v>
      </c>
      <c r="E39" s="4" t="s">
        <v>292</v>
      </c>
      <c r="F39" s="4" t="s">
        <v>290</v>
      </c>
      <c r="G39" s="6" t="s">
        <v>295</v>
      </c>
      <c r="H39" s="8">
        <v>94</v>
      </c>
      <c r="I39" s="5" t="s">
        <v>186</v>
      </c>
      <c r="J39" s="5" t="s">
        <v>187</v>
      </c>
      <c r="K39" s="5" t="s">
        <v>188</v>
      </c>
      <c r="L39" s="5" t="s">
        <v>195</v>
      </c>
      <c r="M39" s="8">
        <v>18361</v>
      </c>
      <c r="N39" s="5" t="s">
        <v>203</v>
      </c>
    </row>
    <row r="40" spans="1:14" x14ac:dyDescent="0.3">
      <c r="A40" s="1"/>
      <c r="B40" s="5" t="s">
        <v>86</v>
      </c>
      <c r="C40" s="5" t="s">
        <v>296</v>
      </c>
      <c r="D40" s="5" t="s">
        <v>297</v>
      </c>
      <c r="E40" s="4" t="s">
        <v>183</v>
      </c>
      <c r="F40" s="4" t="s">
        <v>298</v>
      </c>
      <c r="G40" s="6" t="s">
        <v>299</v>
      </c>
      <c r="H40" s="8">
        <v>0</v>
      </c>
      <c r="I40" s="5" t="s">
        <v>236</v>
      </c>
      <c r="J40" s="5" t="s">
        <v>187</v>
      </c>
      <c r="K40" s="5" t="s">
        <v>188</v>
      </c>
      <c r="L40" s="5" t="s">
        <v>240</v>
      </c>
      <c r="M40" s="8">
        <v>13555</v>
      </c>
      <c r="N40" s="5" t="s">
        <v>190</v>
      </c>
    </row>
    <row r="41" spans="1:14" x14ac:dyDescent="0.3">
      <c r="A41" s="1"/>
      <c r="B41" s="5" t="s">
        <v>86</v>
      </c>
      <c r="C41" s="5" t="s">
        <v>296</v>
      </c>
      <c r="D41" s="5" t="s">
        <v>297</v>
      </c>
      <c r="E41" s="4" t="s">
        <v>224</v>
      </c>
      <c r="F41" s="4" t="s">
        <v>300</v>
      </c>
      <c r="G41" s="6" t="s">
        <v>301</v>
      </c>
      <c r="H41" s="8">
        <v>0</v>
      </c>
      <c r="I41" s="5" t="s">
        <v>186</v>
      </c>
      <c r="J41" s="5" t="s">
        <v>187</v>
      </c>
      <c r="K41" s="5" t="s">
        <v>188</v>
      </c>
      <c r="L41" s="5" t="s">
        <v>243</v>
      </c>
      <c r="M41" s="8">
        <v>13555</v>
      </c>
      <c r="N41" s="5" t="s">
        <v>190</v>
      </c>
    </row>
    <row r="42" spans="1:14" ht="39.6" x14ac:dyDescent="0.3">
      <c r="A42" s="1"/>
      <c r="B42" s="5" t="s">
        <v>93</v>
      </c>
      <c r="C42" s="5" t="s">
        <v>302</v>
      </c>
      <c r="D42" s="5" t="s">
        <v>303</v>
      </c>
      <c r="E42" s="4" t="s">
        <v>304</v>
      </c>
      <c r="F42" s="4" t="s">
        <v>305</v>
      </c>
      <c r="G42" s="6" t="s">
        <v>306</v>
      </c>
      <c r="H42" s="8">
        <v>0</v>
      </c>
      <c r="I42" s="5" t="s">
        <v>186</v>
      </c>
      <c r="J42" s="5" t="s">
        <v>187</v>
      </c>
      <c r="K42" s="5" t="s">
        <v>188</v>
      </c>
      <c r="L42" s="5" t="s">
        <v>195</v>
      </c>
      <c r="M42" s="8">
        <v>11304</v>
      </c>
      <c r="N42" s="5" t="s">
        <v>203</v>
      </c>
    </row>
    <row r="43" spans="1:14" ht="39.6" x14ac:dyDescent="0.3">
      <c r="A43" s="1"/>
      <c r="B43" s="5" t="s">
        <v>93</v>
      </c>
      <c r="C43" s="5" t="s">
        <v>307</v>
      </c>
      <c r="D43" s="5" t="s">
        <v>308</v>
      </c>
      <c r="E43" s="4" t="s">
        <v>309</v>
      </c>
      <c r="F43" s="4" t="s">
        <v>310</v>
      </c>
      <c r="G43" s="6" t="s">
        <v>311</v>
      </c>
      <c r="H43" s="8">
        <v>0</v>
      </c>
      <c r="I43" s="5" t="s">
        <v>186</v>
      </c>
      <c r="J43" s="5" t="s">
        <v>202</v>
      </c>
      <c r="K43" s="5" t="s">
        <v>188</v>
      </c>
      <c r="L43" s="5" t="s">
        <v>195</v>
      </c>
      <c r="M43" s="8">
        <v>1697</v>
      </c>
      <c r="N43" s="5" t="s">
        <v>203</v>
      </c>
    </row>
    <row r="44" spans="1:14" ht="26.4" x14ac:dyDescent="0.3">
      <c r="A44" s="1"/>
      <c r="B44" s="5" t="s">
        <v>93</v>
      </c>
      <c r="C44" s="5" t="s">
        <v>312</v>
      </c>
      <c r="D44" s="5" t="s">
        <v>73</v>
      </c>
      <c r="E44" s="4" t="s">
        <v>183</v>
      </c>
      <c r="F44" s="4" t="s">
        <v>184</v>
      </c>
      <c r="G44" s="6" t="s">
        <v>313</v>
      </c>
      <c r="H44" s="8">
        <v>10.4</v>
      </c>
      <c r="I44" s="5" t="s">
        <v>186</v>
      </c>
      <c r="J44" s="5" t="s">
        <v>202</v>
      </c>
      <c r="K44" s="5" t="s">
        <v>188</v>
      </c>
      <c r="L44" s="5" t="s">
        <v>240</v>
      </c>
      <c r="M44" s="8">
        <v>22190</v>
      </c>
      <c r="N44" s="5" t="s">
        <v>190</v>
      </c>
    </row>
    <row r="45" spans="1:14" ht="39.6" x14ac:dyDescent="0.3">
      <c r="A45" s="1"/>
      <c r="B45" s="5" t="s">
        <v>93</v>
      </c>
      <c r="C45" s="5" t="s">
        <v>314</v>
      </c>
      <c r="D45" s="5" t="s">
        <v>24</v>
      </c>
      <c r="E45" s="4" t="s">
        <v>315</v>
      </c>
      <c r="F45" s="4" t="s">
        <v>316</v>
      </c>
      <c r="G45" s="6" t="s">
        <v>317</v>
      </c>
      <c r="H45" s="8">
        <v>0</v>
      </c>
      <c r="I45" s="5" t="s">
        <v>186</v>
      </c>
      <c r="J45" s="5" t="s">
        <v>202</v>
      </c>
      <c r="K45" s="5" t="s">
        <v>188</v>
      </c>
      <c r="L45" s="5" t="s">
        <v>243</v>
      </c>
      <c r="M45" s="8">
        <v>14449</v>
      </c>
      <c r="N45" s="5" t="s">
        <v>190</v>
      </c>
    </row>
    <row r="46" spans="1:14" ht="26.4" x14ac:dyDescent="0.3">
      <c r="A46" s="1"/>
      <c r="B46" s="5" t="s">
        <v>93</v>
      </c>
      <c r="C46" s="5" t="s">
        <v>318</v>
      </c>
      <c r="D46" s="5" t="s">
        <v>319</v>
      </c>
      <c r="E46" s="4" t="s">
        <v>320</v>
      </c>
      <c r="F46" s="4" t="s">
        <v>321</v>
      </c>
      <c r="G46" s="6" t="s">
        <v>322</v>
      </c>
      <c r="H46" s="8">
        <v>0</v>
      </c>
      <c r="I46" s="5" t="s">
        <v>186</v>
      </c>
      <c r="J46" s="5" t="s">
        <v>187</v>
      </c>
      <c r="K46" s="5" t="s">
        <v>188</v>
      </c>
      <c r="L46" s="5" t="s">
        <v>189</v>
      </c>
      <c r="M46" s="8">
        <v>12366</v>
      </c>
      <c r="N46" s="5" t="s">
        <v>203</v>
      </c>
    </row>
    <row r="47" spans="1:14" ht="39.6" x14ac:dyDescent="0.3">
      <c r="A47" s="1"/>
      <c r="B47" s="5" t="s">
        <v>93</v>
      </c>
      <c r="C47" s="5" t="s">
        <v>318</v>
      </c>
      <c r="D47" s="5" t="s">
        <v>323</v>
      </c>
      <c r="E47" s="4" t="s">
        <v>324</v>
      </c>
      <c r="F47" s="4" t="s">
        <v>325</v>
      </c>
      <c r="G47" s="6" t="s">
        <v>326</v>
      </c>
      <c r="H47" s="8">
        <v>0</v>
      </c>
      <c r="I47" s="5" t="s">
        <v>186</v>
      </c>
      <c r="J47" s="5" t="s">
        <v>187</v>
      </c>
      <c r="K47" s="5" t="s">
        <v>188</v>
      </c>
      <c r="L47" s="5" t="s">
        <v>189</v>
      </c>
      <c r="M47" s="8">
        <v>22140</v>
      </c>
      <c r="N47" s="5" t="s">
        <v>203</v>
      </c>
    </row>
    <row r="48" spans="1:14" ht="26.4" x14ac:dyDescent="0.3">
      <c r="A48" s="1"/>
      <c r="B48" s="5" t="s">
        <v>327</v>
      </c>
      <c r="C48" s="5" t="s">
        <v>328</v>
      </c>
      <c r="D48" s="5" t="s">
        <v>329</v>
      </c>
      <c r="E48" s="4" t="s">
        <v>183</v>
      </c>
      <c r="F48" s="4" t="s">
        <v>184</v>
      </c>
      <c r="G48" s="6" t="s">
        <v>330</v>
      </c>
      <c r="H48" s="8">
        <v>0</v>
      </c>
      <c r="I48" s="5" t="s">
        <v>186</v>
      </c>
      <c r="J48" s="5" t="s">
        <v>187</v>
      </c>
      <c r="K48" s="5" t="s">
        <v>188</v>
      </c>
      <c r="L48" s="5" t="s">
        <v>240</v>
      </c>
      <c r="M48" s="8">
        <v>21126</v>
      </c>
      <c r="N48" s="5" t="s">
        <v>203</v>
      </c>
    </row>
    <row r="49" spans="1:14" ht="26.4" x14ac:dyDescent="0.3">
      <c r="A49" s="1"/>
      <c r="B49" s="5" t="s">
        <v>331</v>
      </c>
      <c r="C49" s="5" t="s">
        <v>332</v>
      </c>
      <c r="D49" s="5" t="s">
        <v>73</v>
      </c>
      <c r="E49" s="4" t="s">
        <v>183</v>
      </c>
      <c r="F49" s="4" t="s">
        <v>184</v>
      </c>
      <c r="G49" s="6" t="s">
        <v>333</v>
      </c>
      <c r="H49" s="8">
        <v>2.6</v>
      </c>
      <c r="I49" s="5" t="s">
        <v>186</v>
      </c>
      <c r="J49" s="5" t="s">
        <v>202</v>
      </c>
      <c r="K49" s="5" t="s">
        <v>188</v>
      </c>
      <c r="L49" s="5" t="s">
        <v>240</v>
      </c>
      <c r="M49" s="8">
        <v>21298</v>
      </c>
      <c r="N49" s="5" t="s">
        <v>190</v>
      </c>
    </row>
    <row r="50" spans="1:14" ht="39.6" x14ac:dyDescent="0.3">
      <c r="A50" s="1"/>
      <c r="B50" s="5" t="s">
        <v>334</v>
      </c>
      <c r="C50" s="5" t="s">
        <v>335</v>
      </c>
      <c r="D50" s="5" t="s">
        <v>336</v>
      </c>
      <c r="E50" s="4" t="s">
        <v>183</v>
      </c>
      <c r="F50" s="4" t="s">
        <v>184</v>
      </c>
      <c r="G50" s="6" t="s">
        <v>337</v>
      </c>
      <c r="H50" s="8">
        <v>0</v>
      </c>
      <c r="I50" s="5" t="s">
        <v>186</v>
      </c>
      <c r="J50" s="5" t="s">
        <v>202</v>
      </c>
      <c r="K50" s="5" t="s">
        <v>188</v>
      </c>
      <c r="L50" s="5" t="s">
        <v>189</v>
      </c>
      <c r="M50" s="8">
        <v>14464</v>
      </c>
      <c r="N50" s="5" t="s">
        <v>203</v>
      </c>
    </row>
    <row r="51" spans="1:14" ht="39.6" x14ac:dyDescent="0.3">
      <c r="A51" s="1"/>
      <c r="B51" s="5" t="s">
        <v>334</v>
      </c>
      <c r="C51" s="5" t="s">
        <v>338</v>
      </c>
      <c r="D51" s="5" t="s">
        <v>339</v>
      </c>
      <c r="E51" s="4" t="s">
        <v>340</v>
      </c>
      <c r="F51" s="4" t="s">
        <v>341</v>
      </c>
      <c r="G51" s="6" t="s">
        <v>342</v>
      </c>
      <c r="H51" s="8">
        <v>0</v>
      </c>
      <c r="I51" s="5" t="s">
        <v>186</v>
      </c>
      <c r="J51" s="5" t="s">
        <v>202</v>
      </c>
      <c r="K51" s="5" t="s">
        <v>188</v>
      </c>
      <c r="L51" s="5" t="s">
        <v>195</v>
      </c>
      <c r="M51" s="8">
        <v>708</v>
      </c>
      <c r="N51" s="5" t="s">
        <v>203</v>
      </c>
    </row>
    <row r="52" spans="1:14" x14ac:dyDescent="0.3">
      <c r="A52" s="1"/>
      <c r="B52" s="5" t="s">
        <v>343</v>
      </c>
      <c r="C52" s="5" t="s">
        <v>344</v>
      </c>
      <c r="D52" s="5" t="s">
        <v>110</v>
      </c>
      <c r="E52" s="4" t="s">
        <v>183</v>
      </c>
      <c r="F52" s="4" t="s">
        <v>184</v>
      </c>
      <c r="G52" s="6" t="s">
        <v>345</v>
      </c>
      <c r="H52" s="8">
        <v>9.1999999999999993</v>
      </c>
      <c r="I52" s="5" t="s">
        <v>186</v>
      </c>
      <c r="J52" s="5" t="s">
        <v>187</v>
      </c>
      <c r="K52" s="5" t="s">
        <v>188</v>
      </c>
      <c r="L52" s="5" t="s">
        <v>240</v>
      </c>
      <c r="M52" s="8">
        <v>17553</v>
      </c>
      <c r="N52" s="5" t="s">
        <v>190</v>
      </c>
    </row>
    <row r="53" spans="1:14" x14ac:dyDescent="0.3">
      <c r="A53" s="1"/>
      <c r="B53" s="5" t="s">
        <v>346</v>
      </c>
      <c r="C53" s="5" t="s">
        <v>347</v>
      </c>
      <c r="D53" s="5" t="s">
        <v>110</v>
      </c>
      <c r="E53" s="4" t="s">
        <v>183</v>
      </c>
      <c r="F53" s="4" t="s">
        <v>184</v>
      </c>
      <c r="G53" s="6" t="s">
        <v>348</v>
      </c>
      <c r="H53" s="8">
        <v>104.5</v>
      </c>
      <c r="I53" s="5" t="s">
        <v>186</v>
      </c>
      <c r="J53" s="5" t="s">
        <v>187</v>
      </c>
      <c r="K53" s="5" t="s">
        <v>188</v>
      </c>
      <c r="L53" s="5" t="s">
        <v>240</v>
      </c>
      <c r="M53" s="8">
        <v>24608</v>
      </c>
      <c r="N53" s="5" t="s">
        <v>190</v>
      </c>
    </row>
    <row r="54" spans="1:14" x14ac:dyDescent="0.3">
      <c r="A54" s="1"/>
      <c r="B54" s="5" t="s">
        <v>346</v>
      </c>
      <c r="C54" s="5" t="s">
        <v>347</v>
      </c>
      <c r="D54" s="5" t="s">
        <v>349</v>
      </c>
      <c r="E54" s="4" t="s">
        <v>183</v>
      </c>
      <c r="F54" s="4" t="s">
        <v>184</v>
      </c>
      <c r="G54" s="6" t="s">
        <v>350</v>
      </c>
      <c r="H54" s="8">
        <v>104.5</v>
      </c>
      <c r="I54" s="5" t="s">
        <v>186</v>
      </c>
      <c r="J54" s="5" t="s">
        <v>187</v>
      </c>
      <c r="K54" s="5" t="s">
        <v>188</v>
      </c>
      <c r="L54" s="5" t="s">
        <v>195</v>
      </c>
      <c r="M54" s="8">
        <v>24610</v>
      </c>
      <c r="N54" s="5" t="s">
        <v>203</v>
      </c>
    </row>
    <row r="55" spans="1:14" x14ac:dyDescent="0.3">
      <c r="A55" s="1"/>
      <c r="B55" s="5" t="s">
        <v>351</v>
      </c>
      <c r="C55" s="5" t="s">
        <v>352</v>
      </c>
      <c r="D55" s="5" t="s">
        <v>353</v>
      </c>
      <c r="E55" s="4" t="s">
        <v>183</v>
      </c>
      <c r="F55" s="4" t="s">
        <v>184</v>
      </c>
      <c r="G55" s="6" t="s">
        <v>354</v>
      </c>
      <c r="H55" s="8">
        <v>0.79612000000000005</v>
      </c>
      <c r="I55" s="5" t="s">
        <v>186</v>
      </c>
      <c r="J55" s="5" t="s">
        <v>187</v>
      </c>
      <c r="K55" s="5" t="s">
        <v>188</v>
      </c>
      <c r="L55" s="5" t="s">
        <v>240</v>
      </c>
      <c r="M55" s="8">
        <v>1020</v>
      </c>
      <c r="N55" s="5" t="s">
        <v>190</v>
      </c>
    </row>
    <row r="56" spans="1:14" x14ac:dyDescent="0.3">
      <c r="A56" s="1"/>
      <c r="B56" s="5" t="s">
        <v>351</v>
      </c>
      <c r="C56" s="5" t="s">
        <v>352</v>
      </c>
      <c r="D56" s="5" t="s">
        <v>355</v>
      </c>
      <c r="E56" s="4" t="s">
        <v>183</v>
      </c>
      <c r="F56" s="4" t="s">
        <v>184</v>
      </c>
      <c r="G56" s="6" t="s">
        <v>354</v>
      </c>
      <c r="H56" s="8">
        <v>0.40029999999999999</v>
      </c>
      <c r="I56" s="5" t="s">
        <v>186</v>
      </c>
      <c r="J56" s="5" t="s">
        <v>187</v>
      </c>
      <c r="K56" s="5" t="s">
        <v>188</v>
      </c>
      <c r="L56" s="5" t="s">
        <v>240</v>
      </c>
      <c r="M56" s="8">
        <v>1034</v>
      </c>
      <c r="N56" s="5" t="s">
        <v>190</v>
      </c>
    </row>
    <row r="57" spans="1:14" x14ac:dyDescent="0.3">
      <c r="A57" s="1"/>
      <c r="B57" s="5" t="s">
        <v>106</v>
      </c>
      <c r="C57" s="5" t="s">
        <v>356</v>
      </c>
      <c r="D57" s="5" t="s">
        <v>357</v>
      </c>
      <c r="E57" s="4" t="s">
        <v>358</v>
      </c>
      <c r="F57" s="4" t="s">
        <v>184</v>
      </c>
      <c r="G57" s="6" t="s">
        <v>359</v>
      </c>
      <c r="H57" s="8">
        <v>0</v>
      </c>
      <c r="I57" s="5" t="s">
        <v>186</v>
      </c>
      <c r="J57" s="5" t="s">
        <v>187</v>
      </c>
      <c r="K57" s="5" t="s">
        <v>188</v>
      </c>
      <c r="L57" s="5" t="s">
        <v>195</v>
      </c>
      <c r="M57" s="8">
        <v>203</v>
      </c>
      <c r="N57" s="5" t="s">
        <v>190</v>
      </c>
    </row>
    <row r="58" spans="1:14" ht="26.4" x14ac:dyDescent="0.3">
      <c r="A58" s="1"/>
      <c r="B58" s="5" t="s">
        <v>106</v>
      </c>
      <c r="C58" s="5" t="s">
        <v>360</v>
      </c>
      <c r="D58" s="5" t="s">
        <v>361</v>
      </c>
      <c r="E58" s="4" t="s">
        <v>362</v>
      </c>
      <c r="F58" s="4" t="s">
        <v>184</v>
      </c>
      <c r="G58" s="6" t="s">
        <v>363</v>
      </c>
      <c r="H58" s="8">
        <v>0</v>
      </c>
      <c r="I58" s="5" t="s">
        <v>186</v>
      </c>
      <c r="J58" s="5" t="s">
        <v>187</v>
      </c>
      <c r="K58" s="5" t="s">
        <v>188</v>
      </c>
      <c r="L58" s="5" t="s">
        <v>195</v>
      </c>
      <c r="M58" s="8">
        <v>11910</v>
      </c>
      <c r="N58" s="5" t="s">
        <v>203</v>
      </c>
    </row>
    <row r="59" spans="1:14" x14ac:dyDescent="0.3">
      <c r="A59" s="1"/>
      <c r="B59" s="5" t="s">
        <v>106</v>
      </c>
      <c r="C59" s="5" t="s">
        <v>364</v>
      </c>
      <c r="D59" s="5" t="s">
        <v>73</v>
      </c>
      <c r="E59" s="4" t="s">
        <v>183</v>
      </c>
      <c r="F59" s="4" t="s">
        <v>184</v>
      </c>
      <c r="G59" s="6" t="s">
        <v>365</v>
      </c>
      <c r="H59" s="8">
        <v>0</v>
      </c>
      <c r="I59" s="5" t="s">
        <v>186</v>
      </c>
      <c r="J59" s="5" t="s">
        <v>187</v>
      </c>
      <c r="K59" s="5" t="s">
        <v>188</v>
      </c>
      <c r="L59" s="5" t="s">
        <v>195</v>
      </c>
      <c r="M59" s="8">
        <v>17965</v>
      </c>
      <c r="N59" s="5" t="s">
        <v>190</v>
      </c>
    </row>
    <row r="60" spans="1:14" ht="39.6" x14ac:dyDescent="0.3">
      <c r="A60" s="1"/>
      <c r="B60" s="5" t="s">
        <v>366</v>
      </c>
      <c r="C60" s="5" t="s">
        <v>367</v>
      </c>
      <c r="D60" s="5" t="s">
        <v>368</v>
      </c>
      <c r="E60" s="4" t="s">
        <v>183</v>
      </c>
      <c r="F60" s="4" t="s">
        <v>184</v>
      </c>
      <c r="G60" s="6" t="s">
        <v>369</v>
      </c>
      <c r="H60" s="8">
        <v>0</v>
      </c>
      <c r="I60" s="5" t="s">
        <v>186</v>
      </c>
      <c r="J60" s="5" t="s">
        <v>187</v>
      </c>
      <c r="K60" s="5" t="s">
        <v>188</v>
      </c>
      <c r="L60" s="5" t="s">
        <v>195</v>
      </c>
      <c r="M60" s="8">
        <v>715</v>
      </c>
      <c r="N60" s="5" t="s">
        <v>203</v>
      </c>
    </row>
    <row r="61" spans="1:14" ht="26.4" x14ac:dyDescent="0.3">
      <c r="A61" s="1"/>
      <c r="B61" s="5" t="s">
        <v>366</v>
      </c>
      <c r="C61" s="5" t="s">
        <v>370</v>
      </c>
      <c r="D61" s="5" t="s">
        <v>371</v>
      </c>
      <c r="E61" s="4" t="s">
        <v>183</v>
      </c>
      <c r="F61" s="4" t="s">
        <v>184</v>
      </c>
      <c r="G61" s="6" t="s">
        <v>372</v>
      </c>
      <c r="H61" s="8">
        <v>0</v>
      </c>
      <c r="I61" s="5" t="s">
        <v>186</v>
      </c>
      <c r="J61" s="5" t="s">
        <v>202</v>
      </c>
      <c r="K61" s="5" t="s">
        <v>188</v>
      </c>
      <c r="L61" s="5" t="s">
        <v>189</v>
      </c>
      <c r="M61" s="8">
        <v>679</v>
      </c>
      <c r="N61" s="5" t="s">
        <v>203</v>
      </c>
    </row>
    <row r="62" spans="1:14" ht="26.4" x14ac:dyDescent="0.3">
      <c r="A62" s="1"/>
      <c r="B62" s="5" t="s">
        <v>373</v>
      </c>
      <c r="C62" s="5" t="s">
        <v>374</v>
      </c>
      <c r="D62" s="5" t="s">
        <v>375</v>
      </c>
      <c r="E62" s="4" t="s">
        <v>183</v>
      </c>
      <c r="F62" s="4" t="s">
        <v>184</v>
      </c>
      <c r="G62" s="6" t="s">
        <v>376</v>
      </c>
      <c r="H62" s="8">
        <v>0</v>
      </c>
      <c r="I62" s="5" t="s">
        <v>186</v>
      </c>
      <c r="J62" s="5" t="s">
        <v>187</v>
      </c>
      <c r="K62" s="5" t="s">
        <v>188</v>
      </c>
      <c r="L62" s="5" t="s">
        <v>189</v>
      </c>
      <c r="M62" s="8">
        <v>8834</v>
      </c>
      <c r="N62" s="5" t="s">
        <v>203</v>
      </c>
    </row>
    <row r="63" spans="1:14" x14ac:dyDescent="0.3">
      <c r="A63" s="1"/>
      <c r="B63" s="5" t="s">
        <v>377</v>
      </c>
      <c r="C63" s="5" t="s">
        <v>378</v>
      </c>
      <c r="D63" s="5" t="s">
        <v>73</v>
      </c>
      <c r="E63" s="4" t="s">
        <v>183</v>
      </c>
      <c r="F63" s="4" t="s">
        <v>184</v>
      </c>
      <c r="G63" s="6" t="s">
        <v>379</v>
      </c>
      <c r="H63" s="8">
        <v>175.92</v>
      </c>
      <c r="I63" s="5" t="s">
        <v>186</v>
      </c>
      <c r="J63" s="5" t="s">
        <v>187</v>
      </c>
      <c r="K63" s="5" t="s">
        <v>188</v>
      </c>
      <c r="L63" s="5" t="s">
        <v>195</v>
      </c>
      <c r="M63" s="8">
        <v>15107</v>
      </c>
      <c r="N63" s="5" t="s">
        <v>190</v>
      </c>
    </row>
    <row r="64" spans="1:14" ht="26.4" x14ac:dyDescent="0.3">
      <c r="A64" s="1"/>
      <c r="B64" s="5" t="s">
        <v>377</v>
      </c>
      <c r="C64" s="5" t="s">
        <v>380</v>
      </c>
      <c r="D64" s="5" t="s">
        <v>381</v>
      </c>
      <c r="E64" s="4" t="s">
        <v>183</v>
      </c>
      <c r="F64" s="4" t="s">
        <v>184</v>
      </c>
      <c r="G64" s="6" t="s">
        <v>382</v>
      </c>
      <c r="H64" s="8">
        <v>175.92</v>
      </c>
      <c r="I64" s="5" t="s">
        <v>186</v>
      </c>
      <c r="J64" s="5" t="s">
        <v>187</v>
      </c>
      <c r="K64" s="5" t="s">
        <v>188</v>
      </c>
      <c r="L64" s="5" t="s">
        <v>195</v>
      </c>
      <c r="M64" s="8">
        <v>24759</v>
      </c>
      <c r="N64" s="5" t="s">
        <v>203</v>
      </c>
    </row>
    <row r="65" spans="1:14" ht="26.4" x14ac:dyDescent="0.3">
      <c r="A65" s="1"/>
      <c r="B65" s="5" t="s">
        <v>377</v>
      </c>
      <c r="C65" s="5" t="s">
        <v>383</v>
      </c>
      <c r="D65" s="5" t="s">
        <v>384</v>
      </c>
      <c r="E65" s="4" t="s">
        <v>183</v>
      </c>
      <c r="F65" s="4" t="s">
        <v>184</v>
      </c>
      <c r="G65" s="6" t="s">
        <v>385</v>
      </c>
      <c r="H65" s="8">
        <v>175.92</v>
      </c>
      <c r="I65" s="5" t="s">
        <v>186</v>
      </c>
      <c r="J65" s="5" t="s">
        <v>187</v>
      </c>
      <c r="K65" s="5" t="s">
        <v>188</v>
      </c>
      <c r="L65" s="5" t="s">
        <v>195</v>
      </c>
      <c r="M65" s="8">
        <v>15109</v>
      </c>
      <c r="N65" s="5" t="s">
        <v>203</v>
      </c>
    </row>
    <row r="66" spans="1:14" ht="39.6" x14ac:dyDescent="0.3">
      <c r="A66" s="1"/>
      <c r="B66" s="5" t="s">
        <v>377</v>
      </c>
      <c r="C66" s="5" t="s">
        <v>386</v>
      </c>
      <c r="D66" s="5" t="s">
        <v>387</v>
      </c>
      <c r="E66" s="4" t="s">
        <v>223</v>
      </c>
      <c r="F66" s="4" t="s">
        <v>388</v>
      </c>
      <c r="G66" s="6" t="s">
        <v>389</v>
      </c>
      <c r="H66" s="8">
        <v>0</v>
      </c>
      <c r="I66" s="5" t="s">
        <v>186</v>
      </c>
      <c r="J66" s="5" t="s">
        <v>187</v>
      </c>
      <c r="K66" s="5" t="s">
        <v>188</v>
      </c>
      <c r="L66" s="5" t="s">
        <v>195</v>
      </c>
      <c r="M66" s="8">
        <v>15194</v>
      </c>
      <c r="N66" s="5" t="s">
        <v>203</v>
      </c>
    </row>
    <row r="67" spans="1:14" ht="26.4" x14ac:dyDescent="0.3">
      <c r="A67" s="1"/>
      <c r="B67" s="5" t="s">
        <v>130</v>
      </c>
      <c r="C67" s="5" t="s">
        <v>390</v>
      </c>
      <c r="D67" s="5" t="s">
        <v>96</v>
      </c>
      <c r="E67" s="4" t="s">
        <v>391</v>
      </c>
      <c r="F67" s="4" t="s">
        <v>392</v>
      </c>
      <c r="G67" s="6" t="s">
        <v>393</v>
      </c>
      <c r="H67" s="8">
        <v>0</v>
      </c>
      <c r="I67" s="5" t="s">
        <v>186</v>
      </c>
      <c r="J67" s="5" t="s">
        <v>202</v>
      </c>
      <c r="K67" s="5" t="s">
        <v>188</v>
      </c>
      <c r="L67" s="5" t="s">
        <v>243</v>
      </c>
      <c r="M67" s="8">
        <v>20</v>
      </c>
      <c r="N67" s="5" t="s">
        <v>190</v>
      </c>
    </row>
    <row r="68" spans="1:14" x14ac:dyDescent="0.3">
      <c r="A68" s="1"/>
      <c r="B68" s="5" t="s">
        <v>130</v>
      </c>
      <c r="C68" s="5" t="s">
        <v>394</v>
      </c>
      <c r="D68" s="5" t="s">
        <v>24</v>
      </c>
      <c r="E68" s="4" t="s">
        <v>183</v>
      </c>
      <c r="F68" s="4" t="s">
        <v>184</v>
      </c>
      <c r="G68" s="6" t="s">
        <v>395</v>
      </c>
      <c r="H68" s="8">
        <v>66</v>
      </c>
      <c r="I68" s="5" t="s">
        <v>186</v>
      </c>
      <c r="J68" s="5" t="s">
        <v>187</v>
      </c>
      <c r="K68" s="5" t="s">
        <v>188</v>
      </c>
      <c r="L68" s="5" t="s">
        <v>195</v>
      </c>
      <c r="M68" s="8">
        <v>22</v>
      </c>
      <c r="N68" s="5" t="s">
        <v>190</v>
      </c>
    </row>
    <row r="69" spans="1:14" x14ac:dyDescent="0.3">
      <c r="A69" s="1"/>
      <c r="B69" s="5" t="s">
        <v>130</v>
      </c>
      <c r="C69" s="5" t="s">
        <v>394</v>
      </c>
      <c r="D69" s="5" t="s">
        <v>24</v>
      </c>
      <c r="E69" s="4" t="s">
        <v>183</v>
      </c>
      <c r="F69" s="4" t="s">
        <v>184</v>
      </c>
      <c r="G69" s="6" t="s">
        <v>396</v>
      </c>
      <c r="H69" s="8">
        <v>66</v>
      </c>
      <c r="I69" s="5" t="s">
        <v>186</v>
      </c>
      <c r="J69" s="5" t="s">
        <v>187</v>
      </c>
      <c r="K69" s="5" t="s">
        <v>188</v>
      </c>
      <c r="L69" s="5" t="s">
        <v>195</v>
      </c>
      <c r="M69" s="8">
        <v>22</v>
      </c>
      <c r="N69" s="5" t="s">
        <v>190</v>
      </c>
    </row>
    <row r="70" spans="1:14" ht="39.6" x14ac:dyDescent="0.3">
      <c r="A70" s="1"/>
      <c r="B70" s="5" t="s">
        <v>130</v>
      </c>
      <c r="C70" s="5" t="s">
        <v>397</v>
      </c>
      <c r="D70" s="5" t="s">
        <v>398</v>
      </c>
      <c r="E70" s="4" t="s">
        <v>399</v>
      </c>
      <c r="F70" s="4" t="s">
        <v>400</v>
      </c>
      <c r="G70" s="6" t="s">
        <v>401</v>
      </c>
      <c r="H70" s="8">
        <v>6</v>
      </c>
      <c r="I70" s="5" t="s">
        <v>186</v>
      </c>
      <c r="J70" s="5" t="s">
        <v>202</v>
      </c>
      <c r="K70" s="5" t="s">
        <v>188</v>
      </c>
      <c r="L70" s="5" t="s">
        <v>240</v>
      </c>
      <c r="M70" s="8">
        <v>23874</v>
      </c>
      <c r="N70" s="5" t="s">
        <v>190</v>
      </c>
    </row>
    <row r="71" spans="1:14" ht="26.4" x14ac:dyDescent="0.3">
      <c r="A71" s="1"/>
      <c r="B71" s="5" t="s">
        <v>402</v>
      </c>
      <c r="C71" s="5" t="s">
        <v>403</v>
      </c>
      <c r="D71" s="5" t="s">
        <v>24</v>
      </c>
      <c r="E71" s="4" t="s">
        <v>183</v>
      </c>
      <c r="F71" s="4" t="s">
        <v>184</v>
      </c>
      <c r="G71" s="6" t="s">
        <v>404</v>
      </c>
      <c r="H71" s="8">
        <v>1.1000000000000001</v>
      </c>
      <c r="I71" s="5" t="s">
        <v>186</v>
      </c>
      <c r="J71" s="5" t="s">
        <v>187</v>
      </c>
      <c r="K71" s="5" t="s">
        <v>188</v>
      </c>
      <c r="L71" s="5" t="s">
        <v>195</v>
      </c>
      <c r="M71" s="8">
        <v>18813</v>
      </c>
      <c r="N71" s="5" t="s">
        <v>190</v>
      </c>
    </row>
    <row r="72" spans="1:14" ht="26.4" x14ac:dyDescent="0.3">
      <c r="A72" s="1"/>
      <c r="B72" s="5" t="s">
        <v>402</v>
      </c>
      <c r="C72" s="5" t="s">
        <v>403</v>
      </c>
      <c r="D72" s="5" t="s">
        <v>110</v>
      </c>
      <c r="E72" s="4" t="s">
        <v>183</v>
      </c>
      <c r="F72" s="4" t="s">
        <v>184</v>
      </c>
      <c r="G72" s="6" t="s">
        <v>405</v>
      </c>
      <c r="H72" s="8">
        <v>1.1000000000000001</v>
      </c>
      <c r="I72" s="5" t="s">
        <v>186</v>
      </c>
      <c r="J72" s="5" t="s">
        <v>187</v>
      </c>
      <c r="K72" s="5" t="s">
        <v>188</v>
      </c>
      <c r="L72" s="5" t="s">
        <v>195</v>
      </c>
      <c r="M72" s="8">
        <v>18814</v>
      </c>
      <c r="N72" s="5" t="s">
        <v>190</v>
      </c>
    </row>
    <row r="73" spans="1:14" ht="26.4" x14ac:dyDescent="0.3">
      <c r="A73" s="1"/>
      <c r="B73" s="5" t="s">
        <v>402</v>
      </c>
      <c r="C73" s="5" t="s">
        <v>406</v>
      </c>
      <c r="D73" s="5" t="s">
        <v>24</v>
      </c>
      <c r="E73" s="4" t="s">
        <v>183</v>
      </c>
      <c r="F73" s="4" t="s">
        <v>184</v>
      </c>
      <c r="G73" s="6" t="s">
        <v>407</v>
      </c>
      <c r="H73" s="8">
        <v>1.5</v>
      </c>
      <c r="I73" s="5" t="s">
        <v>186</v>
      </c>
      <c r="J73" s="5" t="s">
        <v>187</v>
      </c>
      <c r="K73" s="5" t="s">
        <v>188</v>
      </c>
      <c r="L73" s="5" t="s">
        <v>195</v>
      </c>
      <c r="M73" s="8">
        <v>13299</v>
      </c>
      <c r="N73" s="5" t="s">
        <v>190</v>
      </c>
    </row>
    <row r="74" spans="1:14" ht="26.4" x14ac:dyDescent="0.3">
      <c r="A74" s="1"/>
      <c r="B74" s="5" t="s">
        <v>402</v>
      </c>
      <c r="C74" s="5" t="s">
        <v>406</v>
      </c>
      <c r="D74" s="5" t="s">
        <v>110</v>
      </c>
      <c r="E74" s="4" t="s">
        <v>183</v>
      </c>
      <c r="F74" s="4" t="s">
        <v>184</v>
      </c>
      <c r="G74" s="6" t="s">
        <v>408</v>
      </c>
      <c r="H74" s="8">
        <v>1.5</v>
      </c>
      <c r="I74" s="5" t="s">
        <v>186</v>
      </c>
      <c r="J74" s="5" t="s">
        <v>187</v>
      </c>
      <c r="K74" s="5" t="s">
        <v>188</v>
      </c>
      <c r="L74" s="5" t="s">
        <v>195</v>
      </c>
      <c r="M74" s="8">
        <v>13300</v>
      </c>
      <c r="N74" s="5" t="s">
        <v>190</v>
      </c>
    </row>
    <row r="75" spans="1:14" ht="26.4" x14ac:dyDescent="0.3">
      <c r="A75" s="1"/>
      <c r="B75" s="5" t="s">
        <v>402</v>
      </c>
      <c r="C75" s="5" t="s">
        <v>406</v>
      </c>
      <c r="D75" s="5" t="s">
        <v>96</v>
      </c>
      <c r="E75" s="4" t="s">
        <v>183</v>
      </c>
      <c r="F75" s="4" t="s">
        <v>184</v>
      </c>
      <c r="G75" s="6" t="s">
        <v>409</v>
      </c>
      <c r="H75" s="8">
        <v>1.5</v>
      </c>
      <c r="I75" s="5" t="s">
        <v>186</v>
      </c>
      <c r="J75" s="5" t="s">
        <v>187</v>
      </c>
      <c r="K75" s="5" t="s">
        <v>188</v>
      </c>
      <c r="L75" s="5" t="s">
        <v>195</v>
      </c>
      <c r="M75" s="8">
        <v>13301</v>
      </c>
      <c r="N75" s="5" t="s">
        <v>190</v>
      </c>
    </row>
    <row r="76" spans="1:14" ht="26.4" x14ac:dyDescent="0.3">
      <c r="A76" s="1"/>
      <c r="B76" s="5" t="s">
        <v>402</v>
      </c>
      <c r="C76" s="5" t="s">
        <v>410</v>
      </c>
      <c r="D76" s="5" t="s">
        <v>24</v>
      </c>
      <c r="E76" s="4" t="s">
        <v>183</v>
      </c>
      <c r="F76" s="4" t="s">
        <v>184</v>
      </c>
      <c r="G76" s="6" t="s">
        <v>411</v>
      </c>
      <c r="H76" s="8">
        <v>1.4</v>
      </c>
      <c r="I76" s="5" t="s">
        <v>186</v>
      </c>
      <c r="J76" s="5" t="s">
        <v>187</v>
      </c>
      <c r="K76" s="5" t="s">
        <v>188</v>
      </c>
      <c r="L76" s="5" t="s">
        <v>195</v>
      </c>
      <c r="M76" s="8">
        <v>15113</v>
      </c>
      <c r="N76" s="5" t="s">
        <v>190</v>
      </c>
    </row>
    <row r="77" spans="1:14" x14ac:dyDescent="0.3">
      <c r="A77" s="1"/>
      <c r="B77" s="5" t="s">
        <v>402</v>
      </c>
      <c r="C77" s="5" t="s">
        <v>410</v>
      </c>
      <c r="D77" s="5" t="s">
        <v>110</v>
      </c>
      <c r="E77" s="4" t="s">
        <v>183</v>
      </c>
      <c r="F77" s="4" t="s">
        <v>184</v>
      </c>
      <c r="G77" s="6" t="s">
        <v>412</v>
      </c>
      <c r="H77" s="8">
        <v>1.5</v>
      </c>
      <c r="I77" s="5" t="s">
        <v>186</v>
      </c>
      <c r="J77" s="5" t="s">
        <v>187</v>
      </c>
      <c r="K77" s="5" t="s">
        <v>188</v>
      </c>
      <c r="L77" s="5" t="s">
        <v>195</v>
      </c>
      <c r="M77" s="8">
        <v>15114</v>
      </c>
      <c r="N77" s="5" t="s">
        <v>190</v>
      </c>
    </row>
    <row r="78" spans="1:14" x14ac:dyDescent="0.3">
      <c r="A78" s="1"/>
      <c r="B78" s="5" t="s">
        <v>413</v>
      </c>
      <c r="C78" s="5" t="s">
        <v>414</v>
      </c>
      <c r="D78" s="5" t="s">
        <v>210</v>
      </c>
      <c r="E78" s="4" t="s">
        <v>415</v>
      </c>
      <c r="F78" s="4" t="s">
        <v>290</v>
      </c>
      <c r="G78" s="6" t="s">
        <v>416</v>
      </c>
      <c r="H78" s="8">
        <v>0</v>
      </c>
      <c r="I78" s="5" t="s">
        <v>186</v>
      </c>
      <c r="J78" s="5" t="s">
        <v>187</v>
      </c>
      <c r="K78" s="5" t="s">
        <v>188</v>
      </c>
      <c r="L78" s="5" t="s">
        <v>195</v>
      </c>
      <c r="M78" s="8">
        <v>14524</v>
      </c>
      <c r="N78" s="5" t="s">
        <v>203</v>
      </c>
    </row>
    <row r="79" spans="1:14" x14ac:dyDescent="0.3">
      <c r="A79" s="1"/>
      <c r="B79" s="5" t="s">
        <v>413</v>
      </c>
      <c r="C79" s="5" t="s">
        <v>414</v>
      </c>
      <c r="D79" s="5" t="s">
        <v>417</v>
      </c>
      <c r="E79" s="4" t="s">
        <v>415</v>
      </c>
      <c r="F79" s="4" t="s">
        <v>290</v>
      </c>
      <c r="G79" s="6" t="s">
        <v>416</v>
      </c>
      <c r="H79" s="8">
        <v>0</v>
      </c>
      <c r="I79" s="5" t="s">
        <v>186</v>
      </c>
      <c r="J79" s="5" t="s">
        <v>187</v>
      </c>
      <c r="K79" s="5" t="s">
        <v>188</v>
      </c>
      <c r="L79" s="5" t="s">
        <v>195</v>
      </c>
      <c r="M79" s="8">
        <v>14521</v>
      </c>
      <c r="N79" s="5" t="s">
        <v>203</v>
      </c>
    </row>
    <row r="80" spans="1:14" ht="26.4" x14ac:dyDescent="0.3">
      <c r="A80" s="1"/>
      <c r="B80" s="5" t="s">
        <v>55</v>
      </c>
      <c r="C80" s="5" t="s">
        <v>418</v>
      </c>
      <c r="D80" s="5" t="s">
        <v>419</v>
      </c>
      <c r="E80" s="4" t="s">
        <v>183</v>
      </c>
      <c r="F80" s="4" t="s">
        <v>184</v>
      </c>
      <c r="G80" s="6" t="s">
        <v>420</v>
      </c>
      <c r="H80" s="8">
        <v>0</v>
      </c>
      <c r="I80" s="5" t="s">
        <v>186</v>
      </c>
      <c r="J80" s="5" t="s">
        <v>202</v>
      </c>
      <c r="K80" s="5" t="s">
        <v>188</v>
      </c>
      <c r="L80" s="5" t="s">
        <v>189</v>
      </c>
      <c r="M80" s="8">
        <v>24124</v>
      </c>
      <c r="N80" s="5" t="s">
        <v>203</v>
      </c>
    </row>
    <row r="81" spans="1:14" x14ac:dyDescent="0.3">
      <c r="A81" s="1"/>
      <c r="B81" s="5" t="s">
        <v>55</v>
      </c>
      <c r="C81" s="5" t="s">
        <v>421</v>
      </c>
      <c r="D81" s="5" t="s">
        <v>422</v>
      </c>
      <c r="E81" s="4" t="s">
        <v>423</v>
      </c>
      <c r="F81" s="4" t="s">
        <v>424</v>
      </c>
      <c r="G81" s="6" t="s">
        <v>425</v>
      </c>
      <c r="H81" s="8">
        <v>0</v>
      </c>
      <c r="I81" s="5" t="s">
        <v>186</v>
      </c>
      <c r="J81" s="5" t="s">
        <v>187</v>
      </c>
      <c r="K81" s="5" t="s">
        <v>188</v>
      </c>
      <c r="L81" s="5" t="s">
        <v>189</v>
      </c>
      <c r="M81" s="8">
        <v>901</v>
      </c>
      <c r="N81" s="5" t="s">
        <v>203</v>
      </c>
    </row>
    <row r="82" spans="1:14" ht="26.4" x14ac:dyDescent="0.3">
      <c r="A82" s="1"/>
      <c r="B82" s="5" t="s">
        <v>55</v>
      </c>
      <c r="C82" s="5" t="s">
        <v>421</v>
      </c>
      <c r="D82" s="5" t="s">
        <v>426</v>
      </c>
      <c r="E82" s="4" t="s">
        <v>427</v>
      </c>
      <c r="F82" s="4" t="s">
        <v>428</v>
      </c>
      <c r="G82" s="6" t="s">
        <v>429</v>
      </c>
      <c r="H82" s="8">
        <v>0</v>
      </c>
      <c r="I82" s="5" t="s">
        <v>186</v>
      </c>
      <c r="J82" s="5" t="s">
        <v>187</v>
      </c>
      <c r="K82" s="5" t="s">
        <v>188</v>
      </c>
      <c r="L82" s="5" t="s">
        <v>195</v>
      </c>
      <c r="M82" s="8">
        <v>906</v>
      </c>
      <c r="N82" s="5" t="s">
        <v>203</v>
      </c>
    </row>
    <row r="83" spans="1:14" x14ac:dyDescent="0.3">
      <c r="A83" s="1"/>
      <c r="B83" s="5" t="s">
        <v>55</v>
      </c>
      <c r="C83" s="5" t="s">
        <v>421</v>
      </c>
      <c r="D83" s="5" t="s">
        <v>430</v>
      </c>
      <c r="E83" s="4" t="s">
        <v>431</v>
      </c>
      <c r="F83" s="4" t="s">
        <v>432</v>
      </c>
      <c r="G83" s="6" t="s">
        <v>425</v>
      </c>
      <c r="H83" s="8">
        <v>0</v>
      </c>
      <c r="I83" s="5" t="s">
        <v>186</v>
      </c>
      <c r="J83" s="5" t="s">
        <v>187</v>
      </c>
      <c r="K83" s="5" t="s">
        <v>188</v>
      </c>
      <c r="L83" s="5" t="s">
        <v>189</v>
      </c>
      <c r="M83" s="8">
        <v>902</v>
      </c>
      <c r="N83" s="5" t="s">
        <v>203</v>
      </c>
    </row>
    <row r="84" spans="1:14" ht="52.8" x14ac:dyDescent="0.3">
      <c r="A84" s="1"/>
      <c r="B84" s="5" t="s">
        <v>55</v>
      </c>
      <c r="C84" s="5" t="s">
        <v>433</v>
      </c>
      <c r="D84" s="5" t="s">
        <v>434</v>
      </c>
      <c r="E84" s="4" t="s">
        <v>183</v>
      </c>
      <c r="F84" s="4" t="s">
        <v>184</v>
      </c>
      <c r="G84" s="6" t="s">
        <v>435</v>
      </c>
      <c r="H84" s="8">
        <v>0</v>
      </c>
      <c r="I84" s="5" t="s">
        <v>186</v>
      </c>
      <c r="J84" s="5" t="s">
        <v>202</v>
      </c>
      <c r="K84" s="5" t="s">
        <v>188</v>
      </c>
      <c r="L84" s="5" t="s">
        <v>189</v>
      </c>
      <c r="M84" s="8">
        <v>352</v>
      </c>
      <c r="N84" s="5" t="s">
        <v>203</v>
      </c>
    </row>
    <row r="85" spans="1:14" ht="66" x14ac:dyDescent="0.3">
      <c r="A85" s="1"/>
      <c r="B85" s="5" t="s">
        <v>55</v>
      </c>
      <c r="C85" s="5" t="s">
        <v>433</v>
      </c>
      <c r="D85" s="5" t="s">
        <v>436</v>
      </c>
      <c r="E85" s="4" t="s">
        <v>183</v>
      </c>
      <c r="F85" s="4" t="s">
        <v>184</v>
      </c>
      <c r="G85" s="6" t="s">
        <v>437</v>
      </c>
      <c r="H85" s="8">
        <v>0</v>
      </c>
      <c r="I85" s="5" t="s">
        <v>186</v>
      </c>
      <c r="J85" s="5" t="s">
        <v>187</v>
      </c>
      <c r="K85" s="5" t="s">
        <v>188</v>
      </c>
      <c r="L85" s="5" t="s">
        <v>189</v>
      </c>
      <c r="M85" s="8">
        <v>8939</v>
      </c>
      <c r="N85" s="5" t="s">
        <v>203</v>
      </c>
    </row>
    <row r="86" spans="1:14" ht="26.4" x14ac:dyDescent="0.3">
      <c r="A86" s="1"/>
      <c r="B86" s="5" t="s">
        <v>55</v>
      </c>
      <c r="C86" s="5" t="s">
        <v>438</v>
      </c>
      <c r="D86" s="5" t="s">
        <v>439</v>
      </c>
      <c r="E86" s="4" t="s">
        <v>440</v>
      </c>
      <c r="F86" s="4" t="s">
        <v>441</v>
      </c>
      <c r="G86" s="6" t="s">
        <v>442</v>
      </c>
      <c r="H86" s="8">
        <v>0</v>
      </c>
      <c r="I86" s="5" t="s">
        <v>186</v>
      </c>
      <c r="J86" s="5" t="s">
        <v>187</v>
      </c>
      <c r="K86" s="5" t="s">
        <v>188</v>
      </c>
      <c r="L86" s="5" t="s">
        <v>195</v>
      </c>
      <c r="M86" s="8">
        <v>14748</v>
      </c>
      <c r="N86" s="5" t="s">
        <v>203</v>
      </c>
    </row>
    <row r="87" spans="1:14" ht="66" x14ac:dyDescent="0.3">
      <c r="A87" s="1"/>
      <c r="B87" s="5" t="s">
        <v>55</v>
      </c>
      <c r="C87" s="5" t="s">
        <v>443</v>
      </c>
      <c r="D87" s="5" t="s">
        <v>444</v>
      </c>
      <c r="E87" s="4" t="s">
        <v>183</v>
      </c>
      <c r="F87" s="4" t="s">
        <v>184</v>
      </c>
      <c r="G87" s="6" t="s">
        <v>445</v>
      </c>
      <c r="H87" s="8">
        <v>0</v>
      </c>
      <c r="I87" s="5" t="s">
        <v>186</v>
      </c>
      <c r="J87" s="5" t="s">
        <v>202</v>
      </c>
      <c r="K87" s="5" t="s">
        <v>188</v>
      </c>
      <c r="L87" s="5" t="s">
        <v>189</v>
      </c>
      <c r="M87" s="8">
        <v>24696</v>
      </c>
      <c r="N87" s="5" t="s">
        <v>203</v>
      </c>
    </row>
    <row r="88" spans="1:14" ht="26.4" x14ac:dyDescent="0.3">
      <c r="A88" s="1"/>
      <c r="B88" s="5" t="s">
        <v>55</v>
      </c>
      <c r="C88" s="5" t="s">
        <v>446</v>
      </c>
      <c r="D88" s="5" t="s">
        <v>447</v>
      </c>
      <c r="E88" s="4" t="s">
        <v>183</v>
      </c>
      <c r="F88" s="4" t="s">
        <v>184</v>
      </c>
      <c r="G88" s="6" t="s">
        <v>448</v>
      </c>
      <c r="H88" s="8">
        <v>0</v>
      </c>
      <c r="I88" s="5" t="s">
        <v>186</v>
      </c>
      <c r="J88" s="5" t="s">
        <v>187</v>
      </c>
      <c r="K88" s="5" t="s">
        <v>188</v>
      </c>
      <c r="L88" s="5" t="s">
        <v>189</v>
      </c>
      <c r="M88" s="8">
        <v>1177</v>
      </c>
      <c r="N88" s="5" t="s">
        <v>203</v>
      </c>
    </row>
    <row r="89" spans="1:14" ht="39.6" x14ac:dyDescent="0.3">
      <c r="A89" s="1"/>
      <c r="B89" s="5" t="s">
        <v>55</v>
      </c>
      <c r="C89" s="5" t="s">
        <v>446</v>
      </c>
      <c r="D89" s="5" t="s">
        <v>449</v>
      </c>
      <c r="E89" s="4" t="s">
        <v>183</v>
      </c>
      <c r="F89" s="4" t="s">
        <v>184</v>
      </c>
      <c r="G89" s="6" t="s">
        <v>450</v>
      </c>
      <c r="H89" s="8">
        <v>0</v>
      </c>
      <c r="I89" s="5" t="s">
        <v>186</v>
      </c>
      <c r="J89" s="5" t="s">
        <v>187</v>
      </c>
      <c r="K89" s="5" t="s">
        <v>188</v>
      </c>
      <c r="L89" s="5" t="s">
        <v>189</v>
      </c>
      <c r="M89" s="8">
        <v>1812</v>
      </c>
      <c r="N89" s="5" t="s">
        <v>203</v>
      </c>
    </row>
    <row r="90" spans="1:14" ht="39.6" x14ac:dyDescent="0.3">
      <c r="A90" s="1"/>
      <c r="B90" s="5" t="s">
        <v>55</v>
      </c>
      <c r="C90" s="5" t="s">
        <v>446</v>
      </c>
      <c r="D90" s="5" t="s">
        <v>451</v>
      </c>
      <c r="E90" s="4" t="s">
        <v>183</v>
      </c>
      <c r="F90" s="4" t="s">
        <v>184</v>
      </c>
      <c r="G90" s="6" t="s">
        <v>452</v>
      </c>
      <c r="H90" s="8">
        <v>0</v>
      </c>
      <c r="I90" s="5" t="s">
        <v>186</v>
      </c>
      <c r="J90" s="5" t="s">
        <v>187</v>
      </c>
      <c r="K90" s="5" t="s">
        <v>188</v>
      </c>
      <c r="L90" s="5" t="s">
        <v>189</v>
      </c>
      <c r="M90" s="8">
        <v>788</v>
      </c>
      <c r="N90" s="5" t="s">
        <v>203</v>
      </c>
    </row>
    <row r="91" spans="1:14" ht="39.6" x14ac:dyDescent="0.3">
      <c r="A91" s="1"/>
      <c r="B91" s="5" t="s">
        <v>55</v>
      </c>
      <c r="C91" s="5" t="s">
        <v>453</v>
      </c>
      <c r="D91" s="5" t="s">
        <v>454</v>
      </c>
      <c r="E91" s="4" t="s">
        <v>183</v>
      </c>
      <c r="F91" s="4" t="s">
        <v>184</v>
      </c>
      <c r="G91" s="6" t="s">
        <v>455</v>
      </c>
      <c r="H91" s="8">
        <v>0</v>
      </c>
      <c r="I91" s="5" t="s">
        <v>186</v>
      </c>
      <c r="J91" s="5" t="s">
        <v>187</v>
      </c>
      <c r="K91" s="5" t="s">
        <v>188</v>
      </c>
      <c r="L91" s="5" t="s">
        <v>195</v>
      </c>
      <c r="M91" s="8">
        <v>22980</v>
      </c>
      <c r="N91" s="5" t="s">
        <v>203</v>
      </c>
    </row>
    <row r="92" spans="1:14" ht="39.6" x14ac:dyDescent="0.3">
      <c r="A92" s="1"/>
      <c r="B92" s="5" t="s">
        <v>55</v>
      </c>
      <c r="C92" s="5" t="s">
        <v>456</v>
      </c>
      <c r="D92" s="5" t="s">
        <v>457</v>
      </c>
      <c r="E92" s="4" t="s">
        <v>183</v>
      </c>
      <c r="F92" s="4" t="s">
        <v>184</v>
      </c>
      <c r="G92" s="6" t="s">
        <v>458</v>
      </c>
      <c r="H92" s="8">
        <v>0</v>
      </c>
      <c r="I92" s="5" t="s">
        <v>186</v>
      </c>
      <c r="J92" s="5" t="s">
        <v>202</v>
      </c>
      <c r="K92" s="5" t="s">
        <v>188</v>
      </c>
      <c r="L92" s="5" t="s">
        <v>189</v>
      </c>
      <c r="M92" s="8">
        <v>12361</v>
      </c>
      <c r="N92" s="5" t="s">
        <v>203</v>
      </c>
    </row>
    <row r="93" spans="1:14" ht="39.6" x14ac:dyDescent="0.3">
      <c r="A93" s="1"/>
      <c r="B93" s="5" t="s">
        <v>55</v>
      </c>
      <c r="C93" s="5" t="s">
        <v>459</v>
      </c>
      <c r="D93" s="5" t="s">
        <v>460</v>
      </c>
      <c r="E93" s="4" t="s">
        <v>461</v>
      </c>
      <c r="F93" s="4" t="s">
        <v>184</v>
      </c>
      <c r="G93" s="6" t="s">
        <v>462</v>
      </c>
      <c r="H93" s="8">
        <v>0</v>
      </c>
      <c r="I93" s="5" t="s">
        <v>236</v>
      </c>
      <c r="J93" s="5" t="s">
        <v>202</v>
      </c>
      <c r="K93" s="5" t="s">
        <v>188</v>
      </c>
      <c r="L93" s="5" t="s">
        <v>189</v>
      </c>
      <c r="M93" s="8">
        <v>387</v>
      </c>
      <c r="N93" s="5" t="s">
        <v>203</v>
      </c>
    </row>
    <row r="94" spans="1:14" ht="52.8" x14ac:dyDescent="0.3">
      <c r="A94" s="1"/>
      <c r="B94" s="5" t="s">
        <v>55</v>
      </c>
      <c r="C94" s="5" t="s">
        <v>463</v>
      </c>
      <c r="D94" s="5" t="s">
        <v>464</v>
      </c>
      <c r="E94" s="4" t="s">
        <v>183</v>
      </c>
      <c r="F94" s="4" t="s">
        <v>184</v>
      </c>
      <c r="G94" s="6" t="s">
        <v>465</v>
      </c>
      <c r="H94" s="8">
        <v>0</v>
      </c>
      <c r="I94" s="5" t="s">
        <v>186</v>
      </c>
      <c r="J94" s="5" t="s">
        <v>187</v>
      </c>
      <c r="K94" s="5" t="s">
        <v>188</v>
      </c>
      <c r="L94" s="5" t="s">
        <v>189</v>
      </c>
      <c r="M94" s="8">
        <v>6024</v>
      </c>
      <c r="N94" s="5" t="s">
        <v>203</v>
      </c>
    </row>
    <row r="95" spans="1:14" ht="39.6" x14ac:dyDescent="0.3">
      <c r="A95" s="1"/>
      <c r="B95" s="5" t="s">
        <v>55</v>
      </c>
      <c r="C95" s="5" t="s">
        <v>466</v>
      </c>
      <c r="D95" s="5" t="s">
        <v>467</v>
      </c>
      <c r="E95" s="4" t="s">
        <v>183</v>
      </c>
      <c r="F95" s="4" t="s">
        <v>184</v>
      </c>
      <c r="G95" s="6" t="s">
        <v>468</v>
      </c>
      <c r="H95" s="8">
        <v>0</v>
      </c>
      <c r="I95" s="5" t="s">
        <v>186</v>
      </c>
      <c r="J95" s="5" t="s">
        <v>202</v>
      </c>
      <c r="K95" s="5" t="s">
        <v>188</v>
      </c>
      <c r="L95" s="5" t="s">
        <v>189</v>
      </c>
      <c r="M95" s="8">
        <v>23258</v>
      </c>
      <c r="N95" s="5" t="s">
        <v>203</v>
      </c>
    </row>
    <row r="96" spans="1:14" ht="26.4" x14ac:dyDescent="0.3">
      <c r="A96" s="1"/>
      <c r="B96" s="5" t="s">
        <v>55</v>
      </c>
      <c r="C96" s="5" t="s">
        <v>469</v>
      </c>
      <c r="D96" s="5" t="s">
        <v>470</v>
      </c>
      <c r="E96" s="4" t="s">
        <v>183</v>
      </c>
      <c r="F96" s="4" t="s">
        <v>184</v>
      </c>
      <c r="G96" s="6" t="s">
        <v>471</v>
      </c>
      <c r="H96" s="8">
        <v>0</v>
      </c>
      <c r="I96" s="5" t="s">
        <v>186</v>
      </c>
      <c r="J96" s="5" t="s">
        <v>187</v>
      </c>
      <c r="K96" s="5" t="s">
        <v>188</v>
      </c>
      <c r="L96" s="5" t="s">
        <v>189</v>
      </c>
      <c r="M96" s="8">
        <v>853</v>
      </c>
      <c r="N96" s="5" t="s">
        <v>203</v>
      </c>
    </row>
    <row r="97" spans="1:14" x14ac:dyDescent="0.3">
      <c r="A97" s="1"/>
      <c r="B97" s="5" t="s">
        <v>55</v>
      </c>
      <c r="C97" s="5" t="s">
        <v>472</v>
      </c>
      <c r="D97" s="5" t="s">
        <v>473</v>
      </c>
      <c r="E97" s="4" t="s">
        <v>474</v>
      </c>
      <c r="F97" s="4" t="s">
        <v>475</v>
      </c>
      <c r="G97" s="6" t="s">
        <v>476</v>
      </c>
      <c r="H97" s="8">
        <v>0</v>
      </c>
      <c r="I97" s="5" t="s">
        <v>186</v>
      </c>
      <c r="J97" s="5" t="s">
        <v>187</v>
      </c>
      <c r="K97" s="5" t="s">
        <v>188</v>
      </c>
      <c r="L97" s="5" t="s">
        <v>189</v>
      </c>
      <c r="M97" s="8">
        <v>17648</v>
      </c>
      <c r="N97" s="5" t="s">
        <v>203</v>
      </c>
    </row>
    <row r="98" spans="1:14" x14ac:dyDescent="0.3">
      <c r="A98" s="1"/>
      <c r="B98" s="5" t="s">
        <v>55</v>
      </c>
      <c r="C98" s="5" t="s">
        <v>477</v>
      </c>
      <c r="D98" s="5" t="s">
        <v>478</v>
      </c>
      <c r="E98" s="4" t="s">
        <v>479</v>
      </c>
      <c r="F98" s="4" t="s">
        <v>480</v>
      </c>
      <c r="G98" s="6" t="s">
        <v>476</v>
      </c>
      <c r="H98" s="8">
        <v>0</v>
      </c>
      <c r="I98" s="5" t="s">
        <v>186</v>
      </c>
      <c r="J98" s="5" t="s">
        <v>187</v>
      </c>
      <c r="K98" s="5" t="s">
        <v>188</v>
      </c>
      <c r="L98" s="5" t="s">
        <v>189</v>
      </c>
      <c r="M98" s="8">
        <v>13679</v>
      </c>
      <c r="N98" s="5" t="s">
        <v>203</v>
      </c>
    </row>
    <row r="99" spans="1:14" ht="39.6" x14ac:dyDescent="0.3">
      <c r="A99" s="1"/>
      <c r="B99" s="5" t="s">
        <v>55</v>
      </c>
      <c r="C99" s="5" t="s">
        <v>29</v>
      </c>
      <c r="D99" s="5" t="s">
        <v>481</v>
      </c>
      <c r="E99" s="4" t="s">
        <v>183</v>
      </c>
      <c r="F99" s="4" t="s">
        <v>184</v>
      </c>
      <c r="G99" s="6" t="s">
        <v>482</v>
      </c>
      <c r="H99" s="8">
        <v>0</v>
      </c>
      <c r="I99" s="5" t="s">
        <v>186</v>
      </c>
      <c r="J99" s="5" t="s">
        <v>202</v>
      </c>
      <c r="K99" s="5" t="s">
        <v>188</v>
      </c>
      <c r="L99" s="5" t="s">
        <v>195</v>
      </c>
      <c r="M99" s="8">
        <v>434</v>
      </c>
      <c r="N99" s="5" t="s">
        <v>203</v>
      </c>
    </row>
    <row r="100" spans="1:14" ht="26.4" x14ac:dyDescent="0.3">
      <c r="A100" s="1"/>
      <c r="B100" s="5" t="s">
        <v>55</v>
      </c>
      <c r="C100" s="5" t="s">
        <v>29</v>
      </c>
      <c r="D100" s="5" t="s">
        <v>483</v>
      </c>
      <c r="E100" s="4" t="s">
        <v>183</v>
      </c>
      <c r="F100" s="4" t="s">
        <v>184</v>
      </c>
      <c r="G100" s="6" t="s">
        <v>484</v>
      </c>
      <c r="H100" s="8">
        <v>0</v>
      </c>
      <c r="I100" s="5" t="s">
        <v>186</v>
      </c>
      <c r="J100" s="5" t="s">
        <v>187</v>
      </c>
      <c r="K100" s="5" t="s">
        <v>188</v>
      </c>
      <c r="L100" s="5" t="s">
        <v>189</v>
      </c>
      <c r="M100" s="8">
        <v>923</v>
      </c>
      <c r="N100" s="5" t="s">
        <v>203</v>
      </c>
    </row>
    <row r="101" spans="1:14" ht="92.4" x14ac:dyDescent="0.3">
      <c r="A101" s="1"/>
      <c r="B101" s="5" t="s">
        <v>55</v>
      </c>
      <c r="C101" s="5" t="s">
        <v>29</v>
      </c>
      <c r="D101" s="5" t="s">
        <v>485</v>
      </c>
      <c r="E101" s="4" t="s">
        <v>183</v>
      </c>
      <c r="F101" s="4" t="s">
        <v>184</v>
      </c>
      <c r="G101" s="6" t="s">
        <v>486</v>
      </c>
      <c r="H101" s="8">
        <v>0</v>
      </c>
      <c r="I101" s="5" t="s">
        <v>186</v>
      </c>
      <c r="J101" s="5" t="s">
        <v>187</v>
      </c>
      <c r="K101" s="5" t="s">
        <v>188</v>
      </c>
      <c r="L101" s="5" t="s">
        <v>195</v>
      </c>
      <c r="M101" s="8">
        <v>454</v>
      </c>
      <c r="N101" s="5" t="s">
        <v>203</v>
      </c>
    </row>
    <row r="102" spans="1:14" x14ac:dyDescent="0.3">
      <c r="A102" s="1"/>
      <c r="B102" s="5" t="s">
        <v>55</v>
      </c>
      <c r="C102" s="5" t="s">
        <v>29</v>
      </c>
      <c r="D102" s="5" t="s">
        <v>487</v>
      </c>
      <c r="E102" s="4" t="s">
        <v>488</v>
      </c>
      <c r="F102" s="4" t="s">
        <v>489</v>
      </c>
      <c r="G102" s="6" t="s">
        <v>490</v>
      </c>
      <c r="H102" s="8">
        <v>0</v>
      </c>
      <c r="I102" s="5" t="s">
        <v>236</v>
      </c>
      <c r="J102" s="5" t="s">
        <v>187</v>
      </c>
      <c r="K102" s="5" t="s">
        <v>188</v>
      </c>
      <c r="L102" s="5" t="s">
        <v>240</v>
      </c>
      <c r="M102" s="8">
        <v>442</v>
      </c>
      <c r="N102" s="5" t="s">
        <v>203</v>
      </c>
    </row>
    <row r="103" spans="1:14" ht="52.8" x14ac:dyDescent="0.3">
      <c r="A103" s="1"/>
      <c r="B103" s="5" t="s">
        <v>55</v>
      </c>
      <c r="C103" s="5" t="s">
        <v>491</v>
      </c>
      <c r="D103" s="5" t="s">
        <v>492</v>
      </c>
      <c r="E103" s="4" t="s">
        <v>183</v>
      </c>
      <c r="F103" s="4" t="s">
        <v>184</v>
      </c>
      <c r="G103" s="6" t="s">
        <v>493</v>
      </c>
      <c r="H103" s="8">
        <v>0</v>
      </c>
      <c r="I103" s="5" t="s">
        <v>186</v>
      </c>
      <c r="J103" s="5" t="s">
        <v>187</v>
      </c>
      <c r="K103" s="5" t="s">
        <v>188</v>
      </c>
      <c r="L103" s="5" t="s">
        <v>189</v>
      </c>
      <c r="M103" s="8">
        <v>834</v>
      </c>
      <c r="N103" s="5" t="s">
        <v>203</v>
      </c>
    </row>
    <row r="104" spans="1:14" ht="52.8" x14ac:dyDescent="0.3">
      <c r="A104" s="1"/>
      <c r="B104" s="5" t="s">
        <v>55</v>
      </c>
      <c r="C104" s="5" t="s">
        <v>491</v>
      </c>
      <c r="D104" s="5" t="s">
        <v>494</v>
      </c>
      <c r="E104" s="4" t="s">
        <v>183</v>
      </c>
      <c r="F104" s="4" t="s">
        <v>184</v>
      </c>
      <c r="G104" s="6" t="s">
        <v>495</v>
      </c>
      <c r="H104" s="8">
        <v>0</v>
      </c>
      <c r="I104" s="5" t="s">
        <v>186</v>
      </c>
      <c r="J104" s="5" t="s">
        <v>187</v>
      </c>
      <c r="K104" s="5" t="s">
        <v>188</v>
      </c>
      <c r="L104" s="5" t="s">
        <v>189</v>
      </c>
      <c r="M104" s="8">
        <v>9267</v>
      </c>
      <c r="N104" s="5" t="s">
        <v>203</v>
      </c>
    </row>
    <row r="105" spans="1:14" ht="39.6" x14ac:dyDescent="0.3">
      <c r="A105" s="1"/>
      <c r="B105" s="5" t="s">
        <v>55</v>
      </c>
      <c r="C105" s="5" t="s">
        <v>491</v>
      </c>
      <c r="D105" s="5" t="s">
        <v>308</v>
      </c>
      <c r="E105" s="4" t="s">
        <v>183</v>
      </c>
      <c r="F105" s="4" t="s">
        <v>184</v>
      </c>
      <c r="G105" s="6" t="s">
        <v>496</v>
      </c>
      <c r="H105" s="8">
        <v>0</v>
      </c>
      <c r="I105" s="5" t="s">
        <v>186</v>
      </c>
      <c r="J105" s="5" t="s">
        <v>202</v>
      </c>
      <c r="K105" s="5" t="s">
        <v>188</v>
      </c>
      <c r="L105" s="5" t="s">
        <v>189</v>
      </c>
      <c r="M105" s="8">
        <v>464</v>
      </c>
      <c r="N105" s="5" t="s">
        <v>203</v>
      </c>
    </row>
    <row r="106" spans="1:14" ht="26.4" x14ac:dyDescent="0.3">
      <c r="A106" s="1"/>
      <c r="B106" s="5" t="s">
        <v>55</v>
      </c>
      <c r="C106" s="5" t="s">
        <v>497</v>
      </c>
      <c r="D106" s="5" t="s">
        <v>498</v>
      </c>
      <c r="E106" s="4" t="s">
        <v>183</v>
      </c>
      <c r="F106" s="4" t="s">
        <v>184</v>
      </c>
      <c r="G106" s="6" t="s">
        <v>499</v>
      </c>
      <c r="H106" s="8">
        <v>0</v>
      </c>
      <c r="I106" s="5" t="s">
        <v>186</v>
      </c>
      <c r="J106" s="5" t="s">
        <v>202</v>
      </c>
      <c r="K106" s="5" t="s">
        <v>188</v>
      </c>
      <c r="L106" s="5" t="s">
        <v>189</v>
      </c>
      <c r="M106" s="8">
        <v>1987</v>
      </c>
      <c r="N106" s="5" t="s">
        <v>203</v>
      </c>
    </row>
    <row r="107" spans="1:14" ht="26.4" x14ac:dyDescent="0.3">
      <c r="A107" s="1"/>
      <c r="B107" s="5" t="s">
        <v>55</v>
      </c>
      <c r="C107" s="5" t="s">
        <v>500</v>
      </c>
      <c r="D107" s="5" t="s">
        <v>501</v>
      </c>
      <c r="E107" s="4" t="s">
        <v>183</v>
      </c>
      <c r="F107" s="4" t="s">
        <v>184</v>
      </c>
      <c r="G107" s="6" t="s">
        <v>502</v>
      </c>
      <c r="H107" s="8">
        <v>0</v>
      </c>
      <c r="I107" s="5" t="s">
        <v>186</v>
      </c>
      <c r="J107" s="5" t="s">
        <v>202</v>
      </c>
      <c r="K107" s="5" t="s">
        <v>188</v>
      </c>
      <c r="L107" s="5" t="s">
        <v>189</v>
      </c>
      <c r="M107" s="8">
        <v>24318</v>
      </c>
      <c r="N107" s="5" t="s">
        <v>203</v>
      </c>
    </row>
    <row r="108" spans="1:14" ht="26.4" x14ac:dyDescent="0.3">
      <c r="A108" s="1"/>
      <c r="B108" s="5" t="s">
        <v>55</v>
      </c>
      <c r="C108" s="5" t="s">
        <v>503</v>
      </c>
      <c r="D108" s="5" t="s">
        <v>504</v>
      </c>
      <c r="E108" s="4" t="s">
        <v>183</v>
      </c>
      <c r="F108" s="4" t="s">
        <v>184</v>
      </c>
      <c r="G108" s="6" t="s">
        <v>505</v>
      </c>
      <c r="H108" s="8">
        <v>0</v>
      </c>
      <c r="I108" s="5" t="s">
        <v>186</v>
      </c>
      <c r="J108" s="5" t="s">
        <v>202</v>
      </c>
      <c r="K108" s="5" t="s">
        <v>188</v>
      </c>
      <c r="L108" s="5" t="s">
        <v>189</v>
      </c>
      <c r="M108" s="8">
        <v>24693</v>
      </c>
      <c r="N108" s="5" t="s">
        <v>203</v>
      </c>
    </row>
    <row r="109" spans="1:14" ht="26.4" x14ac:dyDescent="0.3">
      <c r="A109" s="1"/>
      <c r="B109" s="5" t="s">
        <v>55</v>
      </c>
      <c r="C109" s="5" t="s">
        <v>503</v>
      </c>
      <c r="D109" s="5" t="s">
        <v>506</v>
      </c>
      <c r="E109" s="4" t="s">
        <v>183</v>
      </c>
      <c r="F109" s="4" t="s">
        <v>184</v>
      </c>
      <c r="G109" s="6" t="s">
        <v>507</v>
      </c>
      <c r="H109" s="8">
        <v>0</v>
      </c>
      <c r="I109" s="5" t="s">
        <v>186</v>
      </c>
      <c r="J109" s="5" t="s">
        <v>187</v>
      </c>
      <c r="K109" s="5" t="s">
        <v>188</v>
      </c>
      <c r="L109" s="5" t="s">
        <v>189</v>
      </c>
      <c r="M109" s="8">
        <v>500</v>
      </c>
      <c r="N109" s="5" t="s">
        <v>203</v>
      </c>
    </row>
    <row r="110" spans="1:14" ht="66" x14ac:dyDescent="0.3">
      <c r="A110" s="1"/>
      <c r="B110" s="5" t="s">
        <v>55</v>
      </c>
      <c r="C110" s="5" t="s">
        <v>503</v>
      </c>
      <c r="D110" s="5" t="s">
        <v>508</v>
      </c>
      <c r="E110" s="4" t="s">
        <v>183</v>
      </c>
      <c r="F110" s="4" t="s">
        <v>184</v>
      </c>
      <c r="G110" s="6" t="s">
        <v>509</v>
      </c>
      <c r="H110" s="8">
        <v>0</v>
      </c>
      <c r="I110" s="5" t="s">
        <v>186</v>
      </c>
      <c r="J110" s="5" t="s">
        <v>187</v>
      </c>
      <c r="K110" s="5" t="s">
        <v>188</v>
      </c>
      <c r="L110" s="5" t="s">
        <v>189</v>
      </c>
      <c r="M110" s="8">
        <v>8680</v>
      </c>
      <c r="N110" s="5" t="s">
        <v>203</v>
      </c>
    </row>
    <row r="111" spans="1:14" ht="66" x14ac:dyDescent="0.3">
      <c r="A111" s="1"/>
      <c r="B111" s="5" t="s">
        <v>55</v>
      </c>
      <c r="C111" s="5" t="s">
        <v>510</v>
      </c>
      <c r="D111" s="5" t="s">
        <v>430</v>
      </c>
      <c r="E111" s="4" t="s">
        <v>183</v>
      </c>
      <c r="F111" s="4" t="s">
        <v>184</v>
      </c>
      <c r="G111" s="6" t="s">
        <v>511</v>
      </c>
      <c r="H111" s="8">
        <v>0</v>
      </c>
      <c r="I111" s="5" t="s">
        <v>186</v>
      </c>
      <c r="J111" s="5" t="s">
        <v>202</v>
      </c>
      <c r="K111" s="5" t="s">
        <v>188</v>
      </c>
      <c r="L111" s="5" t="s">
        <v>189</v>
      </c>
      <c r="M111" s="8">
        <v>818</v>
      </c>
      <c r="N111" s="5" t="s">
        <v>203</v>
      </c>
    </row>
    <row r="112" spans="1:14" ht="26.4" x14ac:dyDescent="0.3">
      <c r="A112" s="1"/>
      <c r="B112" s="5" t="s">
        <v>55</v>
      </c>
      <c r="C112" s="5" t="s">
        <v>512</v>
      </c>
      <c r="D112" s="5" t="s">
        <v>513</v>
      </c>
      <c r="E112" s="4" t="s">
        <v>514</v>
      </c>
      <c r="F112" s="4" t="s">
        <v>515</v>
      </c>
      <c r="G112" s="6" t="s">
        <v>516</v>
      </c>
      <c r="H112" s="8">
        <v>0</v>
      </c>
      <c r="I112" s="5" t="s">
        <v>186</v>
      </c>
      <c r="J112" s="5" t="s">
        <v>187</v>
      </c>
      <c r="K112" s="5" t="s">
        <v>188</v>
      </c>
      <c r="L112" s="5" t="s">
        <v>195</v>
      </c>
      <c r="M112" s="8">
        <v>740</v>
      </c>
      <c r="N112" s="5" t="s">
        <v>203</v>
      </c>
    </row>
    <row r="113" spans="1:14" ht="52.8" x14ac:dyDescent="0.3">
      <c r="A113" s="1"/>
      <c r="B113" s="5" t="s">
        <v>55</v>
      </c>
      <c r="C113" s="5" t="s">
        <v>245</v>
      </c>
      <c r="D113" s="5" t="s">
        <v>271</v>
      </c>
      <c r="E113" s="4" t="s">
        <v>183</v>
      </c>
      <c r="F113" s="4" t="s">
        <v>184</v>
      </c>
      <c r="G113" s="6" t="s">
        <v>517</v>
      </c>
      <c r="H113" s="8">
        <v>0</v>
      </c>
      <c r="I113" s="5" t="s">
        <v>186</v>
      </c>
      <c r="J113" s="5" t="s">
        <v>202</v>
      </c>
      <c r="K113" s="5" t="s">
        <v>188</v>
      </c>
      <c r="L113" s="5" t="s">
        <v>189</v>
      </c>
      <c r="M113" s="8">
        <v>1422</v>
      </c>
      <c r="N113" s="5" t="s">
        <v>203</v>
      </c>
    </row>
    <row r="114" spans="1:14" ht="39.6" x14ac:dyDescent="0.3">
      <c r="A114" s="1"/>
      <c r="B114" s="5" t="s">
        <v>55</v>
      </c>
      <c r="C114" s="5" t="s">
        <v>245</v>
      </c>
      <c r="D114" s="5" t="s">
        <v>518</v>
      </c>
      <c r="E114" s="4" t="s">
        <v>183</v>
      </c>
      <c r="F114" s="4" t="s">
        <v>184</v>
      </c>
      <c r="G114" s="6" t="s">
        <v>519</v>
      </c>
      <c r="H114" s="8">
        <v>0</v>
      </c>
      <c r="I114" s="5" t="s">
        <v>186</v>
      </c>
      <c r="J114" s="5" t="s">
        <v>202</v>
      </c>
      <c r="K114" s="5" t="s">
        <v>188</v>
      </c>
      <c r="L114" s="5" t="s">
        <v>189</v>
      </c>
      <c r="M114" s="8">
        <v>1941</v>
      </c>
      <c r="N114" s="5" t="s">
        <v>203</v>
      </c>
    </row>
    <row r="115" spans="1:14" ht="52.8" x14ac:dyDescent="0.3">
      <c r="A115" s="1"/>
      <c r="B115" s="5" t="s">
        <v>55</v>
      </c>
      <c r="C115" s="5" t="s">
        <v>520</v>
      </c>
      <c r="D115" s="5" t="s">
        <v>521</v>
      </c>
      <c r="E115" s="4" t="s">
        <v>183</v>
      </c>
      <c r="F115" s="4" t="s">
        <v>184</v>
      </c>
      <c r="G115" s="6" t="s">
        <v>522</v>
      </c>
      <c r="H115" s="8">
        <v>0</v>
      </c>
      <c r="I115" s="5" t="s">
        <v>186</v>
      </c>
      <c r="J115" s="5" t="s">
        <v>202</v>
      </c>
      <c r="K115" s="5" t="s">
        <v>188</v>
      </c>
      <c r="L115" s="5" t="s">
        <v>189</v>
      </c>
      <c r="M115" s="8">
        <v>642</v>
      </c>
      <c r="N115" s="5" t="s">
        <v>203</v>
      </c>
    </row>
    <row r="116" spans="1:14" ht="39.6" x14ac:dyDescent="0.3">
      <c r="A116" s="1"/>
      <c r="B116" s="5" t="s">
        <v>55</v>
      </c>
      <c r="C116" s="5" t="s">
        <v>523</v>
      </c>
      <c r="D116" s="5" t="s">
        <v>524</v>
      </c>
      <c r="E116" s="4" t="s">
        <v>183</v>
      </c>
      <c r="F116" s="4" t="s">
        <v>184</v>
      </c>
      <c r="G116" s="6" t="s">
        <v>525</v>
      </c>
      <c r="H116" s="8">
        <v>0</v>
      </c>
      <c r="I116" s="5" t="s">
        <v>186</v>
      </c>
      <c r="J116" s="5" t="s">
        <v>202</v>
      </c>
      <c r="K116" s="5" t="s">
        <v>188</v>
      </c>
      <c r="L116" s="5" t="s">
        <v>189</v>
      </c>
      <c r="M116" s="8">
        <v>1110</v>
      </c>
      <c r="N116" s="5" t="s">
        <v>203</v>
      </c>
    </row>
    <row r="117" spans="1:14" x14ac:dyDescent="0.3">
      <c r="A117" s="1"/>
      <c r="B117" s="5" t="s">
        <v>526</v>
      </c>
      <c r="C117" s="5" t="s">
        <v>527</v>
      </c>
      <c r="D117" s="5" t="s">
        <v>528</v>
      </c>
      <c r="E117" s="4" t="s">
        <v>529</v>
      </c>
      <c r="F117" s="4" t="s">
        <v>530</v>
      </c>
      <c r="G117" s="6" t="s">
        <v>531</v>
      </c>
      <c r="H117" s="8">
        <v>0</v>
      </c>
      <c r="I117" s="5" t="s">
        <v>186</v>
      </c>
      <c r="J117" s="5" t="s">
        <v>187</v>
      </c>
      <c r="K117" s="5" t="s">
        <v>188</v>
      </c>
      <c r="L117" s="5" t="s">
        <v>195</v>
      </c>
      <c r="M117" s="8">
        <v>17761</v>
      </c>
      <c r="N117" s="5" t="s">
        <v>203</v>
      </c>
    </row>
    <row r="118" spans="1:14" x14ac:dyDescent="0.3">
      <c r="A118" s="1"/>
      <c r="B118" s="5" t="s">
        <v>526</v>
      </c>
      <c r="C118" s="5" t="s">
        <v>532</v>
      </c>
      <c r="D118" s="5" t="s">
        <v>533</v>
      </c>
      <c r="E118" s="4" t="s">
        <v>423</v>
      </c>
      <c r="F118" s="4" t="s">
        <v>534</v>
      </c>
      <c r="G118" s="6" t="s">
        <v>531</v>
      </c>
      <c r="H118" s="8">
        <v>0</v>
      </c>
      <c r="I118" s="5" t="s">
        <v>186</v>
      </c>
      <c r="J118" s="5" t="s">
        <v>187</v>
      </c>
      <c r="K118" s="5" t="s">
        <v>188</v>
      </c>
      <c r="L118" s="5" t="s">
        <v>195</v>
      </c>
      <c r="M118" s="8">
        <v>22480</v>
      </c>
      <c r="N118" s="5" t="s">
        <v>203</v>
      </c>
    </row>
    <row r="119" spans="1:14" x14ac:dyDescent="0.3">
      <c r="A119" s="1"/>
      <c r="B119" s="5" t="s">
        <v>526</v>
      </c>
      <c r="C119" s="5" t="s">
        <v>532</v>
      </c>
      <c r="D119" s="5" t="s">
        <v>535</v>
      </c>
      <c r="E119" s="4" t="s">
        <v>423</v>
      </c>
      <c r="F119" s="4" t="s">
        <v>534</v>
      </c>
      <c r="G119" s="6" t="s">
        <v>531</v>
      </c>
      <c r="H119" s="8">
        <v>0</v>
      </c>
      <c r="I119" s="5" t="s">
        <v>186</v>
      </c>
      <c r="J119" s="5" t="s">
        <v>187</v>
      </c>
      <c r="K119" s="5" t="s">
        <v>188</v>
      </c>
      <c r="L119" s="5" t="s">
        <v>195</v>
      </c>
      <c r="M119" s="8">
        <v>22481</v>
      </c>
      <c r="N119" s="5" t="s">
        <v>203</v>
      </c>
    </row>
    <row r="120" spans="1:14" x14ac:dyDescent="0.3">
      <c r="A120" s="1"/>
      <c r="B120" s="5" t="s">
        <v>526</v>
      </c>
      <c r="C120" s="5" t="s">
        <v>532</v>
      </c>
      <c r="D120" s="5" t="s">
        <v>536</v>
      </c>
      <c r="E120" s="4" t="s">
        <v>529</v>
      </c>
      <c r="F120" s="4" t="s">
        <v>530</v>
      </c>
      <c r="G120" s="6" t="s">
        <v>531</v>
      </c>
      <c r="H120" s="8">
        <v>0</v>
      </c>
      <c r="I120" s="5" t="s">
        <v>186</v>
      </c>
      <c r="J120" s="5" t="s">
        <v>187</v>
      </c>
      <c r="K120" s="5" t="s">
        <v>188</v>
      </c>
      <c r="L120" s="5" t="s">
        <v>195</v>
      </c>
      <c r="M120" s="8">
        <v>22478</v>
      </c>
      <c r="N120" s="5" t="s">
        <v>203</v>
      </c>
    </row>
    <row r="121" spans="1:14" x14ac:dyDescent="0.3">
      <c r="A121" s="1"/>
      <c r="B121" s="5" t="s">
        <v>151</v>
      </c>
      <c r="C121" s="5" t="s">
        <v>537</v>
      </c>
      <c r="D121" s="5" t="s">
        <v>274</v>
      </c>
      <c r="E121" s="4" t="s">
        <v>538</v>
      </c>
      <c r="F121" s="4" t="s">
        <v>184</v>
      </c>
      <c r="G121" s="6" t="s">
        <v>539</v>
      </c>
      <c r="H121" s="8">
        <v>11.997999999999999</v>
      </c>
      <c r="I121" s="5" t="s">
        <v>540</v>
      </c>
      <c r="J121" s="5" t="s">
        <v>187</v>
      </c>
      <c r="K121" s="5" t="s">
        <v>188</v>
      </c>
      <c r="L121" s="5" t="s">
        <v>195</v>
      </c>
      <c r="M121" s="8">
        <v>42</v>
      </c>
      <c r="N121" s="5" t="s">
        <v>190</v>
      </c>
    </row>
    <row r="122" spans="1:14" x14ac:dyDescent="0.3">
      <c r="A122" s="1"/>
      <c r="B122" s="5" t="s">
        <v>151</v>
      </c>
      <c r="C122" s="5" t="s">
        <v>541</v>
      </c>
      <c r="D122" s="5" t="s">
        <v>542</v>
      </c>
      <c r="E122" s="4" t="s">
        <v>183</v>
      </c>
      <c r="F122" s="4" t="s">
        <v>184</v>
      </c>
      <c r="G122" s="6" t="s">
        <v>543</v>
      </c>
      <c r="H122" s="8">
        <v>0</v>
      </c>
      <c r="I122" s="5" t="s">
        <v>186</v>
      </c>
      <c r="J122" s="5" t="s">
        <v>202</v>
      </c>
      <c r="K122" s="5" t="s">
        <v>188</v>
      </c>
      <c r="L122" s="5" t="s">
        <v>189</v>
      </c>
      <c r="M122" s="8">
        <v>681</v>
      </c>
      <c r="N122" s="5" t="s">
        <v>203</v>
      </c>
    </row>
    <row r="123" spans="1:14" x14ac:dyDescent="0.3">
      <c r="A123" s="1"/>
      <c r="B123" s="5" t="s">
        <v>151</v>
      </c>
      <c r="C123" s="5" t="s">
        <v>541</v>
      </c>
      <c r="D123" s="5" t="s">
        <v>544</v>
      </c>
      <c r="E123" s="4" t="s">
        <v>183</v>
      </c>
      <c r="F123" s="4" t="s">
        <v>184</v>
      </c>
      <c r="G123" s="6" t="s">
        <v>545</v>
      </c>
      <c r="H123" s="8">
        <v>0</v>
      </c>
      <c r="I123" s="5" t="s">
        <v>186</v>
      </c>
      <c r="J123" s="5" t="s">
        <v>187</v>
      </c>
      <c r="K123" s="5" t="s">
        <v>188</v>
      </c>
      <c r="L123" s="5" t="s">
        <v>189</v>
      </c>
      <c r="M123" s="8">
        <v>680</v>
      </c>
      <c r="N123" s="5" t="s">
        <v>203</v>
      </c>
    </row>
    <row r="124" spans="1:14" x14ac:dyDescent="0.3">
      <c r="A124" s="1"/>
      <c r="B124" s="5" t="s">
        <v>164</v>
      </c>
      <c r="C124" s="5" t="s">
        <v>546</v>
      </c>
      <c r="D124" s="5" t="s">
        <v>73</v>
      </c>
      <c r="E124" s="4" t="s">
        <v>183</v>
      </c>
      <c r="F124" s="4" t="s">
        <v>184</v>
      </c>
      <c r="G124" s="6" t="s">
        <v>547</v>
      </c>
      <c r="H124" s="8">
        <v>0</v>
      </c>
      <c r="I124" s="5" t="s">
        <v>186</v>
      </c>
      <c r="J124" s="5" t="s">
        <v>202</v>
      </c>
      <c r="K124" s="5" t="s">
        <v>188</v>
      </c>
      <c r="L124" s="5" t="s">
        <v>189</v>
      </c>
      <c r="M124" s="8">
        <v>258</v>
      </c>
      <c r="N124" s="5" t="s">
        <v>190</v>
      </c>
    </row>
    <row r="125" spans="1:14" ht="39.6" x14ac:dyDescent="0.3">
      <c r="A125" s="1"/>
      <c r="B125" s="5" t="s">
        <v>49</v>
      </c>
      <c r="C125" s="5" t="s">
        <v>548</v>
      </c>
      <c r="D125" s="5" t="s">
        <v>549</v>
      </c>
      <c r="E125" s="4" t="s">
        <v>183</v>
      </c>
      <c r="F125" s="4" t="s">
        <v>184</v>
      </c>
      <c r="G125" s="6" t="s">
        <v>550</v>
      </c>
      <c r="H125" s="8">
        <v>0</v>
      </c>
      <c r="I125" s="5" t="s">
        <v>186</v>
      </c>
      <c r="J125" s="5" t="s">
        <v>202</v>
      </c>
      <c r="K125" s="5" t="s">
        <v>188</v>
      </c>
      <c r="L125" s="5" t="s">
        <v>189</v>
      </c>
      <c r="M125" s="8">
        <v>22651</v>
      </c>
      <c r="N125" s="5" t="s">
        <v>203</v>
      </c>
    </row>
    <row r="126" spans="1:14" ht="26.4" x14ac:dyDescent="0.3">
      <c r="A126" s="1"/>
      <c r="B126" s="5" t="s">
        <v>49</v>
      </c>
      <c r="C126" s="5" t="s">
        <v>548</v>
      </c>
      <c r="D126" s="5" t="s">
        <v>551</v>
      </c>
      <c r="E126" s="4" t="s">
        <v>183</v>
      </c>
      <c r="F126" s="4" t="s">
        <v>184</v>
      </c>
      <c r="G126" s="6" t="s">
        <v>552</v>
      </c>
      <c r="H126" s="8">
        <v>0</v>
      </c>
      <c r="I126" s="5" t="s">
        <v>186</v>
      </c>
      <c r="J126" s="5" t="s">
        <v>187</v>
      </c>
      <c r="K126" s="5" t="s">
        <v>188</v>
      </c>
      <c r="L126" s="5" t="s">
        <v>189</v>
      </c>
      <c r="M126" s="8">
        <v>22636</v>
      </c>
      <c r="N126" s="5" t="s">
        <v>203</v>
      </c>
    </row>
    <row r="127" spans="1:14" ht="39.6" x14ac:dyDescent="0.3">
      <c r="A127" s="1"/>
      <c r="B127" s="5" t="s">
        <v>49</v>
      </c>
      <c r="C127" s="5" t="s">
        <v>553</v>
      </c>
      <c r="D127" s="5" t="s">
        <v>554</v>
      </c>
      <c r="E127" s="4" t="s">
        <v>183</v>
      </c>
      <c r="F127" s="4" t="s">
        <v>184</v>
      </c>
      <c r="G127" s="6" t="s">
        <v>555</v>
      </c>
      <c r="H127" s="8">
        <v>0</v>
      </c>
      <c r="I127" s="5" t="s">
        <v>186</v>
      </c>
      <c r="J127" s="5" t="s">
        <v>202</v>
      </c>
      <c r="K127" s="5" t="s">
        <v>188</v>
      </c>
      <c r="L127" s="5" t="s">
        <v>189</v>
      </c>
      <c r="M127" s="8">
        <v>13666</v>
      </c>
      <c r="N127" s="5" t="s">
        <v>203</v>
      </c>
    </row>
    <row r="128" spans="1:14" ht="39.6" x14ac:dyDescent="0.3">
      <c r="A128" s="1"/>
      <c r="B128" s="5" t="s">
        <v>49</v>
      </c>
      <c r="C128" s="5" t="s">
        <v>556</v>
      </c>
      <c r="D128" s="5" t="s">
        <v>557</v>
      </c>
      <c r="E128" s="4" t="s">
        <v>183</v>
      </c>
      <c r="F128" s="4" t="s">
        <v>184</v>
      </c>
      <c r="G128" s="6" t="s">
        <v>558</v>
      </c>
      <c r="H128" s="8">
        <v>0</v>
      </c>
      <c r="I128" s="5" t="s">
        <v>186</v>
      </c>
      <c r="J128" s="5" t="s">
        <v>202</v>
      </c>
      <c r="K128" s="5" t="s">
        <v>188</v>
      </c>
      <c r="L128" s="5" t="s">
        <v>189</v>
      </c>
      <c r="M128" s="8">
        <v>13658</v>
      </c>
      <c r="N128" s="5" t="s">
        <v>203</v>
      </c>
    </row>
    <row r="129" spans="1:14" ht="26.4" x14ac:dyDescent="0.3">
      <c r="A129" s="1"/>
      <c r="B129" s="5" t="s">
        <v>49</v>
      </c>
      <c r="C129" s="5" t="s">
        <v>556</v>
      </c>
      <c r="D129" s="5" t="s">
        <v>559</v>
      </c>
      <c r="E129" s="4" t="s">
        <v>183</v>
      </c>
      <c r="F129" s="4" t="s">
        <v>184</v>
      </c>
      <c r="G129" s="6" t="s">
        <v>560</v>
      </c>
      <c r="H129" s="8">
        <v>0</v>
      </c>
      <c r="I129" s="5" t="s">
        <v>186</v>
      </c>
      <c r="J129" s="5" t="s">
        <v>187</v>
      </c>
      <c r="K129" s="5" t="s">
        <v>188</v>
      </c>
      <c r="L129" s="5" t="s">
        <v>189</v>
      </c>
      <c r="M129" s="8">
        <v>23317</v>
      </c>
      <c r="N129" s="5" t="s">
        <v>203</v>
      </c>
    </row>
    <row r="130" spans="1:14" ht="52.8" x14ac:dyDescent="0.3">
      <c r="A130" s="1"/>
      <c r="B130" s="5" t="s">
        <v>49</v>
      </c>
      <c r="C130" s="5" t="s">
        <v>561</v>
      </c>
      <c r="D130" s="5" t="s">
        <v>562</v>
      </c>
      <c r="E130" s="4" t="s">
        <v>183</v>
      </c>
      <c r="F130" s="4" t="s">
        <v>184</v>
      </c>
      <c r="G130" s="6" t="s">
        <v>563</v>
      </c>
      <c r="H130" s="8">
        <v>0</v>
      </c>
      <c r="I130" s="5" t="s">
        <v>186</v>
      </c>
      <c r="J130" s="5" t="s">
        <v>202</v>
      </c>
      <c r="K130" s="5" t="s">
        <v>188</v>
      </c>
      <c r="L130" s="5" t="s">
        <v>189</v>
      </c>
      <c r="M130" s="8">
        <v>17377</v>
      </c>
      <c r="N130" s="5" t="s">
        <v>203</v>
      </c>
    </row>
    <row r="131" spans="1:14" ht="39.6" x14ac:dyDescent="0.3">
      <c r="A131" s="1"/>
      <c r="B131" s="5" t="s">
        <v>49</v>
      </c>
      <c r="C131" s="5" t="s">
        <v>564</v>
      </c>
      <c r="D131" s="5" t="s">
        <v>565</v>
      </c>
      <c r="E131" s="4" t="s">
        <v>183</v>
      </c>
      <c r="F131" s="4" t="s">
        <v>184</v>
      </c>
      <c r="G131" s="6" t="s">
        <v>566</v>
      </c>
      <c r="H131" s="8">
        <v>0</v>
      </c>
      <c r="I131" s="5" t="s">
        <v>186</v>
      </c>
      <c r="J131" s="5" t="s">
        <v>187</v>
      </c>
      <c r="K131" s="5" t="s">
        <v>188</v>
      </c>
      <c r="L131" s="5" t="s">
        <v>189</v>
      </c>
      <c r="M131" s="8">
        <v>11823</v>
      </c>
      <c r="N131" s="5" t="s">
        <v>203</v>
      </c>
    </row>
    <row r="132" spans="1:14" ht="26.4" x14ac:dyDescent="0.3">
      <c r="A132" s="1"/>
      <c r="B132" s="5" t="s">
        <v>49</v>
      </c>
      <c r="C132" s="5" t="s">
        <v>564</v>
      </c>
      <c r="D132" s="5" t="s">
        <v>567</v>
      </c>
      <c r="E132" s="4" t="s">
        <v>183</v>
      </c>
      <c r="F132" s="4" t="s">
        <v>184</v>
      </c>
      <c r="G132" s="6" t="s">
        <v>568</v>
      </c>
      <c r="H132" s="8">
        <v>0</v>
      </c>
      <c r="I132" s="5" t="s">
        <v>186</v>
      </c>
      <c r="J132" s="5" t="s">
        <v>202</v>
      </c>
      <c r="K132" s="5" t="s">
        <v>188</v>
      </c>
      <c r="L132" s="5" t="s">
        <v>189</v>
      </c>
      <c r="M132" s="8">
        <v>1344</v>
      </c>
      <c r="N132" s="5" t="s">
        <v>203</v>
      </c>
    </row>
    <row r="133" spans="1:14" x14ac:dyDescent="0.3">
      <c r="A133" s="1"/>
      <c r="B133" s="5" t="s">
        <v>49</v>
      </c>
      <c r="C133" s="5" t="s">
        <v>569</v>
      </c>
      <c r="D133" s="5" t="s">
        <v>570</v>
      </c>
      <c r="E133" s="4" t="s">
        <v>183</v>
      </c>
      <c r="F133" s="4" t="s">
        <v>184</v>
      </c>
      <c r="G133" s="6" t="s">
        <v>571</v>
      </c>
      <c r="H133" s="8">
        <v>0</v>
      </c>
      <c r="I133" s="5" t="s">
        <v>186</v>
      </c>
      <c r="J133" s="5" t="s">
        <v>187</v>
      </c>
      <c r="K133" s="5" t="s">
        <v>188</v>
      </c>
      <c r="L133" s="5" t="s">
        <v>189</v>
      </c>
      <c r="M133" s="8">
        <v>21426</v>
      </c>
      <c r="N133" s="5" t="s">
        <v>203</v>
      </c>
    </row>
    <row r="134" spans="1:14" ht="26.4" x14ac:dyDescent="0.3">
      <c r="A134" s="1"/>
      <c r="B134" s="5" t="s">
        <v>49</v>
      </c>
      <c r="C134" s="5" t="s">
        <v>572</v>
      </c>
      <c r="D134" s="5" t="s">
        <v>573</v>
      </c>
      <c r="E134" s="4" t="s">
        <v>183</v>
      </c>
      <c r="F134" s="4" t="s">
        <v>184</v>
      </c>
      <c r="G134" s="6" t="s">
        <v>574</v>
      </c>
      <c r="H134" s="8">
        <v>0</v>
      </c>
      <c r="I134" s="5" t="s">
        <v>186</v>
      </c>
      <c r="J134" s="5" t="s">
        <v>187</v>
      </c>
      <c r="K134" s="5" t="s">
        <v>188</v>
      </c>
      <c r="L134" s="5" t="s">
        <v>189</v>
      </c>
      <c r="M134" s="8">
        <v>13664</v>
      </c>
      <c r="N134" s="5" t="s">
        <v>203</v>
      </c>
    </row>
    <row r="135" spans="1:14" x14ac:dyDescent="0.3">
      <c r="A135" s="1"/>
      <c r="B135" s="5" t="s">
        <v>49</v>
      </c>
      <c r="C135" s="5" t="s">
        <v>575</v>
      </c>
      <c r="D135" s="5" t="s">
        <v>576</v>
      </c>
      <c r="E135" s="4" t="s">
        <v>183</v>
      </c>
      <c r="F135" s="4" t="s">
        <v>184</v>
      </c>
      <c r="G135" s="6" t="s">
        <v>577</v>
      </c>
      <c r="H135" s="8">
        <v>0</v>
      </c>
      <c r="I135" s="5" t="s">
        <v>186</v>
      </c>
      <c r="J135" s="5" t="s">
        <v>202</v>
      </c>
      <c r="K135" s="5" t="s">
        <v>188</v>
      </c>
      <c r="L135" s="5" t="s">
        <v>189</v>
      </c>
      <c r="M135" s="8">
        <v>17410</v>
      </c>
      <c r="N135" s="5" t="s">
        <v>203</v>
      </c>
    </row>
    <row r="136" spans="1:14" ht="39.6" x14ac:dyDescent="0.3">
      <c r="A136" s="1"/>
      <c r="B136" s="5" t="s">
        <v>49</v>
      </c>
      <c r="C136" s="5" t="s">
        <v>578</v>
      </c>
      <c r="D136" s="5" t="s">
        <v>579</v>
      </c>
      <c r="E136" s="4" t="s">
        <v>183</v>
      </c>
      <c r="F136" s="4" t="s">
        <v>184</v>
      </c>
      <c r="G136" s="6" t="s">
        <v>580</v>
      </c>
      <c r="H136" s="8">
        <v>0</v>
      </c>
      <c r="I136" s="5" t="s">
        <v>236</v>
      </c>
      <c r="J136" s="5" t="s">
        <v>202</v>
      </c>
      <c r="K136" s="5" t="s">
        <v>188</v>
      </c>
      <c r="L136" s="5" t="s">
        <v>189</v>
      </c>
      <c r="M136" s="8">
        <v>15047</v>
      </c>
      <c r="N136" s="5" t="s">
        <v>203</v>
      </c>
    </row>
    <row r="137" spans="1:14" ht="26.4" x14ac:dyDescent="0.3">
      <c r="A137" s="1"/>
      <c r="B137" s="5" t="s">
        <v>49</v>
      </c>
      <c r="C137" s="5" t="s">
        <v>578</v>
      </c>
      <c r="D137" s="5" t="s">
        <v>579</v>
      </c>
      <c r="E137" s="4" t="s">
        <v>183</v>
      </c>
      <c r="F137" s="4" t="s">
        <v>184</v>
      </c>
      <c r="G137" s="6" t="s">
        <v>581</v>
      </c>
      <c r="H137" s="8">
        <v>0</v>
      </c>
      <c r="I137" s="5" t="s">
        <v>236</v>
      </c>
      <c r="J137" s="5" t="s">
        <v>202</v>
      </c>
      <c r="K137" s="5" t="s">
        <v>188</v>
      </c>
      <c r="L137" s="5" t="s">
        <v>189</v>
      </c>
      <c r="M137" s="8">
        <v>15047</v>
      </c>
      <c r="N137" s="5" t="s">
        <v>203</v>
      </c>
    </row>
    <row r="138" spans="1:14" ht="39.6" x14ac:dyDescent="0.3">
      <c r="A138" s="1"/>
      <c r="B138" s="5" t="s">
        <v>49</v>
      </c>
      <c r="C138" s="5" t="s">
        <v>582</v>
      </c>
      <c r="D138" s="5" t="s">
        <v>583</v>
      </c>
      <c r="E138" s="4" t="s">
        <v>183</v>
      </c>
      <c r="F138" s="4" t="s">
        <v>184</v>
      </c>
      <c r="G138" s="6" t="s">
        <v>584</v>
      </c>
      <c r="H138" s="8">
        <v>0</v>
      </c>
      <c r="I138" s="5" t="s">
        <v>186</v>
      </c>
      <c r="J138" s="5" t="s">
        <v>202</v>
      </c>
      <c r="K138" s="5" t="s">
        <v>188</v>
      </c>
      <c r="L138" s="5" t="s">
        <v>189</v>
      </c>
      <c r="M138" s="8">
        <v>17424</v>
      </c>
      <c r="N138" s="5" t="s">
        <v>203</v>
      </c>
    </row>
    <row r="139" spans="1:14" ht="52.8" x14ac:dyDescent="0.3">
      <c r="A139" s="1"/>
      <c r="B139" s="5" t="s">
        <v>49</v>
      </c>
      <c r="C139" s="5" t="s">
        <v>582</v>
      </c>
      <c r="D139" s="5" t="s">
        <v>271</v>
      </c>
      <c r="E139" s="4" t="s">
        <v>183</v>
      </c>
      <c r="F139" s="4" t="s">
        <v>184</v>
      </c>
      <c r="G139" s="6" t="s">
        <v>585</v>
      </c>
      <c r="H139" s="8">
        <v>0</v>
      </c>
      <c r="I139" s="5" t="s">
        <v>186</v>
      </c>
      <c r="J139" s="5" t="s">
        <v>202</v>
      </c>
      <c r="K139" s="5" t="s">
        <v>188</v>
      </c>
      <c r="L139" s="5" t="s">
        <v>189</v>
      </c>
      <c r="M139" s="8">
        <v>17419</v>
      </c>
      <c r="N139" s="5" t="s">
        <v>203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8" t="s">
        <v>0</v>
      </c>
      <c r="B3" s="199"/>
      <c r="C3" s="199"/>
      <c r="D3" s="199"/>
      <c r="E3" s="199"/>
      <c r="F3" s="201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586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587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J51" activePane="bottomRight" state="frozen"/>
      <selection pane="topRight" activeCell="C1" sqref="C1"/>
      <selection pane="bottomLeft" activeCell="A11" sqref="A11"/>
      <selection pane="bottomRight" activeCell="FM59" sqref="FM59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7" t="s">
        <v>588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03" t="s">
        <v>589</v>
      </c>
      <c r="FP5" s="202"/>
      <c r="FQ5" s="202"/>
      <c r="FR5" s="202"/>
      <c r="FS5" s="202"/>
      <c r="FT5" s="202"/>
      <c r="FU5" s="202"/>
      <c r="FV5" s="202"/>
      <c r="FW5" s="202"/>
    </row>
    <row r="6" spans="1:179" ht="22.05" hidden="1" customHeight="1" x14ac:dyDescent="0.3">
      <c r="A6" s="206" t="s">
        <v>63</v>
      </c>
      <c r="B6" s="206" t="s">
        <v>590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591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2" t="s">
        <v>592</v>
      </c>
    </row>
    <row r="7" spans="1:179" ht="15" hidden="1" customHeight="1" x14ac:dyDescent="0.3">
      <c r="A7" s="206"/>
      <c r="B7" s="206"/>
      <c r="C7" s="9" t="s">
        <v>593</v>
      </c>
      <c r="D7" s="9" t="s">
        <v>594</v>
      </c>
      <c r="E7" s="9" t="s">
        <v>594</v>
      </c>
      <c r="F7" s="9" t="s">
        <v>595</v>
      </c>
      <c r="G7" s="9" t="s">
        <v>595</v>
      </c>
      <c r="H7" s="9" t="s">
        <v>595</v>
      </c>
      <c r="I7" s="9" t="s">
        <v>595</v>
      </c>
      <c r="J7" s="9" t="s">
        <v>594</v>
      </c>
      <c r="K7" s="9" t="s">
        <v>594</v>
      </c>
      <c r="L7" s="9" t="s">
        <v>594</v>
      </c>
      <c r="M7" s="9" t="s">
        <v>594</v>
      </c>
      <c r="N7" s="9" t="s">
        <v>594</v>
      </c>
      <c r="O7" s="9" t="s">
        <v>594</v>
      </c>
      <c r="P7" s="9" t="s">
        <v>594</v>
      </c>
      <c r="Q7" s="9" t="s">
        <v>594</v>
      </c>
      <c r="R7" s="9" t="s">
        <v>594</v>
      </c>
      <c r="S7" s="9" t="s">
        <v>594</v>
      </c>
      <c r="T7" s="9" t="s">
        <v>594</v>
      </c>
      <c r="U7" s="9" t="s">
        <v>594</v>
      </c>
      <c r="V7" s="9" t="s">
        <v>594</v>
      </c>
      <c r="W7" s="9" t="s">
        <v>593</v>
      </c>
      <c r="X7" s="9" t="s">
        <v>593</v>
      </c>
      <c r="Y7" s="9" t="s">
        <v>593</v>
      </c>
      <c r="Z7" s="9" t="s">
        <v>594</v>
      </c>
      <c r="AA7" s="9" t="s">
        <v>593</v>
      </c>
      <c r="AB7" s="9" t="s">
        <v>593</v>
      </c>
      <c r="AC7" s="9" t="s">
        <v>593</v>
      </c>
      <c r="AD7" s="9" t="s">
        <v>593</v>
      </c>
      <c r="AE7" s="9" t="s">
        <v>593</v>
      </c>
      <c r="AF7" s="9" t="s">
        <v>593</v>
      </c>
      <c r="AG7" s="9" t="s">
        <v>593</v>
      </c>
      <c r="AH7" s="9" t="s">
        <v>594</v>
      </c>
      <c r="AI7" s="9" t="s">
        <v>595</v>
      </c>
      <c r="AJ7" s="9" t="s">
        <v>595</v>
      </c>
      <c r="AK7" s="9" t="s">
        <v>595</v>
      </c>
      <c r="AL7" s="9" t="s">
        <v>594</v>
      </c>
      <c r="AM7" s="9" t="s">
        <v>594</v>
      </c>
      <c r="AN7" s="9" t="s">
        <v>594</v>
      </c>
      <c r="AO7" s="9" t="s">
        <v>594</v>
      </c>
      <c r="AP7" s="9" t="s">
        <v>594</v>
      </c>
      <c r="AQ7" s="9" t="s">
        <v>594</v>
      </c>
      <c r="AR7" s="9" t="s">
        <v>594</v>
      </c>
      <c r="AS7" s="9" t="s">
        <v>593</v>
      </c>
      <c r="AT7" s="9" t="s">
        <v>594</v>
      </c>
      <c r="AU7" s="9" t="s">
        <v>594</v>
      </c>
      <c r="AV7" s="9" t="s">
        <v>594</v>
      </c>
      <c r="AW7" s="9" t="s">
        <v>594</v>
      </c>
      <c r="AX7" s="9" t="s">
        <v>594</v>
      </c>
      <c r="AY7" s="9" t="s">
        <v>594</v>
      </c>
      <c r="AZ7" s="9" t="s">
        <v>593</v>
      </c>
      <c r="BA7" s="9" t="s">
        <v>595</v>
      </c>
      <c r="BB7" s="9" t="s">
        <v>594</v>
      </c>
      <c r="BC7" s="9" t="s">
        <v>594</v>
      </c>
      <c r="BD7" s="9" t="s">
        <v>594</v>
      </c>
      <c r="BE7" s="9" t="s">
        <v>594</v>
      </c>
      <c r="BF7" s="9" t="s">
        <v>595</v>
      </c>
      <c r="BG7" s="9" t="s">
        <v>595</v>
      </c>
      <c r="BH7" s="9" t="s">
        <v>595</v>
      </c>
      <c r="BI7" s="9" t="s">
        <v>593</v>
      </c>
      <c r="BJ7" s="9" t="s">
        <v>593</v>
      </c>
      <c r="BK7" s="9" t="s">
        <v>593</v>
      </c>
      <c r="BL7" s="9" t="s">
        <v>594</v>
      </c>
      <c r="BM7" s="9" t="s">
        <v>594</v>
      </c>
      <c r="BN7" s="9" t="s">
        <v>594</v>
      </c>
      <c r="BO7" s="9" t="s">
        <v>594</v>
      </c>
      <c r="BP7" s="9" t="s">
        <v>594</v>
      </c>
      <c r="BQ7" s="9" t="s">
        <v>594</v>
      </c>
      <c r="BR7" s="9" t="s">
        <v>594</v>
      </c>
      <c r="BS7" s="9" t="s">
        <v>593</v>
      </c>
      <c r="BT7" s="9" t="s">
        <v>593</v>
      </c>
      <c r="BU7" s="9" t="s">
        <v>593</v>
      </c>
      <c r="BV7" s="9" t="s">
        <v>595</v>
      </c>
      <c r="BW7" s="9" t="s">
        <v>593</v>
      </c>
      <c r="BX7" s="9" t="s">
        <v>594</v>
      </c>
      <c r="BY7" s="9" t="s">
        <v>595</v>
      </c>
      <c r="BZ7" s="9" t="s">
        <v>594</v>
      </c>
      <c r="CA7" s="9" t="s">
        <v>594</v>
      </c>
      <c r="CB7" s="9" t="s">
        <v>594</v>
      </c>
      <c r="CC7" s="9" t="s">
        <v>594</v>
      </c>
      <c r="CD7" s="9" t="s">
        <v>594</v>
      </c>
      <c r="CE7" s="9" t="s">
        <v>594</v>
      </c>
      <c r="CF7" s="9" t="s">
        <v>594</v>
      </c>
      <c r="CG7" s="9" t="s">
        <v>594</v>
      </c>
      <c r="CH7" s="9" t="s">
        <v>594</v>
      </c>
      <c r="CI7" s="9" t="s">
        <v>594</v>
      </c>
      <c r="CJ7" s="9" t="s">
        <v>594</v>
      </c>
      <c r="CK7" s="9" t="s">
        <v>594</v>
      </c>
      <c r="CL7" s="9" t="s">
        <v>593</v>
      </c>
      <c r="CM7" s="9" t="s">
        <v>593</v>
      </c>
      <c r="CN7" s="9" t="s">
        <v>593</v>
      </c>
      <c r="CO7" s="9" t="s">
        <v>593</v>
      </c>
      <c r="CP7" s="9" t="s">
        <v>594</v>
      </c>
      <c r="CQ7" s="9" t="s">
        <v>594</v>
      </c>
      <c r="CR7" s="9" t="s">
        <v>594</v>
      </c>
      <c r="CS7" s="9" t="s">
        <v>594</v>
      </c>
      <c r="CT7" s="9" t="s">
        <v>595</v>
      </c>
      <c r="CU7" s="9" t="s">
        <v>594</v>
      </c>
      <c r="CV7" s="9" t="s">
        <v>594</v>
      </c>
      <c r="CW7" s="9" t="s">
        <v>593</v>
      </c>
      <c r="CX7" s="9" t="s">
        <v>595</v>
      </c>
      <c r="CY7" s="9" t="s">
        <v>595</v>
      </c>
      <c r="CZ7" s="9" t="s">
        <v>594</v>
      </c>
      <c r="DA7" s="9" t="s">
        <v>595</v>
      </c>
      <c r="DB7" s="9" t="s">
        <v>595</v>
      </c>
      <c r="DC7" s="9" t="s">
        <v>593</v>
      </c>
      <c r="DD7" s="9" t="s">
        <v>593</v>
      </c>
      <c r="DE7" s="9" t="s">
        <v>593</v>
      </c>
      <c r="DF7" s="9" t="s">
        <v>594</v>
      </c>
      <c r="DG7" s="9" t="s">
        <v>594</v>
      </c>
      <c r="DH7" s="9" t="s">
        <v>594</v>
      </c>
      <c r="DI7" s="9" t="s">
        <v>595</v>
      </c>
      <c r="DJ7" s="9" t="s">
        <v>595</v>
      </c>
      <c r="DK7" s="9" t="s">
        <v>594</v>
      </c>
      <c r="DL7" s="9" t="s">
        <v>594</v>
      </c>
      <c r="DM7" s="9" t="s">
        <v>593</v>
      </c>
      <c r="DN7" s="9" t="s">
        <v>593</v>
      </c>
      <c r="DO7" s="9" t="s">
        <v>594</v>
      </c>
      <c r="DP7" s="9" t="s">
        <v>594</v>
      </c>
      <c r="DQ7" s="9" t="s">
        <v>593</v>
      </c>
      <c r="DR7" s="9" t="s">
        <v>594</v>
      </c>
      <c r="DS7" s="9" t="s">
        <v>594</v>
      </c>
      <c r="DT7" s="9" t="s">
        <v>595</v>
      </c>
      <c r="DU7" s="9" t="s">
        <v>594</v>
      </c>
      <c r="DV7" s="9" t="s">
        <v>594</v>
      </c>
      <c r="DW7" s="9" t="s">
        <v>594</v>
      </c>
      <c r="DX7" s="9" t="s">
        <v>595</v>
      </c>
      <c r="DY7" s="9" t="s">
        <v>594</v>
      </c>
      <c r="DZ7" s="9" t="s">
        <v>594</v>
      </c>
      <c r="EA7" s="9" t="s">
        <v>595</v>
      </c>
      <c r="EB7" s="9" t="s">
        <v>595</v>
      </c>
      <c r="EC7" s="9" t="s">
        <v>593</v>
      </c>
      <c r="ED7" s="9" t="s">
        <v>594</v>
      </c>
      <c r="EE7" s="9" t="s">
        <v>594</v>
      </c>
      <c r="EF7" s="9" t="s">
        <v>594</v>
      </c>
      <c r="EG7" s="9" t="s">
        <v>594</v>
      </c>
      <c r="EH7" s="9" t="s">
        <v>593</v>
      </c>
      <c r="EI7" s="9" t="s">
        <v>594</v>
      </c>
      <c r="EJ7" s="9" t="s">
        <v>594</v>
      </c>
      <c r="EK7" s="9" t="s">
        <v>593</v>
      </c>
      <c r="EL7" s="9" t="s">
        <v>593</v>
      </c>
      <c r="EM7" s="9" t="s">
        <v>593</v>
      </c>
      <c r="EN7" s="9" t="s">
        <v>593</v>
      </c>
      <c r="EO7" s="9" t="s">
        <v>595</v>
      </c>
      <c r="EP7" s="9" t="s">
        <v>593</v>
      </c>
      <c r="EQ7" s="9" t="s">
        <v>593</v>
      </c>
      <c r="ER7" s="9" t="s">
        <v>593</v>
      </c>
      <c r="ES7" s="9" t="s">
        <v>594</v>
      </c>
      <c r="ET7" s="9" t="s">
        <v>594</v>
      </c>
      <c r="EU7" s="9" t="s">
        <v>594</v>
      </c>
      <c r="EV7" s="9" t="s">
        <v>593</v>
      </c>
      <c r="EW7" s="9" t="s">
        <v>594</v>
      </c>
      <c r="EX7" s="9" t="s">
        <v>594</v>
      </c>
      <c r="EY7" s="9" t="s">
        <v>594</v>
      </c>
      <c r="EZ7" s="9" t="s">
        <v>594</v>
      </c>
      <c r="FA7" s="9" t="s">
        <v>593</v>
      </c>
      <c r="FB7" s="9" t="s">
        <v>595</v>
      </c>
      <c r="FC7" s="9" t="s">
        <v>594</v>
      </c>
      <c r="FD7" s="9" t="s">
        <v>594</v>
      </c>
      <c r="FE7" s="9" t="s">
        <v>595</v>
      </c>
      <c r="FF7" s="9" t="s">
        <v>595</v>
      </c>
      <c r="FG7" s="9" t="s">
        <v>595</v>
      </c>
      <c r="FH7" s="9" t="s">
        <v>594</v>
      </c>
      <c r="FI7" s="9" t="s">
        <v>595</v>
      </c>
      <c r="FJ7" s="9" t="s">
        <v>595</v>
      </c>
      <c r="FK7" s="9" t="s">
        <v>595</v>
      </c>
      <c r="FL7" s="9" t="s">
        <v>595</v>
      </c>
      <c r="FM7" s="206"/>
      <c r="FN7" s="1"/>
      <c r="FO7" s="10" t="s">
        <v>595</v>
      </c>
      <c r="FP7" s="10" t="s">
        <v>594</v>
      </c>
      <c r="FQ7" s="10" t="s">
        <v>595</v>
      </c>
      <c r="FR7" s="10" t="s">
        <v>595</v>
      </c>
      <c r="FS7" s="10" t="s">
        <v>595</v>
      </c>
      <c r="FT7" s="10" t="s">
        <v>595</v>
      </c>
      <c r="FU7" s="10" t="s">
        <v>595</v>
      </c>
      <c r="FV7" s="10" t="s">
        <v>595</v>
      </c>
      <c r="FW7" s="202"/>
    </row>
    <row r="8" spans="1:179" ht="15" hidden="1" customHeight="1" x14ac:dyDescent="0.3">
      <c r="A8" s="206"/>
      <c r="B8" s="206"/>
      <c r="C8" s="9" t="s">
        <v>596</v>
      </c>
      <c r="D8" s="9" t="s">
        <v>596</v>
      </c>
      <c r="E8" s="9" t="s">
        <v>596</v>
      </c>
      <c r="F8" s="9" t="s">
        <v>597</v>
      </c>
      <c r="G8" s="9" t="s">
        <v>597</v>
      </c>
      <c r="H8" s="9" t="s">
        <v>596</v>
      </c>
      <c r="I8" s="9" t="s">
        <v>596</v>
      </c>
      <c r="J8" s="9" t="s">
        <v>597</v>
      </c>
      <c r="K8" s="9" t="s">
        <v>597</v>
      </c>
      <c r="L8" s="9" t="s">
        <v>597</v>
      </c>
      <c r="M8" s="9" t="s">
        <v>597</v>
      </c>
      <c r="N8" s="9" t="s">
        <v>597</v>
      </c>
      <c r="O8" s="9" t="s">
        <v>597</v>
      </c>
      <c r="P8" s="9" t="s">
        <v>597</v>
      </c>
      <c r="Q8" s="9" t="s">
        <v>597</v>
      </c>
      <c r="R8" s="9" t="s">
        <v>596</v>
      </c>
      <c r="S8" s="9" t="s">
        <v>596</v>
      </c>
      <c r="T8" s="9" t="s">
        <v>597</v>
      </c>
      <c r="U8" s="9" t="s">
        <v>597</v>
      </c>
      <c r="V8" s="9" t="s">
        <v>597</v>
      </c>
      <c r="W8" s="9" t="s">
        <v>596</v>
      </c>
      <c r="X8" s="9" t="s">
        <v>596</v>
      </c>
      <c r="Y8" s="9" t="s">
        <v>596</v>
      </c>
      <c r="Z8" s="9" t="s">
        <v>597</v>
      </c>
      <c r="AA8" s="9" t="s">
        <v>596</v>
      </c>
      <c r="AB8" s="9" t="s">
        <v>596</v>
      </c>
      <c r="AC8" s="9" t="s">
        <v>596</v>
      </c>
      <c r="AD8" s="9" t="s">
        <v>597</v>
      </c>
      <c r="AE8" s="9" t="s">
        <v>597</v>
      </c>
      <c r="AF8" s="9" t="s">
        <v>597</v>
      </c>
      <c r="AG8" s="9" t="s">
        <v>596</v>
      </c>
      <c r="AH8" s="9" t="s">
        <v>596</v>
      </c>
      <c r="AI8" s="9" t="s">
        <v>597</v>
      </c>
      <c r="AJ8" s="9" t="s">
        <v>597</v>
      </c>
      <c r="AK8" s="9" t="s">
        <v>597</v>
      </c>
      <c r="AL8" s="9" t="s">
        <v>596</v>
      </c>
      <c r="AM8" s="9" t="s">
        <v>596</v>
      </c>
      <c r="AN8" s="9" t="s">
        <v>596</v>
      </c>
      <c r="AO8" s="9" t="s">
        <v>596</v>
      </c>
      <c r="AP8" s="9" t="s">
        <v>596</v>
      </c>
      <c r="AQ8" s="9" t="s">
        <v>596</v>
      </c>
      <c r="AR8" s="9" t="s">
        <v>596</v>
      </c>
      <c r="AS8" s="9" t="s">
        <v>596</v>
      </c>
      <c r="AT8" s="9" t="s">
        <v>597</v>
      </c>
      <c r="AU8" s="9" t="s">
        <v>597</v>
      </c>
      <c r="AV8" s="9" t="s">
        <v>597</v>
      </c>
      <c r="AW8" s="9" t="s">
        <v>596</v>
      </c>
      <c r="AX8" s="9" t="s">
        <v>596</v>
      </c>
      <c r="AY8" s="9" t="s">
        <v>596</v>
      </c>
      <c r="AZ8" s="9" t="s">
        <v>596</v>
      </c>
      <c r="BA8" s="9" t="s">
        <v>596</v>
      </c>
      <c r="BB8" s="9" t="s">
        <v>596</v>
      </c>
      <c r="BC8" s="9" t="s">
        <v>596</v>
      </c>
      <c r="BD8" s="9" t="s">
        <v>596</v>
      </c>
      <c r="BE8" s="9" t="s">
        <v>596</v>
      </c>
      <c r="BF8" s="9" t="s">
        <v>597</v>
      </c>
      <c r="BG8" s="9" t="s">
        <v>597</v>
      </c>
      <c r="BH8" s="9" t="s">
        <v>597</v>
      </c>
      <c r="BI8" s="9" t="s">
        <v>597</v>
      </c>
      <c r="BJ8" s="9" t="s">
        <v>597</v>
      </c>
      <c r="BK8" s="9" t="s">
        <v>597</v>
      </c>
      <c r="BL8" s="9" t="s">
        <v>596</v>
      </c>
      <c r="BM8" s="9" t="s">
        <v>597</v>
      </c>
      <c r="BN8" s="9" t="s">
        <v>597</v>
      </c>
      <c r="BO8" s="9" t="s">
        <v>597</v>
      </c>
      <c r="BP8" s="9" t="s">
        <v>597</v>
      </c>
      <c r="BQ8" s="9" t="s">
        <v>597</v>
      </c>
      <c r="BR8" s="9" t="s">
        <v>597</v>
      </c>
      <c r="BS8" s="9" t="s">
        <v>597</v>
      </c>
      <c r="BT8" s="9" t="s">
        <v>597</v>
      </c>
      <c r="BU8" s="9" t="s">
        <v>597</v>
      </c>
      <c r="BV8" s="9" t="s">
        <v>596</v>
      </c>
      <c r="BW8" s="9" t="s">
        <v>597</v>
      </c>
      <c r="BX8" s="9" t="s">
        <v>597</v>
      </c>
      <c r="BY8" s="9" t="s">
        <v>596</v>
      </c>
      <c r="BZ8" s="9" t="s">
        <v>596</v>
      </c>
      <c r="CA8" s="9" t="s">
        <v>596</v>
      </c>
      <c r="CB8" s="9" t="s">
        <v>596</v>
      </c>
      <c r="CC8" s="9" t="s">
        <v>596</v>
      </c>
      <c r="CD8" s="9" t="s">
        <v>596</v>
      </c>
      <c r="CE8" s="9" t="s">
        <v>597</v>
      </c>
      <c r="CF8" s="9" t="s">
        <v>597</v>
      </c>
      <c r="CG8" s="9" t="s">
        <v>597</v>
      </c>
      <c r="CH8" s="9" t="s">
        <v>597</v>
      </c>
      <c r="CI8" s="9" t="s">
        <v>597</v>
      </c>
      <c r="CJ8" s="9" t="s">
        <v>597</v>
      </c>
      <c r="CK8" s="9" t="s">
        <v>597</v>
      </c>
      <c r="CL8" s="9" t="s">
        <v>597</v>
      </c>
      <c r="CM8" s="9" t="s">
        <v>597</v>
      </c>
      <c r="CN8" s="9" t="s">
        <v>597</v>
      </c>
      <c r="CO8" s="9" t="s">
        <v>597</v>
      </c>
      <c r="CP8" s="9" t="s">
        <v>597</v>
      </c>
      <c r="CQ8" s="9" t="s">
        <v>597</v>
      </c>
      <c r="CR8" s="9" t="s">
        <v>596</v>
      </c>
      <c r="CS8" s="9" t="s">
        <v>596</v>
      </c>
      <c r="CT8" s="9" t="s">
        <v>596</v>
      </c>
      <c r="CU8" s="9" t="s">
        <v>598</v>
      </c>
      <c r="CV8" s="9" t="s">
        <v>599</v>
      </c>
      <c r="CW8" s="9" t="s">
        <v>598</v>
      </c>
      <c r="CX8" s="9" t="s">
        <v>599</v>
      </c>
      <c r="CY8" s="9" t="s">
        <v>598</v>
      </c>
      <c r="CZ8" s="9" t="s">
        <v>596</v>
      </c>
      <c r="DA8" s="9" t="s">
        <v>596</v>
      </c>
      <c r="DB8" s="9" t="s">
        <v>596</v>
      </c>
      <c r="DC8" s="9" t="s">
        <v>598</v>
      </c>
      <c r="DD8" s="9" t="s">
        <v>598</v>
      </c>
      <c r="DE8" s="9" t="s">
        <v>596</v>
      </c>
      <c r="DF8" s="9" t="s">
        <v>596</v>
      </c>
      <c r="DG8" s="9" t="s">
        <v>596</v>
      </c>
      <c r="DH8" s="9" t="s">
        <v>596</v>
      </c>
      <c r="DI8" s="9" t="s">
        <v>596</v>
      </c>
      <c r="DJ8" s="9" t="s">
        <v>596</v>
      </c>
      <c r="DK8" s="9" t="s">
        <v>596</v>
      </c>
      <c r="DL8" s="9" t="s">
        <v>596</v>
      </c>
      <c r="DM8" s="9" t="s">
        <v>598</v>
      </c>
      <c r="DN8" s="9" t="s">
        <v>598</v>
      </c>
      <c r="DO8" s="9" t="s">
        <v>599</v>
      </c>
      <c r="DP8" s="9" t="s">
        <v>599</v>
      </c>
      <c r="DQ8" s="9" t="s">
        <v>598</v>
      </c>
      <c r="DR8" s="9" t="s">
        <v>596</v>
      </c>
      <c r="DS8" s="9" t="s">
        <v>596</v>
      </c>
      <c r="DT8" s="9" t="s">
        <v>596</v>
      </c>
      <c r="DU8" s="9" t="s">
        <v>596</v>
      </c>
      <c r="DV8" s="9" t="s">
        <v>598</v>
      </c>
      <c r="DW8" s="9" t="s">
        <v>596</v>
      </c>
      <c r="DX8" s="9" t="s">
        <v>596</v>
      </c>
      <c r="DY8" s="9" t="s">
        <v>596</v>
      </c>
      <c r="DZ8" s="9" t="s">
        <v>596</v>
      </c>
      <c r="EA8" s="9" t="s">
        <v>599</v>
      </c>
      <c r="EB8" s="9" t="s">
        <v>599</v>
      </c>
      <c r="EC8" s="9" t="s">
        <v>598</v>
      </c>
      <c r="ED8" s="9" t="s">
        <v>599</v>
      </c>
      <c r="EE8" s="9" t="s">
        <v>599</v>
      </c>
      <c r="EF8" s="9" t="s">
        <v>599</v>
      </c>
      <c r="EG8" s="9" t="s">
        <v>599</v>
      </c>
      <c r="EH8" s="9" t="s">
        <v>598</v>
      </c>
      <c r="EI8" s="9" t="s">
        <v>596</v>
      </c>
      <c r="EJ8" s="9" t="s">
        <v>596</v>
      </c>
      <c r="EK8" s="9" t="s">
        <v>596</v>
      </c>
      <c r="EL8" s="9" t="s">
        <v>596</v>
      </c>
      <c r="EM8" s="9" t="s">
        <v>596</v>
      </c>
      <c r="EN8" s="9" t="s">
        <v>596</v>
      </c>
      <c r="EO8" s="9" t="s">
        <v>599</v>
      </c>
      <c r="EP8" s="9" t="s">
        <v>598</v>
      </c>
      <c r="EQ8" s="9" t="s">
        <v>598</v>
      </c>
      <c r="ER8" s="9" t="s">
        <v>598</v>
      </c>
      <c r="ES8" s="9" t="s">
        <v>596</v>
      </c>
      <c r="ET8" s="9" t="s">
        <v>599</v>
      </c>
      <c r="EU8" s="9" t="s">
        <v>599</v>
      </c>
      <c r="EV8" s="9" t="s">
        <v>598</v>
      </c>
      <c r="EW8" s="9" t="s">
        <v>597</v>
      </c>
      <c r="EX8" s="9" t="s">
        <v>597</v>
      </c>
      <c r="EY8" s="9" t="s">
        <v>597</v>
      </c>
      <c r="EZ8" s="9" t="s">
        <v>597</v>
      </c>
      <c r="FA8" s="9" t="s">
        <v>598</v>
      </c>
      <c r="FB8" s="9" t="s">
        <v>596</v>
      </c>
      <c r="FC8" s="9" t="s">
        <v>596</v>
      </c>
      <c r="FD8" s="9" t="s">
        <v>596</v>
      </c>
      <c r="FE8" s="9" t="s">
        <v>597</v>
      </c>
      <c r="FF8" s="9" t="s">
        <v>597</v>
      </c>
      <c r="FG8" s="9" t="s">
        <v>597</v>
      </c>
      <c r="FH8" s="9" t="s">
        <v>597</v>
      </c>
      <c r="FI8" s="9" t="s">
        <v>597</v>
      </c>
      <c r="FJ8" s="9" t="s">
        <v>597</v>
      </c>
      <c r="FK8" s="9" t="s">
        <v>597</v>
      </c>
      <c r="FL8" s="9" t="s">
        <v>597</v>
      </c>
      <c r="FM8" s="206"/>
      <c r="FN8" s="1"/>
      <c r="FO8" s="10" t="s">
        <v>596</v>
      </c>
      <c r="FP8" s="10" t="s">
        <v>596</v>
      </c>
      <c r="FQ8" s="10" t="s">
        <v>596</v>
      </c>
      <c r="FR8" s="10" t="s">
        <v>596</v>
      </c>
      <c r="FS8" s="10" t="s">
        <v>597</v>
      </c>
      <c r="FT8" s="10" t="s">
        <v>597</v>
      </c>
      <c r="FU8" s="10" t="s">
        <v>596</v>
      </c>
      <c r="FV8" s="10" t="s">
        <v>596</v>
      </c>
      <c r="FW8" s="202"/>
    </row>
    <row r="9" spans="1:179" ht="40.049999999999997" customHeight="1" x14ac:dyDescent="0.3">
      <c r="A9" s="206"/>
      <c r="B9" s="206"/>
      <c r="C9" s="11" t="s">
        <v>600</v>
      </c>
      <c r="D9" s="11" t="s">
        <v>80</v>
      </c>
      <c r="E9" s="11" t="s">
        <v>80</v>
      </c>
      <c r="F9" s="11" t="s">
        <v>80</v>
      </c>
      <c r="G9" s="11" t="s">
        <v>80</v>
      </c>
      <c r="H9" s="11" t="s">
        <v>122</v>
      </c>
      <c r="I9" s="11" t="s">
        <v>122</v>
      </c>
      <c r="J9" s="11" t="s">
        <v>164</v>
      </c>
      <c r="K9" s="11" t="s">
        <v>164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601</v>
      </c>
      <c r="U9" s="11" t="s">
        <v>601</v>
      </c>
      <c r="V9" s="11" t="s">
        <v>601</v>
      </c>
      <c r="W9" s="11" t="s">
        <v>602</v>
      </c>
      <c r="X9" s="11" t="s">
        <v>28</v>
      </c>
      <c r="Y9" s="11" t="s">
        <v>28</v>
      </c>
      <c r="Z9" s="11" t="s">
        <v>28</v>
      </c>
      <c r="AA9" s="11" t="s">
        <v>75</v>
      </c>
      <c r="AB9" s="11" t="s">
        <v>75</v>
      </c>
      <c r="AC9" s="11" t="s">
        <v>75</v>
      </c>
      <c r="AD9" s="11" t="s">
        <v>75</v>
      </c>
      <c r="AE9" s="11" t="s">
        <v>75</v>
      </c>
      <c r="AF9" s="11" t="s">
        <v>75</v>
      </c>
      <c r="AG9" s="11" t="s">
        <v>603</v>
      </c>
      <c r="AH9" s="11" t="s">
        <v>70</v>
      </c>
      <c r="AI9" s="11" t="s">
        <v>377</v>
      </c>
      <c r="AJ9" s="11" t="s">
        <v>604</v>
      </c>
      <c r="AK9" s="11" t="s">
        <v>604</v>
      </c>
      <c r="AL9" s="11" t="s">
        <v>83</v>
      </c>
      <c r="AM9" s="11" t="s">
        <v>83</v>
      </c>
      <c r="AN9" s="11" t="s">
        <v>605</v>
      </c>
      <c r="AO9" s="11" t="s">
        <v>606</v>
      </c>
      <c r="AP9" s="11" t="s">
        <v>606</v>
      </c>
      <c r="AQ9" s="11" t="s">
        <v>607</v>
      </c>
      <c r="AR9" s="11" t="s">
        <v>608</v>
      </c>
      <c r="AS9" s="11" t="s">
        <v>609</v>
      </c>
      <c r="AT9" s="11" t="s">
        <v>103</v>
      </c>
      <c r="AU9" s="11" t="s">
        <v>103</v>
      </c>
      <c r="AV9" s="11" t="s">
        <v>103</v>
      </c>
      <c r="AW9" s="11" t="s">
        <v>151</v>
      </c>
      <c r="AX9" s="11" t="s">
        <v>151</v>
      </c>
      <c r="AY9" s="11" t="s">
        <v>151</v>
      </c>
      <c r="AZ9" s="11" t="s">
        <v>151</v>
      </c>
      <c r="BA9" s="11" t="s">
        <v>151</v>
      </c>
      <c r="BB9" s="11" t="s">
        <v>151</v>
      </c>
      <c r="BC9" s="11" t="s">
        <v>610</v>
      </c>
      <c r="BD9" s="11" t="s">
        <v>610</v>
      </c>
      <c r="BE9" s="11" t="s">
        <v>611</v>
      </c>
      <c r="BF9" s="11" t="s">
        <v>86</v>
      </c>
      <c r="BG9" s="11" t="s">
        <v>86</v>
      </c>
      <c r="BH9" s="11" t="s">
        <v>86</v>
      </c>
      <c r="BI9" s="11" t="s">
        <v>93</v>
      </c>
      <c r="BJ9" s="11" t="s">
        <v>93</v>
      </c>
      <c r="BK9" s="11" t="s">
        <v>93</v>
      </c>
      <c r="BL9" s="11" t="s">
        <v>93</v>
      </c>
      <c r="BM9" s="11" t="s">
        <v>93</v>
      </c>
      <c r="BN9" s="11" t="s">
        <v>93</v>
      </c>
      <c r="BO9" s="11" t="s">
        <v>93</v>
      </c>
      <c r="BP9" s="11" t="s">
        <v>93</v>
      </c>
      <c r="BQ9" s="11" t="s">
        <v>93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612</v>
      </c>
      <c r="BX9" s="11" t="s">
        <v>612</v>
      </c>
      <c r="BY9" s="11" t="s">
        <v>351</v>
      </c>
      <c r="BZ9" s="11" t="s">
        <v>130</v>
      </c>
      <c r="CA9" s="11" t="s">
        <v>130</v>
      </c>
      <c r="CB9" s="11" t="s">
        <v>130</v>
      </c>
      <c r="CC9" s="11" t="s">
        <v>130</v>
      </c>
      <c r="CD9" s="11" t="s">
        <v>130</v>
      </c>
      <c r="CE9" s="11" t="s">
        <v>130</v>
      </c>
      <c r="CF9" s="11" t="s">
        <v>130</v>
      </c>
      <c r="CG9" s="11" t="s">
        <v>130</v>
      </c>
      <c r="CH9" s="11" t="s">
        <v>130</v>
      </c>
      <c r="CI9" s="11" t="s">
        <v>130</v>
      </c>
      <c r="CJ9" s="11" t="s">
        <v>130</v>
      </c>
      <c r="CK9" s="11" t="s">
        <v>130</v>
      </c>
      <c r="CL9" s="11" t="s">
        <v>148</v>
      </c>
      <c r="CM9" s="11" t="s">
        <v>148</v>
      </c>
      <c r="CN9" s="11" t="s">
        <v>148</v>
      </c>
      <c r="CO9" s="11" t="s">
        <v>148</v>
      </c>
      <c r="CP9" s="11" t="s">
        <v>159</v>
      </c>
      <c r="CQ9" s="11" t="s">
        <v>159</v>
      </c>
      <c r="CR9" s="11" t="s">
        <v>613</v>
      </c>
      <c r="CS9" s="11" t="s">
        <v>613</v>
      </c>
      <c r="CT9" s="11" t="s">
        <v>21</v>
      </c>
      <c r="CU9" s="11" t="s">
        <v>614</v>
      </c>
      <c r="CV9" s="11" t="s">
        <v>615</v>
      </c>
      <c r="CW9" s="11" t="s">
        <v>616</v>
      </c>
      <c r="CX9" s="11" t="s">
        <v>331</v>
      </c>
      <c r="CY9" s="11" t="s">
        <v>617</v>
      </c>
      <c r="CZ9" s="11" t="s">
        <v>618</v>
      </c>
      <c r="DA9" s="11" t="s">
        <v>122</v>
      </c>
      <c r="DB9" s="11" t="s">
        <v>122</v>
      </c>
      <c r="DC9" s="11" t="s">
        <v>106</v>
      </c>
      <c r="DD9" s="11" t="s">
        <v>106</v>
      </c>
      <c r="DE9" s="11" t="s">
        <v>603</v>
      </c>
      <c r="DF9" s="11" t="s">
        <v>619</v>
      </c>
      <c r="DG9" s="11" t="s">
        <v>278</v>
      </c>
      <c r="DH9" s="11" t="s">
        <v>620</v>
      </c>
      <c r="DI9" s="11" t="s">
        <v>621</v>
      </c>
      <c r="DJ9" s="11" t="s">
        <v>622</v>
      </c>
      <c r="DK9" s="11" t="s">
        <v>623</v>
      </c>
      <c r="DL9" s="11" t="s">
        <v>343</v>
      </c>
      <c r="DM9" s="11" t="s">
        <v>624</v>
      </c>
      <c r="DN9" s="11" t="s">
        <v>625</v>
      </c>
      <c r="DO9" s="11" t="s">
        <v>626</v>
      </c>
      <c r="DP9" s="11" t="s">
        <v>627</v>
      </c>
      <c r="DQ9" s="11" t="s">
        <v>628</v>
      </c>
      <c r="DR9" s="11" t="s">
        <v>629</v>
      </c>
      <c r="DS9" s="11" t="s">
        <v>630</v>
      </c>
      <c r="DT9" s="11" t="s">
        <v>631</v>
      </c>
      <c r="DU9" s="11" t="s">
        <v>632</v>
      </c>
      <c r="DV9" s="11" t="s">
        <v>633</v>
      </c>
      <c r="DW9" s="11" t="s">
        <v>634</v>
      </c>
      <c r="DX9" s="11" t="s">
        <v>634</v>
      </c>
      <c r="DY9" s="11" t="s">
        <v>634</v>
      </c>
      <c r="DZ9" s="11" t="s">
        <v>634</v>
      </c>
      <c r="EA9" s="11" t="s">
        <v>635</v>
      </c>
      <c r="EB9" s="11" t="s">
        <v>635</v>
      </c>
      <c r="EC9" s="11" t="s">
        <v>93</v>
      </c>
      <c r="ED9" s="11" t="s">
        <v>93</v>
      </c>
      <c r="EE9" s="11" t="s">
        <v>93</v>
      </c>
      <c r="EF9" s="11" t="s">
        <v>93</v>
      </c>
      <c r="EG9" s="11" t="s">
        <v>93</v>
      </c>
      <c r="EH9" s="11" t="s">
        <v>93</v>
      </c>
      <c r="EI9" s="11" t="s">
        <v>636</v>
      </c>
      <c r="EJ9" s="11" t="s">
        <v>636</v>
      </c>
      <c r="EK9" s="11" t="s">
        <v>637</v>
      </c>
      <c r="EL9" s="11" t="s">
        <v>637</v>
      </c>
      <c r="EM9" s="11" t="s">
        <v>637</v>
      </c>
      <c r="EN9" s="11" t="s">
        <v>637</v>
      </c>
      <c r="EO9" s="11" t="s">
        <v>327</v>
      </c>
      <c r="EP9" s="11" t="s">
        <v>638</v>
      </c>
      <c r="EQ9" s="11" t="s">
        <v>639</v>
      </c>
      <c r="ER9" s="11" t="s">
        <v>130</v>
      </c>
      <c r="ES9" s="11" t="s">
        <v>130</v>
      </c>
      <c r="ET9" s="11" t="s">
        <v>130</v>
      </c>
      <c r="EU9" s="11" t="s">
        <v>130</v>
      </c>
      <c r="EV9" s="11" t="s">
        <v>130</v>
      </c>
      <c r="EW9" s="11" t="s">
        <v>402</v>
      </c>
      <c r="EX9" s="11" t="s">
        <v>402</v>
      </c>
      <c r="EY9" s="11" t="s">
        <v>402</v>
      </c>
      <c r="EZ9" s="11" t="s">
        <v>402</v>
      </c>
      <c r="FA9" s="11" t="s">
        <v>640</v>
      </c>
      <c r="FB9" s="11" t="s">
        <v>641</v>
      </c>
      <c r="FC9" s="11" t="s">
        <v>641</v>
      </c>
      <c r="FD9" s="11" t="s">
        <v>641</v>
      </c>
      <c r="FE9" s="11" t="s">
        <v>642</v>
      </c>
      <c r="FF9" s="11" t="s">
        <v>643</v>
      </c>
      <c r="FG9" s="11" t="s">
        <v>643</v>
      </c>
      <c r="FH9" s="11" t="s">
        <v>644</v>
      </c>
      <c r="FI9" s="11" t="s">
        <v>181</v>
      </c>
      <c r="FJ9" s="11" t="s">
        <v>192</v>
      </c>
      <c r="FK9" s="11" t="s">
        <v>645</v>
      </c>
      <c r="FL9" s="11" t="s">
        <v>233</v>
      </c>
      <c r="FM9" s="206"/>
      <c r="FN9" s="1"/>
      <c r="FO9" s="12" t="s">
        <v>646</v>
      </c>
      <c r="FP9" s="12" t="s">
        <v>43</v>
      </c>
      <c r="FQ9" s="12" t="s">
        <v>647</v>
      </c>
      <c r="FR9" s="12" t="s">
        <v>648</v>
      </c>
      <c r="FS9" s="12" t="s">
        <v>649</v>
      </c>
      <c r="FT9" s="12" t="s">
        <v>650</v>
      </c>
      <c r="FU9" s="12" t="s">
        <v>641</v>
      </c>
      <c r="FV9" s="12" t="s">
        <v>641</v>
      </c>
      <c r="FW9" s="202"/>
    </row>
    <row r="10" spans="1:179" ht="40.049999999999997" customHeight="1" x14ac:dyDescent="0.3">
      <c r="A10" s="206"/>
      <c r="B10" s="206"/>
      <c r="C10" s="9" t="s">
        <v>347</v>
      </c>
      <c r="D10" s="9" t="s">
        <v>273</v>
      </c>
      <c r="E10" s="9" t="s">
        <v>651</v>
      </c>
      <c r="F10" s="9" t="s">
        <v>652</v>
      </c>
      <c r="G10" s="9" t="s">
        <v>653</v>
      </c>
      <c r="H10" s="9" t="s">
        <v>654</v>
      </c>
      <c r="I10" s="9" t="s">
        <v>655</v>
      </c>
      <c r="J10" s="9" t="s">
        <v>656</v>
      </c>
      <c r="K10" s="9" t="s">
        <v>657</v>
      </c>
      <c r="L10" s="9" t="s">
        <v>658</v>
      </c>
      <c r="M10" s="9" t="s">
        <v>659</v>
      </c>
      <c r="N10" s="9" t="s">
        <v>660</v>
      </c>
      <c r="O10" s="9" t="s">
        <v>661</v>
      </c>
      <c r="P10" s="9" t="s">
        <v>662</v>
      </c>
      <c r="Q10" s="9" t="s">
        <v>663</v>
      </c>
      <c r="R10" s="9" t="s">
        <v>664</v>
      </c>
      <c r="S10" s="9" t="s">
        <v>665</v>
      </c>
      <c r="T10" s="9" t="s">
        <v>666</v>
      </c>
      <c r="U10" s="9" t="s">
        <v>667</v>
      </c>
      <c r="V10" s="9" t="s">
        <v>668</v>
      </c>
      <c r="W10" s="9" t="s">
        <v>669</v>
      </c>
      <c r="X10" s="9" t="s">
        <v>670</v>
      </c>
      <c r="Y10" s="9" t="s">
        <v>671</v>
      </c>
      <c r="Z10" s="9" t="s">
        <v>29</v>
      </c>
      <c r="AA10" s="9" t="s">
        <v>672</v>
      </c>
      <c r="AB10" s="9" t="s">
        <v>673</v>
      </c>
      <c r="AC10" s="9" t="s">
        <v>674</v>
      </c>
      <c r="AD10" s="9" t="s">
        <v>675</v>
      </c>
      <c r="AE10" s="9" t="s">
        <v>676</v>
      </c>
      <c r="AF10" s="9" t="s">
        <v>677</v>
      </c>
      <c r="AG10" s="9" t="s">
        <v>678</v>
      </c>
      <c r="AH10" s="9" t="s">
        <v>679</v>
      </c>
      <c r="AI10" s="9" t="s">
        <v>378</v>
      </c>
      <c r="AJ10" s="9" t="s">
        <v>680</v>
      </c>
      <c r="AK10" s="9" t="s">
        <v>681</v>
      </c>
      <c r="AL10" s="9" t="s">
        <v>682</v>
      </c>
      <c r="AM10" s="9" t="s">
        <v>282</v>
      </c>
      <c r="AN10" s="9" t="s">
        <v>605</v>
      </c>
      <c r="AO10" s="9" t="s">
        <v>683</v>
      </c>
      <c r="AP10" s="9" t="s">
        <v>684</v>
      </c>
      <c r="AQ10" s="9" t="s">
        <v>685</v>
      </c>
      <c r="AR10" s="9" t="s">
        <v>686</v>
      </c>
      <c r="AS10" s="9" t="s">
        <v>687</v>
      </c>
      <c r="AT10" s="9" t="s">
        <v>688</v>
      </c>
      <c r="AU10" s="9" t="s">
        <v>689</v>
      </c>
      <c r="AV10" s="9" t="s">
        <v>690</v>
      </c>
      <c r="AW10" s="9" t="s">
        <v>691</v>
      </c>
      <c r="AX10" s="9" t="s">
        <v>537</v>
      </c>
      <c r="AY10" s="9" t="s">
        <v>692</v>
      </c>
      <c r="AZ10" s="9" t="s">
        <v>693</v>
      </c>
      <c r="BA10" s="9" t="s">
        <v>694</v>
      </c>
      <c r="BB10" s="9" t="s">
        <v>695</v>
      </c>
      <c r="BC10" s="9" t="s">
        <v>696</v>
      </c>
      <c r="BD10" s="9" t="s">
        <v>697</v>
      </c>
      <c r="BE10" s="9" t="s">
        <v>287</v>
      </c>
      <c r="BF10" s="9" t="s">
        <v>698</v>
      </c>
      <c r="BG10" s="9" t="s">
        <v>699</v>
      </c>
      <c r="BH10" s="9" t="s">
        <v>700</v>
      </c>
      <c r="BI10" s="9" t="s">
        <v>701</v>
      </c>
      <c r="BJ10" s="9" t="s">
        <v>702</v>
      </c>
      <c r="BK10" s="9" t="s">
        <v>703</v>
      </c>
      <c r="BL10" s="9" t="s">
        <v>704</v>
      </c>
      <c r="BM10" s="9" t="s">
        <v>705</v>
      </c>
      <c r="BN10" s="9" t="s">
        <v>706</v>
      </c>
      <c r="BO10" s="9" t="s">
        <v>707</v>
      </c>
      <c r="BP10" s="9" t="s">
        <v>708</v>
      </c>
      <c r="BQ10" s="9" t="s">
        <v>709</v>
      </c>
      <c r="BR10" s="9" t="s">
        <v>710</v>
      </c>
      <c r="BS10" s="9" t="s">
        <v>711</v>
      </c>
      <c r="BT10" s="9" t="s">
        <v>712</v>
      </c>
      <c r="BU10" s="9" t="s">
        <v>713</v>
      </c>
      <c r="BV10" s="9" t="s">
        <v>314</v>
      </c>
      <c r="BW10" s="9" t="s">
        <v>714</v>
      </c>
      <c r="BX10" s="9" t="s">
        <v>715</v>
      </c>
      <c r="BY10" s="9" t="s">
        <v>352</v>
      </c>
      <c r="BZ10" s="9" t="s">
        <v>394</v>
      </c>
      <c r="CA10" s="9" t="s">
        <v>716</v>
      </c>
      <c r="CB10" s="9" t="s">
        <v>717</v>
      </c>
      <c r="CC10" s="9" t="s">
        <v>390</v>
      </c>
      <c r="CD10" s="9" t="s">
        <v>718</v>
      </c>
      <c r="CE10" s="9" t="s">
        <v>719</v>
      </c>
      <c r="CF10" s="9" t="s">
        <v>720</v>
      </c>
      <c r="CG10" s="9" t="s">
        <v>721</v>
      </c>
      <c r="CH10" s="9" t="s">
        <v>722</v>
      </c>
      <c r="CI10" s="9" t="s">
        <v>723</v>
      </c>
      <c r="CJ10" s="9" t="s">
        <v>724</v>
      </c>
      <c r="CK10" s="9" t="s">
        <v>725</v>
      </c>
      <c r="CL10" s="9" t="s">
        <v>726</v>
      </c>
      <c r="CM10" s="9" t="s">
        <v>727</v>
      </c>
      <c r="CN10" s="9" t="s">
        <v>728</v>
      </c>
      <c r="CO10" s="9" t="s">
        <v>729</v>
      </c>
      <c r="CP10" s="9" t="s">
        <v>730</v>
      </c>
      <c r="CQ10" s="9" t="s">
        <v>731</v>
      </c>
      <c r="CR10" s="9" t="s">
        <v>732</v>
      </c>
      <c r="CS10" s="9" t="s">
        <v>733</v>
      </c>
      <c r="CT10" s="9" t="s">
        <v>22</v>
      </c>
      <c r="CU10" s="9" t="s">
        <v>734</v>
      </c>
      <c r="CV10" s="9" t="s">
        <v>735</v>
      </c>
      <c r="CW10" s="9" t="s">
        <v>736</v>
      </c>
      <c r="CX10" s="9" t="s">
        <v>737</v>
      </c>
      <c r="CY10" s="9" t="s">
        <v>738</v>
      </c>
      <c r="CZ10" s="9" t="s">
        <v>739</v>
      </c>
      <c r="DA10" s="9" t="s">
        <v>740</v>
      </c>
      <c r="DB10" s="9" t="s">
        <v>741</v>
      </c>
      <c r="DC10" s="9" t="s">
        <v>742</v>
      </c>
      <c r="DD10" s="9" t="s">
        <v>743</v>
      </c>
      <c r="DE10" s="9" t="s">
        <v>744</v>
      </c>
      <c r="DF10" s="9" t="s">
        <v>745</v>
      </c>
      <c r="DG10" s="9" t="s">
        <v>279</v>
      </c>
      <c r="DH10" s="9" t="s">
        <v>746</v>
      </c>
      <c r="DI10" s="9" t="s">
        <v>747</v>
      </c>
      <c r="DJ10" s="9" t="s">
        <v>748</v>
      </c>
      <c r="DK10" s="9" t="s">
        <v>749</v>
      </c>
      <c r="DL10" s="9" t="s">
        <v>344</v>
      </c>
      <c r="DM10" s="9" t="s">
        <v>750</v>
      </c>
      <c r="DN10" s="9" t="s">
        <v>751</v>
      </c>
      <c r="DO10" s="9" t="s">
        <v>752</v>
      </c>
      <c r="DP10" s="9" t="s">
        <v>753</v>
      </c>
      <c r="DQ10" s="9" t="s">
        <v>754</v>
      </c>
      <c r="DR10" s="9" t="s">
        <v>755</v>
      </c>
      <c r="DS10" s="9" t="s">
        <v>756</v>
      </c>
      <c r="DT10" s="9" t="s">
        <v>757</v>
      </c>
      <c r="DU10" s="9" t="s">
        <v>758</v>
      </c>
      <c r="DV10" s="9" t="s">
        <v>759</v>
      </c>
      <c r="DW10" s="9" t="s">
        <v>760</v>
      </c>
      <c r="DX10" s="9" t="s">
        <v>761</v>
      </c>
      <c r="DY10" s="9" t="s">
        <v>762</v>
      </c>
      <c r="DZ10" s="9" t="s">
        <v>763</v>
      </c>
      <c r="EA10" s="9" t="s">
        <v>764</v>
      </c>
      <c r="EB10" s="9" t="s">
        <v>765</v>
      </c>
      <c r="EC10" s="9" t="s">
        <v>766</v>
      </c>
      <c r="ED10" s="9" t="s">
        <v>767</v>
      </c>
      <c r="EE10" s="9" t="s">
        <v>768</v>
      </c>
      <c r="EF10" s="9" t="s">
        <v>769</v>
      </c>
      <c r="EG10" s="9" t="s">
        <v>770</v>
      </c>
      <c r="EH10" s="9" t="s">
        <v>771</v>
      </c>
      <c r="EI10" s="9" t="s">
        <v>772</v>
      </c>
      <c r="EJ10" s="9" t="s">
        <v>773</v>
      </c>
      <c r="EK10" s="9" t="s">
        <v>774</v>
      </c>
      <c r="EL10" s="9" t="s">
        <v>775</v>
      </c>
      <c r="EM10" s="9" t="s">
        <v>776</v>
      </c>
      <c r="EN10" s="9" t="s">
        <v>777</v>
      </c>
      <c r="EO10" s="9" t="s">
        <v>778</v>
      </c>
      <c r="EP10" s="9" t="s">
        <v>779</v>
      </c>
      <c r="EQ10" s="9" t="s">
        <v>780</v>
      </c>
      <c r="ER10" s="9" t="s">
        <v>781</v>
      </c>
      <c r="ES10" s="9" t="s">
        <v>782</v>
      </c>
      <c r="ET10" s="9" t="s">
        <v>783</v>
      </c>
      <c r="EU10" s="9" t="s">
        <v>397</v>
      </c>
      <c r="EV10" s="9" t="s">
        <v>784</v>
      </c>
      <c r="EW10" s="9" t="s">
        <v>406</v>
      </c>
      <c r="EX10" s="9" t="s">
        <v>785</v>
      </c>
      <c r="EY10" s="9" t="s">
        <v>786</v>
      </c>
      <c r="EZ10" s="9" t="s">
        <v>787</v>
      </c>
      <c r="FA10" s="9" t="s">
        <v>788</v>
      </c>
      <c r="FB10" s="9" t="s">
        <v>789</v>
      </c>
      <c r="FC10" s="9" t="s">
        <v>790</v>
      </c>
      <c r="FD10" s="9" t="s">
        <v>791</v>
      </c>
      <c r="FE10" s="9" t="s">
        <v>792</v>
      </c>
      <c r="FF10" s="9" t="s">
        <v>793</v>
      </c>
      <c r="FG10" s="9" t="s">
        <v>794</v>
      </c>
      <c r="FH10" s="9" t="s">
        <v>795</v>
      </c>
      <c r="FI10" s="9" t="s">
        <v>796</v>
      </c>
      <c r="FJ10" s="9" t="s">
        <v>797</v>
      </c>
      <c r="FK10" s="9" t="s">
        <v>798</v>
      </c>
      <c r="FL10" s="9" t="s">
        <v>234</v>
      </c>
      <c r="FM10" s="206" t="s">
        <v>799</v>
      </c>
      <c r="FN10" s="1"/>
      <c r="FO10" s="10" t="s">
        <v>800</v>
      </c>
      <c r="FP10" s="10" t="s">
        <v>801</v>
      </c>
      <c r="FQ10" s="10" t="s">
        <v>802</v>
      </c>
      <c r="FR10" s="10" t="s">
        <v>803</v>
      </c>
      <c r="FS10" s="10" t="s">
        <v>804</v>
      </c>
      <c r="FT10" s="10" t="s">
        <v>805</v>
      </c>
      <c r="FU10" s="10" t="s">
        <v>806</v>
      </c>
      <c r="FV10" s="10" t="s">
        <v>807</v>
      </c>
      <c r="FW10" s="202" t="s">
        <v>799</v>
      </c>
    </row>
    <row r="11" spans="1:179" ht="24" customHeight="1" x14ac:dyDescent="0.3">
      <c r="A11" s="13" t="s">
        <v>67</v>
      </c>
      <c r="B11" s="13" t="s">
        <v>808</v>
      </c>
      <c r="C11" s="14">
        <v>104.5</v>
      </c>
      <c r="D11" s="14">
        <v>652.6</v>
      </c>
      <c r="E11" s="14">
        <v>214.7</v>
      </c>
      <c r="F11" s="14">
        <v>0</v>
      </c>
      <c r="G11" s="14">
        <v>0</v>
      </c>
      <c r="H11" s="14">
        <v>11</v>
      </c>
      <c r="I11" s="14">
        <v>118.5</v>
      </c>
      <c r="J11" s="14"/>
      <c r="K11" s="14">
        <v>0</v>
      </c>
      <c r="L11" s="14">
        <v>143.30000000000001</v>
      </c>
      <c r="M11" s="14">
        <v>52.2</v>
      </c>
      <c r="N11" s="14">
        <v>142.5</v>
      </c>
      <c r="O11" s="14">
        <v>158.69999999999999</v>
      </c>
      <c r="P11" s="14">
        <v>205.2</v>
      </c>
      <c r="Q11" s="14">
        <v>106.5</v>
      </c>
      <c r="R11" s="14">
        <v>447.4</v>
      </c>
      <c r="S11" s="14"/>
      <c r="T11" s="14"/>
      <c r="U11" s="14"/>
      <c r="V11" s="14"/>
      <c r="W11" s="14">
        <v>167.2</v>
      </c>
      <c r="X11" s="14">
        <v>8</v>
      </c>
      <c r="Y11" s="14">
        <v>5.5</v>
      </c>
      <c r="Z11" s="14">
        <v>0</v>
      </c>
      <c r="AA11" s="14">
        <v>6.7</v>
      </c>
      <c r="AB11" s="14">
        <v>98.1</v>
      </c>
      <c r="AC11" s="14"/>
      <c r="AD11" s="14"/>
      <c r="AE11" s="14"/>
      <c r="AF11" s="14"/>
      <c r="AG11" s="14">
        <v>109.5</v>
      </c>
      <c r="AH11" s="14">
        <v>95.8</v>
      </c>
      <c r="AI11" s="14"/>
      <c r="AJ11" s="14">
        <v>0</v>
      </c>
      <c r="AK11" s="14"/>
      <c r="AL11" s="14">
        <v>6.5</v>
      </c>
      <c r="AM11" s="14">
        <v>222.5</v>
      </c>
      <c r="AN11" s="14">
        <v>62.6</v>
      </c>
      <c r="AO11" s="14">
        <v>55.1</v>
      </c>
      <c r="AP11" s="14">
        <v>41.1</v>
      </c>
      <c r="AQ11" s="14">
        <v>18.600000000000001</v>
      </c>
      <c r="AR11" s="14">
        <v>18.8</v>
      </c>
      <c r="AS11" s="14">
        <v>89.2</v>
      </c>
      <c r="AT11" s="14">
        <v>177.1</v>
      </c>
      <c r="AU11" s="14">
        <v>178.3</v>
      </c>
      <c r="AV11" s="14">
        <v>182</v>
      </c>
      <c r="AW11" s="14">
        <v>107.9</v>
      </c>
      <c r="AX11" s="14">
        <v>0</v>
      </c>
      <c r="AY11" s="14">
        <v>37.9</v>
      </c>
      <c r="AZ11" s="14">
        <v>3.6</v>
      </c>
      <c r="BA11" s="14">
        <v>16.899999999999999</v>
      </c>
      <c r="BB11" s="14">
        <v>58.2</v>
      </c>
      <c r="BC11" s="14"/>
      <c r="BD11" s="14"/>
      <c r="BE11" s="14">
        <v>47.6</v>
      </c>
      <c r="BF11" s="14">
        <v>0</v>
      </c>
      <c r="BG11" s="14"/>
      <c r="BH11" s="14">
        <v>0</v>
      </c>
      <c r="BI11" s="14"/>
      <c r="BJ11" s="14"/>
      <c r="BK11" s="14"/>
      <c r="BL11" s="14">
        <v>124.9</v>
      </c>
      <c r="BM11" s="14">
        <v>168.8</v>
      </c>
      <c r="BN11" s="14">
        <v>166.7</v>
      </c>
      <c r="BO11" s="14">
        <v>198.7</v>
      </c>
      <c r="BP11" s="14">
        <v>266.10000000000002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2.9</v>
      </c>
      <c r="BZ11" s="14">
        <v>138.30000000000001</v>
      </c>
      <c r="CA11" s="14">
        <v>91.5</v>
      </c>
      <c r="CB11" s="14">
        <v>61.1</v>
      </c>
      <c r="CC11" s="14">
        <v>68.900000000000006</v>
      </c>
      <c r="CD11" s="14">
        <v>30.1</v>
      </c>
      <c r="CE11" s="14">
        <v>65.400000000000006</v>
      </c>
      <c r="CF11" s="14"/>
      <c r="CG11" s="14"/>
      <c r="CH11" s="14">
        <v>141.30000000000001</v>
      </c>
      <c r="CI11" s="14">
        <v>144.19999999999999</v>
      </c>
      <c r="CJ11" s="14">
        <v>146.6</v>
      </c>
      <c r="CK11" s="14">
        <v>0</v>
      </c>
      <c r="CL11" s="14"/>
      <c r="CM11" s="14"/>
      <c r="CN11" s="14"/>
      <c r="CO11" s="14"/>
      <c r="CP11" s="14">
        <v>209.1</v>
      </c>
      <c r="CQ11" s="14">
        <v>100.8</v>
      </c>
      <c r="CR11" s="14">
        <v>7.9</v>
      </c>
      <c r="CS11" s="14">
        <v>3.9</v>
      </c>
      <c r="CT11" s="14">
        <v>11</v>
      </c>
      <c r="CU11" s="14">
        <v>0</v>
      </c>
      <c r="CV11" s="14">
        <v>6</v>
      </c>
      <c r="CW11" s="14">
        <v>0</v>
      </c>
      <c r="CX11" s="14">
        <v>14</v>
      </c>
      <c r="CY11" s="14">
        <v>0</v>
      </c>
      <c r="CZ11" s="14">
        <v>16.2</v>
      </c>
      <c r="DA11" s="14">
        <v>9.9</v>
      </c>
      <c r="DB11" s="14">
        <v>1.1000000000000001</v>
      </c>
      <c r="DC11" s="14">
        <v>0</v>
      </c>
      <c r="DD11" s="14">
        <v>0</v>
      </c>
      <c r="DE11" s="14">
        <v>1.3</v>
      </c>
      <c r="DF11" s="14">
        <v>2.5</v>
      </c>
      <c r="DG11" s="14">
        <v>2.5</v>
      </c>
      <c r="DH11" s="14">
        <v>20.399999999999999</v>
      </c>
      <c r="DI11" s="14">
        <v>9.9</v>
      </c>
      <c r="DJ11" s="14">
        <v>4.5</v>
      </c>
      <c r="DK11" s="14"/>
      <c r="DL11" s="14">
        <v>7.5</v>
      </c>
      <c r="DM11" s="14">
        <v>0</v>
      </c>
      <c r="DN11" s="14">
        <v>0</v>
      </c>
      <c r="DO11" s="14">
        <v>0</v>
      </c>
      <c r="DP11" s="14">
        <v>2.2999999999999998</v>
      </c>
      <c r="DQ11" s="14">
        <v>0</v>
      </c>
      <c r="DR11" s="14">
        <v>2.5</v>
      </c>
      <c r="DS11" s="14">
        <v>12.1</v>
      </c>
      <c r="DT11" s="14">
        <v>2</v>
      </c>
      <c r="DU11" s="14"/>
      <c r="DV11" s="14">
        <v>0</v>
      </c>
      <c r="DW11" s="14">
        <v>14.2</v>
      </c>
      <c r="DX11" s="14">
        <v>5.4</v>
      </c>
      <c r="DY11" s="14">
        <v>8.3000000000000007</v>
      </c>
      <c r="DZ11" s="14">
        <v>12.3</v>
      </c>
      <c r="EA11" s="14">
        <v>16.600000000000001</v>
      </c>
      <c r="EB11" s="14">
        <v>21.4</v>
      </c>
      <c r="EC11" s="14">
        <v>0</v>
      </c>
      <c r="ED11" s="14">
        <v>1.7</v>
      </c>
      <c r="EE11" s="14">
        <v>5.3</v>
      </c>
      <c r="EF11" s="14">
        <v>0</v>
      </c>
      <c r="EG11" s="14">
        <v>0</v>
      </c>
      <c r="EH11" s="14">
        <v>0</v>
      </c>
      <c r="EI11" s="14">
        <v>10.5</v>
      </c>
      <c r="EJ11" s="14">
        <v>3.6</v>
      </c>
      <c r="EK11" s="14">
        <v>4.4000000000000004</v>
      </c>
      <c r="EL11" s="14">
        <v>9</v>
      </c>
      <c r="EM11" s="14">
        <v>9.6</v>
      </c>
      <c r="EN11" s="14">
        <v>10</v>
      </c>
      <c r="EO11" s="14">
        <v>12.3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/>
      <c r="EX11" s="14">
        <v>2</v>
      </c>
      <c r="EY11" s="14"/>
      <c r="EZ11" s="14"/>
      <c r="FA11" s="14">
        <v>0</v>
      </c>
      <c r="FB11" s="14">
        <v>9.9</v>
      </c>
      <c r="FC11" s="14">
        <v>19.5</v>
      </c>
      <c r="FD11" s="14">
        <v>18.600000000000001</v>
      </c>
      <c r="FE11" s="14">
        <v>10.1</v>
      </c>
      <c r="FF11" s="14">
        <v>34.4</v>
      </c>
      <c r="FG11" s="14"/>
      <c r="FH11" s="14">
        <v>18.5</v>
      </c>
      <c r="FI11" s="14"/>
      <c r="FJ11" s="14"/>
      <c r="FK11" s="14">
        <v>10.8</v>
      </c>
      <c r="FL11" s="14"/>
      <c r="FM11" s="14">
        <v>6703.7</v>
      </c>
      <c r="FN11" s="15"/>
      <c r="FO11" s="14">
        <v>22.5</v>
      </c>
      <c r="FP11" s="14">
        <v>0</v>
      </c>
      <c r="FQ11" s="14">
        <v>10.7</v>
      </c>
      <c r="FR11" s="14">
        <v>9.6</v>
      </c>
      <c r="FS11" s="14">
        <v>26.0183</v>
      </c>
      <c r="FT11" s="14">
        <v>9.5067599999999999</v>
      </c>
      <c r="FU11" s="14">
        <v>11.5</v>
      </c>
      <c r="FV11" s="14">
        <v>10.7</v>
      </c>
      <c r="FW11" s="14">
        <v>100.52506</v>
      </c>
    </row>
    <row r="12" spans="1:179" ht="24" customHeight="1" x14ac:dyDescent="0.3">
      <c r="A12" s="16" t="s">
        <v>67</v>
      </c>
      <c r="B12" s="16" t="s">
        <v>809</v>
      </c>
      <c r="C12" s="17">
        <v>104.5</v>
      </c>
      <c r="D12" s="17">
        <v>651.1</v>
      </c>
      <c r="E12" s="17">
        <v>214.1</v>
      </c>
      <c r="F12" s="17">
        <v>0</v>
      </c>
      <c r="G12" s="17">
        <v>0</v>
      </c>
      <c r="H12" s="17">
        <v>0</v>
      </c>
      <c r="I12" s="17">
        <v>119.4</v>
      </c>
      <c r="J12" s="17"/>
      <c r="K12" s="17">
        <v>0</v>
      </c>
      <c r="L12" s="17">
        <v>143.19999999999999</v>
      </c>
      <c r="M12" s="17">
        <v>0</v>
      </c>
      <c r="N12" s="17">
        <v>142.9</v>
      </c>
      <c r="O12" s="17">
        <v>155.19999999999999</v>
      </c>
      <c r="P12" s="17">
        <v>206</v>
      </c>
      <c r="Q12" s="17">
        <v>106.5</v>
      </c>
      <c r="R12" s="17">
        <v>495.2</v>
      </c>
      <c r="S12" s="17"/>
      <c r="T12" s="17"/>
      <c r="U12" s="17"/>
      <c r="V12" s="17"/>
      <c r="W12" s="17">
        <v>166.5</v>
      </c>
      <c r="X12" s="17">
        <v>7.9</v>
      </c>
      <c r="Y12" s="17">
        <v>5.4</v>
      </c>
      <c r="Z12" s="17">
        <v>0</v>
      </c>
      <c r="AA12" s="17">
        <v>6.7</v>
      </c>
      <c r="AB12" s="17">
        <v>60.2</v>
      </c>
      <c r="AC12" s="17"/>
      <c r="AD12" s="17"/>
      <c r="AE12" s="17"/>
      <c r="AF12" s="17"/>
      <c r="AG12" s="17">
        <v>84.5</v>
      </c>
      <c r="AH12" s="17">
        <v>149.4</v>
      </c>
      <c r="AI12" s="17"/>
      <c r="AJ12" s="17">
        <v>0</v>
      </c>
      <c r="AK12" s="17"/>
      <c r="AL12" s="17">
        <v>6.5</v>
      </c>
      <c r="AM12" s="17">
        <v>229.2</v>
      </c>
      <c r="AN12" s="17">
        <v>65.099999999999994</v>
      </c>
      <c r="AO12" s="17">
        <v>57.6</v>
      </c>
      <c r="AP12" s="17">
        <v>40.799999999999997</v>
      </c>
      <c r="AQ12" s="17">
        <v>18.600000000000001</v>
      </c>
      <c r="AR12" s="17">
        <v>18.8</v>
      </c>
      <c r="AS12" s="17">
        <v>89.9</v>
      </c>
      <c r="AT12" s="17">
        <v>178.2</v>
      </c>
      <c r="AU12" s="17">
        <v>178.8</v>
      </c>
      <c r="AV12" s="17">
        <v>181.4</v>
      </c>
      <c r="AW12" s="17">
        <v>108</v>
      </c>
      <c r="AX12" s="17">
        <v>0</v>
      </c>
      <c r="AY12" s="17">
        <v>39.1</v>
      </c>
      <c r="AZ12" s="17">
        <v>3.6</v>
      </c>
      <c r="BA12" s="17">
        <v>17.100000000000001</v>
      </c>
      <c r="BB12" s="17">
        <v>89.2</v>
      </c>
      <c r="BC12" s="17"/>
      <c r="BD12" s="17"/>
      <c r="BE12" s="17">
        <v>47.6</v>
      </c>
      <c r="BF12" s="17">
        <v>0</v>
      </c>
      <c r="BG12" s="17"/>
      <c r="BH12" s="17">
        <v>0</v>
      </c>
      <c r="BI12" s="17"/>
      <c r="BJ12" s="17"/>
      <c r="BK12" s="17"/>
      <c r="BL12" s="17">
        <v>124.8</v>
      </c>
      <c r="BM12" s="17">
        <v>161.1</v>
      </c>
      <c r="BN12" s="17">
        <v>161</v>
      </c>
      <c r="BO12" s="17">
        <v>160.80000000000001</v>
      </c>
      <c r="BP12" s="17">
        <v>250.9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2.9</v>
      </c>
      <c r="BZ12" s="17">
        <v>61.5</v>
      </c>
      <c r="CA12" s="17">
        <v>94.8</v>
      </c>
      <c r="CB12" s="17">
        <v>61</v>
      </c>
      <c r="CC12" s="17">
        <v>63</v>
      </c>
      <c r="CD12" s="17">
        <v>30.1</v>
      </c>
      <c r="CE12" s="17">
        <v>64.8</v>
      </c>
      <c r="CF12" s="17"/>
      <c r="CG12" s="17"/>
      <c r="CH12" s="17">
        <v>141.30000000000001</v>
      </c>
      <c r="CI12" s="17">
        <v>144.1</v>
      </c>
      <c r="CJ12" s="17">
        <v>147.4</v>
      </c>
      <c r="CK12" s="17">
        <v>0</v>
      </c>
      <c r="CL12" s="17"/>
      <c r="CM12" s="17"/>
      <c r="CN12" s="17"/>
      <c r="CO12" s="17"/>
      <c r="CP12" s="17">
        <v>207.7</v>
      </c>
      <c r="CQ12" s="17">
        <v>100.5</v>
      </c>
      <c r="CR12" s="17">
        <v>7.9</v>
      </c>
      <c r="CS12" s="17">
        <v>3.9</v>
      </c>
      <c r="CT12" s="17">
        <v>10.9</v>
      </c>
      <c r="CU12" s="17">
        <v>0</v>
      </c>
      <c r="CV12" s="17">
        <v>4.2</v>
      </c>
      <c r="CW12" s="17">
        <v>0</v>
      </c>
      <c r="CX12" s="17">
        <v>13.2</v>
      </c>
      <c r="CY12" s="17">
        <v>0</v>
      </c>
      <c r="CZ12" s="17">
        <v>16.3</v>
      </c>
      <c r="DA12" s="17">
        <v>0</v>
      </c>
      <c r="DB12" s="17">
        <v>0</v>
      </c>
      <c r="DC12" s="17">
        <v>0</v>
      </c>
      <c r="DD12" s="17">
        <v>0</v>
      </c>
      <c r="DE12" s="17">
        <v>1.3</v>
      </c>
      <c r="DF12" s="17">
        <v>2.5</v>
      </c>
      <c r="DG12" s="17">
        <v>2.6</v>
      </c>
      <c r="DH12" s="17">
        <v>20.6</v>
      </c>
      <c r="DI12" s="17">
        <v>9.9</v>
      </c>
      <c r="DJ12" s="17">
        <v>4.5</v>
      </c>
      <c r="DK12" s="17"/>
      <c r="DL12" s="17">
        <v>7.5</v>
      </c>
      <c r="DM12" s="17">
        <v>0</v>
      </c>
      <c r="DN12" s="17">
        <v>0</v>
      </c>
      <c r="DO12" s="17">
        <v>0.3</v>
      </c>
      <c r="DP12" s="17">
        <v>3.2</v>
      </c>
      <c r="DQ12" s="17">
        <v>0</v>
      </c>
      <c r="DR12" s="17">
        <v>2.8</v>
      </c>
      <c r="DS12" s="17">
        <v>12.1</v>
      </c>
      <c r="DT12" s="17">
        <v>1.9</v>
      </c>
      <c r="DU12" s="17"/>
      <c r="DV12" s="17">
        <v>0</v>
      </c>
      <c r="DW12" s="17">
        <v>14.2</v>
      </c>
      <c r="DX12" s="17">
        <v>5.2</v>
      </c>
      <c r="DY12" s="17">
        <v>8.3000000000000007</v>
      </c>
      <c r="DZ12" s="17">
        <v>12.3</v>
      </c>
      <c r="EA12" s="17">
        <v>17</v>
      </c>
      <c r="EB12" s="17">
        <v>21</v>
      </c>
      <c r="EC12" s="17">
        <v>0</v>
      </c>
      <c r="ED12" s="17">
        <v>1.4</v>
      </c>
      <c r="EE12" s="17">
        <v>4.0999999999999996</v>
      </c>
      <c r="EF12" s="17">
        <v>0</v>
      </c>
      <c r="EG12" s="17">
        <v>0</v>
      </c>
      <c r="EH12" s="17">
        <v>0</v>
      </c>
      <c r="EI12" s="17">
        <v>10.5</v>
      </c>
      <c r="EJ12" s="17">
        <v>3.6</v>
      </c>
      <c r="EK12" s="17">
        <v>4.4000000000000004</v>
      </c>
      <c r="EL12" s="17">
        <v>9</v>
      </c>
      <c r="EM12" s="17">
        <v>9.6</v>
      </c>
      <c r="EN12" s="17">
        <v>10</v>
      </c>
      <c r="EO12" s="17">
        <v>10.7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/>
      <c r="EX12" s="17">
        <v>2</v>
      </c>
      <c r="EY12" s="17"/>
      <c r="EZ12" s="17"/>
      <c r="FA12" s="17">
        <v>0</v>
      </c>
      <c r="FB12" s="17">
        <v>10</v>
      </c>
      <c r="FC12" s="17">
        <v>19.5</v>
      </c>
      <c r="FD12" s="17">
        <v>18.600000000000001</v>
      </c>
      <c r="FE12" s="17">
        <v>10.1</v>
      </c>
      <c r="FF12" s="17">
        <v>34.299999999999997</v>
      </c>
      <c r="FG12" s="17"/>
      <c r="FH12" s="17">
        <v>18.2</v>
      </c>
      <c r="FI12" s="17"/>
      <c r="FJ12" s="17"/>
      <c r="FK12" s="17">
        <v>10.8</v>
      </c>
      <c r="FL12" s="17"/>
      <c r="FM12" s="17">
        <v>6556.9</v>
      </c>
      <c r="FN12" s="15"/>
      <c r="FO12" s="17">
        <v>22.5</v>
      </c>
      <c r="FP12" s="17">
        <v>0</v>
      </c>
      <c r="FQ12" s="17">
        <v>10.7</v>
      </c>
      <c r="FR12" s="17">
        <v>9.6</v>
      </c>
      <c r="FS12" s="17">
        <v>26.022169999999999</v>
      </c>
      <c r="FT12" s="17">
        <v>9.5068400000000004</v>
      </c>
      <c r="FU12" s="17">
        <v>11.5</v>
      </c>
      <c r="FV12" s="17">
        <v>10.7</v>
      </c>
      <c r="FW12" s="17">
        <v>100.52901</v>
      </c>
    </row>
    <row r="13" spans="1:179" ht="24" customHeight="1" x14ac:dyDescent="0.3">
      <c r="A13" s="16" t="s">
        <v>67</v>
      </c>
      <c r="B13" s="16" t="s">
        <v>810</v>
      </c>
      <c r="C13" s="17">
        <v>104.2</v>
      </c>
      <c r="D13" s="17">
        <v>645.1</v>
      </c>
      <c r="E13" s="17">
        <v>211.6</v>
      </c>
      <c r="F13" s="17">
        <v>0</v>
      </c>
      <c r="G13" s="17">
        <v>0</v>
      </c>
      <c r="H13" s="17">
        <v>0</v>
      </c>
      <c r="I13" s="17">
        <v>116.6</v>
      </c>
      <c r="J13" s="17"/>
      <c r="K13" s="17">
        <v>0</v>
      </c>
      <c r="L13" s="17">
        <v>143.5</v>
      </c>
      <c r="M13" s="17">
        <v>0</v>
      </c>
      <c r="N13" s="17">
        <v>142.80000000000001</v>
      </c>
      <c r="O13" s="17">
        <v>159</v>
      </c>
      <c r="P13" s="17">
        <v>207.5</v>
      </c>
      <c r="Q13" s="17">
        <v>106.6</v>
      </c>
      <c r="R13" s="17">
        <v>491.2</v>
      </c>
      <c r="S13" s="17"/>
      <c r="T13" s="17"/>
      <c r="U13" s="17"/>
      <c r="V13" s="17"/>
      <c r="W13" s="17">
        <v>160.6</v>
      </c>
      <c r="X13" s="17">
        <v>6.9</v>
      </c>
      <c r="Y13" s="17">
        <v>5.2</v>
      </c>
      <c r="Z13" s="17">
        <v>0</v>
      </c>
      <c r="AA13" s="17">
        <v>6.6</v>
      </c>
      <c r="AB13" s="17">
        <v>59.5</v>
      </c>
      <c r="AC13" s="17"/>
      <c r="AD13" s="17"/>
      <c r="AE13" s="17"/>
      <c r="AF13" s="17"/>
      <c r="AG13" s="17">
        <v>82.4</v>
      </c>
      <c r="AH13" s="17">
        <v>153.6</v>
      </c>
      <c r="AI13" s="17"/>
      <c r="AJ13" s="17">
        <v>0</v>
      </c>
      <c r="AK13" s="17"/>
      <c r="AL13" s="17">
        <v>6.5</v>
      </c>
      <c r="AM13" s="17">
        <v>221.2</v>
      </c>
      <c r="AN13" s="17">
        <v>65.599999999999994</v>
      </c>
      <c r="AO13" s="17">
        <v>55</v>
      </c>
      <c r="AP13" s="17">
        <v>40</v>
      </c>
      <c r="AQ13" s="17">
        <v>18.600000000000001</v>
      </c>
      <c r="AR13" s="17">
        <v>18.8</v>
      </c>
      <c r="AS13" s="17">
        <v>87.1</v>
      </c>
      <c r="AT13" s="17">
        <v>174.2</v>
      </c>
      <c r="AU13" s="17">
        <v>174.7</v>
      </c>
      <c r="AV13" s="17">
        <v>181.5</v>
      </c>
      <c r="AW13" s="17">
        <v>106.4</v>
      </c>
      <c r="AX13" s="17">
        <v>0</v>
      </c>
      <c r="AY13" s="17">
        <v>37.6</v>
      </c>
      <c r="AZ13" s="17">
        <v>3.6</v>
      </c>
      <c r="BA13" s="17">
        <v>16.5</v>
      </c>
      <c r="BB13" s="17">
        <v>55.2</v>
      </c>
      <c r="BC13" s="17"/>
      <c r="BD13" s="17"/>
      <c r="BE13" s="17">
        <v>46.8</v>
      </c>
      <c r="BF13" s="17">
        <v>0</v>
      </c>
      <c r="BG13" s="17"/>
      <c r="BH13" s="17">
        <v>0</v>
      </c>
      <c r="BI13" s="17"/>
      <c r="BJ13" s="17"/>
      <c r="BK13" s="17"/>
      <c r="BL13" s="17">
        <v>123.3</v>
      </c>
      <c r="BM13" s="17">
        <v>162.6</v>
      </c>
      <c r="BN13" s="17">
        <v>162.6</v>
      </c>
      <c r="BO13" s="17">
        <v>163.1</v>
      </c>
      <c r="BP13" s="17">
        <v>249.9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2.9</v>
      </c>
      <c r="BZ13" s="17">
        <v>60.6</v>
      </c>
      <c r="CA13" s="17">
        <v>88.5</v>
      </c>
      <c r="CB13" s="17">
        <v>59.7</v>
      </c>
      <c r="CC13" s="17">
        <v>62.5</v>
      </c>
      <c r="CD13" s="17">
        <v>29.4</v>
      </c>
      <c r="CE13" s="17">
        <v>65.400000000000006</v>
      </c>
      <c r="CF13" s="17"/>
      <c r="CG13" s="17"/>
      <c r="CH13" s="17">
        <v>141.69999999999999</v>
      </c>
      <c r="CI13" s="17">
        <v>144.69999999999999</v>
      </c>
      <c r="CJ13" s="17">
        <v>147.1</v>
      </c>
      <c r="CK13" s="17">
        <v>0</v>
      </c>
      <c r="CL13" s="17"/>
      <c r="CM13" s="17"/>
      <c r="CN13" s="17"/>
      <c r="CO13" s="17"/>
      <c r="CP13" s="17">
        <v>208.5</v>
      </c>
      <c r="CQ13" s="17">
        <v>100.6</v>
      </c>
      <c r="CR13" s="17">
        <v>7.9</v>
      </c>
      <c r="CS13" s="17">
        <v>3.6</v>
      </c>
      <c r="CT13" s="17">
        <v>10.4</v>
      </c>
      <c r="CU13" s="17">
        <v>0</v>
      </c>
      <c r="CV13" s="17">
        <v>1.2</v>
      </c>
      <c r="CW13" s="17">
        <v>0</v>
      </c>
      <c r="CX13" s="17">
        <v>12.3</v>
      </c>
      <c r="CY13" s="17">
        <v>0</v>
      </c>
      <c r="CZ13" s="17">
        <v>16.100000000000001</v>
      </c>
      <c r="DA13" s="17">
        <v>0</v>
      </c>
      <c r="DB13" s="17">
        <v>0</v>
      </c>
      <c r="DC13" s="17">
        <v>0</v>
      </c>
      <c r="DD13" s="17">
        <v>0</v>
      </c>
      <c r="DE13" s="17">
        <v>1.3</v>
      </c>
      <c r="DF13" s="17">
        <v>2.5</v>
      </c>
      <c r="DG13" s="17">
        <v>2.6</v>
      </c>
      <c r="DH13" s="17">
        <v>19.899999999999999</v>
      </c>
      <c r="DI13" s="17">
        <v>9.9</v>
      </c>
      <c r="DJ13" s="17">
        <v>4.5</v>
      </c>
      <c r="DK13" s="17"/>
      <c r="DL13" s="17">
        <v>7.5</v>
      </c>
      <c r="DM13" s="17">
        <v>0</v>
      </c>
      <c r="DN13" s="17">
        <v>0</v>
      </c>
      <c r="DO13" s="17">
        <v>0.3</v>
      </c>
      <c r="DP13" s="17">
        <v>5</v>
      </c>
      <c r="DQ13" s="17">
        <v>0</v>
      </c>
      <c r="DR13" s="17">
        <v>2.7</v>
      </c>
      <c r="DS13" s="17">
        <v>12.2</v>
      </c>
      <c r="DT13" s="17">
        <v>1.9</v>
      </c>
      <c r="DU13" s="17"/>
      <c r="DV13" s="17">
        <v>0</v>
      </c>
      <c r="DW13" s="17">
        <v>14.2</v>
      </c>
      <c r="DX13" s="17">
        <v>5.2</v>
      </c>
      <c r="DY13" s="17">
        <v>8.1999999999999993</v>
      </c>
      <c r="DZ13" s="17">
        <v>11.8</v>
      </c>
      <c r="EA13" s="17">
        <v>18.100000000000001</v>
      </c>
      <c r="EB13" s="17">
        <v>19.5</v>
      </c>
      <c r="EC13" s="17">
        <v>0</v>
      </c>
      <c r="ED13" s="17">
        <v>1.1000000000000001</v>
      </c>
      <c r="EE13" s="17">
        <v>4.9000000000000004</v>
      </c>
      <c r="EF13" s="17">
        <v>0</v>
      </c>
      <c r="EG13" s="17">
        <v>0</v>
      </c>
      <c r="EH13" s="17">
        <v>0</v>
      </c>
      <c r="EI13" s="17">
        <v>10.5</v>
      </c>
      <c r="EJ13" s="17">
        <v>3.6</v>
      </c>
      <c r="EK13" s="17">
        <v>4.5</v>
      </c>
      <c r="EL13" s="17">
        <v>9</v>
      </c>
      <c r="EM13" s="17">
        <v>9.6</v>
      </c>
      <c r="EN13" s="17">
        <v>10</v>
      </c>
      <c r="EO13" s="17">
        <v>10.1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0</v>
      </c>
      <c r="EV13" s="17">
        <v>0</v>
      </c>
      <c r="EW13" s="17"/>
      <c r="EX13" s="17">
        <v>2</v>
      </c>
      <c r="EY13" s="17"/>
      <c r="EZ13" s="17"/>
      <c r="FA13" s="17">
        <v>0</v>
      </c>
      <c r="FB13" s="17">
        <v>10.1</v>
      </c>
      <c r="FC13" s="17">
        <v>19.600000000000001</v>
      </c>
      <c r="FD13" s="17">
        <v>18.600000000000001</v>
      </c>
      <c r="FE13" s="17">
        <v>10</v>
      </c>
      <c r="FF13" s="17">
        <v>34.1</v>
      </c>
      <c r="FG13" s="17"/>
      <c r="FH13" s="17">
        <v>18.7</v>
      </c>
      <c r="FI13" s="17"/>
      <c r="FJ13" s="17"/>
      <c r="FK13" s="17">
        <v>10.8</v>
      </c>
      <c r="FL13" s="17"/>
      <c r="FM13" s="17">
        <v>6471.9</v>
      </c>
      <c r="FN13" s="15"/>
      <c r="FO13" s="17">
        <v>22.5</v>
      </c>
      <c r="FP13" s="17">
        <v>0</v>
      </c>
      <c r="FQ13" s="17">
        <v>10.8</v>
      </c>
      <c r="FR13" s="17">
        <v>9.6</v>
      </c>
      <c r="FS13" s="17">
        <v>26.10952</v>
      </c>
      <c r="FT13" s="17">
        <v>9.5069800000000004</v>
      </c>
      <c r="FU13" s="17">
        <v>11.5</v>
      </c>
      <c r="FV13" s="17">
        <v>10.6</v>
      </c>
      <c r="FW13" s="17">
        <v>100.6165</v>
      </c>
    </row>
    <row r="14" spans="1:179" ht="24" customHeight="1" x14ac:dyDescent="0.3">
      <c r="A14" s="16" t="s">
        <v>67</v>
      </c>
      <c r="B14" s="16" t="s">
        <v>811</v>
      </c>
      <c r="C14" s="17">
        <v>103.9</v>
      </c>
      <c r="D14" s="17">
        <v>651.79999999999995</v>
      </c>
      <c r="E14" s="17">
        <v>214.5</v>
      </c>
      <c r="F14" s="17">
        <v>0</v>
      </c>
      <c r="G14" s="17">
        <v>0</v>
      </c>
      <c r="H14" s="17">
        <v>0</v>
      </c>
      <c r="I14" s="17">
        <v>119.3</v>
      </c>
      <c r="J14" s="17"/>
      <c r="K14" s="17">
        <v>0</v>
      </c>
      <c r="L14" s="17">
        <v>142.69999999999999</v>
      </c>
      <c r="M14" s="17">
        <v>0</v>
      </c>
      <c r="N14" s="17">
        <v>142.19999999999999</v>
      </c>
      <c r="O14" s="17">
        <v>159.69999999999999</v>
      </c>
      <c r="P14" s="17">
        <v>204.2</v>
      </c>
      <c r="Q14" s="17">
        <v>106</v>
      </c>
      <c r="R14" s="17">
        <v>434.6</v>
      </c>
      <c r="S14" s="17"/>
      <c r="T14" s="17"/>
      <c r="U14" s="17"/>
      <c r="V14" s="17"/>
      <c r="W14" s="17">
        <v>165</v>
      </c>
      <c r="X14" s="17">
        <v>7.7</v>
      </c>
      <c r="Y14" s="17">
        <v>5.4</v>
      </c>
      <c r="Z14" s="17">
        <v>0</v>
      </c>
      <c r="AA14" s="17">
        <v>6.6</v>
      </c>
      <c r="AB14" s="17">
        <v>60.5</v>
      </c>
      <c r="AC14" s="17"/>
      <c r="AD14" s="17"/>
      <c r="AE14" s="17"/>
      <c r="AF14" s="17"/>
      <c r="AG14" s="17">
        <v>84.4</v>
      </c>
      <c r="AH14" s="17">
        <v>142</v>
      </c>
      <c r="AI14" s="17"/>
      <c r="AJ14" s="17">
        <v>0</v>
      </c>
      <c r="AK14" s="17"/>
      <c r="AL14" s="17">
        <v>6.5</v>
      </c>
      <c r="AM14" s="17">
        <v>228</v>
      </c>
      <c r="AN14" s="17">
        <v>63.6</v>
      </c>
      <c r="AO14" s="17">
        <v>63.4</v>
      </c>
      <c r="AP14" s="17">
        <v>40.9</v>
      </c>
      <c r="AQ14" s="17">
        <v>18.600000000000001</v>
      </c>
      <c r="AR14" s="17">
        <v>18.8</v>
      </c>
      <c r="AS14" s="17">
        <v>89.7</v>
      </c>
      <c r="AT14" s="17">
        <v>178.3</v>
      </c>
      <c r="AU14" s="17">
        <v>178.4</v>
      </c>
      <c r="AV14" s="17">
        <v>182.3</v>
      </c>
      <c r="AW14" s="17">
        <v>107.8</v>
      </c>
      <c r="AX14" s="17">
        <v>0</v>
      </c>
      <c r="AY14" s="17">
        <v>40.5</v>
      </c>
      <c r="AZ14" s="17">
        <v>3.6</v>
      </c>
      <c r="BA14" s="17">
        <v>16.899999999999999</v>
      </c>
      <c r="BB14" s="17">
        <v>85.9</v>
      </c>
      <c r="BC14" s="17"/>
      <c r="BD14" s="17"/>
      <c r="BE14" s="17">
        <v>47.5</v>
      </c>
      <c r="BF14" s="17">
        <v>0</v>
      </c>
      <c r="BG14" s="17"/>
      <c r="BH14" s="17">
        <v>0</v>
      </c>
      <c r="BI14" s="17"/>
      <c r="BJ14" s="17"/>
      <c r="BK14" s="17"/>
      <c r="BL14" s="17">
        <v>124.9</v>
      </c>
      <c r="BM14" s="17">
        <v>162.1</v>
      </c>
      <c r="BN14" s="17">
        <v>161.80000000000001</v>
      </c>
      <c r="BO14" s="17">
        <v>162.30000000000001</v>
      </c>
      <c r="BP14" s="17">
        <v>249.5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2.9</v>
      </c>
      <c r="BZ14" s="17">
        <v>78.900000000000006</v>
      </c>
      <c r="CA14" s="17">
        <v>101.6</v>
      </c>
      <c r="CB14" s="17">
        <v>61</v>
      </c>
      <c r="CC14" s="17">
        <v>63</v>
      </c>
      <c r="CD14" s="17">
        <v>29.3</v>
      </c>
      <c r="CE14" s="17">
        <v>65.099999999999994</v>
      </c>
      <c r="CF14" s="17"/>
      <c r="CG14" s="17"/>
      <c r="CH14" s="17">
        <v>140.80000000000001</v>
      </c>
      <c r="CI14" s="17">
        <v>143.9</v>
      </c>
      <c r="CJ14" s="17">
        <v>147.1</v>
      </c>
      <c r="CK14" s="17">
        <v>0</v>
      </c>
      <c r="CL14" s="17"/>
      <c r="CM14" s="17"/>
      <c r="CN14" s="17"/>
      <c r="CO14" s="17"/>
      <c r="CP14" s="17">
        <v>208.7</v>
      </c>
      <c r="CQ14" s="17">
        <v>100.7</v>
      </c>
      <c r="CR14" s="17">
        <v>7.9</v>
      </c>
      <c r="CS14" s="17">
        <v>3.6</v>
      </c>
      <c r="CT14" s="17">
        <v>10.8</v>
      </c>
      <c r="CU14" s="17">
        <v>0</v>
      </c>
      <c r="CV14" s="17">
        <v>1.3</v>
      </c>
      <c r="CW14" s="17">
        <v>0</v>
      </c>
      <c r="CX14" s="17">
        <v>11.1</v>
      </c>
      <c r="CY14" s="17">
        <v>0</v>
      </c>
      <c r="CZ14" s="17">
        <v>16.3</v>
      </c>
      <c r="DA14" s="17">
        <v>0</v>
      </c>
      <c r="DB14" s="17">
        <v>0</v>
      </c>
      <c r="DC14" s="17">
        <v>0</v>
      </c>
      <c r="DD14" s="17">
        <v>0</v>
      </c>
      <c r="DE14" s="17">
        <v>1.3</v>
      </c>
      <c r="DF14" s="17">
        <v>2.5</v>
      </c>
      <c r="DG14" s="17">
        <v>2.6</v>
      </c>
      <c r="DH14" s="17">
        <v>20.5</v>
      </c>
      <c r="DI14" s="17">
        <v>9.9</v>
      </c>
      <c r="DJ14" s="17">
        <v>4.5</v>
      </c>
      <c r="DK14" s="17"/>
      <c r="DL14" s="17">
        <v>7.5</v>
      </c>
      <c r="DM14" s="17">
        <v>0</v>
      </c>
      <c r="DN14" s="17">
        <v>0</v>
      </c>
      <c r="DO14" s="17">
        <v>0</v>
      </c>
      <c r="DP14" s="17">
        <v>0.8</v>
      </c>
      <c r="DQ14" s="17">
        <v>0</v>
      </c>
      <c r="DR14" s="17">
        <v>2.8</v>
      </c>
      <c r="DS14" s="17">
        <v>12.1</v>
      </c>
      <c r="DT14" s="17">
        <v>1.9</v>
      </c>
      <c r="DU14" s="17"/>
      <c r="DV14" s="17">
        <v>0</v>
      </c>
      <c r="DW14" s="17">
        <v>14.2</v>
      </c>
      <c r="DX14" s="17">
        <v>5.2</v>
      </c>
      <c r="DY14" s="17">
        <v>8.3000000000000007</v>
      </c>
      <c r="DZ14" s="17">
        <v>12.4</v>
      </c>
      <c r="EA14" s="17">
        <v>23.6</v>
      </c>
      <c r="EB14" s="17">
        <v>17.600000000000001</v>
      </c>
      <c r="EC14" s="17">
        <v>0</v>
      </c>
      <c r="ED14" s="17">
        <v>1.4</v>
      </c>
      <c r="EE14" s="17">
        <v>2.7</v>
      </c>
      <c r="EF14" s="17">
        <v>0</v>
      </c>
      <c r="EG14" s="17">
        <v>0</v>
      </c>
      <c r="EH14" s="17">
        <v>0</v>
      </c>
      <c r="EI14" s="17">
        <v>10.5</v>
      </c>
      <c r="EJ14" s="17">
        <v>3.6</v>
      </c>
      <c r="EK14" s="17">
        <v>4.5</v>
      </c>
      <c r="EL14" s="17">
        <v>9</v>
      </c>
      <c r="EM14" s="17">
        <v>9.6</v>
      </c>
      <c r="EN14" s="17">
        <v>10</v>
      </c>
      <c r="EO14" s="17">
        <v>9.4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</v>
      </c>
      <c r="EV14" s="17">
        <v>0</v>
      </c>
      <c r="EW14" s="17"/>
      <c r="EX14" s="17">
        <v>2</v>
      </c>
      <c r="EY14" s="17"/>
      <c r="EZ14" s="17"/>
      <c r="FA14" s="17">
        <v>0</v>
      </c>
      <c r="FB14" s="17">
        <v>10</v>
      </c>
      <c r="FC14" s="17">
        <v>19.5</v>
      </c>
      <c r="FD14" s="17">
        <v>18.600000000000001</v>
      </c>
      <c r="FE14" s="17">
        <v>10.1</v>
      </c>
      <c r="FF14" s="17">
        <v>33.6</v>
      </c>
      <c r="FG14" s="17"/>
      <c r="FH14" s="17">
        <v>18.7</v>
      </c>
      <c r="FI14" s="17"/>
      <c r="FJ14" s="17"/>
      <c r="FK14" s="17">
        <v>10.8</v>
      </c>
      <c r="FL14" s="17"/>
      <c r="FM14" s="17">
        <v>6508.1</v>
      </c>
      <c r="FN14" s="15"/>
      <c r="FO14" s="17">
        <v>22.5</v>
      </c>
      <c r="FP14" s="17">
        <v>0</v>
      </c>
      <c r="FQ14" s="17">
        <v>10.8</v>
      </c>
      <c r="FR14" s="17">
        <v>9.6</v>
      </c>
      <c r="FS14" s="17">
        <v>26.138670000000001</v>
      </c>
      <c r="FT14" s="17">
        <v>9.5060400000000005</v>
      </c>
      <c r="FU14" s="17">
        <v>11.4</v>
      </c>
      <c r="FV14" s="17">
        <v>10.6</v>
      </c>
      <c r="FW14" s="17">
        <v>100.54470999999999</v>
      </c>
    </row>
    <row r="15" spans="1:179" ht="24" customHeight="1" x14ac:dyDescent="0.3">
      <c r="A15" s="16" t="s">
        <v>67</v>
      </c>
      <c r="B15" s="16" t="s">
        <v>812</v>
      </c>
      <c r="C15" s="17">
        <v>104.3</v>
      </c>
      <c r="D15" s="17">
        <v>651</v>
      </c>
      <c r="E15" s="17">
        <v>214</v>
      </c>
      <c r="F15" s="17">
        <v>0</v>
      </c>
      <c r="G15" s="17">
        <v>0</v>
      </c>
      <c r="H15" s="17">
        <v>0</v>
      </c>
      <c r="I15" s="17">
        <v>118.8</v>
      </c>
      <c r="J15" s="17"/>
      <c r="K15" s="17">
        <v>0</v>
      </c>
      <c r="L15" s="17">
        <v>143.4</v>
      </c>
      <c r="M15" s="17">
        <v>0</v>
      </c>
      <c r="N15" s="17">
        <v>143.1</v>
      </c>
      <c r="O15" s="17">
        <v>159.9</v>
      </c>
      <c r="P15" s="17">
        <v>206.1</v>
      </c>
      <c r="Q15" s="17">
        <v>107</v>
      </c>
      <c r="R15" s="17">
        <v>439.1</v>
      </c>
      <c r="S15" s="17"/>
      <c r="T15" s="17"/>
      <c r="U15" s="17"/>
      <c r="V15" s="17"/>
      <c r="W15" s="17">
        <v>163.6</v>
      </c>
      <c r="X15" s="17">
        <v>7.5</v>
      </c>
      <c r="Y15" s="17">
        <v>5.3</v>
      </c>
      <c r="Z15" s="17">
        <v>0</v>
      </c>
      <c r="AA15" s="17">
        <v>6.5</v>
      </c>
      <c r="AB15" s="17">
        <v>60.1</v>
      </c>
      <c r="AC15" s="17"/>
      <c r="AD15" s="17"/>
      <c r="AE15" s="17"/>
      <c r="AF15" s="17"/>
      <c r="AG15" s="17">
        <v>83.9</v>
      </c>
      <c r="AH15" s="17">
        <v>155</v>
      </c>
      <c r="AI15" s="17"/>
      <c r="AJ15" s="17">
        <v>0</v>
      </c>
      <c r="AK15" s="17"/>
      <c r="AL15" s="17">
        <v>6.5</v>
      </c>
      <c r="AM15" s="17">
        <v>228.3</v>
      </c>
      <c r="AN15" s="17">
        <v>65.3</v>
      </c>
      <c r="AO15" s="17">
        <v>32</v>
      </c>
      <c r="AP15" s="17">
        <v>40.799999999999997</v>
      </c>
      <c r="AQ15" s="17">
        <v>18.600000000000001</v>
      </c>
      <c r="AR15" s="17">
        <v>18.8</v>
      </c>
      <c r="AS15" s="17">
        <v>89.5</v>
      </c>
      <c r="AT15" s="17">
        <v>176.7</v>
      </c>
      <c r="AU15" s="17">
        <v>176.9</v>
      </c>
      <c r="AV15" s="17">
        <v>182.3</v>
      </c>
      <c r="AW15" s="17">
        <v>107.2</v>
      </c>
      <c r="AX15" s="17">
        <v>0</v>
      </c>
      <c r="AY15" s="17">
        <v>40.1</v>
      </c>
      <c r="AZ15" s="17">
        <v>3.6</v>
      </c>
      <c r="BA15" s="17">
        <v>16.899999999999999</v>
      </c>
      <c r="BB15" s="17">
        <v>123.1</v>
      </c>
      <c r="BC15" s="17"/>
      <c r="BD15" s="17"/>
      <c r="BE15" s="17">
        <v>47.3</v>
      </c>
      <c r="BF15" s="17">
        <v>0</v>
      </c>
      <c r="BG15" s="17"/>
      <c r="BH15" s="17">
        <v>0</v>
      </c>
      <c r="BI15" s="17"/>
      <c r="BJ15" s="17"/>
      <c r="BK15" s="17"/>
      <c r="BL15" s="17">
        <v>124.3</v>
      </c>
      <c r="BM15" s="17">
        <v>157.19999999999999</v>
      </c>
      <c r="BN15" s="17">
        <v>157.1</v>
      </c>
      <c r="BO15" s="17">
        <v>156.80000000000001</v>
      </c>
      <c r="BP15" s="17">
        <v>241.8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2.9</v>
      </c>
      <c r="BZ15" s="17">
        <v>97.4</v>
      </c>
      <c r="CA15" s="17">
        <v>101.6</v>
      </c>
      <c r="CB15" s="17">
        <v>60.8</v>
      </c>
      <c r="CC15" s="17">
        <v>62.9</v>
      </c>
      <c r="CD15" s="17">
        <v>29.2</v>
      </c>
      <c r="CE15" s="17">
        <v>0</v>
      </c>
      <c r="CF15" s="17"/>
      <c r="CG15" s="17"/>
      <c r="CH15" s="17">
        <v>141.69999999999999</v>
      </c>
      <c r="CI15" s="17">
        <v>144.30000000000001</v>
      </c>
      <c r="CJ15" s="17">
        <v>147.30000000000001</v>
      </c>
      <c r="CK15" s="17">
        <v>0</v>
      </c>
      <c r="CL15" s="17"/>
      <c r="CM15" s="17"/>
      <c r="CN15" s="17"/>
      <c r="CO15" s="17"/>
      <c r="CP15" s="17">
        <v>208</v>
      </c>
      <c r="CQ15" s="17">
        <v>100.6</v>
      </c>
      <c r="CR15" s="17">
        <v>7.9</v>
      </c>
      <c r="CS15" s="17">
        <v>3.6</v>
      </c>
      <c r="CT15" s="17">
        <v>11</v>
      </c>
      <c r="CU15" s="17">
        <v>0</v>
      </c>
      <c r="CV15" s="17">
        <v>3.1</v>
      </c>
      <c r="CW15" s="17">
        <v>0</v>
      </c>
      <c r="CX15" s="17">
        <v>11.7</v>
      </c>
      <c r="CY15" s="17">
        <v>0</v>
      </c>
      <c r="CZ15" s="17">
        <v>16.3</v>
      </c>
      <c r="DA15" s="17">
        <v>0</v>
      </c>
      <c r="DB15" s="17">
        <v>0</v>
      </c>
      <c r="DC15" s="17">
        <v>0</v>
      </c>
      <c r="DD15" s="17">
        <v>0</v>
      </c>
      <c r="DE15" s="17">
        <v>1.3</v>
      </c>
      <c r="DF15" s="17">
        <v>2.4</v>
      </c>
      <c r="DG15" s="17">
        <v>2.5</v>
      </c>
      <c r="DH15" s="17">
        <v>20.399999999999999</v>
      </c>
      <c r="DI15" s="17">
        <v>9.9</v>
      </c>
      <c r="DJ15" s="17">
        <v>4.4000000000000004</v>
      </c>
      <c r="DK15" s="17"/>
      <c r="DL15" s="17">
        <v>7.5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2.8</v>
      </c>
      <c r="DS15" s="17">
        <v>12.1</v>
      </c>
      <c r="DT15" s="17">
        <v>1.8</v>
      </c>
      <c r="DU15" s="17"/>
      <c r="DV15" s="17">
        <v>0</v>
      </c>
      <c r="DW15" s="17">
        <v>14.2</v>
      </c>
      <c r="DX15" s="17">
        <v>5.2</v>
      </c>
      <c r="DY15" s="17">
        <v>8.3000000000000007</v>
      </c>
      <c r="DZ15" s="17">
        <v>12.4</v>
      </c>
      <c r="EA15" s="17">
        <v>28.2</v>
      </c>
      <c r="EB15" s="17">
        <v>17.100000000000001</v>
      </c>
      <c r="EC15" s="17">
        <v>0</v>
      </c>
      <c r="ED15" s="17">
        <v>3.8</v>
      </c>
      <c r="EE15" s="17">
        <v>7.1</v>
      </c>
      <c r="EF15" s="17">
        <v>0.1</v>
      </c>
      <c r="EG15" s="17">
        <v>0</v>
      </c>
      <c r="EH15" s="17">
        <v>0</v>
      </c>
      <c r="EI15" s="17">
        <v>10.4</v>
      </c>
      <c r="EJ15" s="17">
        <v>3.6</v>
      </c>
      <c r="EK15" s="17">
        <v>4.5</v>
      </c>
      <c r="EL15" s="17">
        <v>9</v>
      </c>
      <c r="EM15" s="17">
        <v>9.6</v>
      </c>
      <c r="EN15" s="17">
        <v>10</v>
      </c>
      <c r="EO15" s="17">
        <v>8.9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/>
      <c r="EX15" s="17">
        <v>2</v>
      </c>
      <c r="EY15" s="17"/>
      <c r="EZ15" s="17"/>
      <c r="FA15" s="17">
        <v>0</v>
      </c>
      <c r="FB15" s="17">
        <v>10</v>
      </c>
      <c r="FC15" s="17">
        <v>19.5</v>
      </c>
      <c r="FD15" s="17">
        <v>18.600000000000001</v>
      </c>
      <c r="FE15" s="17">
        <v>9.6999999999999993</v>
      </c>
      <c r="FF15" s="17">
        <v>34.5</v>
      </c>
      <c r="FG15" s="17"/>
      <c r="FH15" s="17">
        <v>18.5</v>
      </c>
      <c r="FI15" s="17"/>
      <c r="FJ15" s="17"/>
      <c r="FK15" s="17">
        <v>11.2</v>
      </c>
      <c r="FL15" s="17"/>
      <c r="FM15" s="17">
        <v>6472.1</v>
      </c>
      <c r="FN15" s="15"/>
      <c r="FO15" s="17">
        <v>22.5</v>
      </c>
      <c r="FP15" s="17">
        <v>0</v>
      </c>
      <c r="FQ15" s="17">
        <v>10.8</v>
      </c>
      <c r="FR15" s="17">
        <v>9.6</v>
      </c>
      <c r="FS15" s="17">
        <v>26.09299</v>
      </c>
      <c r="FT15" s="17">
        <v>9.5057899999999993</v>
      </c>
      <c r="FU15" s="17">
        <v>11.5</v>
      </c>
      <c r="FV15" s="17">
        <v>10.4</v>
      </c>
      <c r="FW15" s="17">
        <v>100.39878</v>
      </c>
    </row>
    <row r="16" spans="1:179" ht="24" customHeight="1" x14ac:dyDescent="0.3">
      <c r="A16" s="16" t="s">
        <v>67</v>
      </c>
      <c r="B16" s="16" t="s">
        <v>813</v>
      </c>
      <c r="C16" s="17">
        <v>104.5</v>
      </c>
      <c r="D16" s="17">
        <v>651.1</v>
      </c>
      <c r="E16" s="17">
        <v>214</v>
      </c>
      <c r="F16" s="17">
        <v>0</v>
      </c>
      <c r="G16" s="17">
        <v>0</v>
      </c>
      <c r="H16" s="17">
        <v>0</v>
      </c>
      <c r="I16" s="17">
        <v>118.9</v>
      </c>
      <c r="J16" s="17"/>
      <c r="K16" s="17">
        <v>0</v>
      </c>
      <c r="L16" s="17">
        <v>143.9</v>
      </c>
      <c r="M16" s="17">
        <v>0</v>
      </c>
      <c r="N16" s="17">
        <v>142.6</v>
      </c>
      <c r="O16" s="17">
        <v>159.6</v>
      </c>
      <c r="P16" s="17">
        <v>205.4</v>
      </c>
      <c r="Q16" s="17">
        <v>106.2</v>
      </c>
      <c r="R16" s="17">
        <v>381.8</v>
      </c>
      <c r="S16" s="17"/>
      <c r="T16" s="17"/>
      <c r="U16" s="17"/>
      <c r="V16" s="17"/>
      <c r="W16" s="17">
        <v>164.2</v>
      </c>
      <c r="X16" s="17">
        <v>7.7</v>
      </c>
      <c r="Y16" s="17">
        <v>5.5</v>
      </c>
      <c r="Z16" s="17">
        <v>0</v>
      </c>
      <c r="AA16" s="17">
        <v>6.5</v>
      </c>
      <c r="AB16" s="17">
        <v>60.8</v>
      </c>
      <c r="AC16" s="17"/>
      <c r="AD16" s="17"/>
      <c r="AE16" s="17"/>
      <c r="AF16" s="17"/>
      <c r="AG16" s="17">
        <v>80.3</v>
      </c>
      <c r="AH16" s="17">
        <v>61.3</v>
      </c>
      <c r="AI16" s="17"/>
      <c r="AJ16" s="17">
        <v>0</v>
      </c>
      <c r="AK16" s="17"/>
      <c r="AL16" s="17">
        <v>6.5</v>
      </c>
      <c r="AM16" s="17">
        <v>234</v>
      </c>
      <c r="AN16" s="17">
        <v>64.3</v>
      </c>
      <c r="AO16" s="17">
        <v>58.4</v>
      </c>
      <c r="AP16" s="17">
        <v>40.9</v>
      </c>
      <c r="AQ16" s="17">
        <v>18.600000000000001</v>
      </c>
      <c r="AR16" s="17">
        <v>18.8</v>
      </c>
      <c r="AS16" s="17">
        <v>89.1</v>
      </c>
      <c r="AT16" s="17">
        <v>173</v>
      </c>
      <c r="AU16" s="17">
        <v>172.1</v>
      </c>
      <c r="AV16" s="17">
        <v>177.6</v>
      </c>
      <c r="AW16" s="17">
        <v>107.6</v>
      </c>
      <c r="AX16" s="17">
        <v>0</v>
      </c>
      <c r="AY16" s="17">
        <v>39.299999999999997</v>
      </c>
      <c r="AZ16" s="17">
        <v>3.6</v>
      </c>
      <c r="BA16" s="17">
        <v>17.100000000000001</v>
      </c>
      <c r="BB16" s="17">
        <v>136.5</v>
      </c>
      <c r="BC16" s="17"/>
      <c r="BD16" s="17"/>
      <c r="BE16" s="17">
        <v>47.5</v>
      </c>
      <c r="BF16" s="17">
        <v>0</v>
      </c>
      <c r="BG16" s="17"/>
      <c r="BH16" s="17">
        <v>0</v>
      </c>
      <c r="BI16" s="17"/>
      <c r="BJ16" s="17"/>
      <c r="BK16" s="17"/>
      <c r="BL16" s="17">
        <v>125</v>
      </c>
      <c r="BM16" s="17">
        <v>168.6</v>
      </c>
      <c r="BN16" s="17">
        <v>166.5</v>
      </c>
      <c r="BO16" s="17">
        <v>198.7</v>
      </c>
      <c r="BP16" s="17">
        <v>265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2.9</v>
      </c>
      <c r="BZ16" s="17">
        <v>86.6</v>
      </c>
      <c r="CA16" s="17">
        <v>95.9</v>
      </c>
      <c r="CB16" s="17">
        <v>61</v>
      </c>
      <c r="CC16" s="17">
        <v>57</v>
      </c>
      <c r="CD16" s="17">
        <v>30.1</v>
      </c>
      <c r="CE16" s="17">
        <v>0</v>
      </c>
      <c r="CF16" s="17"/>
      <c r="CG16" s="17"/>
      <c r="CH16" s="17">
        <v>141.1</v>
      </c>
      <c r="CI16" s="17">
        <v>143.9</v>
      </c>
      <c r="CJ16" s="17">
        <v>146.5</v>
      </c>
      <c r="CK16" s="17">
        <v>0</v>
      </c>
      <c r="CL16" s="17"/>
      <c r="CM16" s="17"/>
      <c r="CN16" s="17"/>
      <c r="CO16" s="17"/>
      <c r="CP16" s="17">
        <v>208.4</v>
      </c>
      <c r="CQ16" s="17">
        <v>100.6</v>
      </c>
      <c r="CR16" s="17">
        <v>7.9</v>
      </c>
      <c r="CS16" s="17">
        <v>3.5</v>
      </c>
      <c r="CT16" s="17">
        <v>10.9</v>
      </c>
      <c r="CU16" s="17">
        <v>0</v>
      </c>
      <c r="CV16" s="17">
        <v>5.3</v>
      </c>
      <c r="CW16" s="17">
        <v>0</v>
      </c>
      <c r="CX16" s="17">
        <v>12.1</v>
      </c>
      <c r="CY16" s="17">
        <v>0</v>
      </c>
      <c r="CZ16" s="17">
        <v>16.2</v>
      </c>
      <c r="DA16" s="17">
        <v>0</v>
      </c>
      <c r="DB16" s="17">
        <v>0</v>
      </c>
      <c r="DC16" s="17">
        <v>0</v>
      </c>
      <c r="DD16" s="17">
        <v>0</v>
      </c>
      <c r="DE16" s="17">
        <v>1.3</v>
      </c>
      <c r="DF16" s="17">
        <v>2.4</v>
      </c>
      <c r="DG16" s="17">
        <v>2.6</v>
      </c>
      <c r="DH16" s="17">
        <v>20.2</v>
      </c>
      <c r="DI16" s="17">
        <v>9.9</v>
      </c>
      <c r="DJ16" s="17">
        <v>8.3000000000000007</v>
      </c>
      <c r="DK16" s="17"/>
      <c r="DL16" s="17">
        <v>7.5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2.8</v>
      </c>
      <c r="DS16" s="17">
        <v>12.1</v>
      </c>
      <c r="DT16" s="17">
        <v>1.8</v>
      </c>
      <c r="DU16" s="17"/>
      <c r="DV16" s="17">
        <v>0</v>
      </c>
      <c r="DW16" s="17">
        <v>14.2</v>
      </c>
      <c r="DX16" s="17">
        <v>5.3</v>
      </c>
      <c r="DY16" s="17">
        <v>8.3000000000000007</v>
      </c>
      <c r="DZ16" s="17">
        <v>12.5</v>
      </c>
      <c r="EA16" s="17">
        <v>27.8</v>
      </c>
      <c r="EB16" s="17">
        <v>13.1</v>
      </c>
      <c r="EC16" s="17">
        <v>0</v>
      </c>
      <c r="ED16" s="17">
        <v>6.3</v>
      </c>
      <c r="EE16" s="17">
        <v>14</v>
      </c>
      <c r="EF16" s="17">
        <v>0</v>
      </c>
      <c r="EG16" s="17">
        <v>0</v>
      </c>
      <c r="EH16" s="17">
        <v>0</v>
      </c>
      <c r="EI16" s="17">
        <v>10.4</v>
      </c>
      <c r="EJ16" s="17">
        <v>3.6</v>
      </c>
      <c r="EK16" s="17">
        <v>4.5</v>
      </c>
      <c r="EL16" s="17">
        <v>9</v>
      </c>
      <c r="EM16" s="17">
        <v>9.8000000000000007</v>
      </c>
      <c r="EN16" s="17">
        <v>10.1</v>
      </c>
      <c r="EO16" s="17">
        <v>9.3000000000000007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/>
      <c r="EX16" s="17">
        <v>2</v>
      </c>
      <c r="EY16" s="17"/>
      <c r="EZ16" s="17"/>
      <c r="FA16" s="17">
        <v>0</v>
      </c>
      <c r="FB16" s="17">
        <v>10</v>
      </c>
      <c r="FC16" s="17">
        <v>19.5</v>
      </c>
      <c r="FD16" s="17">
        <v>18.7</v>
      </c>
      <c r="FE16" s="17">
        <v>9.9</v>
      </c>
      <c r="FF16" s="17">
        <v>34.4</v>
      </c>
      <c r="FG16" s="17"/>
      <c r="FH16" s="17">
        <v>18.5</v>
      </c>
      <c r="FI16" s="17"/>
      <c r="FJ16" s="17"/>
      <c r="FK16" s="17">
        <v>11.2</v>
      </c>
      <c r="FL16" s="17"/>
      <c r="FM16" s="17">
        <v>6424.8</v>
      </c>
      <c r="FN16" s="15"/>
      <c r="FO16" s="17">
        <v>22.5</v>
      </c>
      <c r="FP16" s="17">
        <v>0</v>
      </c>
      <c r="FQ16" s="17">
        <v>10.8</v>
      </c>
      <c r="FR16" s="17">
        <v>9.6</v>
      </c>
      <c r="FS16" s="17">
        <v>26.054500000000001</v>
      </c>
      <c r="FT16" s="17">
        <v>9.5049700000000001</v>
      </c>
      <c r="FU16" s="17">
        <v>11.5</v>
      </c>
      <c r="FV16" s="17">
        <v>10.7</v>
      </c>
      <c r="FW16" s="17">
        <v>100.65947</v>
      </c>
    </row>
    <row r="17" spans="1:179" ht="24" customHeight="1" x14ac:dyDescent="0.3">
      <c r="A17" s="16" t="s">
        <v>67</v>
      </c>
      <c r="B17" s="16" t="s">
        <v>814</v>
      </c>
      <c r="C17" s="17">
        <v>104.2</v>
      </c>
      <c r="D17" s="17">
        <v>650.79999999999995</v>
      </c>
      <c r="E17" s="17">
        <v>214.2</v>
      </c>
      <c r="F17" s="17">
        <v>0</v>
      </c>
      <c r="G17" s="17">
        <v>0</v>
      </c>
      <c r="H17" s="17">
        <v>0</v>
      </c>
      <c r="I17" s="17">
        <v>119.8</v>
      </c>
      <c r="J17" s="17"/>
      <c r="K17" s="17">
        <v>0</v>
      </c>
      <c r="L17" s="17">
        <v>180</v>
      </c>
      <c r="M17" s="17">
        <v>0</v>
      </c>
      <c r="N17" s="17">
        <v>187.1</v>
      </c>
      <c r="O17" s="17">
        <v>184.1</v>
      </c>
      <c r="P17" s="17">
        <v>205.5</v>
      </c>
      <c r="Q17" s="17">
        <v>106.1</v>
      </c>
      <c r="R17" s="17">
        <v>376.7</v>
      </c>
      <c r="S17" s="17"/>
      <c r="T17" s="17"/>
      <c r="U17" s="17"/>
      <c r="V17" s="17"/>
      <c r="W17" s="17">
        <v>165.4</v>
      </c>
      <c r="X17" s="17">
        <v>7.7</v>
      </c>
      <c r="Y17" s="17">
        <v>5.4</v>
      </c>
      <c r="Z17" s="17">
        <v>0</v>
      </c>
      <c r="AA17" s="17">
        <v>6.4</v>
      </c>
      <c r="AB17" s="17">
        <v>60.5</v>
      </c>
      <c r="AC17" s="17"/>
      <c r="AD17" s="17"/>
      <c r="AE17" s="17"/>
      <c r="AF17" s="17"/>
      <c r="AG17" s="17">
        <v>80.400000000000006</v>
      </c>
      <c r="AH17" s="17">
        <v>106.2</v>
      </c>
      <c r="AI17" s="17"/>
      <c r="AJ17" s="17">
        <v>0</v>
      </c>
      <c r="AK17" s="17"/>
      <c r="AL17" s="17">
        <v>6.5</v>
      </c>
      <c r="AM17" s="17">
        <v>234.4</v>
      </c>
      <c r="AN17" s="17">
        <v>65.5</v>
      </c>
      <c r="AO17" s="17">
        <v>30.7</v>
      </c>
      <c r="AP17" s="17">
        <v>41</v>
      </c>
      <c r="AQ17" s="17">
        <v>18.600000000000001</v>
      </c>
      <c r="AR17" s="17">
        <v>18.8</v>
      </c>
      <c r="AS17" s="17">
        <v>90.9</v>
      </c>
      <c r="AT17" s="17">
        <v>178.3</v>
      </c>
      <c r="AU17" s="17">
        <v>178.4</v>
      </c>
      <c r="AV17" s="17">
        <v>183.1</v>
      </c>
      <c r="AW17" s="17">
        <v>107.6</v>
      </c>
      <c r="AX17" s="17">
        <v>0</v>
      </c>
      <c r="AY17" s="17">
        <v>40.6</v>
      </c>
      <c r="AZ17" s="17">
        <v>3.6</v>
      </c>
      <c r="BA17" s="17">
        <v>16.899999999999999</v>
      </c>
      <c r="BB17" s="17">
        <v>169.7</v>
      </c>
      <c r="BC17" s="17"/>
      <c r="BD17" s="17"/>
      <c r="BE17" s="17">
        <v>47.5</v>
      </c>
      <c r="BF17" s="17">
        <v>0</v>
      </c>
      <c r="BG17" s="17"/>
      <c r="BH17" s="17">
        <v>0</v>
      </c>
      <c r="BI17" s="17"/>
      <c r="BJ17" s="17"/>
      <c r="BK17" s="17"/>
      <c r="BL17" s="17">
        <v>124.8</v>
      </c>
      <c r="BM17" s="17">
        <v>150.30000000000001</v>
      </c>
      <c r="BN17" s="17">
        <v>150.1</v>
      </c>
      <c r="BO17" s="17">
        <v>149.6</v>
      </c>
      <c r="BP17" s="17">
        <v>232.5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2.9</v>
      </c>
      <c r="BZ17" s="17">
        <v>28.6</v>
      </c>
      <c r="CA17" s="17">
        <v>101.7</v>
      </c>
      <c r="CB17" s="17">
        <v>61</v>
      </c>
      <c r="CC17" s="17">
        <v>57</v>
      </c>
      <c r="CD17" s="17">
        <v>30.2</v>
      </c>
      <c r="CE17" s="17">
        <v>0</v>
      </c>
      <c r="CF17" s="17"/>
      <c r="CG17" s="17"/>
      <c r="CH17" s="17">
        <v>141.30000000000001</v>
      </c>
      <c r="CI17" s="17">
        <v>144</v>
      </c>
      <c r="CJ17" s="17">
        <v>146.5</v>
      </c>
      <c r="CK17" s="17">
        <v>0</v>
      </c>
      <c r="CL17" s="17"/>
      <c r="CM17" s="17"/>
      <c r="CN17" s="17"/>
      <c r="CO17" s="17"/>
      <c r="CP17" s="17">
        <v>208.4</v>
      </c>
      <c r="CQ17" s="17">
        <v>100.6</v>
      </c>
      <c r="CR17" s="17">
        <v>7.9</v>
      </c>
      <c r="CS17" s="17">
        <v>3.6</v>
      </c>
      <c r="CT17" s="17">
        <v>10.8</v>
      </c>
      <c r="CU17" s="17">
        <v>0</v>
      </c>
      <c r="CV17" s="17">
        <v>3.2</v>
      </c>
      <c r="CW17" s="17">
        <v>0</v>
      </c>
      <c r="CX17" s="17">
        <v>12</v>
      </c>
      <c r="CY17" s="17">
        <v>0</v>
      </c>
      <c r="CZ17" s="17">
        <v>16.3</v>
      </c>
      <c r="DA17" s="17">
        <v>0</v>
      </c>
      <c r="DB17" s="17">
        <v>0</v>
      </c>
      <c r="DC17" s="17">
        <v>0</v>
      </c>
      <c r="DD17" s="17">
        <v>0</v>
      </c>
      <c r="DE17" s="17">
        <v>1.3</v>
      </c>
      <c r="DF17" s="17">
        <v>2.4</v>
      </c>
      <c r="DG17" s="17">
        <v>2.6</v>
      </c>
      <c r="DH17" s="17">
        <v>20.6</v>
      </c>
      <c r="DI17" s="17">
        <v>9.9</v>
      </c>
      <c r="DJ17" s="17">
        <v>8.3000000000000007</v>
      </c>
      <c r="DK17" s="17"/>
      <c r="DL17" s="17">
        <v>7.5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2.8</v>
      </c>
      <c r="DS17" s="17">
        <v>12.1</v>
      </c>
      <c r="DT17" s="17">
        <v>1.8</v>
      </c>
      <c r="DU17" s="17"/>
      <c r="DV17" s="17">
        <v>0</v>
      </c>
      <c r="DW17" s="17">
        <v>14.2</v>
      </c>
      <c r="DX17" s="17">
        <v>5.4</v>
      </c>
      <c r="DY17" s="17">
        <v>8.3000000000000007</v>
      </c>
      <c r="DZ17" s="17">
        <v>12.5</v>
      </c>
      <c r="EA17" s="17">
        <v>23.3</v>
      </c>
      <c r="EB17" s="17">
        <v>14.2</v>
      </c>
      <c r="EC17" s="17">
        <v>0</v>
      </c>
      <c r="ED17" s="17">
        <v>3.8</v>
      </c>
      <c r="EE17" s="17">
        <v>11.7</v>
      </c>
      <c r="EF17" s="17">
        <v>0</v>
      </c>
      <c r="EG17" s="17">
        <v>0</v>
      </c>
      <c r="EH17" s="17">
        <v>0</v>
      </c>
      <c r="EI17" s="17">
        <v>10.4</v>
      </c>
      <c r="EJ17" s="17">
        <v>3.6</v>
      </c>
      <c r="EK17" s="17">
        <v>4.5</v>
      </c>
      <c r="EL17" s="17">
        <v>9</v>
      </c>
      <c r="EM17" s="17">
        <v>9.8000000000000007</v>
      </c>
      <c r="EN17" s="17">
        <v>10.1</v>
      </c>
      <c r="EO17" s="17">
        <v>7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/>
      <c r="EX17" s="17">
        <v>2</v>
      </c>
      <c r="EY17" s="17"/>
      <c r="EZ17" s="17"/>
      <c r="FA17" s="17">
        <v>0</v>
      </c>
      <c r="FB17" s="17">
        <v>10</v>
      </c>
      <c r="FC17" s="17">
        <v>19.5</v>
      </c>
      <c r="FD17" s="17">
        <v>18.7</v>
      </c>
      <c r="FE17" s="17">
        <v>9.8000000000000007</v>
      </c>
      <c r="FF17" s="17">
        <v>33.9</v>
      </c>
      <c r="FG17" s="17"/>
      <c r="FH17" s="17">
        <v>18</v>
      </c>
      <c r="FI17" s="17"/>
      <c r="FJ17" s="17"/>
      <c r="FK17" s="17">
        <v>11.2</v>
      </c>
      <c r="FL17" s="17"/>
      <c r="FM17" s="17">
        <v>6416.7</v>
      </c>
      <c r="FN17" s="15"/>
      <c r="FO17" s="17">
        <v>22.5</v>
      </c>
      <c r="FP17" s="17">
        <v>0</v>
      </c>
      <c r="FQ17" s="17">
        <v>10.8</v>
      </c>
      <c r="FR17" s="17">
        <v>9.6</v>
      </c>
      <c r="FS17" s="17">
        <v>26.056699999999999</v>
      </c>
      <c r="FT17" s="17">
        <v>9.5039599999999993</v>
      </c>
      <c r="FU17" s="17">
        <v>11.5</v>
      </c>
      <c r="FV17" s="17">
        <v>10.6</v>
      </c>
      <c r="FW17" s="17">
        <v>100.56066</v>
      </c>
    </row>
    <row r="18" spans="1:179" ht="24" customHeight="1" x14ac:dyDescent="0.3">
      <c r="A18" s="18" t="s">
        <v>67</v>
      </c>
      <c r="B18" s="18" t="s">
        <v>815</v>
      </c>
      <c r="C18" s="19">
        <v>104.4</v>
      </c>
      <c r="D18" s="19">
        <v>652.79999999999995</v>
      </c>
      <c r="E18" s="19">
        <v>214.5</v>
      </c>
      <c r="F18" s="19">
        <v>0</v>
      </c>
      <c r="G18" s="19">
        <v>0</v>
      </c>
      <c r="H18" s="19">
        <v>0</v>
      </c>
      <c r="I18" s="19">
        <v>120.5</v>
      </c>
      <c r="J18" s="19"/>
      <c r="K18" s="19">
        <v>0</v>
      </c>
      <c r="L18" s="19">
        <v>179.8</v>
      </c>
      <c r="M18" s="19">
        <v>0</v>
      </c>
      <c r="N18" s="19">
        <v>185.3</v>
      </c>
      <c r="O18" s="19">
        <v>183.9</v>
      </c>
      <c r="P18" s="19">
        <v>204.2</v>
      </c>
      <c r="Q18" s="19">
        <v>106.5</v>
      </c>
      <c r="R18" s="19">
        <v>380.3</v>
      </c>
      <c r="S18" s="19"/>
      <c r="T18" s="19"/>
      <c r="U18" s="19"/>
      <c r="V18" s="19"/>
      <c r="W18" s="19">
        <v>164.7</v>
      </c>
      <c r="X18" s="19">
        <v>7.7</v>
      </c>
      <c r="Y18" s="19">
        <v>5.5</v>
      </c>
      <c r="Z18" s="19">
        <v>0</v>
      </c>
      <c r="AA18" s="19">
        <v>6.4</v>
      </c>
      <c r="AB18" s="19">
        <v>60.8</v>
      </c>
      <c r="AC18" s="19"/>
      <c r="AD18" s="19"/>
      <c r="AE18" s="19"/>
      <c r="AF18" s="19"/>
      <c r="AG18" s="19">
        <v>80.599999999999994</v>
      </c>
      <c r="AH18" s="19">
        <v>76.3</v>
      </c>
      <c r="AI18" s="19"/>
      <c r="AJ18" s="19">
        <v>0</v>
      </c>
      <c r="AK18" s="19"/>
      <c r="AL18" s="19">
        <v>6.5</v>
      </c>
      <c r="AM18" s="19">
        <v>228.9</v>
      </c>
      <c r="AN18" s="19">
        <v>64.900000000000006</v>
      </c>
      <c r="AO18" s="19">
        <v>59.5</v>
      </c>
      <c r="AP18" s="19">
        <v>40.9</v>
      </c>
      <c r="AQ18" s="19">
        <v>18.600000000000001</v>
      </c>
      <c r="AR18" s="19">
        <v>18.8</v>
      </c>
      <c r="AS18" s="19">
        <v>91.8</v>
      </c>
      <c r="AT18" s="19">
        <v>179.5</v>
      </c>
      <c r="AU18" s="19">
        <v>180</v>
      </c>
      <c r="AV18" s="19">
        <v>183.3</v>
      </c>
      <c r="AW18" s="19">
        <v>108.5</v>
      </c>
      <c r="AX18" s="19">
        <v>0</v>
      </c>
      <c r="AY18" s="19">
        <v>39.799999999999997</v>
      </c>
      <c r="AZ18" s="19">
        <v>3.6</v>
      </c>
      <c r="BA18" s="19">
        <v>16.8</v>
      </c>
      <c r="BB18" s="19">
        <v>119.5</v>
      </c>
      <c r="BC18" s="19"/>
      <c r="BD18" s="19"/>
      <c r="BE18" s="19">
        <v>47.6</v>
      </c>
      <c r="BF18" s="19">
        <v>0</v>
      </c>
      <c r="BG18" s="19"/>
      <c r="BH18" s="19">
        <v>0</v>
      </c>
      <c r="BI18" s="19"/>
      <c r="BJ18" s="19"/>
      <c r="BK18" s="19"/>
      <c r="BL18" s="19">
        <v>124.9</v>
      </c>
      <c r="BM18" s="19">
        <v>155.30000000000001</v>
      </c>
      <c r="BN18" s="19">
        <v>155.1</v>
      </c>
      <c r="BO18" s="19">
        <v>154.9</v>
      </c>
      <c r="BP18" s="19">
        <v>240.5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2.9</v>
      </c>
      <c r="BZ18" s="19">
        <v>21.3</v>
      </c>
      <c r="CA18" s="19">
        <v>98.3</v>
      </c>
      <c r="CB18" s="19">
        <v>61.2</v>
      </c>
      <c r="CC18" s="19">
        <v>60</v>
      </c>
      <c r="CD18" s="19">
        <v>30.1</v>
      </c>
      <c r="CE18" s="19">
        <v>0</v>
      </c>
      <c r="CF18" s="19"/>
      <c r="CG18" s="19"/>
      <c r="CH18" s="19">
        <v>141.19999999999999</v>
      </c>
      <c r="CI18" s="19">
        <v>144.19999999999999</v>
      </c>
      <c r="CJ18" s="19">
        <v>147</v>
      </c>
      <c r="CK18" s="19">
        <v>0</v>
      </c>
      <c r="CL18" s="19"/>
      <c r="CM18" s="19"/>
      <c r="CN18" s="19"/>
      <c r="CO18" s="19"/>
      <c r="CP18" s="19">
        <v>208.4</v>
      </c>
      <c r="CQ18" s="19">
        <v>100.7</v>
      </c>
      <c r="CR18" s="19">
        <v>7.9</v>
      </c>
      <c r="CS18" s="19">
        <v>3.6</v>
      </c>
      <c r="CT18" s="19">
        <v>11.1</v>
      </c>
      <c r="CU18" s="19">
        <v>0</v>
      </c>
      <c r="CV18" s="19">
        <v>5.2</v>
      </c>
      <c r="CW18" s="19">
        <v>0</v>
      </c>
      <c r="CX18" s="19">
        <v>12.2</v>
      </c>
      <c r="CY18" s="19">
        <v>0</v>
      </c>
      <c r="CZ18" s="19">
        <v>16.3</v>
      </c>
      <c r="DA18" s="19">
        <v>0</v>
      </c>
      <c r="DB18" s="19">
        <v>0</v>
      </c>
      <c r="DC18" s="19">
        <v>0</v>
      </c>
      <c r="DD18" s="19">
        <v>0</v>
      </c>
      <c r="DE18" s="19">
        <v>1.3</v>
      </c>
      <c r="DF18" s="19">
        <v>2.4</v>
      </c>
      <c r="DG18" s="19">
        <v>2.6</v>
      </c>
      <c r="DH18" s="19">
        <v>20.5</v>
      </c>
      <c r="DI18" s="19">
        <v>9.9</v>
      </c>
      <c r="DJ18" s="19">
        <v>8.3000000000000007</v>
      </c>
      <c r="DK18" s="19"/>
      <c r="DL18" s="19">
        <v>7.5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2.8</v>
      </c>
      <c r="DS18" s="19">
        <v>12.1</v>
      </c>
      <c r="DT18" s="19">
        <v>1.8</v>
      </c>
      <c r="DU18" s="19"/>
      <c r="DV18" s="19">
        <v>0</v>
      </c>
      <c r="DW18" s="19">
        <v>14.2</v>
      </c>
      <c r="DX18" s="19">
        <v>5.5</v>
      </c>
      <c r="DY18" s="19">
        <v>8.4</v>
      </c>
      <c r="DZ18" s="19">
        <v>12.5</v>
      </c>
      <c r="EA18" s="19">
        <v>19.5</v>
      </c>
      <c r="EB18" s="19">
        <v>20.399999999999999</v>
      </c>
      <c r="EC18" s="19">
        <v>0</v>
      </c>
      <c r="ED18" s="19">
        <v>4.2</v>
      </c>
      <c r="EE18" s="19">
        <v>11.3</v>
      </c>
      <c r="EF18" s="19">
        <v>0</v>
      </c>
      <c r="EG18" s="19">
        <v>0</v>
      </c>
      <c r="EH18" s="19">
        <v>0</v>
      </c>
      <c r="EI18" s="19">
        <v>10.4</v>
      </c>
      <c r="EJ18" s="19">
        <v>3.6</v>
      </c>
      <c r="EK18" s="19">
        <v>4.5</v>
      </c>
      <c r="EL18" s="19">
        <v>9</v>
      </c>
      <c r="EM18" s="19">
        <v>9.8000000000000007</v>
      </c>
      <c r="EN18" s="19">
        <v>10.1</v>
      </c>
      <c r="EO18" s="19">
        <v>9.8000000000000007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/>
      <c r="EX18" s="19">
        <v>2</v>
      </c>
      <c r="EY18" s="19"/>
      <c r="EZ18" s="19"/>
      <c r="FA18" s="19">
        <v>0</v>
      </c>
      <c r="FB18" s="19">
        <v>9.9</v>
      </c>
      <c r="FC18" s="19">
        <v>19.5</v>
      </c>
      <c r="FD18" s="19">
        <v>18.7</v>
      </c>
      <c r="FE18" s="19">
        <v>9.6</v>
      </c>
      <c r="FF18" s="19">
        <v>34.700000000000003</v>
      </c>
      <c r="FG18" s="19"/>
      <c r="FH18" s="19">
        <v>18.399999999999999</v>
      </c>
      <c r="FI18" s="19"/>
      <c r="FJ18" s="19"/>
      <c r="FK18" s="19">
        <v>10.9</v>
      </c>
      <c r="FL18" s="19"/>
      <c r="FM18" s="19">
        <v>6391.7</v>
      </c>
      <c r="FN18" s="15"/>
      <c r="FO18" s="19">
        <v>22.5</v>
      </c>
      <c r="FP18" s="19">
        <v>0</v>
      </c>
      <c r="FQ18" s="19">
        <v>10.8</v>
      </c>
      <c r="FR18" s="19">
        <v>9.6</v>
      </c>
      <c r="FS18" s="19">
        <v>26.079930000000001</v>
      </c>
      <c r="FT18" s="19">
        <v>9.5026399999999995</v>
      </c>
      <c r="FU18" s="19">
        <v>11.5</v>
      </c>
      <c r="FV18" s="19">
        <v>10.8</v>
      </c>
      <c r="FW18" s="19">
        <v>100.78257000000001</v>
      </c>
    </row>
    <row r="19" spans="1:179" ht="24" customHeight="1" x14ac:dyDescent="0.3">
      <c r="A19" s="13" t="s">
        <v>67</v>
      </c>
      <c r="B19" s="13" t="s">
        <v>816</v>
      </c>
      <c r="C19" s="14">
        <v>105</v>
      </c>
      <c r="D19" s="14">
        <v>652.20000000000005</v>
      </c>
      <c r="E19" s="14">
        <v>214.8</v>
      </c>
      <c r="F19" s="14">
        <v>0</v>
      </c>
      <c r="G19" s="14">
        <v>0</v>
      </c>
      <c r="H19" s="14">
        <v>0</v>
      </c>
      <c r="I19" s="14">
        <v>119.9</v>
      </c>
      <c r="J19" s="14"/>
      <c r="K19" s="14">
        <v>0</v>
      </c>
      <c r="L19" s="14">
        <v>180.1</v>
      </c>
      <c r="M19" s="14">
        <v>0</v>
      </c>
      <c r="N19" s="14">
        <v>187.7</v>
      </c>
      <c r="O19" s="14">
        <v>183</v>
      </c>
      <c r="P19" s="14">
        <v>205.9</v>
      </c>
      <c r="Q19" s="14">
        <v>106.1</v>
      </c>
      <c r="R19" s="14">
        <v>380.8</v>
      </c>
      <c r="S19" s="14"/>
      <c r="T19" s="14"/>
      <c r="U19" s="14"/>
      <c r="V19" s="14"/>
      <c r="W19" s="14">
        <v>166.8</v>
      </c>
      <c r="X19" s="14">
        <v>7.7</v>
      </c>
      <c r="Y19" s="14">
        <v>5.4</v>
      </c>
      <c r="Z19" s="14">
        <v>0</v>
      </c>
      <c r="AA19" s="14">
        <v>6.3</v>
      </c>
      <c r="AB19" s="14">
        <v>60.3</v>
      </c>
      <c r="AC19" s="14"/>
      <c r="AD19" s="14"/>
      <c r="AE19" s="14"/>
      <c r="AF19" s="14"/>
      <c r="AG19" s="14">
        <v>80.400000000000006</v>
      </c>
      <c r="AH19" s="14">
        <v>82</v>
      </c>
      <c r="AI19" s="14"/>
      <c r="AJ19" s="14">
        <v>0</v>
      </c>
      <c r="AK19" s="14"/>
      <c r="AL19" s="14">
        <v>6.5</v>
      </c>
      <c r="AM19" s="14">
        <v>221</v>
      </c>
      <c r="AN19" s="14">
        <v>65.3</v>
      </c>
      <c r="AO19" s="14">
        <v>43.9</v>
      </c>
      <c r="AP19" s="14">
        <v>41.1</v>
      </c>
      <c r="AQ19" s="14">
        <v>18.600000000000001</v>
      </c>
      <c r="AR19" s="14">
        <v>18.8</v>
      </c>
      <c r="AS19" s="14">
        <v>90.8</v>
      </c>
      <c r="AT19" s="14">
        <v>176.1</v>
      </c>
      <c r="AU19" s="14">
        <v>176.9</v>
      </c>
      <c r="AV19" s="14">
        <v>183.2</v>
      </c>
      <c r="AW19" s="14">
        <v>108.4</v>
      </c>
      <c r="AX19" s="14">
        <v>0</v>
      </c>
      <c r="AY19" s="14">
        <v>39.700000000000003</v>
      </c>
      <c r="AZ19" s="14">
        <v>3.6</v>
      </c>
      <c r="BA19" s="14">
        <v>0</v>
      </c>
      <c r="BB19" s="14">
        <v>83.7</v>
      </c>
      <c r="BC19" s="14"/>
      <c r="BD19" s="14"/>
      <c r="BE19" s="14">
        <v>47.3</v>
      </c>
      <c r="BF19" s="14">
        <v>0</v>
      </c>
      <c r="BG19" s="14"/>
      <c r="BH19" s="14">
        <v>0</v>
      </c>
      <c r="BI19" s="14"/>
      <c r="BJ19" s="14"/>
      <c r="BK19" s="14"/>
      <c r="BL19" s="14">
        <v>124.4</v>
      </c>
      <c r="BM19" s="14">
        <v>160.6</v>
      </c>
      <c r="BN19" s="14">
        <v>160.4</v>
      </c>
      <c r="BO19" s="14">
        <v>159.9</v>
      </c>
      <c r="BP19" s="14">
        <v>245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2.9</v>
      </c>
      <c r="BZ19" s="14">
        <v>20.9</v>
      </c>
      <c r="CA19" s="14">
        <v>101.5</v>
      </c>
      <c r="CB19" s="14">
        <v>60.7</v>
      </c>
      <c r="CC19" s="14">
        <v>61.6</v>
      </c>
      <c r="CD19" s="14">
        <v>30</v>
      </c>
      <c r="CE19" s="14">
        <v>0</v>
      </c>
      <c r="CF19" s="14"/>
      <c r="CG19" s="14"/>
      <c r="CH19" s="14">
        <v>141.69999999999999</v>
      </c>
      <c r="CI19" s="14">
        <v>144.6</v>
      </c>
      <c r="CJ19" s="14">
        <v>147</v>
      </c>
      <c r="CK19" s="14">
        <v>0</v>
      </c>
      <c r="CL19" s="14"/>
      <c r="CM19" s="14"/>
      <c r="CN19" s="14"/>
      <c r="CO19" s="14"/>
      <c r="CP19" s="14">
        <v>209.2</v>
      </c>
      <c r="CQ19" s="14">
        <v>100.7</v>
      </c>
      <c r="CR19" s="14">
        <v>7.9</v>
      </c>
      <c r="CS19" s="14">
        <v>3.5</v>
      </c>
      <c r="CT19" s="14">
        <v>10.9</v>
      </c>
      <c r="CU19" s="14">
        <v>0</v>
      </c>
      <c r="CV19" s="14">
        <v>4.8</v>
      </c>
      <c r="CW19" s="14">
        <v>0</v>
      </c>
      <c r="CX19" s="14">
        <v>13.6</v>
      </c>
      <c r="CY19" s="14">
        <v>0</v>
      </c>
      <c r="CZ19" s="14">
        <v>16.3</v>
      </c>
      <c r="DA19" s="14">
        <v>0</v>
      </c>
      <c r="DB19" s="14">
        <v>0</v>
      </c>
      <c r="DC19" s="14">
        <v>0</v>
      </c>
      <c r="DD19" s="14">
        <v>0</v>
      </c>
      <c r="DE19" s="14">
        <v>1.3</v>
      </c>
      <c r="DF19" s="14">
        <v>2.4</v>
      </c>
      <c r="DG19" s="14">
        <v>2.6</v>
      </c>
      <c r="DH19" s="14">
        <v>20.6</v>
      </c>
      <c r="DI19" s="14">
        <v>9.9</v>
      </c>
      <c r="DJ19" s="14">
        <v>8.3000000000000007</v>
      </c>
      <c r="DK19" s="14"/>
      <c r="DL19" s="14">
        <v>7.5</v>
      </c>
      <c r="DM19" s="14">
        <v>0</v>
      </c>
      <c r="DN19" s="14">
        <v>0</v>
      </c>
      <c r="DO19" s="14">
        <v>0.2</v>
      </c>
      <c r="DP19" s="14">
        <v>0</v>
      </c>
      <c r="DQ19" s="14">
        <v>0</v>
      </c>
      <c r="DR19" s="14">
        <v>2.8</v>
      </c>
      <c r="DS19" s="14">
        <v>12.1</v>
      </c>
      <c r="DT19" s="14">
        <v>1.8</v>
      </c>
      <c r="DU19" s="14"/>
      <c r="DV19" s="14">
        <v>0</v>
      </c>
      <c r="DW19" s="14">
        <v>14.2</v>
      </c>
      <c r="DX19" s="14">
        <v>5.4</v>
      </c>
      <c r="DY19" s="14">
        <v>8.3000000000000007</v>
      </c>
      <c r="DZ19" s="14">
        <v>12.6</v>
      </c>
      <c r="EA19" s="14">
        <v>13.8</v>
      </c>
      <c r="EB19" s="14">
        <v>25.1</v>
      </c>
      <c r="EC19" s="14">
        <v>0</v>
      </c>
      <c r="ED19" s="14">
        <v>6.2</v>
      </c>
      <c r="EE19" s="14">
        <v>11.8</v>
      </c>
      <c r="EF19" s="14">
        <v>0.3</v>
      </c>
      <c r="EG19" s="14">
        <v>0</v>
      </c>
      <c r="EH19" s="14">
        <v>0</v>
      </c>
      <c r="EI19" s="14">
        <v>10.3</v>
      </c>
      <c r="EJ19" s="14">
        <v>3.6</v>
      </c>
      <c r="EK19" s="14">
        <v>4.5</v>
      </c>
      <c r="EL19" s="14">
        <v>9</v>
      </c>
      <c r="EM19" s="14">
        <v>9.8000000000000007</v>
      </c>
      <c r="EN19" s="14">
        <v>10.1</v>
      </c>
      <c r="EO19" s="14">
        <v>12.1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/>
      <c r="EX19" s="14">
        <v>2</v>
      </c>
      <c r="EY19" s="14"/>
      <c r="EZ19" s="14"/>
      <c r="FA19" s="14">
        <v>0</v>
      </c>
      <c r="FB19" s="14">
        <v>10</v>
      </c>
      <c r="FC19" s="14">
        <v>19.600000000000001</v>
      </c>
      <c r="FD19" s="14">
        <v>18.8</v>
      </c>
      <c r="FE19" s="14">
        <v>9.1999999999999993</v>
      </c>
      <c r="FF19" s="14">
        <v>34.5</v>
      </c>
      <c r="FG19" s="14"/>
      <c r="FH19" s="14">
        <v>18.5</v>
      </c>
      <c r="FI19" s="14"/>
      <c r="FJ19" s="14"/>
      <c r="FK19" s="14">
        <v>11.3</v>
      </c>
      <c r="FL19" s="14"/>
      <c r="FM19" s="14">
        <v>6348.5</v>
      </c>
      <c r="FN19" s="15"/>
      <c r="FO19" s="14">
        <v>22.5</v>
      </c>
      <c r="FP19" s="14">
        <v>0</v>
      </c>
      <c r="FQ19" s="14">
        <v>10.8</v>
      </c>
      <c r="FR19" s="14">
        <v>9.6</v>
      </c>
      <c r="FS19" s="14">
        <v>26.112480000000001</v>
      </c>
      <c r="FT19" s="14">
        <v>9.5017800000000001</v>
      </c>
      <c r="FU19" s="14">
        <v>11.4</v>
      </c>
      <c r="FV19" s="14">
        <v>10.7</v>
      </c>
      <c r="FW19" s="14">
        <v>100.61426</v>
      </c>
    </row>
    <row r="20" spans="1:179" ht="24" customHeight="1" x14ac:dyDescent="0.3">
      <c r="A20" s="16" t="s">
        <v>67</v>
      </c>
      <c r="B20" s="16" t="s">
        <v>817</v>
      </c>
      <c r="C20" s="17">
        <v>104.9</v>
      </c>
      <c r="D20" s="17">
        <v>646.9</v>
      </c>
      <c r="E20" s="17">
        <v>212.5</v>
      </c>
      <c r="F20" s="17">
        <v>0</v>
      </c>
      <c r="G20" s="17">
        <v>0</v>
      </c>
      <c r="H20" s="17">
        <v>0</v>
      </c>
      <c r="I20" s="17">
        <v>121.2</v>
      </c>
      <c r="J20" s="17"/>
      <c r="K20" s="17">
        <v>0</v>
      </c>
      <c r="L20" s="17">
        <v>179.8</v>
      </c>
      <c r="M20" s="17">
        <v>0</v>
      </c>
      <c r="N20" s="17">
        <v>186.3</v>
      </c>
      <c r="O20" s="17">
        <v>183.6</v>
      </c>
      <c r="P20" s="17">
        <v>204.6</v>
      </c>
      <c r="Q20" s="17">
        <v>106.4</v>
      </c>
      <c r="R20" s="17">
        <v>373.1</v>
      </c>
      <c r="S20" s="17"/>
      <c r="T20" s="17"/>
      <c r="U20" s="17"/>
      <c r="V20" s="17"/>
      <c r="W20" s="17">
        <v>161.30000000000001</v>
      </c>
      <c r="X20" s="17">
        <v>7.2</v>
      </c>
      <c r="Y20" s="17">
        <v>5.2</v>
      </c>
      <c r="Z20" s="17">
        <v>0</v>
      </c>
      <c r="AA20" s="17">
        <v>6.7</v>
      </c>
      <c r="AB20" s="17">
        <v>59.6</v>
      </c>
      <c r="AC20" s="17"/>
      <c r="AD20" s="17"/>
      <c r="AE20" s="17"/>
      <c r="AF20" s="17"/>
      <c r="AG20" s="17">
        <v>68.599999999999994</v>
      </c>
      <c r="AH20" s="17">
        <v>104.6</v>
      </c>
      <c r="AI20" s="17"/>
      <c r="AJ20" s="17">
        <v>0</v>
      </c>
      <c r="AK20" s="17"/>
      <c r="AL20" s="17">
        <v>6.5</v>
      </c>
      <c r="AM20" s="17">
        <v>218</v>
      </c>
      <c r="AN20" s="17">
        <v>65.900000000000006</v>
      </c>
      <c r="AO20" s="17">
        <v>48.5</v>
      </c>
      <c r="AP20" s="17">
        <v>40.5</v>
      </c>
      <c r="AQ20" s="17">
        <v>18.600000000000001</v>
      </c>
      <c r="AR20" s="17">
        <v>18.8</v>
      </c>
      <c r="AS20" s="17">
        <v>88.6</v>
      </c>
      <c r="AT20" s="17">
        <v>177.1</v>
      </c>
      <c r="AU20" s="17">
        <v>176.6</v>
      </c>
      <c r="AV20" s="17">
        <v>182.2</v>
      </c>
      <c r="AW20" s="17">
        <v>106.5</v>
      </c>
      <c r="AX20" s="17">
        <v>0</v>
      </c>
      <c r="AY20" s="17">
        <v>38.299999999999997</v>
      </c>
      <c r="AZ20" s="17">
        <v>3.6</v>
      </c>
      <c r="BA20" s="17">
        <v>0</v>
      </c>
      <c r="BB20" s="17">
        <v>69.400000000000006</v>
      </c>
      <c r="BC20" s="17"/>
      <c r="BD20" s="17"/>
      <c r="BE20" s="17">
        <v>47</v>
      </c>
      <c r="BF20" s="17">
        <v>0</v>
      </c>
      <c r="BG20" s="17"/>
      <c r="BH20" s="17">
        <v>0</v>
      </c>
      <c r="BI20" s="17"/>
      <c r="BJ20" s="17"/>
      <c r="BK20" s="17"/>
      <c r="BL20" s="17">
        <v>124.3</v>
      </c>
      <c r="BM20" s="17">
        <v>157.9</v>
      </c>
      <c r="BN20" s="17">
        <v>157.9</v>
      </c>
      <c r="BO20" s="17">
        <v>158.30000000000001</v>
      </c>
      <c r="BP20" s="17">
        <v>248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2.9</v>
      </c>
      <c r="BZ20" s="17">
        <v>19.5</v>
      </c>
      <c r="CA20" s="17">
        <v>97.8</v>
      </c>
      <c r="CB20" s="17">
        <v>60.4</v>
      </c>
      <c r="CC20" s="17">
        <v>61.9</v>
      </c>
      <c r="CD20" s="17">
        <v>29.8</v>
      </c>
      <c r="CE20" s="17">
        <v>0</v>
      </c>
      <c r="CF20" s="17"/>
      <c r="CG20" s="17"/>
      <c r="CH20" s="17">
        <v>141.5</v>
      </c>
      <c r="CI20" s="17">
        <v>144.19999999999999</v>
      </c>
      <c r="CJ20" s="17">
        <v>147</v>
      </c>
      <c r="CK20" s="17">
        <v>0</v>
      </c>
      <c r="CL20" s="17"/>
      <c r="CM20" s="17"/>
      <c r="CN20" s="17"/>
      <c r="CO20" s="17"/>
      <c r="CP20" s="17">
        <v>208.8</v>
      </c>
      <c r="CQ20" s="17">
        <v>100.4</v>
      </c>
      <c r="CR20" s="17">
        <v>7.9</v>
      </c>
      <c r="CS20" s="17">
        <v>3.6</v>
      </c>
      <c r="CT20" s="17">
        <v>10.7</v>
      </c>
      <c r="CU20" s="17">
        <v>0</v>
      </c>
      <c r="CV20" s="17">
        <v>4.5999999999999996</v>
      </c>
      <c r="CW20" s="17">
        <v>0</v>
      </c>
      <c r="CX20" s="17">
        <v>10.8</v>
      </c>
      <c r="CY20" s="17">
        <v>0</v>
      </c>
      <c r="CZ20" s="17">
        <v>16.2</v>
      </c>
      <c r="DA20" s="17">
        <v>0</v>
      </c>
      <c r="DB20" s="17">
        <v>0</v>
      </c>
      <c r="DC20" s="17">
        <v>0</v>
      </c>
      <c r="DD20" s="17">
        <v>0</v>
      </c>
      <c r="DE20" s="17">
        <v>1.3</v>
      </c>
      <c r="DF20" s="17">
        <v>2.4</v>
      </c>
      <c r="DG20" s="17">
        <v>2.5</v>
      </c>
      <c r="DH20" s="17">
        <v>20.2</v>
      </c>
      <c r="DI20" s="17">
        <v>9.9</v>
      </c>
      <c r="DJ20" s="17">
        <v>8.3000000000000007</v>
      </c>
      <c r="DK20" s="17"/>
      <c r="DL20" s="17">
        <v>7.5</v>
      </c>
      <c r="DM20" s="17">
        <v>0</v>
      </c>
      <c r="DN20" s="17">
        <v>0</v>
      </c>
      <c r="DO20" s="17">
        <v>0.3</v>
      </c>
      <c r="DP20" s="17">
        <v>0</v>
      </c>
      <c r="DQ20" s="17">
        <v>0</v>
      </c>
      <c r="DR20" s="17">
        <v>2.8</v>
      </c>
      <c r="DS20" s="17">
        <v>12.1</v>
      </c>
      <c r="DT20" s="17">
        <v>1.8</v>
      </c>
      <c r="DU20" s="17"/>
      <c r="DV20" s="17">
        <v>0</v>
      </c>
      <c r="DW20" s="17">
        <v>14.2</v>
      </c>
      <c r="DX20" s="17">
        <v>5.5</v>
      </c>
      <c r="DY20" s="17">
        <v>8.1999999999999993</v>
      </c>
      <c r="DZ20" s="17">
        <v>12.2</v>
      </c>
      <c r="EA20" s="17">
        <v>21.2</v>
      </c>
      <c r="EB20" s="17">
        <v>31.7</v>
      </c>
      <c r="EC20" s="17">
        <v>0</v>
      </c>
      <c r="ED20" s="17">
        <v>3.4</v>
      </c>
      <c r="EE20" s="17">
        <v>10.7</v>
      </c>
      <c r="EF20" s="17">
        <v>0</v>
      </c>
      <c r="EG20" s="17">
        <v>0</v>
      </c>
      <c r="EH20" s="17">
        <v>0</v>
      </c>
      <c r="EI20" s="17">
        <v>10.3</v>
      </c>
      <c r="EJ20" s="17">
        <v>3.6</v>
      </c>
      <c r="EK20" s="17">
        <v>4.5</v>
      </c>
      <c r="EL20" s="17">
        <v>9</v>
      </c>
      <c r="EM20" s="17">
        <v>9.8000000000000007</v>
      </c>
      <c r="EN20" s="17">
        <v>10.1</v>
      </c>
      <c r="EO20" s="17">
        <v>11.7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/>
      <c r="EX20" s="17">
        <v>2</v>
      </c>
      <c r="EY20" s="17"/>
      <c r="EZ20" s="17"/>
      <c r="FA20" s="17">
        <v>0</v>
      </c>
      <c r="FB20" s="17">
        <v>10</v>
      </c>
      <c r="FC20" s="17">
        <v>19.600000000000001</v>
      </c>
      <c r="FD20" s="17">
        <v>18.8</v>
      </c>
      <c r="FE20" s="17">
        <v>9</v>
      </c>
      <c r="FF20" s="17">
        <v>34.6</v>
      </c>
      <c r="FG20" s="17"/>
      <c r="FH20" s="17">
        <v>18.8</v>
      </c>
      <c r="FI20" s="17"/>
      <c r="FJ20" s="17"/>
      <c r="FK20" s="17">
        <v>11.3</v>
      </c>
      <c r="FL20" s="17"/>
      <c r="FM20" s="17">
        <v>6312.9</v>
      </c>
      <c r="FN20" s="15"/>
      <c r="FO20" s="17">
        <v>22.5</v>
      </c>
      <c r="FP20" s="17">
        <v>0</v>
      </c>
      <c r="FQ20" s="17">
        <v>10.8</v>
      </c>
      <c r="FR20" s="17">
        <v>9.6</v>
      </c>
      <c r="FS20" s="17">
        <v>26.126570000000001</v>
      </c>
      <c r="FT20" s="17">
        <v>9.5011700000000001</v>
      </c>
      <c r="FU20" s="17">
        <v>11.5</v>
      </c>
      <c r="FV20" s="17">
        <v>10.8</v>
      </c>
      <c r="FW20" s="17">
        <v>100.82774000000001</v>
      </c>
    </row>
    <row r="21" spans="1:179" ht="24" customHeight="1" x14ac:dyDescent="0.3">
      <c r="A21" s="16" t="s">
        <v>67</v>
      </c>
      <c r="B21" s="16" t="s">
        <v>818</v>
      </c>
      <c r="C21" s="17">
        <v>104.7</v>
      </c>
      <c r="D21" s="17">
        <v>643.4</v>
      </c>
      <c r="E21" s="17">
        <v>210.8</v>
      </c>
      <c r="F21" s="17">
        <v>0</v>
      </c>
      <c r="G21" s="17">
        <v>0</v>
      </c>
      <c r="H21" s="17">
        <v>0</v>
      </c>
      <c r="I21" s="17">
        <v>118.1</v>
      </c>
      <c r="J21" s="17"/>
      <c r="K21" s="17">
        <v>0</v>
      </c>
      <c r="L21" s="17">
        <v>179.4</v>
      </c>
      <c r="M21" s="17">
        <v>0</v>
      </c>
      <c r="N21" s="17">
        <v>201.7</v>
      </c>
      <c r="O21" s="17">
        <v>185.5</v>
      </c>
      <c r="P21" s="17">
        <v>205.6</v>
      </c>
      <c r="Q21" s="17">
        <v>106.4</v>
      </c>
      <c r="R21" s="17">
        <v>374</v>
      </c>
      <c r="S21" s="17"/>
      <c r="T21" s="17"/>
      <c r="U21" s="17"/>
      <c r="V21" s="17"/>
      <c r="W21" s="17">
        <v>158.30000000000001</v>
      </c>
      <c r="X21" s="17">
        <v>6.8</v>
      </c>
      <c r="Y21" s="17">
        <v>5.2</v>
      </c>
      <c r="Z21" s="17">
        <v>0</v>
      </c>
      <c r="AA21" s="17">
        <v>6.7</v>
      </c>
      <c r="AB21" s="17">
        <v>59.1</v>
      </c>
      <c r="AC21" s="17"/>
      <c r="AD21" s="17"/>
      <c r="AE21" s="17"/>
      <c r="AF21" s="17"/>
      <c r="AG21" s="17">
        <v>66.5</v>
      </c>
      <c r="AH21" s="17">
        <v>111.8</v>
      </c>
      <c r="AI21" s="17"/>
      <c r="AJ21" s="17">
        <v>0</v>
      </c>
      <c r="AK21" s="17"/>
      <c r="AL21" s="17">
        <v>6.5</v>
      </c>
      <c r="AM21" s="17">
        <v>226.9</v>
      </c>
      <c r="AN21" s="17">
        <v>65.400000000000006</v>
      </c>
      <c r="AO21" s="17">
        <v>62.5</v>
      </c>
      <c r="AP21" s="17">
        <v>39.299999999999997</v>
      </c>
      <c r="AQ21" s="17">
        <v>18.600000000000001</v>
      </c>
      <c r="AR21" s="17">
        <v>18.8</v>
      </c>
      <c r="AS21" s="17">
        <v>86.7</v>
      </c>
      <c r="AT21" s="17">
        <v>172.4</v>
      </c>
      <c r="AU21" s="17">
        <v>173.1</v>
      </c>
      <c r="AV21" s="17">
        <v>183.1</v>
      </c>
      <c r="AW21" s="17">
        <v>106.6</v>
      </c>
      <c r="AX21" s="17">
        <v>0</v>
      </c>
      <c r="AY21" s="17">
        <v>40.799999999999997</v>
      </c>
      <c r="AZ21" s="17">
        <v>3.6</v>
      </c>
      <c r="BA21" s="17">
        <v>0</v>
      </c>
      <c r="BB21" s="17">
        <v>139.30000000000001</v>
      </c>
      <c r="BC21" s="17"/>
      <c r="BD21" s="17"/>
      <c r="BE21" s="17">
        <v>46.4</v>
      </c>
      <c r="BF21" s="17">
        <v>0</v>
      </c>
      <c r="BG21" s="17"/>
      <c r="BH21" s="17">
        <v>0</v>
      </c>
      <c r="BI21" s="17"/>
      <c r="BJ21" s="17"/>
      <c r="BK21" s="17"/>
      <c r="BL21" s="17">
        <v>122.1</v>
      </c>
      <c r="BM21" s="17">
        <v>169.5</v>
      </c>
      <c r="BN21" s="17">
        <v>168.1</v>
      </c>
      <c r="BO21" s="17">
        <v>170.5</v>
      </c>
      <c r="BP21" s="17">
        <v>254.3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2.9</v>
      </c>
      <c r="BZ21" s="17">
        <v>36.1</v>
      </c>
      <c r="CA21" s="17">
        <v>106.8</v>
      </c>
      <c r="CB21" s="17">
        <v>58.3</v>
      </c>
      <c r="CC21" s="17">
        <v>58.6</v>
      </c>
      <c r="CD21" s="17">
        <v>26.4</v>
      </c>
      <c r="CE21" s="17">
        <v>0</v>
      </c>
      <c r="CF21" s="17"/>
      <c r="CG21" s="17"/>
      <c r="CH21" s="17">
        <v>142</v>
      </c>
      <c r="CI21" s="17">
        <v>144.9</v>
      </c>
      <c r="CJ21" s="17">
        <v>146.9</v>
      </c>
      <c r="CK21" s="17">
        <v>0</v>
      </c>
      <c r="CL21" s="17"/>
      <c r="CM21" s="17"/>
      <c r="CN21" s="17"/>
      <c r="CO21" s="17"/>
      <c r="CP21" s="17">
        <v>208.3</v>
      </c>
      <c r="CQ21" s="17">
        <v>100.5</v>
      </c>
      <c r="CR21" s="17">
        <v>7.7</v>
      </c>
      <c r="CS21" s="17">
        <v>3.6</v>
      </c>
      <c r="CT21" s="17">
        <v>10.4</v>
      </c>
      <c r="CU21" s="17">
        <v>0</v>
      </c>
      <c r="CV21" s="17">
        <v>12.1</v>
      </c>
      <c r="CW21" s="17">
        <v>0</v>
      </c>
      <c r="CX21" s="17">
        <v>11.5</v>
      </c>
      <c r="CY21" s="17">
        <v>0</v>
      </c>
      <c r="CZ21" s="17">
        <v>15.9</v>
      </c>
      <c r="DA21" s="17">
        <v>0</v>
      </c>
      <c r="DB21" s="17">
        <v>0</v>
      </c>
      <c r="DC21" s="17">
        <v>0</v>
      </c>
      <c r="DD21" s="17">
        <v>0</v>
      </c>
      <c r="DE21" s="17">
        <v>1.3</v>
      </c>
      <c r="DF21" s="17">
        <v>2.4</v>
      </c>
      <c r="DG21" s="17">
        <v>2.5</v>
      </c>
      <c r="DH21" s="17">
        <v>19.7</v>
      </c>
      <c r="DI21" s="17">
        <v>9.9</v>
      </c>
      <c r="DJ21" s="17">
        <v>8.3000000000000007</v>
      </c>
      <c r="DK21" s="17"/>
      <c r="DL21" s="17">
        <v>7.5</v>
      </c>
      <c r="DM21" s="17">
        <v>0</v>
      </c>
      <c r="DN21" s="17">
        <v>0</v>
      </c>
      <c r="DO21" s="17">
        <v>0.9</v>
      </c>
      <c r="DP21" s="17">
        <v>1.2</v>
      </c>
      <c r="DQ21" s="17">
        <v>0</v>
      </c>
      <c r="DR21" s="17">
        <v>2.8</v>
      </c>
      <c r="DS21" s="17">
        <v>12.1</v>
      </c>
      <c r="DT21" s="17">
        <v>1.8</v>
      </c>
      <c r="DU21" s="17"/>
      <c r="DV21" s="17">
        <v>0</v>
      </c>
      <c r="DW21" s="17">
        <v>14.2</v>
      </c>
      <c r="DX21" s="17">
        <v>5.4</v>
      </c>
      <c r="DY21" s="17">
        <v>8.1</v>
      </c>
      <c r="DZ21" s="17">
        <v>11.9</v>
      </c>
      <c r="EA21" s="17">
        <v>20.8</v>
      </c>
      <c r="EB21" s="17">
        <v>36.5</v>
      </c>
      <c r="EC21" s="17">
        <v>0</v>
      </c>
      <c r="ED21" s="17">
        <v>5.3</v>
      </c>
      <c r="EE21" s="17">
        <v>10.9</v>
      </c>
      <c r="EF21" s="17">
        <v>0.1</v>
      </c>
      <c r="EG21" s="17">
        <v>0</v>
      </c>
      <c r="EH21" s="17">
        <v>0</v>
      </c>
      <c r="EI21" s="17">
        <v>10.3</v>
      </c>
      <c r="EJ21" s="17">
        <v>3.6</v>
      </c>
      <c r="EK21" s="17">
        <v>4.5</v>
      </c>
      <c r="EL21" s="17">
        <v>9</v>
      </c>
      <c r="EM21" s="17">
        <v>9.8000000000000007</v>
      </c>
      <c r="EN21" s="17">
        <v>10.1</v>
      </c>
      <c r="EO21" s="17">
        <v>12.7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/>
      <c r="EX21" s="17">
        <v>2</v>
      </c>
      <c r="EY21" s="17"/>
      <c r="EZ21" s="17"/>
      <c r="FA21" s="17">
        <v>0</v>
      </c>
      <c r="FB21" s="17">
        <v>10</v>
      </c>
      <c r="FC21" s="17">
        <v>19.600000000000001</v>
      </c>
      <c r="FD21" s="17">
        <v>18.899999999999999</v>
      </c>
      <c r="FE21" s="17">
        <v>8.1999999999999993</v>
      </c>
      <c r="FF21" s="17">
        <v>34.4</v>
      </c>
      <c r="FG21" s="17"/>
      <c r="FH21" s="17">
        <v>18.899999999999999</v>
      </c>
      <c r="FI21" s="17"/>
      <c r="FJ21" s="17"/>
      <c r="FK21" s="17">
        <v>11.3</v>
      </c>
      <c r="FL21" s="17"/>
      <c r="FM21" s="17">
        <v>6478.9</v>
      </c>
      <c r="FN21" s="15"/>
      <c r="FO21" s="17">
        <v>22.5</v>
      </c>
      <c r="FP21" s="17">
        <v>0</v>
      </c>
      <c r="FQ21" s="17">
        <v>10.8</v>
      </c>
      <c r="FR21" s="17">
        <v>9.6</v>
      </c>
      <c r="FS21" s="17">
        <v>26.18242</v>
      </c>
      <c r="FT21" s="17">
        <v>9.5010100000000008</v>
      </c>
      <c r="FU21" s="17">
        <v>11.5</v>
      </c>
      <c r="FV21" s="17">
        <v>10.7</v>
      </c>
      <c r="FW21" s="17">
        <v>100.78343</v>
      </c>
    </row>
    <row r="22" spans="1:179" ht="24" customHeight="1" x14ac:dyDescent="0.3">
      <c r="A22" s="16" t="s">
        <v>67</v>
      </c>
      <c r="B22" s="16" t="s">
        <v>819</v>
      </c>
      <c r="C22" s="17">
        <v>105.1</v>
      </c>
      <c r="D22" s="17">
        <v>652.6</v>
      </c>
      <c r="E22" s="17">
        <v>214.6</v>
      </c>
      <c r="F22" s="17">
        <v>0</v>
      </c>
      <c r="G22" s="17">
        <v>0</v>
      </c>
      <c r="H22" s="17">
        <v>50.5</v>
      </c>
      <c r="I22" s="17">
        <v>122.5</v>
      </c>
      <c r="J22" s="17"/>
      <c r="K22" s="17">
        <v>0</v>
      </c>
      <c r="L22" s="17">
        <v>179.2</v>
      </c>
      <c r="M22" s="17">
        <v>0</v>
      </c>
      <c r="N22" s="17">
        <v>202.6</v>
      </c>
      <c r="O22" s="17">
        <v>189.5</v>
      </c>
      <c r="P22" s="17">
        <v>207</v>
      </c>
      <c r="Q22" s="17">
        <v>106.1</v>
      </c>
      <c r="R22" s="17">
        <v>556.1</v>
      </c>
      <c r="S22" s="17"/>
      <c r="T22" s="17"/>
      <c r="U22" s="17"/>
      <c r="V22" s="17"/>
      <c r="W22" s="17">
        <v>164.9</v>
      </c>
      <c r="X22" s="17">
        <v>7.8</v>
      </c>
      <c r="Y22" s="17">
        <v>5.4</v>
      </c>
      <c r="Z22" s="17">
        <v>0</v>
      </c>
      <c r="AA22" s="17">
        <v>6.6</v>
      </c>
      <c r="AB22" s="17">
        <v>60.5</v>
      </c>
      <c r="AC22" s="17"/>
      <c r="AD22" s="17"/>
      <c r="AE22" s="17"/>
      <c r="AF22" s="17"/>
      <c r="AG22" s="17">
        <v>84.3</v>
      </c>
      <c r="AH22" s="17">
        <v>100.5</v>
      </c>
      <c r="AI22" s="17"/>
      <c r="AJ22" s="17">
        <v>0</v>
      </c>
      <c r="AK22" s="17"/>
      <c r="AL22" s="17">
        <v>6.5</v>
      </c>
      <c r="AM22" s="17">
        <v>221.6</v>
      </c>
      <c r="AN22" s="17">
        <v>64.599999999999994</v>
      </c>
      <c r="AO22" s="17">
        <v>62</v>
      </c>
      <c r="AP22" s="17">
        <v>42.5</v>
      </c>
      <c r="AQ22" s="17">
        <v>18.600000000000001</v>
      </c>
      <c r="AR22" s="17">
        <v>18.8</v>
      </c>
      <c r="AS22" s="17">
        <v>92</v>
      </c>
      <c r="AT22" s="17">
        <v>178.9</v>
      </c>
      <c r="AU22" s="17">
        <v>179</v>
      </c>
      <c r="AV22" s="17">
        <v>182.4</v>
      </c>
      <c r="AW22" s="17">
        <v>107.9</v>
      </c>
      <c r="AX22" s="17">
        <v>0</v>
      </c>
      <c r="AY22" s="17">
        <v>41.1</v>
      </c>
      <c r="AZ22" s="17">
        <v>3.6</v>
      </c>
      <c r="BA22" s="17">
        <v>0</v>
      </c>
      <c r="BB22" s="17">
        <v>103.9</v>
      </c>
      <c r="BC22" s="17"/>
      <c r="BD22" s="17"/>
      <c r="BE22" s="17">
        <v>47.5</v>
      </c>
      <c r="BF22" s="17">
        <v>0</v>
      </c>
      <c r="BG22" s="17"/>
      <c r="BH22" s="17">
        <v>0</v>
      </c>
      <c r="BI22" s="17"/>
      <c r="BJ22" s="17"/>
      <c r="BK22" s="17"/>
      <c r="BL22" s="17">
        <v>125</v>
      </c>
      <c r="BM22" s="17">
        <v>159.30000000000001</v>
      </c>
      <c r="BN22" s="17">
        <v>159.1</v>
      </c>
      <c r="BO22" s="17">
        <v>158.9</v>
      </c>
      <c r="BP22" s="17">
        <v>244.9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2.9</v>
      </c>
      <c r="BZ22" s="17">
        <v>21</v>
      </c>
      <c r="CA22" s="17">
        <v>107.5</v>
      </c>
      <c r="CB22" s="17">
        <v>61</v>
      </c>
      <c r="CC22" s="17">
        <v>60.1</v>
      </c>
      <c r="CD22" s="17">
        <v>28.2</v>
      </c>
      <c r="CE22" s="17">
        <v>0</v>
      </c>
      <c r="CF22" s="17"/>
      <c r="CG22" s="17"/>
      <c r="CH22" s="17">
        <v>141.5</v>
      </c>
      <c r="CI22" s="17">
        <v>144.4</v>
      </c>
      <c r="CJ22" s="17">
        <v>147.19999999999999</v>
      </c>
      <c r="CK22" s="17">
        <v>0</v>
      </c>
      <c r="CL22" s="17"/>
      <c r="CM22" s="17"/>
      <c r="CN22" s="17"/>
      <c r="CO22" s="17"/>
      <c r="CP22" s="17">
        <v>208.4</v>
      </c>
      <c r="CQ22" s="17">
        <v>100.5</v>
      </c>
      <c r="CR22" s="17">
        <v>7.8</v>
      </c>
      <c r="CS22" s="17">
        <v>3.6</v>
      </c>
      <c r="CT22" s="17">
        <v>11.1</v>
      </c>
      <c r="CU22" s="17">
        <v>0</v>
      </c>
      <c r="CV22" s="17">
        <v>12.7</v>
      </c>
      <c r="CW22" s="17">
        <v>0</v>
      </c>
      <c r="CX22" s="17">
        <v>11.8</v>
      </c>
      <c r="CY22" s="17">
        <v>0</v>
      </c>
      <c r="CZ22" s="17">
        <v>16.3</v>
      </c>
      <c r="DA22" s="17">
        <v>10</v>
      </c>
      <c r="DB22" s="17">
        <v>0</v>
      </c>
      <c r="DC22" s="17">
        <v>0</v>
      </c>
      <c r="DD22" s="17">
        <v>0</v>
      </c>
      <c r="DE22" s="17">
        <v>1.3</v>
      </c>
      <c r="DF22" s="17">
        <v>2.4</v>
      </c>
      <c r="DG22" s="17">
        <v>2.5</v>
      </c>
      <c r="DH22" s="17">
        <v>20.6</v>
      </c>
      <c r="DI22" s="17">
        <v>9.9</v>
      </c>
      <c r="DJ22" s="17">
        <v>8.1999999999999993</v>
      </c>
      <c r="DK22" s="17"/>
      <c r="DL22" s="17">
        <v>7.5</v>
      </c>
      <c r="DM22" s="17">
        <v>0</v>
      </c>
      <c r="DN22" s="17">
        <v>0</v>
      </c>
      <c r="DO22" s="17">
        <v>1</v>
      </c>
      <c r="DP22" s="17">
        <v>1.6</v>
      </c>
      <c r="DQ22" s="17">
        <v>0</v>
      </c>
      <c r="DR22" s="17">
        <v>2.8</v>
      </c>
      <c r="DS22" s="17">
        <v>12.1</v>
      </c>
      <c r="DT22" s="17">
        <v>1.8</v>
      </c>
      <c r="DU22" s="17"/>
      <c r="DV22" s="17">
        <v>0</v>
      </c>
      <c r="DW22" s="17">
        <v>14.3</v>
      </c>
      <c r="DX22" s="17">
        <v>5.2</v>
      </c>
      <c r="DY22" s="17">
        <v>8.4</v>
      </c>
      <c r="DZ22" s="17">
        <v>12.2</v>
      </c>
      <c r="EA22" s="17">
        <v>20.2</v>
      </c>
      <c r="EB22" s="17">
        <v>37.4</v>
      </c>
      <c r="EC22" s="17">
        <v>0</v>
      </c>
      <c r="ED22" s="17">
        <v>7.8</v>
      </c>
      <c r="EE22" s="17">
        <v>16.5</v>
      </c>
      <c r="EF22" s="17">
        <v>0.9</v>
      </c>
      <c r="EG22" s="17">
        <v>0</v>
      </c>
      <c r="EH22" s="17">
        <v>0</v>
      </c>
      <c r="EI22" s="17">
        <v>10.3</v>
      </c>
      <c r="EJ22" s="17">
        <v>3.6</v>
      </c>
      <c r="EK22" s="17">
        <v>4.5</v>
      </c>
      <c r="EL22" s="17">
        <v>9</v>
      </c>
      <c r="EM22" s="17">
        <v>9.8000000000000007</v>
      </c>
      <c r="EN22" s="17">
        <v>10.1</v>
      </c>
      <c r="EO22" s="17">
        <v>12.6</v>
      </c>
      <c r="EP22" s="17">
        <v>1.2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/>
      <c r="EX22" s="17">
        <v>2</v>
      </c>
      <c r="EY22" s="17"/>
      <c r="EZ22" s="17"/>
      <c r="FA22" s="17">
        <v>0</v>
      </c>
      <c r="FB22" s="17">
        <v>10</v>
      </c>
      <c r="FC22" s="17">
        <v>19.600000000000001</v>
      </c>
      <c r="FD22" s="17">
        <v>18.8</v>
      </c>
      <c r="FE22" s="17">
        <v>6.5</v>
      </c>
      <c r="FF22" s="17">
        <v>34.5</v>
      </c>
      <c r="FG22" s="17"/>
      <c r="FH22" s="17">
        <v>18.7</v>
      </c>
      <c r="FI22" s="17"/>
      <c r="FJ22" s="17"/>
      <c r="FK22" s="17">
        <v>11.3</v>
      </c>
      <c r="FL22" s="17"/>
      <c r="FM22" s="17">
        <v>6707.6</v>
      </c>
      <c r="FN22" s="15"/>
      <c r="FO22" s="17">
        <v>21.6</v>
      </c>
      <c r="FP22" s="17">
        <v>0</v>
      </c>
      <c r="FQ22" s="17">
        <v>10.8</v>
      </c>
      <c r="FR22" s="17">
        <v>9.6</v>
      </c>
      <c r="FS22" s="17">
        <v>26.221050000000002</v>
      </c>
      <c r="FT22" s="17">
        <v>9.5005400000000009</v>
      </c>
      <c r="FU22" s="17">
        <v>11.5</v>
      </c>
      <c r="FV22" s="17">
        <v>10.8</v>
      </c>
      <c r="FW22" s="17">
        <v>100.02159</v>
      </c>
    </row>
    <row r="23" spans="1:179" ht="24" customHeight="1" x14ac:dyDescent="0.3">
      <c r="A23" s="16" t="s">
        <v>67</v>
      </c>
      <c r="B23" s="16" t="s">
        <v>820</v>
      </c>
      <c r="C23" s="17">
        <v>104.6</v>
      </c>
      <c r="D23" s="17">
        <v>651.70000000000005</v>
      </c>
      <c r="E23" s="17">
        <v>214.5</v>
      </c>
      <c r="F23" s="17">
        <v>0</v>
      </c>
      <c r="G23" s="17">
        <v>0</v>
      </c>
      <c r="H23" s="17">
        <v>52.3</v>
      </c>
      <c r="I23" s="17">
        <v>121.4</v>
      </c>
      <c r="J23" s="17"/>
      <c r="K23" s="17">
        <v>0</v>
      </c>
      <c r="L23" s="17">
        <v>180.2</v>
      </c>
      <c r="M23" s="17">
        <v>0</v>
      </c>
      <c r="N23" s="17">
        <v>203.6</v>
      </c>
      <c r="O23" s="17">
        <v>190.5</v>
      </c>
      <c r="P23" s="17">
        <v>206.1</v>
      </c>
      <c r="Q23" s="17">
        <v>106.1</v>
      </c>
      <c r="R23" s="17">
        <v>556.9</v>
      </c>
      <c r="S23" s="17"/>
      <c r="T23" s="17"/>
      <c r="U23" s="17"/>
      <c r="V23" s="17"/>
      <c r="W23" s="17">
        <v>165.1</v>
      </c>
      <c r="X23" s="17">
        <v>7.6</v>
      </c>
      <c r="Y23" s="17">
        <v>5.4</v>
      </c>
      <c r="Z23" s="17">
        <v>0</v>
      </c>
      <c r="AA23" s="17">
        <v>6.7</v>
      </c>
      <c r="AB23" s="17">
        <v>60.4</v>
      </c>
      <c r="AC23" s="17"/>
      <c r="AD23" s="17"/>
      <c r="AE23" s="17"/>
      <c r="AF23" s="17"/>
      <c r="AG23" s="17">
        <v>94.3</v>
      </c>
      <c r="AH23" s="17">
        <v>111.8</v>
      </c>
      <c r="AI23" s="17"/>
      <c r="AJ23" s="17">
        <v>0</v>
      </c>
      <c r="AK23" s="17"/>
      <c r="AL23" s="17">
        <v>6.5</v>
      </c>
      <c r="AM23" s="17">
        <v>228.7</v>
      </c>
      <c r="AN23" s="17">
        <v>68.900000000000006</v>
      </c>
      <c r="AO23" s="17">
        <v>67.3</v>
      </c>
      <c r="AP23" s="17">
        <v>42.3</v>
      </c>
      <c r="AQ23" s="17">
        <v>18.600000000000001</v>
      </c>
      <c r="AR23" s="17">
        <v>18.8</v>
      </c>
      <c r="AS23" s="17">
        <v>89.2</v>
      </c>
      <c r="AT23" s="17">
        <v>178.3</v>
      </c>
      <c r="AU23" s="17">
        <v>178.9</v>
      </c>
      <c r="AV23" s="17">
        <v>182.7</v>
      </c>
      <c r="AW23" s="17">
        <v>107.8</v>
      </c>
      <c r="AX23" s="17">
        <v>0</v>
      </c>
      <c r="AY23" s="17">
        <v>42.2</v>
      </c>
      <c r="AZ23" s="17">
        <v>3.6</v>
      </c>
      <c r="BA23" s="17">
        <v>0</v>
      </c>
      <c r="BB23" s="17">
        <v>139.1</v>
      </c>
      <c r="BC23" s="17"/>
      <c r="BD23" s="17"/>
      <c r="BE23" s="17">
        <v>47.5</v>
      </c>
      <c r="BF23" s="17">
        <v>0</v>
      </c>
      <c r="BG23" s="17"/>
      <c r="BH23" s="17">
        <v>0</v>
      </c>
      <c r="BI23" s="17"/>
      <c r="BJ23" s="17"/>
      <c r="BK23" s="17"/>
      <c r="BL23" s="17">
        <v>124.9</v>
      </c>
      <c r="BM23" s="17">
        <v>157.80000000000001</v>
      </c>
      <c r="BN23" s="17">
        <v>157.6</v>
      </c>
      <c r="BO23" s="17">
        <v>157.6</v>
      </c>
      <c r="BP23" s="17">
        <v>246.6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2.9</v>
      </c>
      <c r="BZ23" s="17">
        <v>41.7</v>
      </c>
      <c r="CA23" s="17">
        <v>114.7</v>
      </c>
      <c r="CB23" s="17">
        <v>66</v>
      </c>
      <c r="CC23" s="17">
        <v>60.1</v>
      </c>
      <c r="CD23" s="17">
        <v>28</v>
      </c>
      <c r="CE23" s="17">
        <v>0</v>
      </c>
      <c r="CF23" s="17"/>
      <c r="CG23" s="17"/>
      <c r="CH23" s="17">
        <v>141.80000000000001</v>
      </c>
      <c r="CI23" s="17">
        <v>144.5</v>
      </c>
      <c r="CJ23" s="17">
        <v>147.19999999999999</v>
      </c>
      <c r="CK23" s="17">
        <v>0</v>
      </c>
      <c r="CL23" s="17"/>
      <c r="CM23" s="17"/>
      <c r="CN23" s="17"/>
      <c r="CO23" s="17"/>
      <c r="CP23" s="17">
        <v>208.7</v>
      </c>
      <c r="CQ23" s="17">
        <v>100.6</v>
      </c>
      <c r="CR23" s="17">
        <v>7.7</v>
      </c>
      <c r="CS23" s="17">
        <v>3.5</v>
      </c>
      <c r="CT23" s="17">
        <v>10.9</v>
      </c>
      <c r="CU23" s="17">
        <v>0</v>
      </c>
      <c r="CV23" s="17">
        <v>19.100000000000001</v>
      </c>
      <c r="CW23" s="17">
        <v>2.7</v>
      </c>
      <c r="CX23" s="17">
        <v>11.5</v>
      </c>
      <c r="CY23" s="17">
        <v>0</v>
      </c>
      <c r="CZ23" s="17">
        <v>16.3</v>
      </c>
      <c r="DA23" s="17">
        <v>9.9</v>
      </c>
      <c r="DB23" s="17">
        <v>4.4000000000000004</v>
      </c>
      <c r="DC23" s="17">
        <v>5.7</v>
      </c>
      <c r="DD23" s="17">
        <v>2.6</v>
      </c>
      <c r="DE23" s="17">
        <v>1.3</v>
      </c>
      <c r="DF23" s="17">
        <v>2.4</v>
      </c>
      <c r="DG23" s="17">
        <v>2.5</v>
      </c>
      <c r="DH23" s="17">
        <v>20.3</v>
      </c>
      <c r="DI23" s="17">
        <v>9.9</v>
      </c>
      <c r="DJ23" s="17">
        <v>4.5</v>
      </c>
      <c r="DK23" s="17"/>
      <c r="DL23" s="17">
        <v>7.5</v>
      </c>
      <c r="DM23" s="17">
        <v>0.1</v>
      </c>
      <c r="DN23" s="17">
        <v>0</v>
      </c>
      <c r="DO23" s="17">
        <v>1.9</v>
      </c>
      <c r="DP23" s="17">
        <v>3.6</v>
      </c>
      <c r="DQ23" s="17">
        <v>0</v>
      </c>
      <c r="DR23" s="17">
        <v>2.8</v>
      </c>
      <c r="DS23" s="17">
        <v>12.1</v>
      </c>
      <c r="DT23" s="17">
        <v>1.7</v>
      </c>
      <c r="DU23" s="17"/>
      <c r="DV23" s="17">
        <v>0</v>
      </c>
      <c r="DW23" s="17">
        <v>15.6</v>
      </c>
      <c r="DX23" s="17">
        <v>5</v>
      </c>
      <c r="DY23" s="17">
        <v>8.3000000000000007</v>
      </c>
      <c r="DZ23" s="17">
        <v>11.5</v>
      </c>
      <c r="EA23" s="17">
        <v>24.1</v>
      </c>
      <c r="EB23" s="17">
        <v>41.5</v>
      </c>
      <c r="EC23" s="17">
        <v>0.4</v>
      </c>
      <c r="ED23" s="17">
        <v>6.5</v>
      </c>
      <c r="EE23" s="17">
        <v>14.8</v>
      </c>
      <c r="EF23" s="17">
        <v>0.3</v>
      </c>
      <c r="EG23" s="17">
        <v>0</v>
      </c>
      <c r="EH23" s="17">
        <v>0</v>
      </c>
      <c r="EI23" s="17">
        <v>10.3</v>
      </c>
      <c r="EJ23" s="17">
        <v>3.5</v>
      </c>
      <c r="EK23" s="17">
        <v>4.7</v>
      </c>
      <c r="EL23" s="17">
        <v>9</v>
      </c>
      <c r="EM23" s="17">
        <v>9.8000000000000007</v>
      </c>
      <c r="EN23" s="17">
        <v>10.1</v>
      </c>
      <c r="EO23" s="17">
        <v>12</v>
      </c>
      <c r="EP23" s="17">
        <v>7.7</v>
      </c>
      <c r="EQ23" s="17">
        <v>0</v>
      </c>
      <c r="ER23" s="17">
        <v>5.8</v>
      </c>
      <c r="ES23" s="17">
        <v>0.6</v>
      </c>
      <c r="ET23" s="17">
        <v>0</v>
      </c>
      <c r="EU23" s="17">
        <v>0.3</v>
      </c>
      <c r="EV23" s="17">
        <v>4.5999999999999996</v>
      </c>
      <c r="EW23" s="17"/>
      <c r="EX23" s="17">
        <v>2</v>
      </c>
      <c r="EY23" s="17"/>
      <c r="EZ23" s="17"/>
      <c r="FA23" s="17">
        <v>0</v>
      </c>
      <c r="FB23" s="17">
        <v>10</v>
      </c>
      <c r="FC23" s="17">
        <v>19.600000000000001</v>
      </c>
      <c r="FD23" s="17">
        <v>18.899999999999999</v>
      </c>
      <c r="FE23" s="17">
        <v>6.2</v>
      </c>
      <c r="FF23" s="17">
        <v>34.4</v>
      </c>
      <c r="FG23" s="17"/>
      <c r="FH23" s="17">
        <v>16.5</v>
      </c>
      <c r="FI23" s="17"/>
      <c r="FJ23" s="17"/>
      <c r="FK23" s="17">
        <v>11.3</v>
      </c>
      <c r="FL23" s="17"/>
      <c r="FM23" s="17">
        <v>6850.5</v>
      </c>
      <c r="FN23" s="15"/>
      <c r="FO23" s="17">
        <v>16.8</v>
      </c>
      <c r="FP23" s="17">
        <v>0</v>
      </c>
      <c r="FQ23" s="17">
        <v>10.199999999999999</v>
      </c>
      <c r="FR23" s="17">
        <v>9.6</v>
      </c>
      <c r="FS23" s="17">
        <v>26.24363</v>
      </c>
      <c r="FT23" s="17">
        <v>9.4998400000000007</v>
      </c>
      <c r="FU23" s="17">
        <v>11.5</v>
      </c>
      <c r="FV23" s="17">
        <v>10.8</v>
      </c>
      <c r="FW23" s="17">
        <v>94.643469999999994</v>
      </c>
    </row>
    <row r="24" spans="1:179" ht="24" customHeight="1" x14ac:dyDescent="0.3">
      <c r="A24" s="16" t="s">
        <v>67</v>
      </c>
      <c r="B24" s="16" t="s">
        <v>821</v>
      </c>
      <c r="C24" s="17">
        <v>104.5</v>
      </c>
      <c r="D24" s="17">
        <v>601</v>
      </c>
      <c r="E24" s="17">
        <v>214.3</v>
      </c>
      <c r="F24" s="17">
        <v>0</v>
      </c>
      <c r="G24" s="17">
        <v>0</v>
      </c>
      <c r="H24" s="17">
        <v>50.4</v>
      </c>
      <c r="I24" s="17">
        <v>121.8</v>
      </c>
      <c r="J24" s="17"/>
      <c r="K24" s="17">
        <v>0</v>
      </c>
      <c r="L24" s="17">
        <v>179.6</v>
      </c>
      <c r="M24" s="17">
        <v>0</v>
      </c>
      <c r="N24" s="17">
        <v>201.9</v>
      </c>
      <c r="O24" s="17">
        <v>189.4</v>
      </c>
      <c r="P24" s="17">
        <v>205.2</v>
      </c>
      <c r="Q24" s="17">
        <v>106.3</v>
      </c>
      <c r="R24" s="17">
        <v>478.2</v>
      </c>
      <c r="S24" s="17"/>
      <c r="T24" s="17"/>
      <c r="U24" s="17"/>
      <c r="V24" s="17"/>
      <c r="W24" s="17">
        <v>165.1</v>
      </c>
      <c r="X24" s="17">
        <v>7.9</v>
      </c>
      <c r="Y24" s="17">
        <v>5.5</v>
      </c>
      <c r="Z24" s="17">
        <v>0</v>
      </c>
      <c r="AA24" s="17">
        <v>6.8</v>
      </c>
      <c r="AB24" s="17">
        <v>60.8</v>
      </c>
      <c r="AC24" s="17"/>
      <c r="AD24" s="17"/>
      <c r="AE24" s="17"/>
      <c r="AF24" s="17"/>
      <c r="AG24" s="17">
        <v>95.1</v>
      </c>
      <c r="AH24" s="17">
        <v>91</v>
      </c>
      <c r="AI24" s="17"/>
      <c r="AJ24" s="17">
        <v>0</v>
      </c>
      <c r="AK24" s="17"/>
      <c r="AL24" s="17">
        <v>6.5</v>
      </c>
      <c r="AM24" s="17">
        <v>225.7</v>
      </c>
      <c r="AN24" s="17">
        <v>68.5</v>
      </c>
      <c r="AO24" s="17">
        <v>62.3</v>
      </c>
      <c r="AP24" s="17">
        <v>42.2</v>
      </c>
      <c r="AQ24" s="17">
        <v>18.600000000000001</v>
      </c>
      <c r="AR24" s="17">
        <v>18.8</v>
      </c>
      <c r="AS24" s="17">
        <v>91.8</v>
      </c>
      <c r="AT24" s="17">
        <v>180</v>
      </c>
      <c r="AU24" s="17">
        <v>180.9</v>
      </c>
      <c r="AV24" s="17">
        <v>182.7</v>
      </c>
      <c r="AW24" s="17">
        <v>108.4</v>
      </c>
      <c r="AX24" s="17">
        <v>0</v>
      </c>
      <c r="AY24" s="17">
        <v>42.6</v>
      </c>
      <c r="AZ24" s="17">
        <v>3.6</v>
      </c>
      <c r="BA24" s="17">
        <v>0</v>
      </c>
      <c r="BB24" s="17">
        <v>43.1</v>
      </c>
      <c r="BC24" s="17"/>
      <c r="BD24" s="17"/>
      <c r="BE24" s="17">
        <v>47.7</v>
      </c>
      <c r="BF24" s="17">
        <v>0</v>
      </c>
      <c r="BG24" s="17"/>
      <c r="BH24" s="17">
        <v>8.5</v>
      </c>
      <c r="BI24" s="17"/>
      <c r="BJ24" s="17"/>
      <c r="BK24" s="17"/>
      <c r="BL24" s="17">
        <v>125.3</v>
      </c>
      <c r="BM24" s="17">
        <v>166</v>
      </c>
      <c r="BN24" s="17">
        <v>165.8</v>
      </c>
      <c r="BO24" s="17">
        <v>167.5</v>
      </c>
      <c r="BP24" s="17">
        <v>254.3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2.9</v>
      </c>
      <c r="BZ24" s="17">
        <v>21.6</v>
      </c>
      <c r="CA24" s="17">
        <v>110.2</v>
      </c>
      <c r="CB24" s="17">
        <v>66.3</v>
      </c>
      <c r="CC24" s="17">
        <v>59.9</v>
      </c>
      <c r="CD24" s="17">
        <v>28.3</v>
      </c>
      <c r="CE24" s="17">
        <v>0</v>
      </c>
      <c r="CF24" s="17"/>
      <c r="CG24" s="17"/>
      <c r="CH24" s="17">
        <v>140.9</v>
      </c>
      <c r="CI24" s="17">
        <v>143.69999999999999</v>
      </c>
      <c r="CJ24" s="17">
        <v>146.4</v>
      </c>
      <c r="CK24" s="17">
        <v>0</v>
      </c>
      <c r="CL24" s="17"/>
      <c r="CM24" s="17"/>
      <c r="CN24" s="17"/>
      <c r="CO24" s="17"/>
      <c r="CP24" s="17">
        <v>208.7</v>
      </c>
      <c r="CQ24" s="17">
        <v>100.6</v>
      </c>
      <c r="CR24" s="17">
        <v>7.7</v>
      </c>
      <c r="CS24" s="17">
        <v>3.5</v>
      </c>
      <c r="CT24" s="17">
        <v>11.1</v>
      </c>
      <c r="CU24" s="17">
        <v>0</v>
      </c>
      <c r="CV24" s="17">
        <v>22.3</v>
      </c>
      <c r="CW24" s="17">
        <v>21.7</v>
      </c>
      <c r="CX24" s="17">
        <v>10.1</v>
      </c>
      <c r="CY24" s="17">
        <v>0</v>
      </c>
      <c r="CZ24" s="17">
        <v>16.3</v>
      </c>
      <c r="DA24" s="17">
        <v>9.9</v>
      </c>
      <c r="DB24" s="17">
        <v>4.2</v>
      </c>
      <c r="DC24" s="17">
        <v>40.9</v>
      </c>
      <c r="DD24" s="17">
        <v>22.6</v>
      </c>
      <c r="DE24" s="17">
        <v>1.3</v>
      </c>
      <c r="DF24" s="17">
        <v>2.4</v>
      </c>
      <c r="DG24" s="17">
        <v>2.5</v>
      </c>
      <c r="DH24" s="17">
        <v>20.6</v>
      </c>
      <c r="DI24" s="17">
        <v>9.9</v>
      </c>
      <c r="DJ24" s="17">
        <v>4.4000000000000004</v>
      </c>
      <c r="DK24" s="17"/>
      <c r="DL24" s="17">
        <v>7.5</v>
      </c>
      <c r="DM24" s="17">
        <v>0.7</v>
      </c>
      <c r="DN24" s="17">
        <v>0.5</v>
      </c>
      <c r="DO24" s="17">
        <v>2.8</v>
      </c>
      <c r="DP24" s="17">
        <v>5.3</v>
      </c>
      <c r="DQ24" s="17">
        <v>0.4</v>
      </c>
      <c r="DR24" s="17">
        <v>2.8</v>
      </c>
      <c r="DS24" s="17">
        <v>12.2</v>
      </c>
      <c r="DT24" s="17">
        <v>1.8</v>
      </c>
      <c r="DU24" s="17"/>
      <c r="DV24" s="17">
        <v>0</v>
      </c>
      <c r="DW24" s="17">
        <v>15.9</v>
      </c>
      <c r="DX24" s="17">
        <v>4.9000000000000004</v>
      </c>
      <c r="DY24" s="17">
        <v>8.4</v>
      </c>
      <c r="DZ24" s="17">
        <v>11.6</v>
      </c>
      <c r="EA24" s="17">
        <v>24.3</v>
      </c>
      <c r="EB24" s="17">
        <v>37.1</v>
      </c>
      <c r="EC24" s="17">
        <v>7.8</v>
      </c>
      <c r="ED24" s="17">
        <v>8.9</v>
      </c>
      <c r="EE24" s="17">
        <v>23.2</v>
      </c>
      <c r="EF24" s="17">
        <v>0.9</v>
      </c>
      <c r="EG24" s="17">
        <v>0.1</v>
      </c>
      <c r="EH24" s="17">
        <v>0.3</v>
      </c>
      <c r="EI24" s="17">
        <v>10.199999999999999</v>
      </c>
      <c r="EJ24" s="17">
        <v>3.5</v>
      </c>
      <c r="EK24" s="17">
        <v>4.7</v>
      </c>
      <c r="EL24" s="17">
        <v>9</v>
      </c>
      <c r="EM24" s="17">
        <v>9.8000000000000007</v>
      </c>
      <c r="EN24" s="17">
        <v>10.1</v>
      </c>
      <c r="EO24" s="17">
        <v>11.6</v>
      </c>
      <c r="EP24" s="17">
        <v>70.2</v>
      </c>
      <c r="EQ24" s="17">
        <v>3</v>
      </c>
      <c r="ER24" s="17">
        <v>41.1</v>
      </c>
      <c r="ES24" s="17">
        <v>0.6</v>
      </c>
      <c r="ET24" s="17">
        <v>0</v>
      </c>
      <c r="EU24" s="17">
        <v>1.5</v>
      </c>
      <c r="EV24" s="17">
        <v>33.799999999999997</v>
      </c>
      <c r="EW24" s="17"/>
      <c r="EX24" s="17">
        <v>2</v>
      </c>
      <c r="EY24" s="17"/>
      <c r="EZ24" s="17"/>
      <c r="FA24" s="17">
        <v>2.9</v>
      </c>
      <c r="FB24" s="17">
        <v>10</v>
      </c>
      <c r="FC24" s="17">
        <v>19.5</v>
      </c>
      <c r="FD24" s="17">
        <v>18.899999999999999</v>
      </c>
      <c r="FE24" s="17">
        <v>6.1</v>
      </c>
      <c r="FF24" s="17">
        <v>34.4</v>
      </c>
      <c r="FG24" s="17"/>
      <c r="FH24" s="17">
        <v>18.2</v>
      </c>
      <c r="FI24" s="17"/>
      <c r="FJ24" s="17"/>
      <c r="FK24" s="17">
        <v>11</v>
      </c>
      <c r="FL24" s="17"/>
      <c r="FM24" s="17">
        <v>6846</v>
      </c>
      <c r="FN24" s="15"/>
      <c r="FO24" s="17">
        <v>17.8</v>
      </c>
      <c r="FP24" s="17">
        <v>0</v>
      </c>
      <c r="FQ24" s="17">
        <v>9.9</v>
      </c>
      <c r="FR24" s="17">
        <v>9.6</v>
      </c>
      <c r="FS24" s="17">
        <v>26.21292</v>
      </c>
      <c r="FT24" s="17">
        <v>13.30505</v>
      </c>
      <c r="FU24" s="17">
        <v>11.4</v>
      </c>
      <c r="FV24" s="17">
        <v>10.7</v>
      </c>
      <c r="FW24" s="17">
        <v>98.917969999999997</v>
      </c>
    </row>
    <row r="25" spans="1:179" ht="24" customHeight="1" x14ac:dyDescent="0.3">
      <c r="A25" s="16" t="s">
        <v>67</v>
      </c>
      <c r="B25" s="16" t="s">
        <v>822</v>
      </c>
      <c r="C25" s="17">
        <v>104.4</v>
      </c>
      <c r="D25" s="17">
        <v>602.70000000000005</v>
      </c>
      <c r="E25" s="17">
        <v>204.6</v>
      </c>
      <c r="F25" s="17">
        <v>0</v>
      </c>
      <c r="G25" s="17">
        <v>0</v>
      </c>
      <c r="H25" s="17">
        <v>50.9</v>
      </c>
      <c r="I25" s="17">
        <v>125.4</v>
      </c>
      <c r="J25" s="17"/>
      <c r="K25" s="17">
        <v>0</v>
      </c>
      <c r="L25" s="17">
        <v>179.8</v>
      </c>
      <c r="M25" s="17">
        <v>0</v>
      </c>
      <c r="N25" s="17">
        <v>201.7</v>
      </c>
      <c r="O25" s="17">
        <v>189.4</v>
      </c>
      <c r="P25" s="17">
        <v>206</v>
      </c>
      <c r="Q25" s="17">
        <v>106.4</v>
      </c>
      <c r="R25" s="17">
        <v>397.1</v>
      </c>
      <c r="S25" s="17"/>
      <c r="T25" s="17"/>
      <c r="U25" s="17"/>
      <c r="V25" s="17"/>
      <c r="W25" s="17">
        <v>167.4</v>
      </c>
      <c r="X25" s="17">
        <v>8</v>
      </c>
      <c r="Y25" s="17">
        <v>5.5</v>
      </c>
      <c r="Z25" s="17">
        <v>0</v>
      </c>
      <c r="AA25" s="17">
        <v>6.8</v>
      </c>
      <c r="AB25" s="17">
        <v>60.9</v>
      </c>
      <c r="AC25" s="17"/>
      <c r="AD25" s="17"/>
      <c r="AE25" s="17"/>
      <c r="AF25" s="17"/>
      <c r="AG25" s="17">
        <v>95.8</v>
      </c>
      <c r="AH25" s="17">
        <v>94.7</v>
      </c>
      <c r="AI25" s="17"/>
      <c r="AJ25" s="17">
        <v>0</v>
      </c>
      <c r="AK25" s="17"/>
      <c r="AL25" s="17">
        <v>6.5</v>
      </c>
      <c r="AM25" s="17">
        <v>227</v>
      </c>
      <c r="AN25" s="17">
        <v>64.7</v>
      </c>
      <c r="AO25" s="17">
        <v>62.1</v>
      </c>
      <c r="AP25" s="17">
        <v>41.6</v>
      </c>
      <c r="AQ25" s="17">
        <v>18.600000000000001</v>
      </c>
      <c r="AR25" s="17">
        <v>18.8</v>
      </c>
      <c r="AS25" s="17">
        <v>94.6</v>
      </c>
      <c r="AT25" s="17">
        <v>181.4</v>
      </c>
      <c r="AU25" s="17">
        <v>182.3</v>
      </c>
      <c r="AV25" s="17">
        <v>182.9</v>
      </c>
      <c r="AW25" s="17">
        <v>108</v>
      </c>
      <c r="AX25" s="17">
        <v>0</v>
      </c>
      <c r="AY25" s="17">
        <v>42.8</v>
      </c>
      <c r="AZ25" s="17">
        <v>3.6</v>
      </c>
      <c r="BA25" s="17">
        <v>13.2</v>
      </c>
      <c r="BB25" s="17">
        <v>48.1</v>
      </c>
      <c r="BC25" s="17"/>
      <c r="BD25" s="17"/>
      <c r="BE25" s="17">
        <v>47.9</v>
      </c>
      <c r="BF25" s="17">
        <v>0</v>
      </c>
      <c r="BG25" s="17"/>
      <c r="BH25" s="17">
        <v>44.7</v>
      </c>
      <c r="BI25" s="17"/>
      <c r="BJ25" s="17"/>
      <c r="BK25" s="17"/>
      <c r="BL25" s="17">
        <v>125.9</v>
      </c>
      <c r="BM25" s="17">
        <v>161.19999999999999</v>
      </c>
      <c r="BN25" s="17">
        <v>160.9</v>
      </c>
      <c r="BO25" s="17">
        <v>162.4</v>
      </c>
      <c r="BP25" s="17">
        <v>254.9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2.9</v>
      </c>
      <c r="BZ25" s="17">
        <v>23.2</v>
      </c>
      <c r="CA25" s="17">
        <v>111.8</v>
      </c>
      <c r="CB25" s="17">
        <v>66.8</v>
      </c>
      <c r="CC25" s="17">
        <v>60.1</v>
      </c>
      <c r="CD25" s="17">
        <v>29.4</v>
      </c>
      <c r="CE25" s="17">
        <v>0</v>
      </c>
      <c r="CF25" s="17"/>
      <c r="CG25" s="17"/>
      <c r="CH25" s="17">
        <v>140.9</v>
      </c>
      <c r="CI25" s="17">
        <v>144</v>
      </c>
      <c r="CJ25" s="17">
        <v>146.9</v>
      </c>
      <c r="CK25" s="17">
        <v>0</v>
      </c>
      <c r="CL25" s="17"/>
      <c r="CM25" s="17"/>
      <c r="CN25" s="17"/>
      <c r="CO25" s="17"/>
      <c r="CP25" s="17">
        <v>207.5</v>
      </c>
      <c r="CQ25" s="17">
        <v>100.4</v>
      </c>
      <c r="CR25" s="17">
        <v>7.8</v>
      </c>
      <c r="CS25" s="17">
        <v>3.6</v>
      </c>
      <c r="CT25" s="17">
        <v>11.1</v>
      </c>
      <c r="CU25" s="17">
        <v>0.1</v>
      </c>
      <c r="CV25" s="17">
        <v>19.2</v>
      </c>
      <c r="CW25" s="17">
        <v>44.5</v>
      </c>
      <c r="CX25" s="17">
        <v>11.5</v>
      </c>
      <c r="CY25" s="17">
        <v>0</v>
      </c>
      <c r="CZ25" s="17">
        <v>16.399999999999999</v>
      </c>
      <c r="DA25" s="17">
        <v>9.9</v>
      </c>
      <c r="DB25" s="17">
        <v>4.2</v>
      </c>
      <c r="DC25" s="17">
        <v>76.900000000000006</v>
      </c>
      <c r="DD25" s="17">
        <v>44.9</v>
      </c>
      <c r="DE25" s="17">
        <v>1.3</v>
      </c>
      <c r="DF25" s="17">
        <v>2.4</v>
      </c>
      <c r="DG25" s="17">
        <v>2.5</v>
      </c>
      <c r="DH25" s="17">
        <v>20.8</v>
      </c>
      <c r="DI25" s="17">
        <v>9.9</v>
      </c>
      <c r="DJ25" s="17">
        <v>4.5</v>
      </c>
      <c r="DK25" s="17"/>
      <c r="DL25" s="17">
        <v>7.5</v>
      </c>
      <c r="DM25" s="17">
        <v>1.7</v>
      </c>
      <c r="DN25" s="17">
        <v>1.6</v>
      </c>
      <c r="DO25" s="17">
        <v>2.4</v>
      </c>
      <c r="DP25" s="17">
        <v>6.9</v>
      </c>
      <c r="DQ25" s="17">
        <v>0.8</v>
      </c>
      <c r="DR25" s="17">
        <v>2.8</v>
      </c>
      <c r="DS25" s="17">
        <v>12.2</v>
      </c>
      <c r="DT25" s="17">
        <v>1.7</v>
      </c>
      <c r="DU25" s="17"/>
      <c r="DV25" s="17">
        <v>0</v>
      </c>
      <c r="DW25" s="17">
        <v>15.6</v>
      </c>
      <c r="DX25" s="17">
        <v>4.9000000000000004</v>
      </c>
      <c r="DY25" s="17">
        <v>8.4</v>
      </c>
      <c r="DZ25" s="17">
        <v>11.8</v>
      </c>
      <c r="EA25" s="17">
        <v>23.3</v>
      </c>
      <c r="EB25" s="17">
        <v>24.1</v>
      </c>
      <c r="EC25" s="17">
        <v>17.7</v>
      </c>
      <c r="ED25" s="17">
        <v>15.4</v>
      </c>
      <c r="EE25" s="17">
        <v>25.8</v>
      </c>
      <c r="EF25" s="17">
        <v>0.4</v>
      </c>
      <c r="EG25" s="17">
        <v>0.4</v>
      </c>
      <c r="EH25" s="17">
        <v>0.9</v>
      </c>
      <c r="EI25" s="17">
        <v>10.1</v>
      </c>
      <c r="EJ25" s="17">
        <v>3.5</v>
      </c>
      <c r="EK25" s="17">
        <v>4.7</v>
      </c>
      <c r="EL25" s="17">
        <v>9</v>
      </c>
      <c r="EM25" s="17">
        <v>9.6</v>
      </c>
      <c r="EN25" s="17">
        <v>9.9</v>
      </c>
      <c r="EO25" s="17">
        <v>13.1</v>
      </c>
      <c r="EP25" s="17">
        <v>146.19999999999999</v>
      </c>
      <c r="EQ25" s="17">
        <v>5.4</v>
      </c>
      <c r="ER25" s="17">
        <v>83.2</v>
      </c>
      <c r="ES25" s="17">
        <v>0.6</v>
      </c>
      <c r="ET25" s="17">
        <v>7</v>
      </c>
      <c r="EU25" s="17">
        <v>9.6999999999999993</v>
      </c>
      <c r="EV25" s="17">
        <v>67.400000000000006</v>
      </c>
      <c r="EW25" s="17"/>
      <c r="EX25" s="17">
        <v>2</v>
      </c>
      <c r="EY25" s="17"/>
      <c r="EZ25" s="17"/>
      <c r="FA25" s="17">
        <v>5.4</v>
      </c>
      <c r="FB25" s="17">
        <v>10</v>
      </c>
      <c r="FC25" s="17">
        <v>19.8</v>
      </c>
      <c r="FD25" s="17">
        <v>19.3</v>
      </c>
      <c r="FE25" s="17">
        <v>5.2</v>
      </c>
      <c r="FF25" s="17">
        <v>34.5</v>
      </c>
      <c r="FG25" s="17"/>
      <c r="FH25" s="17">
        <v>18.399999999999999</v>
      </c>
      <c r="FI25" s="17"/>
      <c r="FJ25" s="17"/>
      <c r="FK25" s="17">
        <v>11.4</v>
      </c>
      <c r="FL25" s="17"/>
      <c r="FM25" s="17">
        <v>7078.7</v>
      </c>
      <c r="FN25" s="15"/>
      <c r="FO25" s="17">
        <v>18.100000000000001</v>
      </c>
      <c r="FP25" s="17">
        <v>0</v>
      </c>
      <c r="FQ25" s="17">
        <v>9.9</v>
      </c>
      <c r="FR25" s="17">
        <v>9.6</v>
      </c>
      <c r="FS25" s="17">
        <v>26.139379999999999</v>
      </c>
      <c r="FT25" s="17">
        <v>18.939859999999999</v>
      </c>
      <c r="FU25" s="17">
        <v>11.4</v>
      </c>
      <c r="FV25" s="17">
        <v>10.6</v>
      </c>
      <c r="FW25" s="17">
        <v>104.67923999999999</v>
      </c>
    </row>
    <row r="26" spans="1:179" ht="24" customHeight="1" x14ac:dyDescent="0.3">
      <c r="A26" s="18" t="s">
        <v>67</v>
      </c>
      <c r="B26" s="18" t="s">
        <v>823</v>
      </c>
      <c r="C26" s="19">
        <v>104.4</v>
      </c>
      <c r="D26" s="19">
        <v>594.5</v>
      </c>
      <c r="E26" s="19">
        <v>200</v>
      </c>
      <c r="F26" s="19">
        <v>0</v>
      </c>
      <c r="G26" s="19">
        <v>0</v>
      </c>
      <c r="H26" s="19">
        <v>50</v>
      </c>
      <c r="I26" s="19">
        <v>122.5</v>
      </c>
      <c r="J26" s="19"/>
      <c r="K26" s="19">
        <v>0</v>
      </c>
      <c r="L26" s="19">
        <v>179.9</v>
      </c>
      <c r="M26" s="19">
        <v>0</v>
      </c>
      <c r="N26" s="19">
        <v>202.5</v>
      </c>
      <c r="O26" s="19">
        <v>190.3</v>
      </c>
      <c r="P26" s="19">
        <v>207.1</v>
      </c>
      <c r="Q26" s="19">
        <v>106.3</v>
      </c>
      <c r="R26" s="19">
        <v>395.7</v>
      </c>
      <c r="S26" s="19"/>
      <c r="T26" s="19"/>
      <c r="U26" s="19"/>
      <c r="V26" s="19"/>
      <c r="W26" s="19">
        <v>160.19999999999999</v>
      </c>
      <c r="X26" s="19">
        <v>6.8</v>
      </c>
      <c r="Y26" s="19">
        <v>5.2</v>
      </c>
      <c r="Z26" s="19">
        <v>0</v>
      </c>
      <c r="AA26" s="19">
        <v>6.7</v>
      </c>
      <c r="AB26" s="19">
        <v>59.9</v>
      </c>
      <c r="AC26" s="19"/>
      <c r="AD26" s="19"/>
      <c r="AE26" s="19"/>
      <c r="AF26" s="19"/>
      <c r="AG26" s="19">
        <v>93.3</v>
      </c>
      <c r="AH26" s="19">
        <v>42.3</v>
      </c>
      <c r="AI26" s="19"/>
      <c r="AJ26" s="19">
        <v>0</v>
      </c>
      <c r="AK26" s="19"/>
      <c r="AL26" s="19">
        <v>6.5</v>
      </c>
      <c r="AM26" s="19">
        <v>200.8</v>
      </c>
      <c r="AN26" s="19">
        <v>59.3</v>
      </c>
      <c r="AO26" s="19">
        <v>52.8</v>
      </c>
      <c r="AP26" s="19">
        <v>40.299999999999997</v>
      </c>
      <c r="AQ26" s="19">
        <v>18.600000000000001</v>
      </c>
      <c r="AR26" s="19">
        <v>18.8</v>
      </c>
      <c r="AS26" s="19">
        <v>90.6</v>
      </c>
      <c r="AT26" s="19">
        <v>177.6</v>
      </c>
      <c r="AU26" s="19">
        <v>177.5</v>
      </c>
      <c r="AV26" s="19">
        <v>182.5</v>
      </c>
      <c r="AW26" s="19">
        <v>106.4</v>
      </c>
      <c r="AX26" s="19">
        <v>11.4</v>
      </c>
      <c r="AY26" s="19">
        <v>36.799999999999997</v>
      </c>
      <c r="AZ26" s="19">
        <v>3.6</v>
      </c>
      <c r="BA26" s="19">
        <v>12.8</v>
      </c>
      <c r="BB26" s="19">
        <v>37.799999999999997</v>
      </c>
      <c r="BC26" s="19"/>
      <c r="BD26" s="19"/>
      <c r="BE26" s="19">
        <v>14.3</v>
      </c>
      <c r="BF26" s="19">
        <v>0</v>
      </c>
      <c r="BG26" s="19"/>
      <c r="BH26" s="19">
        <v>45.4</v>
      </c>
      <c r="BI26" s="19"/>
      <c r="BJ26" s="19"/>
      <c r="BK26" s="19"/>
      <c r="BL26" s="19">
        <v>124</v>
      </c>
      <c r="BM26" s="19">
        <v>145.5</v>
      </c>
      <c r="BN26" s="19">
        <v>145.4</v>
      </c>
      <c r="BO26" s="19">
        <v>145.9</v>
      </c>
      <c r="BP26" s="19">
        <v>227.7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2.9</v>
      </c>
      <c r="BZ26" s="19">
        <v>19</v>
      </c>
      <c r="CA26" s="19">
        <v>91.4</v>
      </c>
      <c r="CB26" s="19">
        <v>65.3</v>
      </c>
      <c r="CC26" s="19">
        <v>63.8</v>
      </c>
      <c r="CD26" s="19">
        <v>29.6</v>
      </c>
      <c r="CE26" s="19">
        <v>0</v>
      </c>
      <c r="CF26" s="19"/>
      <c r="CG26" s="19"/>
      <c r="CH26" s="19">
        <v>141.4</v>
      </c>
      <c r="CI26" s="19">
        <v>144.4</v>
      </c>
      <c r="CJ26" s="19">
        <v>147.4</v>
      </c>
      <c r="CK26" s="19">
        <v>0</v>
      </c>
      <c r="CL26" s="19"/>
      <c r="CM26" s="19"/>
      <c r="CN26" s="19"/>
      <c r="CO26" s="19"/>
      <c r="CP26" s="19">
        <v>207.4</v>
      </c>
      <c r="CQ26" s="19">
        <v>100.6</v>
      </c>
      <c r="CR26" s="19">
        <v>7.8</v>
      </c>
      <c r="CS26" s="19">
        <v>3.6</v>
      </c>
      <c r="CT26" s="19">
        <v>10.7</v>
      </c>
      <c r="CU26" s="19">
        <v>0.3</v>
      </c>
      <c r="CV26" s="19">
        <v>14.6</v>
      </c>
      <c r="CW26" s="19">
        <v>63.6</v>
      </c>
      <c r="CX26" s="19">
        <v>10.5</v>
      </c>
      <c r="CY26" s="19">
        <v>0.1</v>
      </c>
      <c r="CZ26" s="19">
        <v>16.2</v>
      </c>
      <c r="DA26" s="19">
        <v>9.9</v>
      </c>
      <c r="DB26" s="19">
        <v>4</v>
      </c>
      <c r="DC26" s="19">
        <v>152.69999999999999</v>
      </c>
      <c r="DD26" s="19">
        <v>77.599999999999994</v>
      </c>
      <c r="DE26" s="19">
        <v>1.3</v>
      </c>
      <c r="DF26" s="19">
        <v>2.4</v>
      </c>
      <c r="DG26" s="19">
        <v>2.5</v>
      </c>
      <c r="DH26" s="19">
        <v>20.2</v>
      </c>
      <c r="DI26" s="19">
        <v>9.9</v>
      </c>
      <c r="DJ26" s="19">
        <v>4.5</v>
      </c>
      <c r="DK26" s="19"/>
      <c r="DL26" s="19">
        <v>7.5</v>
      </c>
      <c r="DM26" s="19">
        <v>2.8</v>
      </c>
      <c r="DN26" s="19">
        <v>2.4</v>
      </c>
      <c r="DO26" s="19">
        <v>1.8</v>
      </c>
      <c r="DP26" s="19">
        <v>5</v>
      </c>
      <c r="DQ26" s="19">
        <v>1.3</v>
      </c>
      <c r="DR26" s="19">
        <v>2.8</v>
      </c>
      <c r="DS26" s="19">
        <v>12.2</v>
      </c>
      <c r="DT26" s="19">
        <v>1.7</v>
      </c>
      <c r="DU26" s="19"/>
      <c r="DV26" s="19">
        <v>0.1</v>
      </c>
      <c r="DW26" s="19">
        <v>14.8</v>
      </c>
      <c r="DX26" s="19">
        <v>4.5999999999999996</v>
      </c>
      <c r="DY26" s="19">
        <v>8.1999999999999993</v>
      </c>
      <c r="DZ26" s="19">
        <v>11.2</v>
      </c>
      <c r="EA26" s="19">
        <v>21.4</v>
      </c>
      <c r="EB26" s="19">
        <v>20.2</v>
      </c>
      <c r="EC26" s="19">
        <v>26.3</v>
      </c>
      <c r="ED26" s="19">
        <v>16.2</v>
      </c>
      <c r="EE26" s="19">
        <v>26.3</v>
      </c>
      <c r="EF26" s="19">
        <v>1.7</v>
      </c>
      <c r="EG26" s="19">
        <v>0.7</v>
      </c>
      <c r="EH26" s="19">
        <v>1.1000000000000001</v>
      </c>
      <c r="EI26" s="19">
        <v>10</v>
      </c>
      <c r="EJ26" s="19">
        <v>3.5</v>
      </c>
      <c r="EK26" s="19">
        <v>4.7</v>
      </c>
      <c r="EL26" s="19">
        <v>8.8000000000000007</v>
      </c>
      <c r="EM26" s="19">
        <v>9.6</v>
      </c>
      <c r="EN26" s="19">
        <v>9.9</v>
      </c>
      <c r="EO26" s="19">
        <v>13</v>
      </c>
      <c r="EP26" s="19">
        <v>191.5</v>
      </c>
      <c r="EQ26" s="19">
        <v>7.8</v>
      </c>
      <c r="ER26" s="19">
        <v>111.8</v>
      </c>
      <c r="ES26" s="19">
        <v>0.6</v>
      </c>
      <c r="ET26" s="19">
        <v>12.6</v>
      </c>
      <c r="EU26" s="19">
        <v>11</v>
      </c>
      <c r="EV26" s="19">
        <v>81.3</v>
      </c>
      <c r="EW26" s="19"/>
      <c r="EX26" s="19">
        <v>2</v>
      </c>
      <c r="EY26" s="19"/>
      <c r="EZ26" s="19"/>
      <c r="FA26" s="19">
        <v>7.2</v>
      </c>
      <c r="FB26" s="19">
        <v>10</v>
      </c>
      <c r="FC26" s="19">
        <v>19.600000000000001</v>
      </c>
      <c r="FD26" s="19">
        <v>19</v>
      </c>
      <c r="FE26" s="19">
        <v>5.5</v>
      </c>
      <c r="FF26" s="19">
        <v>34.5</v>
      </c>
      <c r="FG26" s="19"/>
      <c r="FH26" s="19">
        <v>18.600000000000001</v>
      </c>
      <c r="FI26" s="19"/>
      <c r="FJ26" s="19"/>
      <c r="FK26" s="19">
        <v>11.4</v>
      </c>
      <c r="FL26" s="19"/>
      <c r="FM26" s="19">
        <v>7029.7</v>
      </c>
      <c r="FN26" s="15"/>
      <c r="FO26" s="19">
        <v>18.100000000000001</v>
      </c>
      <c r="FP26" s="19">
        <v>0</v>
      </c>
      <c r="FQ26" s="19">
        <v>10.7</v>
      </c>
      <c r="FR26" s="19">
        <v>9.6</v>
      </c>
      <c r="FS26" s="19">
        <v>26.158380000000001</v>
      </c>
      <c r="FT26" s="19">
        <v>18.940840000000001</v>
      </c>
      <c r="FU26" s="19">
        <v>11.5</v>
      </c>
      <c r="FV26" s="19">
        <v>0</v>
      </c>
      <c r="FW26" s="19">
        <v>94.999219999999994</v>
      </c>
    </row>
    <row r="27" spans="1:179" ht="24" customHeight="1" x14ac:dyDescent="0.3">
      <c r="A27" s="13" t="s">
        <v>67</v>
      </c>
      <c r="B27" s="13" t="s">
        <v>824</v>
      </c>
      <c r="C27" s="14">
        <v>104</v>
      </c>
      <c r="D27" s="14">
        <v>601.20000000000005</v>
      </c>
      <c r="E27" s="14">
        <v>203.9</v>
      </c>
      <c r="F27" s="14">
        <v>0</v>
      </c>
      <c r="G27" s="14">
        <v>0</v>
      </c>
      <c r="H27" s="14">
        <v>48.9</v>
      </c>
      <c r="I27" s="14">
        <v>122.8</v>
      </c>
      <c r="J27" s="14"/>
      <c r="K27" s="14">
        <v>0</v>
      </c>
      <c r="L27" s="14">
        <v>180.5</v>
      </c>
      <c r="M27" s="14">
        <v>0</v>
      </c>
      <c r="N27" s="14">
        <v>203.7</v>
      </c>
      <c r="O27" s="14">
        <v>192.1</v>
      </c>
      <c r="P27" s="14">
        <v>206.8</v>
      </c>
      <c r="Q27" s="14">
        <v>106.4</v>
      </c>
      <c r="R27" s="14">
        <v>506</v>
      </c>
      <c r="S27" s="14"/>
      <c r="T27" s="14"/>
      <c r="U27" s="14"/>
      <c r="V27" s="14"/>
      <c r="W27" s="14">
        <v>163.9</v>
      </c>
      <c r="X27" s="14">
        <v>7.1</v>
      </c>
      <c r="Y27" s="14">
        <v>5.3</v>
      </c>
      <c r="Z27" s="14">
        <v>0</v>
      </c>
      <c r="AA27" s="14">
        <v>6.8</v>
      </c>
      <c r="AB27" s="14">
        <v>60.6</v>
      </c>
      <c r="AC27" s="14"/>
      <c r="AD27" s="14"/>
      <c r="AE27" s="14"/>
      <c r="AF27" s="14"/>
      <c r="AG27" s="14">
        <v>93.6</v>
      </c>
      <c r="AH27" s="14">
        <v>96.2</v>
      </c>
      <c r="AI27" s="14"/>
      <c r="AJ27" s="14">
        <v>0</v>
      </c>
      <c r="AK27" s="14"/>
      <c r="AL27" s="14">
        <v>6.4</v>
      </c>
      <c r="AM27" s="14">
        <v>229.4</v>
      </c>
      <c r="AN27" s="14">
        <v>62.5</v>
      </c>
      <c r="AO27" s="14">
        <v>58.5</v>
      </c>
      <c r="AP27" s="14">
        <v>40.799999999999997</v>
      </c>
      <c r="AQ27" s="14">
        <v>18.600000000000001</v>
      </c>
      <c r="AR27" s="14">
        <v>18.8</v>
      </c>
      <c r="AS27" s="14">
        <v>91.4</v>
      </c>
      <c r="AT27" s="14">
        <v>175.5</v>
      </c>
      <c r="AU27" s="14">
        <v>175.7</v>
      </c>
      <c r="AV27" s="14">
        <v>182.8</v>
      </c>
      <c r="AW27" s="14">
        <v>107.7</v>
      </c>
      <c r="AX27" s="14">
        <v>16.899999999999999</v>
      </c>
      <c r="AY27" s="14">
        <v>40.5</v>
      </c>
      <c r="AZ27" s="14">
        <v>3.6</v>
      </c>
      <c r="BA27" s="14">
        <v>12.8</v>
      </c>
      <c r="BB27" s="14">
        <v>40.1</v>
      </c>
      <c r="BC27" s="14"/>
      <c r="BD27" s="14"/>
      <c r="BE27" s="14">
        <v>0</v>
      </c>
      <c r="BF27" s="14">
        <v>0</v>
      </c>
      <c r="BG27" s="14"/>
      <c r="BH27" s="14">
        <v>45.7</v>
      </c>
      <c r="BI27" s="14"/>
      <c r="BJ27" s="14"/>
      <c r="BK27" s="14"/>
      <c r="BL27" s="14">
        <v>123.7</v>
      </c>
      <c r="BM27" s="14">
        <v>166.7</v>
      </c>
      <c r="BN27" s="14">
        <v>166.8</v>
      </c>
      <c r="BO27" s="14">
        <v>166.8</v>
      </c>
      <c r="BP27" s="14">
        <v>248.2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2.9</v>
      </c>
      <c r="BZ27" s="14">
        <v>49.9</v>
      </c>
      <c r="CA27" s="14">
        <v>103</v>
      </c>
      <c r="CB27" s="14">
        <v>65.7</v>
      </c>
      <c r="CC27" s="14">
        <v>63.6</v>
      </c>
      <c r="CD27" s="14">
        <v>29.8</v>
      </c>
      <c r="CE27" s="14">
        <v>0</v>
      </c>
      <c r="CF27" s="14"/>
      <c r="CG27" s="14"/>
      <c r="CH27" s="14">
        <v>142.19999999999999</v>
      </c>
      <c r="CI27" s="14">
        <v>144.80000000000001</v>
      </c>
      <c r="CJ27" s="14">
        <v>148.30000000000001</v>
      </c>
      <c r="CK27" s="14">
        <v>0</v>
      </c>
      <c r="CL27" s="14"/>
      <c r="CM27" s="14"/>
      <c r="CN27" s="14"/>
      <c r="CO27" s="14"/>
      <c r="CP27" s="14">
        <v>207.2</v>
      </c>
      <c r="CQ27" s="14">
        <v>100.5</v>
      </c>
      <c r="CR27" s="14">
        <v>7.9</v>
      </c>
      <c r="CS27" s="14">
        <v>3.5</v>
      </c>
      <c r="CT27" s="14">
        <v>10.8</v>
      </c>
      <c r="CU27" s="14">
        <v>0.7</v>
      </c>
      <c r="CV27" s="14">
        <v>21.9</v>
      </c>
      <c r="CW27" s="14">
        <v>65.599999999999994</v>
      </c>
      <c r="CX27" s="14">
        <v>12.8</v>
      </c>
      <c r="CY27" s="14">
        <v>0.1</v>
      </c>
      <c r="CZ27" s="14">
        <v>15.8</v>
      </c>
      <c r="DA27" s="14">
        <v>10</v>
      </c>
      <c r="DB27" s="14">
        <v>4.2</v>
      </c>
      <c r="DC27" s="14">
        <v>156.9</v>
      </c>
      <c r="DD27" s="14">
        <v>80.3</v>
      </c>
      <c r="DE27" s="14">
        <v>1.3</v>
      </c>
      <c r="DF27" s="14">
        <v>2.4</v>
      </c>
      <c r="DG27" s="14">
        <v>2.5</v>
      </c>
      <c r="DH27" s="14">
        <v>20.3</v>
      </c>
      <c r="DI27" s="14">
        <v>9.9</v>
      </c>
      <c r="DJ27" s="14">
        <v>8.3000000000000007</v>
      </c>
      <c r="DK27" s="14"/>
      <c r="DL27" s="14">
        <v>7.5</v>
      </c>
      <c r="DM27" s="14">
        <v>4.2</v>
      </c>
      <c r="DN27" s="14">
        <v>4.2</v>
      </c>
      <c r="DO27" s="14">
        <v>1.6</v>
      </c>
      <c r="DP27" s="14">
        <v>3.2</v>
      </c>
      <c r="DQ27" s="14">
        <v>2.9</v>
      </c>
      <c r="DR27" s="14">
        <v>2.8</v>
      </c>
      <c r="DS27" s="14">
        <v>2.8</v>
      </c>
      <c r="DT27" s="14">
        <v>1.7</v>
      </c>
      <c r="DU27" s="14"/>
      <c r="DV27" s="14">
        <v>0.2</v>
      </c>
      <c r="DW27" s="14">
        <v>14.7</v>
      </c>
      <c r="DX27" s="14">
        <v>4.5</v>
      </c>
      <c r="DY27" s="14">
        <v>8.3000000000000007</v>
      </c>
      <c r="DZ27" s="14">
        <v>11.5</v>
      </c>
      <c r="EA27" s="14">
        <v>22.5</v>
      </c>
      <c r="EB27" s="14">
        <v>15.5</v>
      </c>
      <c r="EC27" s="14">
        <v>29</v>
      </c>
      <c r="ED27" s="14">
        <v>15.8</v>
      </c>
      <c r="EE27" s="14">
        <v>21.4</v>
      </c>
      <c r="EF27" s="14">
        <v>2.6</v>
      </c>
      <c r="EG27" s="14">
        <v>1.8</v>
      </c>
      <c r="EH27" s="14">
        <v>1.2</v>
      </c>
      <c r="EI27" s="14">
        <v>10</v>
      </c>
      <c r="EJ27" s="14">
        <v>3.5</v>
      </c>
      <c r="EK27" s="14">
        <v>4.5</v>
      </c>
      <c r="EL27" s="14">
        <v>8.6</v>
      </c>
      <c r="EM27" s="14">
        <v>9.6</v>
      </c>
      <c r="EN27" s="14">
        <v>9.9</v>
      </c>
      <c r="EO27" s="14">
        <v>15.6</v>
      </c>
      <c r="EP27" s="14">
        <v>196.8</v>
      </c>
      <c r="EQ27" s="14">
        <v>9.9</v>
      </c>
      <c r="ER27" s="14">
        <v>113.2</v>
      </c>
      <c r="ES27" s="14">
        <v>0.6</v>
      </c>
      <c r="ET27" s="14">
        <v>6.9</v>
      </c>
      <c r="EU27" s="14">
        <v>9.6999999999999993</v>
      </c>
      <c r="EV27" s="14">
        <v>83.9</v>
      </c>
      <c r="EW27" s="14"/>
      <c r="EX27" s="14">
        <v>2</v>
      </c>
      <c r="EY27" s="14"/>
      <c r="EZ27" s="14"/>
      <c r="FA27" s="14">
        <v>9.1999999999999993</v>
      </c>
      <c r="FB27" s="14">
        <v>10</v>
      </c>
      <c r="FC27" s="14">
        <v>19.8</v>
      </c>
      <c r="FD27" s="14">
        <v>19.2</v>
      </c>
      <c r="FE27" s="14">
        <v>5.6</v>
      </c>
      <c r="FF27" s="14">
        <v>34.299999999999997</v>
      </c>
      <c r="FG27" s="14"/>
      <c r="FH27" s="14">
        <v>18.3</v>
      </c>
      <c r="FI27" s="14"/>
      <c r="FJ27" s="14"/>
      <c r="FK27" s="14">
        <v>11.3</v>
      </c>
      <c r="FL27" s="14"/>
      <c r="FM27" s="14">
        <v>7395.1</v>
      </c>
      <c r="FN27" s="15"/>
      <c r="FO27" s="14">
        <v>18.100000000000001</v>
      </c>
      <c r="FP27" s="14">
        <v>3.379</v>
      </c>
      <c r="FQ27" s="14">
        <v>10.7</v>
      </c>
      <c r="FR27" s="14">
        <v>9.6</v>
      </c>
      <c r="FS27" s="14">
        <v>26.087420000000002</v>
      </c>
      <c r="FT27" s="14">
        <v>18.942419999999998</v>
      </c>
      <c r="FU27" s="14">
        <v>11.6</v>
      </c>
      <c r="FV27" s="14">
        <v>0</v>
      </c>
      <c r="FW27" s="14">
        <v>98.408839999999998</v>
      </c>
    </row>
    <row r="28" spans="1:179" ht="24" customHeight="1" x14ac:dyDescent="0.3">
      <c r="A28" s="16" t="s">
        <v>67</v>
      </c>
      <c r="B28" s="16" t="s">
        <v>825</v>
      </c>
      <c r="C28" s="17">
        <v>104.4</v>
      </c>
      <c r="D28" s="17">
        <v>598.70000000000005</v>
      </c>
      <c r="E28" s="17">
        <v>204.3</v>
      </c>
      <c r="F28" s="17">
        <v>0</v>
      </c>
      <c r="G28" s="17">
        <v>0</v>
      </c>
      <c r="H28" s="17">
        <v>60.6</v>
      </c>
      <c r="I28" s="17">
        <v>123.2</v>
      </c>
      <c r="J28" s="17"/>
      <c r="K28" s="17">
        <v>0</v>
      </c>
      <c r="L28" s="17">
        <v>178.5</v>
      </c>
      <c r="M28" s="17">
        <v>0</v>
      </c>
      <c r="N28" s="17">
        <v>199.4</v>
      </c>
      <c r="O28" s="17">
        <v>189.6</v>
      </c>
      <c r="P28" s="17">
        <v>204.7</v>
      </c>
      <c r="Q28" s="17">
        <v>106</v>
      </c>
      <c r="R28" s="17">
        <v>494.4</v>
      </c>
      <c r="S28" s="17"/>
      <c r="T28" s="17"/>
      <c r="U28" s="17"/>
      <c r="V28" s="17"/>
      <c r="W28" s="17">
        <v>167.2</v>
      </c>
      <c r="X28" s="17">
        <v>8</v>
      </c>
      <c r="Y28" s="17">
        <v>5.5</v>
      </c>
      <c r="Z28" s="17">
        <v>0</v>
      </c>
      <c r="AA28" s="17">
        <v>6.8</v>
      </c>
      <c r="AB28" s="17">
        <v>61.9</v>
      </c>
      <c r="AC28" s="17"/>
      <c r="AD28" s="17"/>
      <c r="AE28" s="17"/>
      <c r="AF28" s="17"/>
      <c r="AG28" s="17">
        <v>94.8</v>
      </c>
      <c r="AH28" s="17">
        <v>91.3</v>
      </c>
      <c r="AI28" s="17"/>
      <c r="AJ28" s="17">
        <v>0</v>
      </c>
      <c r="AK28" s="17"/>
      <c r="AL28" s="17">
        <v>6.5</v>
      </c>
      <c r="AM28" s="17">
        <v>215.1</v>
      </c>
      <c r="AN28" s="17">
        <v>61.8</v>
      </c>
      <c r="AO28" s="17">
        <v>69.3</v>
      </c>
      <c r="AP28" s="17">
        <v>41.4</v>
      </c>
      <c r="AQ28" s="17">
        <v>18.600000000000001</v>
      </c>
      <c r="AR28" s="17">
        <v>18.8</v>
      </c>
      <c r="AS28" s="17">
        <v>93</v>
      </c>
      <c r="AT28" s="17">
        <v>178.6</v>
      </c>
      <c r="AU28" s="17">
        <v>178.8</v>
      </c>
      <c r="AV28" s="17">
        <v>180.8</v>
      </c>
      <c r="AW28" s="17">
        <v>108.1</v>
      </c>
      <c r="AX28" s="17">
        <v>18.8</v>
      </c>
      <c r="AY28" s="17">
        <v>40.299999999999997</v>
      </c>
      <c r="AZ28" s="17">
        <v>3.6</v>
      </c>
      <c r="BA28" s="17">
        <v>13.1</v>
      </c>
      <c r="BB28" s="17">
        <v>42.6</v>
      </c>
      <c r="BC28" s="17"/>
      <c r="BD28" s="17"/>
      <c r="BE28" s="17">
        <v>0</v>
      </c>
      <c r="BF28" s="17">
        <v>0</v>
      </c>
      <c r="BG28" s="17"/>
      <c r="BH28" s="17">
        <v>45.2</v>
      </c>
      <c r="BI28" s="17"/>
      <c r="BJ28" s="17"/>
      <c r="BK28" s="17"/>
      <c r="BL28" s="17">
        <v>125</v>
      </c>
      <c r="BM28" s="17">
        <v>155.69999999999999</v>
      </c>
      <c r="BN28" s="17">
        <v>155.80000000000001</v>
      </c>
      <c r="BO28" s="17">
        <v>155.9</v>
      </c>
      <c r="BP28" s="17">
        <v>251.5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2.9</v>
      </c>
      <c r="BZ28" s="17">
        <v>62</v>
      </c>
      <c r="CA28" s="17">
        <v>104.5</v>
      </c>
      <c r="CB28" s="17">
        <v>66.3</v>
      </c>
      <c r="CC28" s="17">
        <v>66</v>
      </c>
      <c r="CD28" s="17">
        <v>30.4</v>
      </c>
      <c r="CE28" s="17">
        <v>0</v>
      </c>
      <c r="CF28" s="17"/>
      <c r="CG28" s="17"/>
      <c r="CH28" s="17">
        <v>140.9</v>
      </c>
      <c r="CI28" s="17">
        <v>143.30000000000001</v>
      </c>
      <c r="CJ28" s="17">
        <v>146</v>
      </c>
      <c r="CK28" s="17">
        <v>0</v>
      </c>
      <c r="CL28" s="17"/>
      <c r="CM28" s="17"/>
      <c r="CN28" s="17"/>
      <c r="CO28" s="17"/>
      <c r="CP28" s="17">
        <v>207.5</v>
      </c>
      <c r="CQ28" s="17">
        <v>100.5</v>
      </c>
      <c r="CR28" s="17">
        <v>7.8</v>
      </c>
      <c r="CS28" s="17">
        <v>3.5</v>
      </c>
      <c r="CT28" s="17">
        <v>11.2</v>
      </c>
      <c r="CU28" s="17">
        <v>0.8</v>
      </c>
      <c r="CV28" s="17">
        <v>21.1</v>
      </c>
      <c r="CW28" s="17">
        <v>65.8</v>
      </c>
      <c r="CX28" s="17">
        <v>11.9</v>
      </c>
      <c r="CY28" s="17">
        <v>0.2</v>
      </c>
      <c r="CZ28" s="17">
        <v>15.8</v>
      </c>
      <c r="DA28" s="17">
        <v>10</v>
      </c>
      <c r="DB28" s="17">
        <v>4.2</v>
      </c>
      <c r="DC28" s="17">
        <v>162.1</v>
      </c>
      <c r="DD28" s="17">
        <v>83</v>
      </c>
      <c r="DE28" s="17">
        <v>1.3</v>
      </c>
      <c r="DF28" s="17">
        <v>2</v>
      </c>
      <c r="DG28" s="17">
        <v>2.5</v>
      </c>
      <c r="DH28" s="17">
        <v>20.6</v>
      </c>
      <c r="DI28" s="17">
        <v>9.9</v>
      </c>
      <c r="DJ28" s="17">
        <v>8.3000000000000007</v>
      </c>
      <c r="DK28" s="17"/>
      <c r="DL28" s="17">
        <v>7.5</v>
      </c>
      <c r="DM28" s="17">
        <v>6.2</v>
      </c>
      <c r="DN28" s="17">
        <v>9.4</v>
      </c>
      <c r="DO28" s="17">
        <v>1</v>
      </c>
      <c r="DP28" s="17">
        <v>2.7</v>
      </c>
      <c r="DQ28" s="17">
        <v>4.3</v>
      </c>
      <c r="DR28" s="17">
        <v>2.8</v>
      </c>
      <c r="DS28" s="17">
        <v>0</v>
      </c>
      <c r="DT28" s="17">
        <v>1.7</v>
      </c>
      <c r="DU28" s="17"/>
      <c r="DV28" s="17">
        <v>0.3</v>
      </c>
      <c r="DW28" s="17">
        <v>14.7</v>
      </c>
      <c r="DX28" s="17">
        <v>4.5</v>
      </c>
      <c r="DY28" s="17">
        <v>8.4</v>
      </c>
      <c r="DZ28" s="17">
        <v>11.5</v>
      </c>
      <c r="EA28" s="17">
        <v>23.7</v>
      </c>
      <c r="EB28" s="17">
        <v>15.7</v>
      </c>
      <c r="EC28" s="17">
        <v>29.1</v>
      </c>
      <c r="ED28" s="17">
        <v>23.3</v>
      </c>
      <c r="EE28" s="17">
        <v>33.4</v>
      </c>
      <c r="EF28" s="17">
        <v>3.2</v>
      </c>
      <c r="EG28" s="17">
        <v>2.2000000000000002</v>
      </c>
      <c r="EH28" s="17">
        <v>1.2</v>
      </c>
      <c r="EI28" s="17">
        <v>10</v>
      </c>
      <c r="EJ28" s="17">
        <v>3.5</v>
      </c>
      <c r="EK28" s="17">
        <v>4.5</v>
      </c>
      <c r="EL28" s="17">
        <v>8.6</v>
      </c>
      <c r="EM28" s="17">
        <v>9.6</v>
      </c>
      <c r="EN28" s="17">
        <v>9.9</v>
      </c>
      <c r="EO28" s="17">
        <v>15.3</v>
      </c>
      <c r="EP28" s="17">
        <v>203.1</v>
      </c>
      <c r="EQ28" s="17">
        <v>11.8</v>
      </c>
      <c r="ER28" s="17">
        <v>114.7</v>
      </c>
      <c r="ES28" s="17">
        <v>0.6</v>
      </c>
      <c r="ET28" s="17">
        <v>3.6</v>
      </c>
      <c r="EU28" s="17">
        <v>5.8</v>
      </c>
      <c r="EV28" s="17">
        <v>84.8</v>
      </c>
      <c r="EW28" s="17"/>
      <c r="EX28" s="17">
        <v>2</v>
      </c>
      <c r="EY28" s="17"/>
      <c r="EZ28" s="17"/>
      <c r="FA28" s="17">
        <v>10.9</v>
      </c>
      <c r="FB28" s="17">
        <v>10</v>
      </c>
      <c r="FC28" s="17">
        <v>19.600000000000001</v>
      </c>
      <c r="FD28" s="17">
        <v>18.899999999999999</v>
      </c>
      <c r="FE28" s="17">
        <v>6.5</v>
      </c>
      <c r="FF28" s="17">
        <v>34.5</v>
      </c>
      <c r="FG28" s="17"/>
      <c r="FH28" s="17">
        <v>18.3</v>
      </c>
      <c r="FI28" s="17"/>
      <c r="FJ28" s="17"/>
      <c r="FK28" s="17">
        <v>11.4</v>
      </c>
      <c r="FL28" s="17"/>
      <c r="FM28" s="17">
        <v>7414.6</v>
      </c>
      <c r="FN28" s="15"/>
      <c r="FO28" s="17">
        <v>18.100000000000001</v>
      </c>
      <c r="FP28" s="17">
        <v>3.5870000000000002</v>
      </c>
      <c r="FQ28" s="17">
        <v>10.7</v>
      </c>
      <c r="FR28" s="17">
        <v>9.6</v>
      </c>
      <c r="FS28" s="17">
        <v>26.00149</v>
      </c>
      <c r="FT28" s="17">
        <v>18.944210000000002</v>
      </c>
      <c r="FU28" s="17">
        <v>11.4</v>
      </c>
      <c r="FV28" s="17">
        <v>0</v>
      </c>
      <c r="FW28" s="17">
        <v>98.332700000000003</v>
      </c>
    </row>
    <row r="29" spans="1:179" ht="24" customHeight="1" x14ac:dyDescent="0.3">
      <c r="A29" s="16" t="s">
        <v>67</v>
      </c>
      <c r="B29" s="16" t="s">
        <v>826</v>
      </c>
      <c r="C29" s="17">
        <v>104.3</v>
      </c>
      <c r="D29" s="17">
        <v>599.29999999999995</v>
      </c>
      <c r="E29" s="17">
        <v>203.1</v>
      </c>
      <c r="F29" s="17">
        <v>0</v>
      </c>
      <c r="G29" s="17">
        <v>0</v>
      </c>
      <c r="H29" s="17">
        <v>80.099999999999994</v>
      </c>
      <c r="I29" s="17">
        <v>121.9</v>
      </c>
      <c r="J29" s="17"/>
      <c r="K29" s="17">
        <v>0</v>
      </c>
      <c r="L29" s="17">
        <v>179.2</v>
      </c>
      <c r="M29" s="17">
        <v>0</v>
      </c>
      <c r="N29" s="17">
        <v>202.9</v>
      </c>
      <c r="O29" s="17">
        <v>189.5</v>
      </c>
      <c r="P29" s="17">
        <v>204.2</v>
      </c>
      <c r="Q29" s="17">
        <v>105.6</v>
      </c>
      <c r="R29" s="17">
        <v>502.4</v>
      </c>
      <c r="S29" s="17"/>
      <c r="T29" s="17"/>
      <c r="U29" s="17"/>
      <c r="V29" s="17"/>
      <c r="W29" s="17">
        <v>163.30000000000001</v>
      </c>
      <c r="X29" s="17">
        <v>7.1</v>
      </c>
      <c r="Y29" s="17">
        <v>5.4</v>
      </c>
      <c r="Z29" s="17">
        <v>0</v>
      </c>
      <c r="AA29" s="17">
        <v>6.8</v>
      </c>
      <c r="AB29" s="17">
        <v>61.6</v>
      </c>
      <c r="AC29" s="17"/>
      <c r="AD29" s="17"/>
      <c r="AE29" s="17"/>
      <c r="AF29" s="17"/>
      <c r="AG29" s="17">
        <v>93.4</v>
      </c>
      <c r="AH29" s="17">
        <v>132.69999999999999</v>
      </c>
      <c r="AI29" s="17"/>
      <c r="AJ29" s="17">
        <v>0</v>
      </c>
      <c r="AK29" s="17"/>
      <c r="AL29" s="17">
        <v>6.5</v>
      </c>
      <c r="AM29" s="17">
        <v>229.3</v>
      </c>
      <c r="AN29" s="17">
        <v>66.400000000000006</v>
      </c>
      <c r="AO29" s="17">
        <v>66.400000000000006</v>
      </c>
      <c r="AP29" s="17">
        <v>40.9</v>
      </c>
      <c r="AQ29" s="17">
        <v>18.600000000000001</v>
      </c>
      <c r="AR29" s="17">
        <v>18.8</v>
      </c>
      <c r="AS29" s="17">
        <v>91.4</v>
      </c>
      <c r="AT29" s="17">
        <v>174.8</v>
      </c>
      <c r="AU29" s="17">
        <v>176</v>
      </c>
      <c r="AV29" s="17">
        <v>182.4</v>
      </c>
      <c r="AW29" s="17">
        <v>106.9</v>
      </c>
      <c r="AX29" s="17">
        <v>24</v>
      </c>
      <c r="AY29" s="17">
        <v>41.5</v>
      </c>
      <c r="AZ29" s="17">
        <v>3.6</v>
      </c>
      <c r="BA29" s="17">
        <v>12.6</v>
      </c>
      <c r="BB29" s="17">
        <v>93</v>
      </c>
      <c r="BC29" s="17"/>
      <c r="BD29" s="17"/>
      <c r="BE29" s="17">
        <v>0</v>
      </c>
      <c r="BF29" s="17">
        <v>0</v>
      </c>
      <c r="BG29" s="17"/>
      <c r="BH29" s="17">
        <v>45.2</v>
      </c>
      <c r="BI29" s="17"/>
      <c r="BJ29" s="17"/>
      <c r="BK29" s="17"/>
      <c r="BL29" s="17">
        <v>124.1</v>
      </c>
      <c r="BM29" s="17">
        <v>168.8</v>
      </c>
      <c r="BN29" s="17">
        <v>166.4</v>
      </c>
      <c r="BO29" s="17">
        <v>171.4</v>
      </c>
      <c r="BP29" s="17">
        <v>256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2.9</v>
      </c>
      <c r="BZ29" s="17">
        <v>106.8</v>
      </c>
      <c r="CA29" s="17">
        <v>114.6</v>
      </c>
      <c r="CB29" s="17">
        <v>65.7</v>
      </c>
      <c r="CC29" s="17">
        <v>65.900000000000006</v>
      </c>
      <c r="CD29" s="17">
        <v>29.8</v>
      </c>
      <c r="CE29" s="17">
        <v>0</v>
      </c>
      <c r="CF29" s="17"/>
      <c r="CG29" s="17"/>
      <c r="CH29" s="17">
        <v>141.4</v>
      </c>
      <c r="CI29" s="17">
        <v>144.1</v>
      </c>
      <c r="CJ29" s="17">
        <v>147.30000000000001</v>
      </c>
      <c r="CK29" s="17">
        <v>0</v>
      </c>
      <c r="CL29" s="17"/>
      <c r="CM29" s="17"/>
      <c r="CN29" s="17"/>
      <c r="CO29" s="17"/>
      <c r="CP29" s="17">
        <v>207</v>
      </c>
      <c r="CQ29" s="17">
        <v>100.2</v>
      </c>
      <c r="CR29" s="17">
        <v>7.8</v>
      </c>
      <c r="CS29" s="17">
        <v>3.6</v>
      </c>
      <c r="CT29" s="17">
        <v>11</v>
      </c>
      <c r="CU29" s="17">
        <v>1</v>
      </c>
      <c r="CV29" s="17">
        <v>20</v>
      </c>
      <c r="CW29" s="17">
        <v>66.5</v>
      </c>
      <c r="CX29" s="17">
        <v>12.3</v>
      </c>
      <c r="CY29" s="17">
        <v>0.3</v>
      </c>
      <c r="CZ29" s="17">
        <v>15.7</v>
      </c>
      <c r="DA29" s="17">
        <v>9.9</v>
      </c>
      <c r="DB29" s="17">
        <v>5.4</v>
      </c>
      <c r="DC29" s="17">
        <v>164.4</v>
      </c>
      <c r="DD29" s="17">
        <v>83.8</v>
      </c>
      <c r="DE29" s="17">
        <v>1.3</v>
      </c>
      <c r="DF29" s="17">
        <v>2.1</v>
      </c>
      <c r="DG29" s="17">
        <v>2.5</v>
      </c>
      <c r="DH29" s="17">
        <v>20.2</v>
      </c>
      <c r="DI29" s="17">
        <v>10</v>
      </c>
      <c r="DJ29" s="17">
        <v>8.3000000000000007</v>
      </c>
      <c r="DK29" s="17"/>
      <c r="DL29" s="17">
        <v>7.5</v>
      </c>
      <c r="DM29" s="17">
        <v>11.9</v>
      </c>
      <c r="DN29" s="17">
        <v>16.2</v>
      </c>
      <c r="DO29" s="17">
        <v>1.7</v>
      </c>
      <c r="DP29" s="17">
        <v>4.3</v>
      </c>
      <c r="DQ29" s="17">
        <v>10.9</v>
      </c>
      <c r="DR29" s="17">
        <v>2.9</v>
      </c>
      <c r="DS29" s="17">
        <v>0</v>
      </c>
      <c r="DT29" s="17">
        <v>1.7</v>
      </c>
      <c r="DU29" s="17"/>
      <c r="DV29" s="17">
        <v>0.3</v>
      </c>
      <c r="DW29" s="17">
        <v>14.3</v>
      </c>
      <c r="DX29" s="17">
        <v>4.5</v>
      </c>
      <c r="DY29" s="17">
        <v>8.3000000000000007</v>
      </c>
      <c r="DZ29" s="17">
        <v>11.4</v>
      </c>
      <c r="EA29" s="17">
        <v>23.5</v>
      </c>
      <c r="EB29" s="17">
        <v>20.9</v>
      </c>
      <c r="EC29" s="17">
        <v>29</v>
      </c>
      <c r="ED29" s="17">
        <v>23.7</v>
      </c>
      <c r="EE29" s="17">
        <v>37.1</v>
      </c>
      <c r="EF29" s="17">
        <v>3.3</v>
      </c>
      <c r="EG29" s="17">
        <v>2.2999999999999998</v>
      </c>
      <c r="EH29" s="17">
        <v>1.3</v>
      </c>
      <c r="EI29" s="17">
        <v>10</v>
      </c>
      <c r="EJ29" s="17">
        <v>3.5</v>
      </c>
      <c r="EK29" s="17">
        <v>4.5</v>
      </c>
      <c r="EL29" s="17">
        <v>8.6</v>
      </c>
      <c r="EM29" s="17">
        <v>9.6</v>
      </c>
      <c r="EN29" s="17">
        <v>9.9</v>
      </c>
      <c r="EO29" s="17">
        <v>15.5</v>
      </c>
      <c r="EP29" s="17">
        <v>204.3</v>
      </c>
      <c r="EQ29" s="17">
        <v>13.2</v>
      </c>
      <c r="ER29" s="17">
        <v>113.2</v>
      </c>
      <c r="ES29" s="17">
        <v>0.6</v>
      </c>
      <c r="ET29" s="17">
        <v>2</v>
      </c>
      <c r="EU29" s="17">
        <v>4.4000000000000004</v>
      </c>
      <c r="EV29" s="17">
        <v>83.8</v>
      </c>
      <c r="EW29" s="17"/>
      <c r="EX29" s="17">
        <v>2</v>
      </c>
      <c r="EY29" s="17"/>
      <c r="EZ29" s="17"/>
      <c r="FA29" s="17">
        <v>12.3</v>
      </c>
      <c r="FB29" s="17">
        <v>10</v>
      </c>
      <c r="FC29" s="17">
        <v>19.7</v>
      </c>
      <c r="FD29" s="17">
        <v>19</v>
      </c>
      <c r="FE29" s="17">
        <v>7.6</v>
      </c>
      <c r="FF29" s="17">
        <v>34.1</v>
      </c>
      <c r="FG29" s="17"/>
      <c r="FH29" s="17">
        <v>18</v>
      </c>
      <c r="FI29" s="17"/>
      <c r="FJ29" s="17"/>
      <c r="FK29" s="17">
        <v>11.4</v>
      </c>
      <c r="FL29" s="17"/>
      <c r="FM29" s="17">
        <v>7673.8</v>
      </c>
      <c r="FN29" s="15"/>
      <c r="FO29" s="17">
        <v>18.100000000000001</v>
      </c>
      <c r="FP29" s="17">
        <v>3.6989999999999998</v>
      </c>
      <c r="FQ29" s="17">
        <v>10.7</v>
      </c>
      <c r="FR29" s="17">
        <v>9.6</v>
      </c>
      <c r="FS29" s="17">
        <v>25.90981</v>
      </c>
      <c r="FT29" s="17">
        <v>18.945440000000001</v>
      </c>
      <c r="FU29" s="17">
        <v>11.5</v>
      </c>
      <c r="FV29" s="17">
        <v>0</v>
      </c>
      <c r="FW29" s="17">
        <v>98.454250000000002</v>
      </c>
    </row>
    <row r="30" spans="1:179" ht="24" customHeight="1" x14ac:dyDescent="0.3">
      <c r="A30" s="16" t="s">
        <v>67</v>
      </c>
      <c r="B30" s="16" t="s">
        <v>827</v>
      </c>
      <c r="C30" s="17">
        <v>104.2</v>
      </c>
      <c r="D30" s="17">
        <v>594.1</v>
      </c>
      <c r="E30" s="17">
        <v>199.8</v>
      </c>
      <c r="F30" s="17">
        <v>0</v>
      </c>
      <c r="G30" s="17">
        <v>0</v>
      </c>
      <c r="H30" s="17">
        <v>83.6</v>
      </c>
      <c r="I30" s="17">
        <v>146</v>
      </c>
      <c r="J30" s="17"/>
      <c r="K30" s="17">
        <v>0</v>
      </c>
      <c r="L30" s="17">
        <v>179.2</v>
      </c>
      <c r="M30" s="17">
        <v>0</v>
      </c>
      <c r="N30" s="17">
        <v>202.1</v>
      </c>
      <c r="O30" s="17">
        <v>189.6</v>
      </c>
      <c r="P30" s="17">
        <v>205</v>
      </c>
      <c r="Q30" s="17">
        <v>105.8</v>
      </c>
      <c r="R30" s="17">
        <v>496.4</v>
      </c>
      <c r="S30" s="17"/>
      <c r="T30" s="17"/>
      <c r="U30" s="17"/>
      <c r="V30" s="17"/>
      <c r="W30" s="17">
        <v>161.19999999999999</v>
      </c>
      <c r="X30" s="17">
        <v>6.7</v>
      </c>
      <c r="Y30" s="17">
        <v>5.2</v>
      </c>
      <c r="Z30" s="17">
        <v>0</v>
      </c>
      <c r="AA30" s="17">
        <v>6.7</v>
      </c>
      <c r="AB30" s="17">
        <v>59.1</v>
      </c>
      <c r="AC30" s="17"/>
      <c r="AD30" s="17"/>
      <c r="AE30" s="17"/>
      <c r="AF30" s="17"/>
      <c r="AG30" s="17">
        <v>92.2</v>
      </c>
      <c r="AH30" s="17">
        <v>132</v>
      </c>
      <c r="AI30" s="17"/>
      <c r="AJ30" s="17">
        <v>0</v>
      </c>
      <c r="AK30" s="17"/>
      <c r="AL30" s="17">
        <v>6.5</v>
      </c>
      <c r="AM30" s="17">
        <v>227.9</v>
      </c>
      <c r="AN30" s="17">
        <v>64.7</v>
      </c>
      <c r="AO30" s="17">
        <v>73.400000000000006</v>
      </c>
      <c r="AP30" s="17">
        <v>40.200000000000003</v>
      </c>
      <c r="AQ30" s="17">
        <v>18.600000000000001</v>
      </c>
      <c r="AR30" s="17">
        <v>18.8</v>
      </c>
      <c r="AS30" s="17">
        <v>89.1</v>
      </c>
      <c r="AT30" s="17">
        <v>173.2</v>
      </c>
      <c r="AU30" s="17">
        <v>173.5</v>
      </c>
      <c r="AV30" s="17">
        <v>181.6</v>
      </c>
      <c r="AW30" s="17">
        <v>107.6</v>
      </c>
      <c r="AX30" s="17">
        <v>19.7</v>
      </c>
      <c r="AY30" s="17">
        <v>41.1</v>
      </c>
      <c r="AZ30" s="17">
        <v>3.6</v>
      </c>
      <c r="BA30" s="17">
        <v>12.5</v>
      </c>
      <c r="BB30" s="17">
        <v>151.6</v>
      </c>
      <c r="BC30" s="17"/>
      <c r="BD30" s="17"/>
      <c r="BE30" s="17">
        <v>0</v>
      </c>
      <c r="BF30" s="17">
        <v>0</v>
      </c>
      <c r="BG30" s="17"/>
      <c r="BH30" s="17">
        <v>45.3</v>
      </c>
      <c r="BI30" s="17"/>
      <c r="BJ30" s="17"/>
      <c r="BK30" s="17"/>
      <c r="BL30" s="17">
        <v>122.6</v>
      </c>
      <c r="BM30" s="17">
        <v>154.4</v>
      </c>
      <c r="BN30" s="17">
        <v>154.5</v>
      </c>
      <c r="BO30" s="17">
        <v>154.9</v>
      </c>
      <c r="BP30" s="17">
        <v>241.3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2.9</v>
      </c>
      <c r="BZ30" s="17">
        <v>94.2</v>
      </c>
      <c r="CA30" s="17">
        <v>108.5</v>
      </c>
      <c r="CB30" s="17">
        <v>64.3</v>
      </c>
      <c r="CC30" s="17">
        <v>65</v>
      </c>
      <c r="CD30" s="17">
        <v>29.4</v>
      </c>
      <c r="CE30" s="17">
        <v>0</v>
      </c>
      <c r="CF30" s="17"/>
      <c r="CG30" s="17"/>
      <c r="CH30" s="17">
        <v>141.80000000000001</v>
      </c>
      <c r="CI30" s="17">
        <v>144.6</v>
      </c>
      <c r="CJ30" s="17">
        <v>146.9</v>
      </c>
      <c r="CK30" s="17">
        <v>0</v>
      </c>
      <c r="CL30" s="17"/>
      <c r="CM30" s="17"/>
      <c r="CN30" s="17"/>
      <c r="CO30" s="17"/>
      <c r="CP30" s="17">
        <v>206.9</v>
      </c>
      <c r="CQ30" s="17">
        <v>99.3</v>
      </c>
      <c r="CR30" s="17">
        <v>7.8</v>
      </c>
      <c r="CS30" s="17">
        <v>3.6</v>
      </c>
      <c r="CT30" s="17">
        <v>10.7</v>
      </c>
      <c r="CU30" s="17">
        <v>1</v>
      </c>
      <c r="CV30" s="17">
        <v>21.2</v>
      </c>
      <c r="CW30" s="17">
        <v>67.2</v>
      </c>
      <c r="CX30" s="17">
        <v>13</v>
      </c>
      <c r="CY30" s="17">
        <v>0.3</v>
      </c>
      <c r="CZ30" s="17">
        <v>15.6</v>
      </c>
      <c r="DA30" s="17">
        <v>10</v>
      </c>
      <c r="DB30" s="17">
        <v>5.5</v>
      </c>
      <c r="DC30" s="17">
        <v>163.80000000000001</v>
      </c>
      <c r="DD30" s="17">
        <v>83.7</v>
      </c>
      <c r="DE30" s="17">
        <v>1.3</v>
      </c>
      <c r="DF30" s="17">
        <v>2.1</v>
      </c>
      <c r="DG30" s="17">
        <v>2.6</v>
      </c>
      <c r="DH30" s="17">
        <v>19.899999999999999</v>
      </c>
      <c r="DI30" s="17">
        <v>9.9</v>
      </c>
      <c r="DJ30" s="17">
        <v>8.3000000000000007</v>
      </c>
      <c r="DK30" s="17"/>
      <c r="DL30" s="17">
        <v>7.5</v>
      </c>
      <c r="DM30" s="17">
        <v>13</v>
      </c>
      <c r="DN30" s="17">
        <v>16.3</v>
      </c>
      <c r="DO30" s="17">
        <v>5.0999999999999996</v>
      </c>
      <c r="DP30" s="17">
        <v>7.7</v>
      </c>
      <c r="DQ30" s="17">
        <v>15</v>
      </c>
      <c r="DR30" s="17">
        <v>2.8</v>
      </c>
      <c r="DS30" s="17">
        <v>0</v>
      </c>
      <c r="DT30" s="17">
        <v>1.7</v>
      </c>
      <c r="DU30" s="17"/>
      <c r="DV30" s="17">
        <v>0.3</v>
      </c>
      <c r="DW30" s="17">
        <v>14.3</v>
      </c>
      <c r="DX30" s="17">
        <v>4.5999999999999996</v>
      </c>
      <c r="DY30" s="17">
        <v>8.1999999999999993</v>
      </c>
      <c r="DZ30" s="17">
        <v>11.3</v>
      </c>
      <c r="EA30" s="17">
        <v>21.4</v>
      </c>
      <c r="EB30" s="17">
        <v>26.6</v>
      </c>
      <c r="EC30" s="17">
        <v>28.9</v>
      </c>
      <c r="ED30" s="17">
        <v>28.7</v>
      </c>
      <c r="EE30" s="17">
        <v>43.5</v>
      </c>
      <c r="EF30" s="17">
        <v>4.3</v>
      </c>
      <c r="EG30" s="17">
        <v>3.1</v>
      </c>
      <c r="EH30" s="17">
        <v>1.2</v>
      </c>
      <c r="EI30" s="17">
        <v>10</v>
      </c>
      <c r="EJ30" s="17">
        <v>3.3</v>
      </c>
      <c r="EK30" s="17">
        <v>4.5</v>
      </c>
      <c r="EL30" s="17">
        <v>8.6</v>
      </c>
      <c r="EM30" s="17">
        <v>9.6</v>
      </c>
      <c r="EN30" s="17">
        <v>9.9</v>
      </c>
      <c r="EO30" s="17">
        <v>15.6</v>
      </c>
      <c r="EP30" s="17">
        <v>204.2</v>
      </c>
      <c r="EQ30" s="17">
        <v>14.3</v>
      </c>
      <c r="ER30" s="17">
        <v>112.5</v>
      </c>
      <c r="ES30" s="17">
        <v>0.6</v>
      </c>
      <c r="ET30" s="17">
        <v>0</v>
      </c>
      <c r="EU30" s="17">
        <v>2.7</v>
      </c>
      <c r="EV30" s="17">
        <v>83.9</v>
      </c>
      <c r="EW30" s="17"/>
      <c r="EX30" s="17">
        <v>2</v>
      </c>
      <c r="EY30" s="17"/>
      <c r="EZ30" s="17"/>
      <c r="FA30" s="17">
        <v>13.7</v>
      </c>
      <c r="FB30" s="17">
        <v>9.9</v>
      </c>
      <c r="FC30" s="17">
        <v>19.600000000000001</v>
      </c>
      <c r="FD30" s="17">
        <v>18.899999999999999</v>
      </c>
      <c r="FE30" s="17">
        <v>9.9</v>
      </c>
      <c r="FF30" s="17">
        <v>34</v>
      </c>
      <c r="FG30" s="17"/>
      <c r="FH30" s="17">
        <v>18</v>
      </c>
      <c r="FI30" s="17"/>
      <c r="FJ30" s="17"/>
      <c r="FK30" s="17">
        <v>11.4</v>
      </c>
      <c r="FL30" s="17"/>
      <c r="FM30" s="17">
        <v>7679.4</v>
      </c>
      <c r="FN30" s="15"/>
      <c r="FO30" s="17">
        <v>18.100000000000001</v>
      </c>
      <c r="FP30" s="17">
        <v>3.6880000000000002</v>
      </c>
      <c r="FQ30" s="17">
        <v>10.7</v>
      </c>
      <c r="FR30" s="17">
        <v>9.6</v>
      </c>
      <c r="FS30" s="17">
        <v>25.708829999999999</v>
      </c>
      <c r="FT30" s="17">
        <v>18.94679</v>
      </c>
      <c r="FU30" s="17">
        <v>11.7</v>
      </c>
      <c r="FV30" s="17">
        <v>0</v>
      </c>
      <c r="FW30" s="17">
        <v>98.443619999999996</v>
      </c>
    </row>
    <row r="31" spans="1:179" ht="24" customHeight="1" x14ac:dyDescent="0.3">
      <c r="A31" s="16" t="s">
        <v>67</v>
      </c>
      <c r="B31" s="16" t="s">
        <v>828</v>
      </c>
      <c r="C31" s="17">
        <v>104.3</v>
      </c>
      <c r="D31" s="17">
        <v>600.9</v>
      </c>
      <c r="E31" s="17">
        <v>204.5</v>
      </c>
      <c r="F31" s="17">
        <v>0</v>
      </c>
      <c r="G31" s="17">
        <v>0</v>
      </c>
      <c r="H31" s="17">
        <v>84.8</v>
      </c>
      <c r="I31" s="17">
        <v>155.69999999999999</v>
      </c>
      <c r="J31" s="17"/>
      <c r="K31" s="17">
        <v>0</v>
      </c>
      <c r="L31" s="17">
        <v>177.9</v>
      </c>
      <c r="M31" s="17">
        <v>0</v>
      </c>
      <c r="N31" s="17">
        <v>201.2</v>
      </c>
      <c r="O31" s="17">
        <v>188.8</v>
      </c>
      <c r="P31" s="17">
        <v>203.6</v>
      </c>
      <c r="Q31" s="17">
        <v>105.2</v>
      </c>
      <c r="R31" s="17">
        <v>495.8</v>
      </c>
      <c r="S31" s="17"/>
      <c r="T31" s="17"/>
      <c r="U31" s="17"/>
      <c r="V31" s="17"/>
      <c r="W31" s="17">
        <v>164.9</v>
      </c>
      <c r="X31" s="17">
        <v>7.5</v>
      </c>
      <c r="Y31" s="17">
        <v>5.4</v>
      </c>
      <c r="Z31" s="17">
        <v>0</v>
      </c>
      <c r="AA31" s="17">
        <v>6.7</v>
      </c>
      <c r="AB31" s="17">
        <v>62</v>
      </c>
      <c r="AC31" s="17"/>
      <c r="AD31" s="17"/>
      <c r="AE31" s="17"/>
      <c r="AF31" s="17"/>
      <c r="AG31" s="17">
        <v>94.3</v>
      </c>
      <c r="AH31" s="17">
        <v>148.4</v>
      </c>
      <c r="AI31" s="17"/>
      <c r="AJ31" s="17">
        <v>0</v>
      </c>
      <c r="AK31" s="17"/>
      <c r="AL31" s="17">
        <v>6.5</v>
      </c>
      <c r="AM31" s="17">
        <v>228.7</v>
      </c>
      <c r="AN31" s="17">
        <v>65.900000000000006</v>
      </c>
      <c r="AO31" s="17">
        <v>129.30000000000001</v>
      </c>
      <c r="AP31" s="17">
        <v>38.1</v>
      </c>
      <c r="AQ31" s="17">
        <v>18.600000000000001</v>
      </c>
      <c r="AR31" s="17">
        <v>18.8</v>
      </c>
      <c r="AS31" s="17">
        <v>91.5</v>
      </c>
      <c r="AT31" s="17">
        <v>177.9</v>
      </c>
      <c r="AU31" s="17">
        <v>177.9</v>
      </c>
      <c r="AV31" s="17">
        <v>181.8</v>
      </c>
      <c r="AW31" s="17">
        <v>107.8</v>
      </c>
      <c r="AX31" s="17">
        <v>18.2</v>
      </c>
      <c r="AY31" s="17">
        <v>41.9</v>
      </c>
      <c r="AZ31" s="17">
        <v>3.6</v>
      </c>
      <c r="BA31" s="17">
        <v>12.7</v>
      </c>
      <c r="BB31" s="17">
        <v>152.5</v>
      </c>
      <c r="BC31" s="17"/>
      <c r="BD31" s="17"/>
      <c r="BE31" s="17">
        <v>0</v>
      </c>
      <c r="BF31" s="17">
        <v>0</v>
      </c>
      <c r="BG31" s="17"/>
      <c r="BH31" s="17">
        <v>44.7</v>
      </c>
      <c r="BI31" s="17"/>
      <c r="BJ31" s="17"/>
      <c r="BK31" s="17"/>
      <c r="BL31" s="17">
        <v>124.9</v>
      </c>
      <c r="BM31" s="17">
        <v>140.4</v>
      </c>
      <c r="BN31" s="17">
        <v>140.5</v>
      </c>
      <c r="BO31" s="17">
        <v>140</v>
      </c>
      <c r="BP31" s="17">
        <v>226.5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2.9</v>
      </c>
      <c r="BZ31" s="17">
        <v>120.5</v>
      </c>
      <c r="CA31" s="17">
        <v>111.1</v>
      </c>
      <c r="CB31" s="17">
        <v>66</v>
      </c>
      <c r="CC31" s="17">
        <v>66.099999999999994</v>
      </c>
      <c r="CD31" s="17">
        <v>30.2</v>
      </c>
      <c r="CE31" s="17">
        <v>0</v>
      </c>
      <c r="CF31" s="17"/>
      <c r="CG31" s="17"/>
      <c r="CH31" s="17">
        <v>140.80000000000001</v>
      </c>
      <c r="CI31" s="17">
        <v>143.69999999999999</v>
      </c>
      <c r="CJ31" s="17">
        <v>146.80000000000001</v>
      </c>
      <c r="CK31" s="17">
        <v>0</v>
      </c>
      <c r="CL31" s="17"/>
      <c r="CM31" s="17"/>
      <c r="CN31" s="17"/>
      <c r="CO31" s="17"/>
      <c r="CP31" s="17">
        <v>206.5</v>
      </c>
      <c r="CQ31" s="17">
        <v>97.2</v>
      </c>
      <c r="CR31" s="17">
        <v>7.8</v>
      </c>
      <c r="CS31" s="17">
        <v>3.6</v>
      </c>
      <c r="CT31" s="17">
        <v>11</v>
      </c>
      <c r="CU31" s="17">
        <v>1.1000000000000001</v>
      </c>
      <c r="CV31" s="17">
        <v>31.5</v>
      </c>
      <c r="CW31" s="17">
        <v>67</v>
      </c>
      <c r="CX31" s="17">
        <v>13</v>
      </c>
      <c r="CY31" s="17">
        <v>0.3</v>
      </c>
      <c r="CZ31" s="17">
        <v>15.8</v>
      </c>
      <c r="DA31" s="17">
        <v>9.9</v>
      </c>
      <c r="DB31" s="17">
        <v>5.3</v>
      </c>
      <c r="DC31" s="17">
        <v>163.80000000000001</v>
      </c>
      <c r="DD31" s="17">
        <v>83.7</v>
      </c>
      <c r="DE31" s="17">
        <v>1.3</v>
      </c>
      <c r="DF31" s="17">
        <v>2.1</v>
      </c>
      <c r="DG31" s="17">
        <v>2.6</v>
      </c>
      <c r="DH31" s="17">
        <v>20.5</v>
      </c>
      <c r="DI31" s="17">
        <v>9.9</v>
      </c>
      <c r="DJ31" s="17">
        <v>8.3000000000000007</v>
      </c>
      <c r="DK31" s="17"/>
      <c r="DL31" s="17">
        <v>7.5</v>
      </c>
      <c r="DM31" s="17">
        <v>12.7</v>
      </c>
      <c r="DN31" s="17">
        <v>16</v>
      </c>
      <c r="DO31" s="17">
        <v>8.6</v>
      </c>
      <c r="DP31" s="17">
        <v>14</v>
      </c>
      <c r="DQ31" s="17">
        <v>15.1</v>
      </c>
      <c r="DR31" s="17">
        <v>2.8</v>
      </c>
      <c r="DS31" s="17">
        <v>0</v>
      </c>
      <c r="DT31" s="17">
        <v>1.7</v>
      </c>
      <c r="DU31" s="17"/>
      <c r="DV31" s="17">
        <v>0.3</v>
      </c>
      <c r="DW31" s="17">
        <v>14.4</v>
      </c>
      <c r="DX31" s="17">
        <v>4.8</v>
      </c>
      <c r="DY31" s="17">
        <v>8.3000000000000007</v>
      </c>
      <c r="DZ31" s="17">
        <v>11.7</v>
      </c>
      <c r="EA31" s="17">
        <v>20.2</v>
      </c>
      <c r="EB31" s="17">
        <v>32.4</v>
      </c>
      <c r="EC31" s="17">
        <v>28.6</v>
      </c>
      <c r="ED31" s="17">
        <v>22.4</v>
      </c>
      <c r="EE31" s="17">
        <v>34.4</v>
      </c>
      <c r="EF31" s="17">
        <v>4.7</v>
      </c>
      <c r="EG31" s="17">
        <v>2.7</v>
      </c>
      <c r="EH31" s="17">
        <v>1.2</v>
      </c>
      <c r="EI31" s="17">
        <v>10</v>
      </c>
      <c r="EJ31" s="17">
        <v>3.3</v>
      </c>
      <c r="EK31" s="17">
        <v>4.5</v>
      </c>
      <c r="EL31" s="17">
        <v>8.6</v>
      </c>
      <c r="EM31" s="17">
        <v>9.6</v>
      </c>
      <c r="EN31" s="17">
        <v>9.9</v>
      </c>
      <c r="EO31" s="17">
        <v>15.6</v>
      </c>
      <c r="EP31" s="17">
        <v>203</v>
      </c>
      <c r="EQ31" s="17">
        <v>15.1</v>
      </c>
      <c r="ER31" s="17">
        <v>112</v>
      </c>
      <c r="ES31" s="17">
        <v>0.6</v>
      </c>
      <c r="ET31" s="17">
        <v>0</v>
      </c>
      <c r="EU31" s="17">
        <v>1.1000000000000001</v>
      </c>
      <c r="EV31" s="17">
        <v>83.9</v>
      </c>
      <c r="EW31" s="17"/>
      <c r="EX31" s="17">
        <v>2</v>
      </c>
      <c r="EY31" s="17"/>
      <c r="EZ31" s="17"/>
      <c r="FA31" s="17">
        <v>14.6</v>
      </c>
      <c r="FB31" s="17">
        <v>10</v>
      </c>
      <c r="FC31" s="17">
        <v>19.600000000000001</v>
      </c>
      <c r="FD31" s="17">
        <v>18.899999999999999</v>
      </c>
      <c r="FE31" s="17">
        <v>9.9</v>
      </c>
      <c r="FF31" s="17">
        <v>34.200000000000003</v>
      </c>
      <c r="FG31" s="17"/>
      <c r="FH31" s="17">
        <v>18.100000000000001</v>
      </c>
      <c r="FI31" s="17"/>
      <c r="FJ31" s="17"/>
      <c r="FK31" s="17">
        <v>11.1</v>
      </c>
      <c r="FL31" s="17"/>
      <c r="FM31" s="17">
        <v>7771</v>
      </c>
      <c r="FN31" s="15"/>
      <c r="FO31" s="17">
        <v>18.100000000000001</v>
      </c>
      <c r="FP31" s="17">
        <v>3.5110000000000001</v>
      </c>
      <c r="FQ31" s="17">
        <v>10.7</v>
      </c>
      <c r="FR31" s="17">
        <v>9.6</v>
      </c>
      <c r="FS31" s="17">
        <v>25.496030000000001</v>
      </c>
      <c r="FT31" s="17">
        <v>18.947590000000002</v>
      </c>
      <c r="FU31" s="17">
        <v>11.4</v>
      </c>
      <c r="FV31" s="17">
        <v>0</v>
      </c>
      <c r="FW31" s="17">
        <v>97.754620000000003</v>
      </c>
    </row>
    <row r="32" spans="1:179" ht="24" customHeight="1" x14ac:dyDescent="0.3">
      <c r="A32" s="16" t="s">
        <v>67</v>
      </c>
      <c r="B32" s="16" t="s">
        <v>829</v>
      </c>
      <c r="C32" s="17">
        <v>104.5</v>
      </c>
      <c r="D32" s="17">
        <v>599.5</v>
      </c>
      <c r="E32" s="17">
        <v>203.2</v>
      </c>
      <c r="F32" s="17">
        <v>0</v>
      </c>
      <c r="G32" s="17">
        <v>0</v>
      </c>
      <c r="H32" s="17">
        <v>84.4</v>
      </c>
      <c r="I32" s="17">
        <v>152.4</v>
      </c>
      <c r="J32" s="17"/>
      <c r="K32" s="17">
        <v>0</v>
      </c>
      <c r="L32" s="17">
        <v>177.1</v>
      </c>
      <c r="M32" s="17">
        <v>0</v>
      </c>
      <c r="N32" s="17">
        <v>200</v>
      </c>
      <c r="O32" s="17">
        <v>188.7</v>
      </c>
      <c r="P32" s="17">
        <v>202.9</v>
      </c>
      <c r="Q32" s="17">
        <v>105.1</v>
      </c>
      <c r="R32" s="17">
        <v>499.5</v>
      </c>
      <c r="S32" s="17"/>
      <c r="T32" s="17"/>
      <c r="U32" s="17"/>
      <c r="V32" s="17"/>
      <c r="W32" s="17">
        <v>163.5</v>
      </c>
      <c r="X32" s="17">
        <v>7.7</v>
      </c>
      <c r="Y32" s="17">
        <v>5.4</v>
      </c>
      <c r="Z32" s="17">
        <v>0</v>
      </c>
      <c r="AA32" s="17">
        <v>6.8</v>
      </c>
      <c r="AB32" s="17">
        <v>61.3</v>
      </c>
      <c r="AC32" s="17"/>
      <c r="AD32" s="17"/>
      <c r="AE32" s="17"/>
      <c r="AF32" s="17"/>
      <c r="AG32" s="17">
        <v>93.8</v>
      </c>
      <c r="AH32" s="17">
        <v>154</v>
      </c>
      <c r="AI32" s="17"/>
      <c r="AJ32" s="17">
        <v>0</v>
      </c>
      <c r="AK32" s="17"/>
      <c r="AL32" s="17">
        <v>6.5</v>
      </c>
      <c r="AM32" s="17">
        <v>227.3</v>
      </c>
      <c r="AN32" s="17">
        <v>61</v>
      </c>
      <c r="AO32" s="17">
        <v>142.69999999999999</v>
      </c>
      <c r="AP32" s="17">
        <v>37.700000000000003</v>
      </c>
      <c r="AQ32" s="17">
        <v>18.600000000000001</v>
      </c>
      <c r="AR32" s="17">
        <v>18.8</v>
      </c>
      <c r="AS32" s="17">
        <v>90.7</v>
      </c>
      <c r="AT32" s="17">
        <v>175</v>
      </c>
      <c r="AU32" s="17">
        <v>175.7</v>
      </c>
      <c r="AV32" s="17">
        <v>181.8</v>
      </c>
      <c r="AW32" s="17">
        <v>107.6</v>
      </c>
      <c r="AX32" s="17">
        <v>20.8</v>
      </c>
      <c r="AY32" s="17">
        <v>41.8</v>
      </c>
      <c r="AZ32" s="17">
        <v>3.6</v>
      </c>
      <c r="BA32" s="17">
        <v>12.8</v>
      </c>
      <c r="BB32" s="17">
        <v>153.80000000000001</v>
      </c>
      <c r="BC32" s="17"/>
      <c r="BD32" s="17"/>
      <c r="BE32" s="17">
        <v>0</v>
      </c>
      <c r="BF32" s="17">
        <v>0</v>
      </c>
      <c r="BG32" s="17"/>
      <c r="BH32" s="17">
        <v>44.4</v>
      </c>
      <c r="BI32" s="17"/>
      <c r="BJ32" s="17"/>
      <c r="BK32" s="17"/>
      <c r="BL32" s="17">
        <v>124.1</v>
      </c>
      <c r="BM32" s="17">
        <v>145.9</v>
      </c>
      <c r="BN32" s="17">
        <v>145.80000000000001</v>
      </c>
      <c r="BO32" s="17">
        <v>145</v>
      </c>
      <c r="BP32" s="17">
        <v>226.5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2.9</v>
      </c>
      <c r="BZ32" s="17">
        <v>126.8</v>
      </c>
      <c r="CA32" s="17">
        <v>112.5</v>
      </c>
      <c r="CB32" s="17">
        <v>65.7</v>
      </c>
      <c r="CC32" s="17">
        <v>65.900000000000006</v>
      </c>
      <c r="CD32" s="17">
        <v>30</v>
      </c>
      <c r="CE32" s="17">
        <v>0</v>
      </c>
      <c r="CF32" s="17"/>
      <c r="CG32" s="17"/>
      <c r="CH32" s="17">
        <v>140.69999999999999</v>
      </c>
      <c r="CI32" s="17">
        <v>143.1</v>
      </c>
      <c r="CJ32" s="17">
        <v>145.80000000000001</v>
      </c>
      <c r="CK32" s="17">
        <v>0</v>
      </c>
      <c r="CL32" s="17"/>
      <c r="CM32" s="17"/>
      <c r="CN32" s="17"/>
      <c r="CO32" s="17"/>
      <c r="CP32" s="17">
        <v>206.3</v>
      </c>
      <c r="CQ32" s="17">
        <v>99.1</v>
      </c>
      <c r="CR32" s="17">
        <v>7.8</v>
      </c>
      <c r="CS32" s="17">
        <v>3.5</v>
      </c>
      <c r="CT32" s="17">
        <v>10.8</v>
      </c>
      <c r="CU32" s="17">
        <v>1.2</v>
      </c>
      <c r="CV32" s="17">
        <v>30.7</v>
      </c>
      <c r="CW32" s="17">
        <v>66.8</v>
      </c>
      <c r="CX32" s="17">
        <v>13</v>
      </c>
      <c r="CY32" s="17">
        <v>0.1</v>
      </c>
      <c r="CZ32" s="17">
        <v>15.7</v>
      </c>
      <c r="DA32" s="17">
        <v>9.9</v>
      </c>
      <c r="DB32" s="17">
        <v>5.4</v>
      </c>
      <c r="DC32" s="17">
        <v>164.5</v>
      </c>
      <c r="DD32" s="17">
        <v>84</v>
      </c>
      <c r="DE32" s="17">
        <v>1.3</v>
      </c>
      <c r="DF32" s="17">
        <v>2.1</v>
      </c>
      <c r="DG32" s="17">
        <v>2.5</v>
      </c>
      <c r="DH32" s="17">
        <v>20.2</v>
      </c>
      <c r="DI32" s="17">
        <v>9.9</v>
      </c>
      <c r="DJ32" s="17">
        <v>8.3000000000000007</v>
      </c>
      <c r="DK32" s="17"/>
      <c r="DL32" s="17">
        <v>7.5</v>
      </c>
      <c r="DM32" s="17">
        <v>12.2</v>
      </c>
      <c r="DN32" s="17">
        <v>15.3</v>
      </c>
      <c r="DO32" s="17">
        <v>8</v>
      </c>
      <c r="DP32" s="17">
        <v>22.8</v>
      </c>
      <c r="DQ32" s="17">
        <v>15.1</v>
      </c>
      <c r="DR32" s="17">
        <v>2.8</v>
      </c>
      <c r="DS32" s="17">
        <v>0</v>
      </c>
      <c r="DT32" s="17">
        <v>1.7</v>
      </c>
      <c r="DU32" s="17"/>
      <c r="DV32" s="17">
        <v>0.4</v>
      </c>
      <c r="DW32" s="17">
        <v>14.6</v>
      </c>
      <c r="DX32" s="17">
        <v>5.2</v>
      </c>
      <c r="DY32" s="17">
        <v>8.3000000000000007</v>
      </c>
      <c r="DZ32" s="17">
        <v>12.7</v>
      </c>
      <c r="EA32" s="17">
        <v>20.100000000000001</v>
      </c>
      <c r="EB32" s="17">
        <v>29.9</v>
      </c>
      <c r="EC32" s="17">
        <v>28.4</v>
      </c>
      <c r="ED32" s="17">
        <v>26.7</v>
      </c>
      <c r="EE32" s="17">
        <v>33.700000000000003</v>
      </c>
      <c r="EF32" s="17">
        <v>4.3</v>
      </c>
      <c r="EG32" s="17">
        <v>2.4</v>
      </c>
      <c r="EH32" s="17">
        <v>1.1000000000000001</v>
      </c>
      <c r="EI32" s="17">
        <v>10</v>
      </c>
      <c r="EJ32" s="17">
        <v>3.3</v>
      </c>
      <c r="EK32" s="17">
        <v>4.5999999999999996</v>
      </c>
      <c r="EL32" s="17">
        <v>8.6</v>
      </c>
      <c r="EM32" s="17">
        <v>9.6</v>
      </c>
      <c r="EN32" s="17">
        <v>9.9</v>
      </c>
      <c r="EO32" s="17">
        <v>15.6</v>
      </c>
      <c r="EP32" s="17">
        <v>204.1</v>
      </c>
      <c r="EQ32" s="17">
        <v>15.7</v>
      </c>
      <c r="ER32" s="17">
        <v>110.2</v>
      </c>
      <c r="ES32" s="17">
        <v>0.6</v>
      </c>
      <c r="ET32" s="17">
        <v>0.2</v>
      </c>
      <c r="EU32" s="17">
        <v>9.9</v>
      </c>
      <c r="EV32" s="17">
        <v>83</v>
      </c>
      <c r="EW32" s="17"/>
      <c r="EX32" s="17">
        <v>2</v>
      </c>
      <c r="EY32" s="17"/>
      <c r="EZ32" s="17"/>
      <c r="FA32" s="17">
        <v>15.3</v>
      </c>
      <c r="FB32" s="17">
        <v>9.9</v>
      </c>
      <c r="FC32" s="17">
        <v>19.600000000000001</v>
      </c>
      <c r="FD32" s="17">
        <v>18.899999999999999</v>
      </c>
      <c r="FE32" s="17">
        <v>10.4</v>
      </c>
      <c r="FF32" s="17">
        <v>33.799999999999997</v>
      </c>
      <c r="FG32" s="17"/>
      <c r="FH32" s="17">
        <v>18.2</v>
      </c>
      <c r="FI32" s="17"/>
      <c r="FJ32" s="17"/>
      <c r="FK32" s="17">
        <v>11.1</v>
      </c>
      <c r="FL32" s="17"/>
      <c r="FM32" s="17">
        <v>7811.9</v>
      </c>
      <c r="FN32" s="15"/>
      <c r="FO32" s="17">
        <v>18.100000000000001</v>
      </c>
      <c r="FP32" s="17">
        <v>3.52</v>
      </c>
      <c r="FQ32" s="17">
        <v>10.7</v>
      </c>
      <c r="FR32" s="17">
        <v>9.6</v>
      </c>
      <c r="FS32" s="17">
        <v>25.427569999999999</v>
      </c>
      <c r="FT32" s="17">
        <v>18.94829</v>
      </c>
      <c r="FU32" s="17">
        <v>11.5</v>
      </c>
      <c r="FV32" s="17">
        <v>0</v>
      </c>
      <c r="FW32" s="17">
        <v>97.795860000000005</v>
      </c>
    </row>
    <row r="33" spans="1:179" ht="24" customHeight="1" x14ac:dyDescent="0.3">
      <c r="A33" s="16" t="s">
        <v>67</v>
      </c>
      <c r="B33" s="16" t="s">
        <v>830</v>
      </c>
      <c r="C33" s="17">
        <v>104.4</v>
      </c>
      <c r="D33" s="17">
        <v>599.1</v>
      </c>
      <c r="E33" s="17">
        <v>203.2</v>
      </c>
      <c r="F33" s="17">
        <v>0</v>
      </c>
      <c r="G33" s="17">
        <v>0</v>
      </c>
      <c r="H33" s="17">
        <v>85.4</v>
      </c>
      <c r="I33" s="17">
        <v>154</v>
      </c>
      <c r="J33" s="17"/>
      <c r="K33" s="17">
        <v>0</v>
      </c>
      <c r="L33" s="17">
        <v>176.6</v>
      </c>
      <c r="M33" s="17">
        <v>0</v>
      </c>
      <c r="N33" s="17">
        <v>198.5</v>
      </c>
      <c r="O33" s="17">
        <v>189.6</v>
      </c>
      <c r="P33" s="17">
        <v>200.3</v>
      </c>
      <c r="Q33" s="17">
        <v>105</v>
      </c>
      <c r="R33" s="17">
        <v>554.70000000000005</v>
      </c>
      <c r="S33" s="17"/>
      <c r="T33" s="17"/>
      <c r="U33" s="17"/>
      <c r="V33" s="17"/>
      <c r="W33" s="17">
        <v>164.9</v>
      </c>
      <c r="X33" s="17">
        <v>7.8</v>
      </c>
      <c r="Y33" s="17">
        <v>5.4</v>
      </c>
      <c r="Z33" s="17">
        <v>0</v>
      </c>
      <c r="AA33" s="17">
        <v>6.8</v>
      </c>
      <c r="AB33" s="17">
        <v>61.5</v>
      </c>
      <c r="AC33" s="17"/>
      <c r="AD33" s="17"/>
      <c r="AE33" s="17"/>
      <c r="AF33" s="17"/>
      <c r="AG33" s="17">
        <v>94.3</v>
      </c>
      <c r="AH33" s="17">
        <v>153.69999999999999</v>
      </c>
      <c r="AI33" s="17"/>
      <c r="AJ33" s="17">
        <v>0</v>
      </c>
      <c r="AK33" s="17"/>
      <c r="AL33" s="17">
        <v>6.5</v>
      </c>
      <c r="AM33" s="17">
        <v>227.9</v>
      </c>
      <c r="AN33" s="17">
        <v>57.5</v>
      </c>
      <c r="AO33" s="17">
        <v>137.6</v>
      </c>
      <c r="AP33" s="17">
        <v>38.1</v>
      </c>
      <c r="AQ33" s="17">
        <v>18.600000000000001</v>
      </c>
      <c r="AR33" s="17">
        <v>18.8</v>
      </c>
      <c r="AS33" s="17">
        <v>92.7</v>
      </c>
      <c r="AT33" s="17">
        <v>177.9</v>
      </c>
      <c r="AU33" s="17">
        <v>178</v>
      </c>
      <c r="AV33" s="17">
        <v>181.7</v>
      </c>
      <c r="AW33" s="17">
        <v>108</v>
      </c>
      <c r="AX33" s="17">
        <v>18</v>
      </c>
      <c r="AY33" s="17">
        <v>40.5</v>
      </c>
      <c r="AZ33" s="17">
        <v>3.6</v>
      </c>
      <c r="BA33" s="17">
        <v>13</v>
      </c>
      <c r="BB33" s="17">
        <v>119.9</v>
      </c>
      <c r="BC33" s="17"/>
      <c r="BD33" s="17"/>
      <c r="BE33" s="17">
        <v>0</v>
      </c>
      <c r="BF33" s="17">
        <v>40.1</v>
      </c>
      <c r="BG33" s="17"/>
      <c r="BH33" s="17">
        <v>43.8</v>
      </c>
      <c r="BI33" s="17"/>
      <c r="BJ33" s="17"/>
      <c r="BK33" s="17"/>
      <c r="BL33" s="17">
        <v>125</v>
      </c>
      <c r="BM33" s="17">
        <v>140.69999999999999</v>
      </c>
      <c r="BN33" s="17">
        <v>140.5</v>
      </c>
      <c r="BO33" s="17">
        <v>140.5</v>
      </c>
      <c r="BP33" s="17">
        <v>224.7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2.9</v>
      </c>
      <c r="BZ33" s="17">
        <v>104</v>
      </c>
      <c r="CA33" s="17">
        <v>105.5</v>
      </c>
      <c r="CB33" s="17">
        <v>66</v>
      </c>
      <c r="CC33" s="17">
        <v>67</v>
      </c>
      <c r="CD33" s="17">
        <v>30.2</v>
      </c>
      <c r="CE33" s="17">
        <v>0</v>
      </c>
      <c r="CF33" s="17"/>
      <c r="CG33" s="17"/>
      <c r="CH33" s="17">
        <v>140.4</v>
      </c>
      <c r="CI33" s="17">
        <v>142.9</v>
      </c>
      <c r="CJ33" s="17">
        <v>146.69999999999999</v>
      </c>
      <c r="CK33" s="17">
        <v>0</v>
      </c>
      <c r="CL33" s="17"/>
      <c r="CM33" s="17"/>
      <c r="CN33" s="17"/>
      <c r="CO33" s="17"/>
      <c r="CP33" s="17">
        <v>205.2</v>
      </c>
      <c r="CQ33" s="17">
        <v>98.6</v>
      </c>
      <c r="CR33" s="17">
        <v>7.8</v>
      </c>
      <c r="CS33" s="17">
        <v>3.6</v>
      </c>
      <c r="CT33" s="17">
        <v>10.9</v>
      </c>
      <c r="CU33" s="17">
        <v>1.2</v>
      </c>
      <c r="CV33" s="17">
        <v>37.9</v>
      </c>
      <c r="CW33" s="17">
        <v>66.099999999999994</v>
      </c>
      <c r="CX33" s="17">
        <v>12</v>
      </c>
      <c r="CY33" s="17">
        <v>0.4</v>
      </c>
      <c r="CZ33" s="17">
        <v>15.8</v>
      </c>
      <c r="DA33" s="17">
        <v>9.9</v>
      </c>
      <c r="DB33" s="17">
        <v>5.4</v>
      </c>
      <c r="DC33" s="17">
        <v>165</v>
      </c>
      <c r="DD33" s="17">
        <v>84.3</v>
      </c>
      <c r="DE33" s="17">
        <v>1.3</v>
      </c>
      <c r="DF33" s="17">
        <v>2.1</v>
      </c>
      <c r="DG33" s="17">
        <v>2.5</v>
      </c>
      <c r="DH33" s="17">
        <v>20.399999999999999</v>
      </c>
      <c r="DI33" s="17">
        <v>9.9</v>
      </c>
      <c r="DJ33" s="17">
        <v>4.5</v>
      </c>
      <c r="DK33" s="17"/>
      <c r="DL33" s="17">
        <v>7.5</v>
      </c>
      <c r="DM33" s="17">
        <v>12.2</v>
      </c>
      <c r="DN33" s="17">
        <v>15.5</v>
      </c>
      <c r="DO33" s="17">
        <v>8.1999999999999993</v>
      </c>
      <c r="DP33" s="17">
        <v>28</v>
      </c>
      <c r="DQ33" s="17">
        <v>15</v>
      </c>
      <c r="DR33" s="17">
        <v>2.8</v>
      </c>
      <c r="DS33" s="17">
        <v>0</v>
      </c>
      <c r="DT33" s="17">
        <v>1.6</v>
      </c>
      <c r="DU33" s="17"/>
      <c r="DV33" s="17">
        <v>0.4</v>
      </c>
      <c r="DW33" s="17">
        <v>14.7</v>
      </c>
      <c r="DX33" s="17">
        <v>5.0999999999999996</v>
      </c>
      <c r="DY33" s="17">
        <v>8.3000000000000007</v>
      </c>
      <c r="DZ33" s="17">
        <v>13.5</v>
      </c>
      <c r="EA33" s="17">
        <v>17.7</v>
      </c>
      <c r="EB33" s="17">
        <v>27.6</v>
      </c>
      <c r="EC33" s="17">
        <v>28.4</v>
      </c>
      <c r="ED33" s="17">
        <v>26.3</v>
      </c>
      <c r="EE33" s="17">
        <v>34.1</v>
      </c>
      <c r="EF33" s="17">
        <v>4.5</v>
      </c>
      <c r="EG33" s="17">
        <v>1.8</v>
      </c>
      <c r="EH33" s="17">
        <v>1.2</v>
      </c>
      <c r="EI33" s="17">
        <v>10</v>
      </c>
      <c r="EJ33" s="17">
        <v>3.3</v>
      </c>
      <c r="EK33" s="17">
        <v>4.5999999999999996</v>
      </c>
      <c r="EL33" s="17">
        <v>8.6</v>
      </c>
      <c r="EM33" s="17">
        <v>9.6</v>
      </c>
      <c r="EN33" s="17">
        <v>9.9</v>
      </c>
      <c r="EO33" s="17">
        <v>15.5</v>
      </c>
      <c r="EP33" s="17">
        <v>205.2</v>
      </c>
      <c r="EQ33" s="17">
        <v>16.2</v>
      </c>
      <c r="ER33" s="17">
        <v>110.4</v>
      </c>
      <c r="ES33" s="17">
        <v>0.6</v>
      </c>
      <c r="ET33" s="17">
        <v>5.8</v>
      </c>
      <c r="EU33" s="17">
        <v>23.4</v>
      </c>
      <c r="EV33" s="17">
        <v>83.3</v>
      </c>
      <c r="EW33" s="17"/>
      <c r="EX33" s="17">
        <v>2</v>
      </c>
      <c r="EY33" s="17"/>
      <c r="EZ33" s="17"/>
      <c r="FA33" s="17">
        <v>15.8</v>
      </c>
      <c r="FB33" s="17">
        <v>10</v>
      </c>
      <c r="FC33" s="17">
        <v>19.600000000000001</v>
      </c>
      <c r="FD33" s="17">
        <v>18.899999999999999</v>
      </c>
      <c r="FE33" s="17">
        <v>10.199999999999999</v>
      </c>
      <c r="FF33" s="17">
        <v>33.799999999999997</v>
      </c>
      <c r="FG33" s="17"/>
      <c r="FH33" s="17">
        <v>18.7</v>
      </c>
      <c r="FI33" s="17"/>
      <c r="FJ33" s="17"/>
      <c r="FK33" s="17">
        <v>11.2</v>
      </c>
      <c r="FL33" s="17"/>
      <c r="FM33" s="17">
        <v>7850.2</v>
      </c>
      <c r="FN33" s="15"/>
      <c r="FO33" s="17">
        <v>18.100000000000001</v>
      </c>
      <c r="FP33" s="17">
        <v>3.786</v>
      </c>
      <c r="FQ33" s="17">
        <v>10.7</v>
      </c>
      <c r="FR33" s="17">
        <v>9.6</v>
      </c>
      <c r="FS33" s="17">
        <v>25.105869999999999</v>
      </c>
      <c r="FT33" s="17">
        <v>18.94821</v>
      </c>
      <c r="FU33" s="17">
        <v>11.4</v>
      </c>
      <c r="FV33" s="17">
        <v>0</v>
      </c>
      <c r="FW33" s="17">
        <v>97.640079999999998</v>
      </c>
    </row>
    <row r="34" spans="1:179" ht="24" customHeight="1" x14ac:dyDescent="0.3">
      <c r="A34" s="18" t="s">
        <v>67</v>
      </c>
      <c r="B34" s="18" t="s">
        <v>831</v>
      </c>
      <c r="C34" s="19">
        <v>104.1</v>
      </c>
      <c r="D34" s="19">
        <v>596.79999999999995</v>
      </c>
      <c r="E34" s="19">
        <v>197.2</v>
      </c>
      <c r="F34" s="19">
        <v>0</v>
      </c>
      <c r="G34" s="19">
        <v>0</v>
      </c>
      <c r="H34" s="19">
        <v>83.7</v>
      </c>
      <c r="I34" s="19">
        <v>152.1</v>
      </c>
      <c r="J34" s="19"/>
      <c r="K34" s="19">
        <v>0</v>
      </c>
      <c r="L34" s="19">
        <v>175.8</v>
      </c>
      <c r="M34" s="19">
        <v>0</v>
      </c>
      <c r="N34" s="19">
        <v>198</v>
      </c>
      <c r="O34" s="19">
        <v>188.9</v>
      </c>
      <c r="P34" s="19">
        <v>200.7</v>
      </c>
      <c r="Q34" s="19">
        <v>104.6</v>
      </c>
      <c r="R34" s="19">
        <v>557.1</v>
      </c>
      <c r="S34" s="19"/>
      <c r="T34" s="19"/>
      <c r="U34" s="19"/>
      <c r="V34" s="19"/>
      <c r="W34" s="19">
        <v>165.5</v>
      </c>
      <c r="X34" s="19">
        <v>7.5</v>
      </c>
      <c r="Y34" s="19">
        <v>5.3</v>
      </c>
      <c r="Z34" s="19">
        <v>0</v>
      </c>
      <c r="AA34" s="19">
        <v>6.8</v>
      </c>
      <c r="AB34" s="19">
        <v>61.1</v>
      </c>
      <c r="AC34" s="19"/>
      <c r="AD34" s="19"/>
      <c r="AE34" s="19"/>
      <c r="AF34" s="19"/>
      <c r="AG34" s="19">
        <v>93.2</v>
      </c>
      <c r="AH34" s="19">
        <v>176.3</v>
      </c>
      <c r="AI34" s="19"/>
      <c r="AJ34" s="19">
        <v>0</v>
      </c>
      <c r="AK34" s="19"/>
      <c r="AL34" s="19">
        <v>6.5</v>
      </c>
      <c r="AM34" s="19">
        <v>227.7</v>
      </c>
      <c r="AN34" s="19">
        <v>57.3</v>
      </c>
      <c r="AO34" s="19">
        <v>141.4</v>
      </c>
      <c r="AP34" s="19">
        <v>37.5</v>
      </c>
      <c r="AQ34" s="19">
        <v>18.600000000000001</v>
      </c>
      <c r="AR34" s="19">
        <v>18.8</v>
      </c>
      <c r="AS34" s="19">
        <v>90.4</v>
      </c>
      <c r="AT34" s="19">
        <v>175.3</v>
      </c>
      <c r="AU34" s="19">
        <v>176</v>
      </c>
      <c r="AV34" s="19">
        <v>181.2</v>
      </c>
      <c r="AW34" s="19">
        <v>107.7</v>
      </c>
      <c r="AX34" s="19">
        <v>17.600000000000001</v>
      </c>
      <c r="AY34" s="19">
        <v>41.7</v>
      </c>
      <c r="AZ34" s="19">
        <v>3.6</v>
      </c>
      <c r="BA34" s="19">
        <v>12.7</v>
      </c>
      <c r="BB34" s="19">
        <v>146.5</v>
      </c>
      <c r="BC34" s="19"/>
      <c r="BD34" s="19"/>
      <c r="BE34" s="19">
        <v>0</v>
      </c>
      <c r="BF34" s="19">
        <v>40</v>
      </c>
      <c r="BG34" s="19"/>
      <c r="BH34" s="19">
        <v>44</v>
      </c>
      <c r="BI34" s="19"/>
      <c r="BJ34" s="19"/>
      <c r="BK34" s="19"/>
      <c r="BL34" s="19">
        <v>124.4</v>
      </c>
      <c r="BM34" s="19">
        <v>144.4</v>
      </c>
      <c r="BN34" s="19">
        <v>144.4</v>
      </c>
      <c r="BO34" s="19">
        <v>144</v>
      </c>
      <c r="BP34" s="19">
        <v>227.3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2.9</v>
      </c>
      <c r="BZ34" s="19">
        <v>113.7</v>
      </c>
      <c r="CA34" s="19">
        <v>109.4</v>
      </c>
      <c r="CB34" s="19">
        <v>65.7</v>
      </c>
      <c r="CC34" s="19">
        <v>66.900000000000006</v>
      </c>
      <c r="CD34" s="19">
        <v>28.3</v>
      </c>
      <c r="CE34" s="19">
        <v>0</v>
      </c>
      <c r="CF34" s="19"/>
      <c r="CG34" s="19"/>
      <c r="CH34" s="19">
        <v>140.30000000000001</v>
      </c>
      <c r="CI34" s="19">
        <v>142.80000000000001</v>
      </c>
      <c r="CJ34" s="19">
        <v>146.1</v>
      </c>
      <c r="CK34" s="19">
        <v>0</v>
      </c>
      <c r="CL34" s="19"/>
      <c r="CM34" s="19"/>
      <c r="CN34" s="19"/>
      <c r="CO34" s="19"/>
      <c r="CP34" s="19">
        <v>204.3</v>
      </c>
      <c r="CQ34" s="19">
        <v>98.2</v>
      </c>
      <c r="CR34" s="19">
        <v>7.8</v>
      </c>
      <c r="CS34" s="19">
        <v>3.6</v>
      </c>
      <c r="CT34" s="19">
        <v>10.7</v>
      </c>
      <c r="CU34" s="19">
        <v>1.2</v>
      </c>
      <c r="CV34" s="19">
        <v>40.1</v>
      </c>
      <c r="CW34" s="19">
        <v>66.8</v>
      </c>
      <c r="CX34" s="19">
        <v>12.9</v>
      </c>
      <c r="CY34" s="19">
        <v>0.5</v>
      </c>
      <c r="CZ34" s="19">
        <v>15.8</v>
      </c>
      <c r="DA34" s="19">
        <v>9.8000000000000007</v>
      </c>
      <c r="DB34" s="19">
        <v>5.4</v>
      </c>
      <c r="DC34" s="19">
        <v>166.2</v>
      </c>
      <c r="DD34" s="19">
        <v>84.7</v>
      </c>
      <c r="DE34" s="19">
        <v>1.3</v>
      </c>
      <c r="DF34" s="19">
        <v>2.1</v>
      </c>
      <c r="DG34" s="19">
        <v>2.5</v>
      </c>
      <c r="DH34" s="19">
        <v>20.100000000000001</v>
      </c>
      <c r="DI34" s="19">
        <v>9.9</v>
      </c>
      <c r="DJ34" s="19">
        <v>4.5</v>
      </c>
      <c r="DK34" s="19"/>
      <c r="DL34" s="19">
        <v>7.5</v>
      </c>
      <c r="DM34" s="19">
        <v>12.2</v>
      </c>
      <c r="DN34" s="19">
        <v>15.6</v>
      </c>
      <c r="DO34" s="19">
        <v>10.5</v>
      </c>
      <c r="DP34" s="19">
        <v>30.4</v>
      </c>
      <c r="DQ34" s="19">
        <v>15.1</v>
      </c>
      <c r="DR34" s="19">
        <v>2.8</v>
      </c>
      <c r="DS34" s="19">
        <v>0</v>
      </c>
      <c r="DT34" s="19">
        <v>1.7</v>
      </c>
      <c r="DU34" s="19"/>
      <c r="DV34" s="19">
        <v>0.4</v>
      </c>
      <c r="DW34" s="19">
        <v>14.6</v>
      </c>
      <c r="DX34" s="19">
        <v>4.8</v>
      </c>
      <c r="DY34" s="19">
        <v>8.3000000000000007</v>
      </c>
      <c r="DZ34" s="19">
        <v>12.9</v>
      </c>
      <c r="EA34" s="19">
        <v>15.4</v>
      </c>
      <c r="EB34" s="19">
        <v>26.5</v>
      </c>
      <c r="EC34" s="19">
        <v>29.1</v>
      </c>
      <c r="ED34" s="19">
        <v>26.5</v>
      </c>
      <c r="EE34" s="19">
        <v>34.700000000000003</v>
      </c>
      <c r="EF34" s="19">
        <v>3.9</v>
      </c>
      <c r="EG34" s="19">
        <v>2.4</v>
      </c>
      <c r="EH34" s="19">
        <v>0.2</v>
      </c>
      <c r="EI34" s="19">
        <v>10</v>
      </c>
      <c r="EJ34" s="19">
        <v>3.3</v>
      </c>
      <c r="EK34" s="19">
        <v>4.5999999999999996</v>
      </c>
      <c r="EL34" s="19">
        <v>8.6</v>
      </c>
      <c r="EM34" s="19">
        <v>9.6</v>
      </c>
      <c r="EN34" s="19">
        <v>9.9</v>
      </c>
      <c r="EO34" s="19">
        <v>15.2</v>
      </c>
      <c r="EP34" s="19">
        <v>207.8</v>
      </c>
      <c r="EQ34" s="19">
        <v>16.7</v>
      </c>
      <c r="ER34" s="19">
        <v>111.2</v>
      </c>
      <c r="ES34" s="19">
        <v>0.6</v>
      </c>
      <c r="ET34" s="19">
        <v>9.3000000000000007</v>
      </c>
      <c r="EU34" s="19">
        <v>51.5</v>
      </c>
      <c r="EV34" s="19">
        <v>83.8</v>
      </c>
      <c r="EW34" s="19"/>
      <c r="EX34" s="19">
        <v>2</v>
      </c>
      <c r="EY34" s="19"/>
      <c r="EZ34" s="19"/>
      <c r="FA34" s="19">
        <v>15.9</v>
      </c>
      <c r="FB34" s="19">
        <v>10</v>
      </c>
      <c r="FC34" s="19">
        <v>19.600000000000001</v>
      </c>
      <c r="FD34" s="19">
        <v>18.7</v>
      </c>
      <c r="FE34" s="19">
        <v>9.9</v>
      </c>
      <c r="FF34" s="19">
        <v>34</v>
      </c>
      <c r="FG34" s="19"/>
      <c r="FH34" s="19">
        <v>18.5</v>
      </c>
      <c r="FI34" s="19"/>
      <c r="FJ34" s="19"/>
      <c r="FK34" s="19">
        <v>11.2</v>
      </c>
      <c r="FL34" s="19"/>
      <c r="FM34" s="19">
        <v>7945.6</v>
      </c>
      <c r="FN34" s="15"/>
      <c r="FO34" s="19">
        <v>18.100000000000001</v>
      </c>
      <c r="FP34" s="19">
        <v>3.6139999999999999</v>
      </c>
      <c r="FQ34" s="19">
        <v>10.7</v>
      </c>
      <c r="FR34" s="19">
        <v>9.6</v>
      </c>
      <c r="FS34" s="19">
        <v>24.85951</v>
      </c>
      <c r="FT34" s="19">
        <v>18.949750000000002</v>
      </c>
      <c r="FU34" s="19">
        <v>11.6</v>
      </c>
      <c r="FV34" s="19">
        <v>0</v>
      </c>
      <c r="FW34" s="19">
        <v>97.423259999999999</v>
      </c>
    </row>
    <row r="35" spans="1:179" ht="24" customHeight="1" x14ac:dyDescent="0.3">
      <c r="A35" s="13" t="s">
        <v>67</v>
      </c>
      <c r="B35" s="13" t="s">
        <v>832</v>
      </c>
      <c r="C35" s="14">
        <v>104.7</v>
      </c>
      <c r="D35" s="14">
        <v>598.70000000000005</v>
      </c>
      <c r="E35" s="14">
        <v>204</v>
      </c>
      <c r="F35" s="14">
        <v>0</v>
      </c>
      <c r="G35" s="14">
        <v>0</v>
      </c>
      <c r="H35" s="14">
        <v>85</v>
      </c>
      <c r="I35" s="14">
        <v>157.19999999999999</v>
      </c>
      <c r="J35" s="14"/>
      <c r="K35" s="14">
        <v>0</v>
      </c>
      <c r="L35" s="14">
        <v>177.2</v>
      </c>
      <c r="M35" s="14">
        <v>0</v>
      </c>
      <c r="N35" s="14">
        <v>199.4</v>
      </c>
      <c r="O35" s="14">
        <v>189.1</v>
      </c>
      <c r="P35" s="14">
        <v>199.9</v>
      </c>
      <c r="Q35" s="14">
        <v>104.7</v>
      </c>
      <c r="R35" s="14">
        <v>555.20000000000005</v>
      </c>
      <c r="S35" s="14"/>
      <c r="T35" s="14"/>
      <c r="U35" s="14"/>
      <c r="V35" s="14"/>
      <c r="W35" s="14">
        <v>161.5</v>
      </c>
      <c r="X35" s="14">
        <v>7.8</v>
      </c>
      <c r="Y35" s="14">
        <v>5.4</v>
      </c>
      <c r="Z35" s="14">
        <v>0</v>
      </c>
      <c r="AA35" s="14">
        <v>6.8</v>
      </c>
      <c r="AB35" s="14">
        <v>61.8</v>
      </c>
      <c r="AC35" s="14"/>
      <c r="AD35" s="14"/>
      <c r="AE35" s="14"/>
      <c r="AF35" s="14"/>
      <c r="AG35" s="14">
        <v>94.5</v>
      </c>
      <c r="AH35" s="14">
        <v>154.69999999999999</v>
      </c>
      <c r="AI35" s="14"/>
      <c r="AJ35" s="14">
        <v>0</v>
      </c>
      <c r="AK35" s="14"/>
      <c r="AL35" s="14">
        <v>6.5</v>
      </c>
      <c r="AM35" s="14">
        <v>227.7</v>
      </c>
      <c r="AN35" s="14">
        <v>62.1</v>
      </c>
      <c r="AO35" s="14">
        <v>132.69999999999999</v>
      </c>
      <c r="AP35" s="14">
        <v>38.1</v>
      </c>
      <c r="AQ35" s="14">
        <v>18.600000000000001</v>
      </c>
      <c r="AR35" s="14">
        <v>18.8</v>
      </c>
      <c r="AS35" s="14">
        <v>91.8</v>
      </c>
      <c r="AT35" s="14">
        <v>178.3</v>
      </c>
      <c r="AU35" s="14">
        <v>178.5</v>
      </c>
      <c r="AV35" s="14">
        <v>181.8</v>
      </c>
      <c r="AW35" s="14">
        <v>107.7</v>
      </c>
      <c r="AX35" s="14">
        <v>18.100000000000001</v>
      </c>
      <c r="AY35" s="14">
        <v>38.4</v>
      </c>
      <c r="AZ35" s="14">
        <v>3.6</v>
      </c>
      <c r="BA35" s="14">
        <v>13.1</v>
      </c>
      <c r="BB35" s="14">
        <v>86.7</v>
      </c>
      <c r="BC35" s="14"/>
      <c r="BD35" s="14"/>
      <c r="BE35" s="14">
        <v>0</v>
      </c>
      <c r="BF35" s="14">
        <v>40</v>
      </c>
      <c r="BG35" s="14"/>
      <c r="BH35" s="14">
        <v>43.7</v>
      </c>
      <c r="BI35" s="14"/>
      <c r="BJ35" s="14"/>
      <c r="BK35" s="14"/>
      <c r="BL35" s="14">
        <v>124.8</v>
      </c>
      <c r="BM35" s="14">
        <v>140.5</v>
      </c>
      <c r="BN35" s="14">
        <v>140.4</v>
      </c>
      <c r="BO35" s="14">
        <v>140.4</v>
      </c>
      <c r="BP35" s="14">
        <v>224.3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2.9</v>
      </c>
      <c r="BZ35" s="14">
        <v>90.1</v>
      </c>
      <c r="CA35" s="14">
        <v>99.4</v>
      </c>
      <c r="CB35" s="14">
        <v>66</v>
      </c>
      <c r="CC35" s="14">
        <v>67.099999999999994</v>
      </c>
      <c r="CD35" s="14">
        <v>28.7</v>
      </c>
      <c r="CE35" s="14">
        <v>0</v>
      </c>
      <c r="CF35" s="14"/>
      <c r="CG35" s="14"/>
      <c r="CH35" s="14">
        <v>140.1</v>
      </c>
      <c r="CI35" s="14">
        <v>142.6</v>
      </c>
      <c r="CJ35" s="14">
        <v>146.1</v>
      </c>
      <c r="CK35" s="14">
        <v>0</v>
      </c>
      <c r="CL35" s="14"/>
      <c r="CM35" s="14"/>
      <c r="CN35" s="14"/>
      <c r="CO35" s="14"/>
      <c r="CP35" s="14">
        <v>204.4</v>
      </c>
      <c r="CQ35" s="14">
        <v>98.4</v>
      </c>
      <c r="CR35" s="14">
        <v>7.8</v>
      </c>
      <c r="CS35" s="14">
        <v>3.6</v>
      </c>
      <c r="CT35" s="14">
        <v>10</v>
      </c>
      <c r="CU35" s="14">
        <v>1.2</v>
      </c>
      <c r="CV35" s="14">
        <v>51.9</v>
      </c>
      <c r="CW35" s="14">
        <v>69.400000000000006</v>
      </c>
      <c r="CX35" s="14">
        <v>13</v>
      </c>
      <c r="CY35" s="14">
        <v>0.4</v>
      </c>
      <c r="CZ35" s="14">
        <v>16</v>
      </c>
      <c r="DA35" s="14">
        <v>9.9</v>
      </c>
      <c r="DB35" s="14">
        <v>5.4</v>
      </c>
      <c r="DC35" s="14">
        <v>166.9</v>
      </c>
      <c r="DD35" s="14">
        <v>84.6</v>
      </c>
      <c r="DE35" s="14">
        <v>1.3</v>
      </c>
      <c r="DF35" s="14">
        <v>2.1</v>
      </c>
      <c r="DG35" s="14">
        <v>2.5</v>
      </c>
      <c r="DH35" s="14">
        <v>20.399999999999999</v>
      </c>
      <c r="DI35" s="14">
        <v>9.9</v>
      </c>
      <c r="DJ35" s="14">
        <v>4.5</v>
      </c>
      <c r="DK35" s="14"/>
      <c r="DL35" s="14">
        <v>7.5</v>
      </c>
      <c r="DM35" s="14">
        <v>12.3</v>
      </c>
      <c r="DN35" s="14">
        <v>15.4</v>
      </c>
      <c r="DO35" s="14">
        <v>14.5</v>
      </c>
      <c r="DP35" s="14">
        <v>38.4</v>
      </c>
      <c r="DQ35" s="14">
        <v>15.1</v>
      </c>
      <c r="DR35" s="14">
        <v>2.8</v>
      </c>
      <c r="DS35" s="14">
        <v>0</v>
      </c>
      <c r="DT35" s="14">
        <v>1.7</v>
      </c>
      <c r="DU35" s="14"/>
      <c r="DV35" s="14">
        <v>0.4</v>
      </c>
      <c r="DW35" s="14">
        <v>14.6</v>
      </c>
      <c r="DX35" s="14">
        <v>4.4000000000000004</v>
      </c>
      <c r="DY35" s="14">
        <v>8.3000000000000007</v>
      </c>
      <c r="DZ35" s="14">
        <v>12.9</v>
      </c>
      <c r="EA35" s="14">
        <v>13.1</v>
      </c>
      <c r="EB35" s="14">
        <v>20.7</v>
      </c>
      <c r="EC35" s="14">
        <v>28.7</v>
      </c>
      <c r="ED35" s="14">
        <v>30.2</v>
      </c>
      <c r="EE35" s="14">
        <v>41.5</v>
      </c>
      <c r="EF35" s="14">
        <v>4.7</v>
      </c>
      <c r="EG35" s="14">
        <v>1.1000000000000001</v>
      </c>
      <c r="EH35" s="14">
        <v>1.3</v>
      </c>
      <c r="EI35" s="14">
        <v>10</v>
      </c>
      <c r="EJ35" s="14">
        <v>3.3</v>
      </c>
      <c r="EK35" s="14">
        <v>4.5999999999999996</v>
      </c>
      <c r="EL35" s="14">
        <v>8.6</v>
      </c>
      <c r="EM35" s="14">
        <v>9.4</v>
      </c>
      <c r="EN35" s="14">
        <v>9.6999999999999993</v>
      </c>
      <c r="EO35" s="14">
        <v>15.4</v>
      </c>
      <c r="EP35" s="14">
        <v>211.3</v>
      </c>
      <c r="EQ35" s="14">
        <v>16.5</v>
      </c>
      <c r="ER35" s="14">
        <v>113.3</v>
      </c>
      <c r="ES35" s="14">
        <v>0.6</v>
      </c>
      <c r="ET35" s="14">
        <v>24.5</v>
      </c>
      <c r="EU35" s="14">
        <v>67.2</v>
      </c>
      <c r="EV35" s="14">
        <v>85.9</v>
      </c>
      <c r="EW35" s="14"/>
      <c r="EX35" s="14">
        <v>2</v>
      </c>
      <c r="EY35" s="14"/>
      <c r="EZ35" s="14"/>
      <c r="FA35" s="14">
        <v>15.6</v>
      </c>
      <c r="FB35" s="14">
        <v>10</v>
      </c>
      <c r="FC35" s="14">
        <v>19.399999999999999</v>
      </c>
      <c r="FD35" s="14">
        <v>18.3</v>
      </c>
      <c r="FE35" s="14">
        <v>9.3000000000000007</v>
      </c>
      <c r="FF35" s="14">
        <v>33.700000000000003</v>
      </c>
      <c r="FG35" s="14"/>
      <c r="FH35" s="14">
        <v>18.100000000000001</v>
      </c>
      <c r="FI35" s="14"/>
      <c r="FJ35" s="14"/>
      <c r="FK35" s="14">
        <v>11.4</v>
      </c>
      <c r="FL35" s="14"/>
      <c r="FM35" s="14">
        <v>7898.5</v>
      </c>
      <c r="FN35" s="15"/>
      <c r="FO35" s="14">
        <v>18.100000000000001</v>
      </c>
      <c r="FP35" s="14">
        <v>3.6190000000000002</v>
      </c>
      <c r="FQ35" s="14">
        <v>10.7</v>
      </c>
      <c r="FR35" s="14">
        <v>9.6</v>
      </c>
      <c r="FS35" s="14">
        <v>24.620039999999999</v>
      </c>
      <c r="FT35" s="14">
        <v>18.953250000000001</v>
      </c>
      <c r="FU35" s="14">
        <v>11.5</v>
      </c>
      <c r="FV35" s="14">
        <v>0</v>
      </c>
      <c r="FW35" s="14">
        <v>97.092290000000006</v>
      </c>
    </row>
    <row r="36" spans="1:179" ht="24" customHeight="1" x14ac:dyDescent="0.3">
      <c r="A36" s="16" t="s">
        <v>67</v>
      </c>
      <c r="B36" s="16" t="s">
        <v>833</v>
      </c>
      <c r="C36" s="17">
        <v>104.6</v>
      </c>
      <c r="D36" s="17">
        <v>596.9</v>
      </c>
      <c r="E36" s="17">
        <v>205.3</v>
      </c>
      <c r="F36" s="17">
        <v>0</v>
      </c>
      <c r="G36" s="17">
        <v>0</v>
      </c>
      <c r="H36" s="17">
        <v>59.7</v>
      </c>
      <c r="I36" s="17">
        <v>156</v>
      </c>
      <c r="J36" s="17"/>
      <c r="K36" s="17">
        <v>0</v>
      </c>
      <c r="L36" s="17">
        <v>176.9</v>
      </c>
      <c r="M36" s="17">
        <v>0</v>
      </c>
      <c r="N36" s="17">
        <v>200</v>
      </c>
      <c r="O36" s="17">
        <v>189.3</v>
      </c>
      <c r="P36" s="17">
        <v>200.2</v>
      </c>
      <c r="Q36" s="17">
        <v>104.5</v>
      </c>
      <c r="R36" s="17">
        <v>444.6</v>
      </c>
      <c r="S36" s="17"/>
      <c r="T36" s="17"/>
      <c r="U36" s="17"/>
      <c r="V36" s="17"/>
      <c r="W36" s="17">
        <v>160.6</v>
      </c>
      <c r="X36" s="17">
        <v>7.5</v>
      </c>
      <c r="Y36" s="17">
        <v>5.3</v>
      </c>
      <c r="Z36" s="17">
        <v>0</v>
      </c>
      <c r="AA36" s="17">
        <v>6.7</v>
      </c>
      <c r="AB36" s="17">
        <v>60.7</v>
      </c>
      <c r="AC36" s="17"/>
      <c r="AD36" s="17"/>
      <c r="AE36" s="17"/>
      <c r="AF36" s="17"/>
      <c r="AG36" s="17">
        <v>97.9</v>
      </c>
      <c r="AH36" s="17">
        <v>88.9</v>
      </c>
      <c r="AI36" s="17"/>
      <c r="AJ36" s="17">
        <v>0</v>
      </c>
      <c r="AK36" s="17"/>
      <c r="AL36" s="17">
        <v>6.5</v>
      </c>
      <c r="AM36" s="17">
        <v>210.2</v>
      </c>
      <c r="AN36" s="17">
        <v>62.1</v>
      </c>
      <c r="AO36" s="17">
        <v>132.5</v>
      </c>
      <c r="AP36" s="17">
        <v>37.700000000000003</v>
      </c>
      <c r="AQ36" s="17">
        <v>18.600000000000001</v>
      </c>
      <c r="AR36" s="17">
        <v>18.8</v>
      </c>
      <c r="AS36" s="17">
        <v>88.1</v>
      </c>
      <c r="AT36" s="17">
        <v>175.5</v>
      </c>
      <c r="AU36" s="17">
        <v>176.1</v>
      </c>
      <c r="AV36" s="17">
        <v>181.5</v>
      </c>
      <c r="AW36" s="17">
        <v>107.6</v>
      </c>
      <c r="AX36" s="17">
        <v>17.7</v>
      </c>
      <c r="AY36" s="17">
        <v>37.700000000000003</v>
      </c>
      <c r="AZ36" s="17">
        <v>3.6</v>
      </c>
      <c r="BA36" s="17">
        <v>12.8</v>
      </c>
      <c r="BB36" s="17">
        <v>43.1</v>
      </c>
      <c r="BC36" s="17"/>
      <c r="BD36" s="17"/>
      <c r="BE36" s="17">
        <v>0</v>
      </c>
      <c r="BF36" s="17">
        <v>39.799999999999997</v>
      </c>
      <c r="BG36" s="17"/>
      <c r="BH36" s="17">
        <v>43.8</v>
      </c>
      <c r="BI36" s="17"/>
      <c r="BJ36" s="17"/>
      <c r="BK36" s="17"/>
      <c r="BL36" s="17">
        <v>124.3</v>
      </c>
      <c r="BM36" s="17">
        <v>159.80000000000001</v>
      </c>
      <c r="BN36" s="17">
        <v>161.1</v>
      </c>
      <c r="BO36" s="17">
        <v>161.19999999999999</v>
      </c>
      <c r="BP36" s="17">
        <v>249.1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2.9</v>
      </c>
      <c r="BZ36" s="17">
        <v>84.6</v>
      </c>
      <c r="CA36" s="17">
        <v>97.1</v>
      </c>
      <c r="CB36" s="17">
        <v>65.7</v>
      </c>
      <c r="CC36" s="17">
        <v>67.099999999999994</v>
      </c>
      <c r="CD36" s="17">
        <v>29.3</v>
      </c>
      <c r="CE36" s="17">
        <v>0</v>
      </c>
      <c r="CF36" s="17"/>
      <c r="CG36" s="17"/>
      <c r="CH36" s="17">
        <v>140</v>
      </c>
      <c r="CI36" s="17">
        <v>142.5</v>
      </c>
      <c r="CJ36" s="17">
        <v>145.9</v>
      </c>
      <c r="CK36" s="17">
        <v>0</v>
      </c>
      <c r="CL36" s="17"/>
      <c r="CM36" s="17"/>
      <c r="CN36" s="17"/>
      <c r="CO36" s="17"/>
      <c r="CP36" s="17">
        <v>204.6</v>
      </c>
      <c r="CQ36" s="17">
        <v>98.4</v>
      </c>
      <c r="CR36" s="17">
        <v>7.8</v>
      </c>
      <c r="CS36" s="17">
        <v>3.6</v>
      </c>
      <c r="CT36" s="17">
        <v>11.1</v>
      </c>
      <c r="CU36" s="17">
        <v>1.2</v>
      </c>
      <c r="CV36" s="17">
        <v>58.8</v>
      </c>
      <c r="CW36" s="17">
        <v>69.599999999999994</v>
      </c>
      <c r="CX36" s="17">
        <v>12.9</v>
      </c>
      <c r="CY36" s="17">
        <v>0.4</v>
      </c>
      <c r="CZ36" s="17">
        <v>16</v>
      </c>
      <c r="DA36" s="17">
        <v>9.9</v>
      </c>
      <c r="DB36" s="17">
        <v>5.2</v>
      </c>
      <c r="DC36" s="17">
        <v>170.6</v>
      </c>
      <c r="DD36" s="17">
        <v>86.9</v>
      </c>
      <c r="DE36" s="17">
        <v>1.3</v>
      </c>
      <c r="DF36" s="17">
        <v>2.1</v>
      </c>
      <c r="DG36" s="17">
        <v>2.5</v>
      </c>
      <c r="DH36" s="17">
        <v>20.2</v>
      </c>
      <c r="DI36" s="17">
        <v>10</v>
      </c>
      <c r="DJ36" s="17">
        <v>8.3000000000000007</v>
      </c>
      <c r="DK36" s="17"/>
      <c r="DL36" s="17">
        <v>7.5</v>
      </c>
      <c r="DM36" s="17">
        <v>12.4</v>
      </c>
      <c r="DN36" s="17">
        <v>15.4</v>
      </c>
      <c r="DO36" s="17">
        <v>16.399999999999999</v>
      </c>
      <c r="DP36" s="17">
        <v>42.7</v>
      </c>
      <c r="DQ36" s="17">
        <v>15.1</v>
      </c>
      <c r="DR36" s="17">
        <v>2.8</v>
      </c>
      <c r="DS36" s="17">
        <v>0</v>
      </c>
      <c r="DT36" s="17">
        <v>1.6</v>
      </c>
      <c r="DU36" s="17"/>
      <c r="DV36" s="17">
        <v>0.4</v>
      </c>
      <c r="DW36" s="17">
        <v>14.6</v>
      </c>
      <c r="DX36" s="17">
        <v>4.2</v>
      </c>
      <c r="DY36" s="17">
        <v>8.1999999999999993</v>
      </c>
      <c r="DZ36" s="17">
        <v>12.7</v>
      </c>
      <c r="EA36" s="17">
        <v>9.8000000000000007</v>
      </c>
      <c r="EB36" s="17">
        <v>21.2</v>
      </c>
      <c r="EC36" s="17">
        <v>28.8</v>
      </c>
      <c r="ED36" s="17">
        <v>32.200000000000003</v>
      </c>
      <c r="EE36" s="17">
        <v>45.5</v>
      </c>
      <c r="EF36" s="17">
        <v>5.3</v>
      </c>
      <c r="EG36" s="17">
        <v>2.7</v>
      </c>
      <c r="EH36" s="17">
        <v>1.1000000000000001</v>
      </c>
      <c r="EI36" s="17">
        <v>10</v>
      </c>
      <c r="EJ36" s="17">
        <v>3.4</v>
      </c>
      <c r="EK36" s="17">
        <v>4.4000000000000004</v>
      </c>
      <c r="EL36" s="17">
        <v>8.6</v>
      </c>
      <c r="EM36" s="17">
        <v>9.4</v>
      </c>
      <c r="EN36" s="17">
        <v>9.6999999999999993</v>
      </c>
      <c r="EO36" s="17">
        <v>15.2</v>
      </c>
      <c r="EP36" s="17">
        <v>213.3</v>
      </c>
      <c r="EQ36" s="17">
        <v>15.9</v>
      </c>
      <c r="ER36" s="17">
        <v>113.2</v>
      </c>
      <c r="ES36" s="17">
        <v>0.6</v>
      </c>
      <c r="ET36" s="17">
        <v>48.1</v>
      </c>
      <c r="EU36" s="17">
        <v>85.5</v>
      </c>
      <c r="EV36" s="17">
        <v>85.9</v>
      </c>
      <c r="EW36" s="17"/>
      <c r="EX36" s="17">
        <v>2</v>
      </c>
      <c r="EY36" s="17"/>
      <c r="EZ36" s="17"/>
      <c r="FA36" s="17">
        <v>14.9</v>
      </c>
      <c r="FB36" s="17">
        <v>10</v>
      </c>
      <c r="FC36" s="17">
        <v>19.600000000000001</v>
      </c>
      <c r="FD36" s="17">
        <v>18.7</v>
      </c>
      <c r="FE36" s="17">
        <v>9.4</v>
      </c>
      <c r="FF36" s="17">
        <v>33.299999999999997</v>
      </c>
      <c r="FG36" s="17"/>
      <c r="FH36" s="17">
        <v>18</v>
      </c>
      <c r="FI36" s="17"/>
      <c r="FJ36" s="17"/>
      <c r="FK36" s="17">
        <v>11.4</v>
      </c>
      <c r="FL36" s="17"/>
      <c r="FM36" s="17">
        <v>7772.4</v>
      </c>
      <c r="FN36" s="15"/>
      <c r="FO36" s="17">
        <v>18.100000000000001</v>
      </c>
      <c r="FP36" s="17">
        <v>3.61</v>
      </c>
      <c r="FQ36" s="17">
        <v>10.7</v>
      </c>
      <c r="FR36" s="17">
        <v>9.6</v>
      </c>
      <c r="FS36" s="17">
        <v>24.557210000000001</v>
      </c>
      <c r="FT36" s="17">
        <v>18.956119999999999</v>
      </c>
      <c r="FU36" s="17">
        <v>11.5</v>
      </c>
      <c r="FV36" s="17">
        <v>0</v>
      </c>
      <c r="FW36" s="17">
        <v>97.023330000000001</v>
      </c>
    </row>
    <row r="37" spans="1:179" ht="24" customHeight="1" x14ac:dyDescent="0.3">
      <c r="A37" s="16" t="s">
        <v>67</v>
      </c>
      <c r="B37" s="16" t="s">
        <v>834</v>
      </c>
      <c r="C37" s="17">
        <v>104.7</v>
      </c>
      <c r="D37" s="17">
        <v>596.29999999999995</v>
      </c>
      <c r="E37" s="17">
        <v>202.9</v>
      </c>
      <c r="F37" s="17">
        <v>0</v>
      </c>
      <c r="G37" s="17">
        <v>0</v>
      </c>
      <c r="H37" s="17">
        <v>39.6</v>
      </c>
      <c r="I37" s="17">
        <v>156.4</v>
      </c>
      <c r="J37" s="17"/>
      <c r="K37" s="17">
        <v>52.3</v>
      </c>
      <c r="L37" s="17">
        <v>177.9</v>
      </c>
      <c r="M37" s="17">
        <v>0</v>
      </c>
      <c r="N37" s="17">
        <v>199.3</v>
      </c>
      <c r="O37" s="17">
        <v>188.2</v>
      </c>
      <c r="P37" s="17">
        <v>200.7</v>
      </c>
      <c r="Q37" s="17">
        <v>104.5</v>
      </c>
      <c r="R37" s="17">
        <v>399.2</v>
      </c>
      <c r="S37" s="17"/>
      <c r="T37" s="17"/>
      <c r="U37" s="17"/>
      <c r="V37" s="17"/>
      <c r="W37" s="17">
        <v>163.4</v>
      </c>
      <c r="X37" s="17">
        <v>6.9</v>
      </c>
      <c r="Y37" s="17">
        <v>5.3</v>
      </c>
      <c r="Z37" s="17">
        <v>0</v>
      </c>
      <c r="AA37" s="17">
        <v>6.7</v>
      </c>
      <c r="AB37" s="17">
        <v>61</v>
      </c>
      <c r="AC37" s="17"/>
      <c r="AD37" s="17"/>
      <c r="AE37" s="17"/>
      <c r="AF37" s="17"/>
      <c r="AG37" s="17">
        <v>97.3</v>
      </c>
      <c r="AH37" s="17">
        <v>93.3</v>
      </c>
      <c r="AI37" s="17"/>
      <c r="AJ37" s="17">
        <v>0</v>
      </c>
      <c r="AK37" s="17"/>
      <c r="AL37" s="17">
        <v>6.5</v>
      </c>
      <c r="AM37" s="17">
        <v>233.4</v>
      </c>
      <c r="AN37" s="17">
        <v>63.9</v>
      </c>
      <c r="AO37" s="17">
        <v>64.900000000000006</v>
      </c>
      <c r="AP37" s="17">
        <v>37.5</v>
      </c>
      <c r="AQ37" s="17">
        <v>18.600000000000001</v>
      </c>
      <c r="AR37" s="17">
        <v>18.8</v>
      </c>
      <c r="AS37" s="17">
        <v>89</v>
      </c>
      <c r="AT37" s="17">
        <v>174.9</v>
      </c>
      <c r="AU37" s="17">
        <v>175.7</v>
      </c>
      <c r="AV37" s="17">
        <v>182.4</v>
      </c>
      <c r="AW37" s="17">
        <v>107.6</v>
      </c>
      <c r="AX37" s="17">
        <v>33.299999999999997</v>
      </c>
      <c r="AY37" s="17">
        <v>39.6</v>
      </c>
      <c r="AZ37" s="17">
        <v>3.6</v>
      </c>
      <c r="BA37" s="17">
        <v>12.7</v>
      </c>
      <c r="BB37" s="17">
        <v>38.5</v>
      </c>
      <c r="BC37" s="17"/>
      <c r="BD37" s="17"/>
      <c r="BE37" s="17">
        <v>0</v>
      </c>
      <c r="BF37" s="17">
        <v>40</v>
      </c>
      <c r="BG37" s="17"/>
      <c r="BH37" s="17">
        <v>43.7</v>
      </c>
      <c r="BI37" s="17"/>
      <c r="BJ37" s="17"/>
      <c r="BK37" s="17"/>
      <c r="BL37" s="17">
        <v>124.1</v>
      </c>
      <c r="BM37" s="17">
        <v>160.19999999999999</v>
      </c>
      <c r="BN37" s="17">
        <v>160.19999999999999</v>
      </c>
      <c r="BO37" s="17">
        <v>161</v>
      </c>
      <c r="BP37" s="17">
        <v>242.3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2.9</v>
      </c>
      <c r="BZ37" s="17">
        <v>115.3</v>
      </c>
      <c r="CA37" s="17">
        <v>102.8</v>
      </c>
      <c r="CB37" s="17">
        <v>60.3</v>
      </c>
      <c r="CC37" s="17">
        <v>64.8</v>
      </c>
      <c r="CD37" s="17">
        <v>29.1</v>
      </c>
      <c r="CE37" s="17">
        <v>0</v>
      </c>
      <c r="CF37" s="17"/>
      <c r="CG37" s="17"/>
      <c r="CH37" s="17">
        <v>140.1</v>
      </c>
      <c r="CI37" s="17">
        <v>142.69999999999999</v>
      </c>
      <c r="CJ37" s="17">
        <v>146.30000000000001</v>
      </c>
      <c r="CK37" s="17">
        <v>0</v>
      </c>
      <c r="CL37" s="17"/>
      <c r="CM37" s="17"/>
      <c r="CN37" s="17"/>
      <c r="CO37" s="17"/>
      <c r="CP37" s="17">
        <v>204.5</v>
      </c>
      <c r="CQ37" s="17">
        <v>98.2</v>
      </c>
      <c r="CR37" s="17">
        <v>7.8</v>
      </c>
      <c r="CS37" s="17">
        <v>3.6</v>
      </c>
      <c r="CT37" s="17">
        <v>11.6</v>
      </c>
      <c r="CU37" s="17">
        <v>0.9</v>
      </c>
      <c r="CV37" s="17">
        <v>69.099999999999994</v>
      </c>
      <c r="CW37" s="17">
        <v>69.2</v>
      </c>
      <c r="CX37" s="17">
        <v>12.9</v>
      </c>
      <c r="CY37" s="17">
        <v>0.4</v>
      </c>
      <c r="CZ37" s="17">
        <v>16</v>
      </c>
      <c r="DA37" s="17">
        <v>9.9</v>
      </c>
      <c r="DB37" s="17">
        <v>3.7</v>
      </c>
      <c r="DC37" s="17">
        <v>170</v>
      </c>
      <c r="DD37" s="17">
        <v>86.7</v>
      </c>
      <c r="DE37" s="17">
        <v>1.3</v>
      </c>
      <c r="DF37" s="17">
        <v>2</v>
      </c>
      <c r="DG37" s="17">
        <v>2.5</v>
      </c>
      <c r="DH37" s="17">
        <v>20.2</v>
      </c>
      <c r="DI37" s="17">
        <v>9.9</v>
      </c>
      <c r="DJ37" s="17">
        <v>8.3000000000000007</v>
      </c>
      <c r="DK37" s="17"/>
      <c r="DL37" s="17">
        <v>7.5</v>
      </c>
      <c r="DM37" s="17">
        <v>12.6</v>
      </c>
      <c r="DN37" s="17">
        <v>15.7</v>
      </c>
      <c r="DO37" s="17">
        <v>17.600000000000001</v>
      </c>
      <c r="DP37" s="17">
        <v>49.5</v>
      </c>
      <c r="DQ37" s="17">
        <v>15.3</v>
      </c>
      <c r="DR37" s="17">
        <v>2.9</v>
      </c>
      <c r="DS37" s="17">
        <v>0</v>
      </c>
      <c r="DT37" s="17">
        <v>1.6</v>
      </c>
      <c r="DU37" s="17"/>
      <c r="DV37" s="17">
        <v>0.4</v>
      </c>
      <c r="DW37" s="17">
        <v>14.5</v>
      </c>
      <c r="DX37" s="17">
        <v>4.4000000000000004</v>
      </c>
      <c r="DY37" s="17">
        <v>8.1999999999999993</v>
      </c>
      <c r="DZ37" s="17">
        <v>12.8</v>
      </c>
      <c r="EA37" s="17">
        <v>7.3</v>
      </c>
      <c r="EB37" s="17">
        <v>18.100000000000001</v>
      </c>
      <c r="EC37" s="17">
        <v>29</v>
      </c>
      <c r="ED37" s="17">
        <v>34.299999999999997</v>
      </c>
      <c r="EE37" s="17">
        <v>49.2</v>
      </c>
      <c r="EF37" s="17">
        <v>6.1</v>
      </c>
      <c r="EG37" s="17">
        <v>4.2</v>
      </c>
      <c r="EH37" s="17">
        <v>1.4</v>
      </c>
      <c r="EI37" s="17">
        <v>10.1</v>
      </c>
      <c r="EJ37" s="17">
        <v>3.4</v>
      </c>
      <c r="EK37" s="17">
        <v>4.4000000000000004</v>
      </c>
      <c r="EL37" s="17">
        <v>8.6</v>
      </c>
      <c r="EM37" s="17">
        <v>9.4</v>
      </c>
      <c r="EN37" s="17">
        <v>9.6999999999999993</v>
      </c>
      <c r="EO37" s="17">
        <v>15.6</v>
      </c>
      <c r="EP37" s="17">
        <v>212.5</v>
      </c>
      <c r="EQ37" s="17">
        <v>14.9</v>
      </c>
      <c r="ER37" s="17">
        <v>114.6</v>
      </c>
      <c r="ES37" s="17">
        <v>0.6</v>
      </c>
      <c r="ET37" s="17">
        <v>56.7</v>
      </c>
      <c r="EU37" s="17">
        <v>77</v>
      </c>
      <c r="EV37" s="17">
        <v>85.7</v>
      </c>
      <c r="EW37" s="17"/>
      <c r="EX37" s="17">
        <v>2</v>
      </c>
      <c r="EY37" s="17"/>
      <c r="EZ37" s="17"/>
      <c r="FA37" s="17">
        <v>14.4</v>
      </c>
      <c r="FB37" s="17">
        <v>10</v>
      </c>
      <c r="FC37" s="17">
        <v>19.399999999999999</v>
      </c>
      <c r="FD37" s="17">
        <v>18.600000000000001</v>
      </c>
      <c r="FE37" s="17">
        <v>9.6999999999999993</v>
      </c>
      <c r="FF37" s="17">
        <v>33.9</v>
      </c>
      <c r="FG37" s="17"/>
      <c r="FH37" s="17">
        <v>18.2</v>
      </c>
      <c r="FI37" s="17"/>
      <c r="FJ37" s="17"/>
      <c r="FK37" s="17">
        <v>11</v>
      </c>
      <c r="FL37" s="17"/>
      <c r="FM37" s="17">
        <v>7774.3</v>
      </c>
      <c r="FN37" s="15"/>
      <c r="FO37" s="17">
        <v>18.100000000000001</v>
      </c>
      <c r="FP37" s="17">
        <v>3.61</v>
      </c>
      <c r="FQ37" s="17">
        <v>10.7</v>
      </c>
      <c r="FR37" s="17">
        <v>9.6</v>
      </c>
      <c r="FS37" s="17">
        <v>24.5854</v>
      </c>
      <c r="FT37" s="17">
        <v>18.956900000000001</v>
      </c>
      <c r="FU37" s="17">
        <v>11.5</v>
      </c>
      <c r="FV37" s="17">
        <v>0</v>
      </c>
      <c r="FW37" s="17">
        <v>97.052300000000002</v>
      </c>
    </row>
    <row r="38" spans="1:179" ht="24" customHeight="1" x14ac:dyDescent="0.3">
      <c r="A38" s="16" t="s">
        <v>67</v>
      </c>
      <c r="B38" s="16" t="s">
        <v>835</v>
      </c>
      <c r="C38" s="17">
        <v>104.4</v>
      </c>
      <c r="D38" s="17">
        <v>605.4</v>
      </c>
      <c r="E38" s="17">
        <v>202.6</v>
      </c>
      <c r="F38" s="17">
        <v>0</v>
      </c>
      <c r="G38" s="17">
        <v>0</v>
      </c>
      <c r="H38" s="17">
        <v>41.4</v>
      </c>
      <c r="I38" s="17">
        <v>134.4</v>
      </c>
      <c r="J38" s="17"/>
      <c r="K38" s="17">
        <v>80.7</v>
      </c>
      <c r="L38" s="17">
        <v>176.4</v>
      </c>
      <c r="M38" s="17">
        <v>0</v>
      </c>
      <c r="N38" s="17">
        <v>198.1</v>
      </c>
      <c r="O38" s="17">
        <v>187.7</v>
      </c>
      <c r="P38" s="17">
        <v>198.9</v>
      </c>
      <c r="Q38" s="17">
        <v>104.5</v>
      </c>
      <c r="R38" s="17">
        <v>401.2</v>
      </c>
      <c r="S38" s="17"/>
      <c r="T38" s="17"/>
      <c r="U38" s="17"/>
      <c r="V38" s="17"/>
      <c r="W38" s="17">
        <v>170.1</v>
      </c>
      <c r="X38" s="17">
        <v>8</v>
      </c>
      <c r="Y38" s="17">
        <v>5.6</v>
      </c>
      <c r="Z38" s="17">
        <v>0</v>
      </c>
      <c r="AA38" s="17">
        <v>6.6</v>
      </c>
      <c r="AB38" s="17">
        <v>63.3</v>
      </c>
      <c r="AC38" s="17"/>
      <c r="AD38" s="17"/>
      <c r="AE38" s="17"/>
      <c r="AF38" s="17"/>
      <c r="AG38" s="17">
        <v>99.7</v>
      </c>
      <c r="AH38" s="17">
        <v>90.4</v>
      </c>
      <c r="AI38" s="17"/>
      <c r="AJ38" s="17">
        <v>64</v>
      </c>
      <c r="AK38" s="17"/>
      <c r="AL38" s="17">
        <v>6.5</v>
      </c>
      <c r="AM38" s="17">
        <v>234.4</v>
      </c>
      <c r="AN38" s="17">
        <v>61.8</v>
      </c>
      <c r="AO38" s="17">
        <v>66.3</v>
      </c>
      <c r="AP38" s="17">
        <v>38.700000000000003</v>
      </c>
      <c r="AQ38" s="17">
        <v>18.600000000000001</v>
      </c>
      <c r="AR38" s="17">
        <v>18.8</v>
      </c>
      <c r="AS38" s="17">
        <v>92.5</v>
      </c>
      <c r="AT38" s="17">
        <v>180</v>
      </c>
      <c r="AU38" s="17">
        <v>180.4</v>
      </c>
      <c r="AV38" s="17">
        <v>182.1</v>
      </c>
      <c r="AW38" s="17">
        <v>108.8</v>
      </c>
      <c r="AX38" s="17">
        <v>34.5</v>
      </c>
      <c r="AY38" s="17">
        <v>40.799999999999997</v>
      </c>
      <c r="AZ38" s="17">
        <v>3.6</v>
      </c>
      <c r="BA38" s="17">
        <v>13.2</v>
      </c>
      <c r="BB38" s="17">
        <v>44.7</v>
      </c>
      <c r="BC38" s="17"/>
      <c r="BD38" s="17"/>
      <c r="BE38" s="17">
        <v>0</v>
      </c>
      <c r="BF38" s="17">
        <v>0</v>
      </c>
      <c r="BG38" s="17"/>
      <c r="BH38" s="17">
        <v>43.7</v>
      </c>
      <c r="BI38" s="17"/>
      <c r="BJ38" s="17"/>
      <c r="BK38" s="17"/>
      <c r="BL38" s="17">
        <v>125.9</v>
      </c>
      <c r="BM38" s="17">
        <v>150.9</v>
      </c>
      <c r="BN38" s="17">
        <v>150.80000000000001</v>
      </c>
      <c r="BO38" s="17">
        <v>149.80000000000001</v>
      </c>
      <c r="BP38" s="17">
        <v>230.8</v>
      </c>
      <c r="BQ38" s="17">
        <v>0</v>
      </c>
      <c r="BR38" s="17"/>
      <c r="BS38" s="17"/>
      <c r="BT38" s="17"/>
      <c r="BU38" s="17"/>
      <c r="BV38" s="17">
        <v>20.9</v>
      </c>
      <c r="BW38" s="17"/>
      <c r="BX38" s="17"/>
      <c r="BY38" s="17">
        <v>2.9</v>
      </c>
      <c r="BZ38" s="17">
        <v>124</v>
      </c>
      <c r="CA38" s="17">
        <v>109.3</v>
      </c>
      <c r="CB38" s="17">
        <v>61.9</v>
      </c>
      <c r="CC38" s="17">
        <v>65.3</v>
      </c>
      <c r="CD38" s="17">
        <v>29.9</v>
      </c>
      <c r="CE38" s="17">
        <v>0</v>
      </c>
      <c r="CF38" s="17"/>
      <c r="CG38" s="17"/>
      <c r="CH38" s="17">
        <v>140.30000000000001</v>
      </c>
      <c r="CI38" s="17">
        <v>142.9</v>
      </c>
      <c r="CJ38" s="17">
        <v>145.6</v>
      </c>
      <c r="CK38" s="17">
        <v>0</v>
      </c>
      <c r="CL38" s="17"/>
      <c r="CM38" s="17"/>
      <c r="CN38" s="17"/>
      <c r="CO38" s="17"/>
      <c r="CP38" s="17">
        <v>204.9</v>
      </c>
      <c r="CQ38" s="17">
        <v>98.4</v>
      </c>
      <c r="CR38" s="17">
        <v>7.8</v>
      </c>
      <c r="CS38" s="17">
        <v>3.6</v>
      </c>
      <c r="CT38" s="17">
        <v>10.9</v>
      </c>
      <c r="CU38" s="17">
        <v>1.1000000000000001</v>
      </c>
      <c r="CV38" s="17">
        <v>64.5</v>
      </c>
      <c r="CW38" s="17">
        <v>69</v>
      </c>
      <c r="CX38" s="17">
        <v>12.7</v>
      </c>
      <c r="CY38" s="17">
        <v>0.4</v>
      </c>
      <c r="CZ38" s="17">
        <v>16.3</v>
      </c>
      <c r="DA38" s="17">
        <v>9.9</v>
      </c>
      <c r="DB38" s="17">
        <v>3.5</v>
      </c>
      <c r="DC38" s="17">
        <v>169.2</v>
      </c>
      <c r="DD38" s="17">
        <v>86.3</v>
      </c>
      <c r="DE38" s="17">
        <v>1.3</v>
      </c>
      <c r="DF38" s="17">
        <v>2</v>
      </c>
      <c r="DG38" s="17">
        <v>2.6</v>
      </c>
      <c r="DH38" s="17">
        <v>20.8</v>
      </c>
      <c r="DI38" s="17">
        <v>9.9</v>
      </c>
      <c r="DJ38" s="17">
        <v>8.3000000000000007</v>
      </c>
      <c r="DK38" s="17"/>
      <c r="DL38" s="17">
        <v>7.5</v>
      </c>
      <c r="DM38" s="17">
        <v>12.7</v>
      </c>
      <c r="DN38" s="17">
        <v>16</v>
      </c>
      <c r="DO38" s="17">
        <v>15.5</v>
      </c>
      <c r="DP38" s="17">
        <v>45.5</v>
      </c>
      <c r="DQ38" s="17">
        <v>15.3</v>
      </c>
      <c r="DR38" s="17">
        <v>2.9</v>
      </c>
      <c r="DS38" s="17">
        <v>0</v>
      </c>
      <c r="DT38" s="17">
        <v>1.6</v>
      </c>
      <c r="DU38" s="17"/>
      <c r="DV38" s="17">
        <v>0.4</v>
      </c>
      <c r="DW38" s="17">
        <v>14.5</v>
      </c>
      <c r="DX38" s="17">
        <v>4.4000000000000004</v>
      </c>
      <c r="DY38" s="17">
        <v>8.4</v>
      </c>
      <c r="DZ38" s="17">
        <v>13.1</v>
      </c>
      <c r="EA38" s="17">
        <v>9.6</v>
      </c>
      <c r="EB38" s="17">
        <v>20.8</v>
      </c>
      <c r="EC38" s="17">
        <v>29</v>
      </c>
      <c r="ED38" s="17">
        <v>39.200000000000003</v>
      </c>
      <c r="EE38" s="17">
        <v>49.3</v>
      </c>
      <c r="EF38" s="17">
        <v>7.2</v>
      </c>
      <c r="EG38" s="17">
        <v>4.0999999999999996</v>
      </c>
      <c r="EH38" s="17">
        <v>1.5</v>
      </c>
      <c r="EI38" s="17">
        <v>10.199999999999999</v>
      </c>
      <c r="EJ38" s="17">
        <v>3.4</v>
      </c>
      <c r="EK38" s="17">
        <v>4.4000000000000004</v>
      </c>
      <c r="EL38" s="17">
        <v>8.6</v>
      </c>
      <c r="EM38" s="17">
        <v>9.4</v>
      </c>
      <c r="EN38" s="17">
        <v>9.6999999999999993</v>
      </c>
      <c r="EO38" s="17">
        <v>15.5</v>
      </c>
      <c r="EP38" s="17">
        <v>211.9</v>
      </c>
      <c r="EQ38" s="17">
        <v>13.6</v>
      </c>
      <c r="ER38" s="17">
        <v>115.4</v>
      </c>
      <c r="ES38" s="17">
        <v>0.6</v>
      </c>
      <c r="ET38" s="17">
        <v>56.3</v>
      </c>
      <c r="EU38" s="17">
        <v>77.2</v>
      </c>
      <c r="EV38" s="17">
        <v>85.6</v>
      </c>
      <c r="EW38" s="17"/>
      <c r="EX38" s="17">
        <v>2</v>
      </c>
      <c r="EY38" s="17"/>
      <c r="EZ38" s="17"/>
      <c r="FA38" s="17">
        <v>13.2</v>
      </c>
      <c r="FB38" s="17">
        <v>9.9</v>
      </c>
      <c r="FC38" s="17">
        <v>19.2</v>
      </c>
      <c r="FD38" s="17">
        <v>18.399999999999999</v>
      </c>
      <c r="FE38" s="17">
        <v>8.6</v>
      </c>
      <c r="FF38" s="17">
        <v>34.200000000000003</v>
      </c>
      <c r="FG38" s="17"/>
      <c r="FH38" s="17">
        <v>18</v>
      </c>
      <c r="FI38" s="17"/>
      <c r="FJ38" s="17"/>
      <c r="FK38" s="17">
        <v>10.9</v>
      </c>
      <c r="FL38" s="17"/>
      <c r="FM38" s="17">
        <v>7842.1</v>
      </c>
      <c r="FN38" s="15"/>
      <c r="FO38" s="17">
        <v>18.100000000000001</v>
      </c>
      <c r="FP38" s="17">
        <v>3.6080000000000001</v>
      </c>
      <c r="FQ38" s="17">
        <v>10.7</v>
      </c>
      <c r="FR38" s="17">
        <v>9.6</v>
      </c>
      <c r="FS38" s="17">
        <v>24.53077</v>
      </c>
      <c r="FT38" s="17">
        <v>18.957000000000001</v>
      </c>
      <c r="FU38" s="17">
        <v>11.5</v>
      </c>
      <c r="FV38" s="17">
        <v>0</v>
      </c>
      <c r="FW38" s="17">
        <v>96.995769999999993</v>
      </c>
    </row>
    <row r="39" spans="1:179" ht="24" customHeight="1" x14ac:dyDescent="0.3">
      <c r="A39" s="16" t="s">
        <v>67</v>
      </c>
      <c r="B39" s="16" t="s">
        <v>836</v>
      </c>
      <c r="C39" s="17">
        <v>104.5</v>
      </c>
      <c r="D39" s="17">
        <v>596.70000000000005</v>
      </c>
      <c r="E39" s="17">
        <v>204.4</v>
      </c>
      <c r="F39" s="17">
        <v>4.5</v>
      </c>
      <c r="G39" s="17">
        <v>5</v>
      </c>
      <c r="H39" s="17">
        <v>32.1</v>
      </c>
      <c r="I39" s="17">
        <v>129.80000000000001</v>
      </c>
      <c r="J39" s="17"/>
      <c r="K39" s="17">
        <v>80.599999999999994</v>
      </c>
      <c r="L39" s="17">
        <v>177.4</v>
      </c>
      <c r="M39" s="17">
        <v>0</v>
      </c>
      <c r="N39" s="17">
        <v>199.5</v>
      </c>
      <c r="O39" s="17">
        <v>188.6</v>
      </c>
      <c r="P39" s="17">
        <v>202.3</v>
      </c>
      <c r="Q39" s="17">
        <v>105</v>
      </c>
      <c r="R39" s="17">
        <v>400</v>
      </c>
      <c r="S39" s="17"/>
      <c r="T39" s="17"/>
      <c r="U39" s="17"/>
      <c r="V39" s="17"/>
      <c r="W39" s="17">
        <v>163.19999999999999</v>
      </c>
      <c r="X39" s="17">
        <v>7.5</v>
      </c>
      <c r="Y39" s="17">
        <v>5.3</v>
      </c>
      <c r="Z39" s="17">
        <v>0</v>
      </c>
      <c r="AA39" s="17">
        <v>6.7</v>
      </c>
      <c r="AB39" s="17">
        <v>60.9</v>
      </c>
      <c r="AC39" s="17"/>
      <c r="AD39" s="17"/>
      <c r="AE39" s="17"/>
      <c r="AF39" s="17"/>
      <c r="AG39" s="17">
        <v>97.7</v>
      </c>
      <c r="AH39" s="17">
        <v>60</v>
      </c>
      <c r="AI39" s="17"/>
      <c r="AJ39" s="17">
        <v>97.8</v>
      </c>
      <c r="AK39" s="17"/>
      <c r="AL39" s="17">
        <v>6.5</v>
      </c>
      <c r="AM39" s="17">
        <v>233.5</v>
      </c>
      <c r="AN39" s="17">
        <v>63</v>
      </c>
      <c r="AO39" s="17">
        <v>60.4</v>
      </c>
      <c r="AP39" s="17">
        <v>37.6</v>
      </c>
      <c r="AQ39" s="17">
        <v>18.600000000000001</v>
      </c>
      <c r="AR39" s="17">
        <v>18.8</v>
      </c>
      <c r="AS39" s="17">
        <v>89</v>
      </c>
      <c r="AT39" s="17">
        <v>175.5</v>
      </c>
      <c r="AU39" s="17">
        <v>175.8</v>
      </c>
      <c r="AV39" s="17">
        <v>181.8</v>
      </c>
      <c r="AW39" s="17">
        <v>107.7</v>
      </c>
      <c r="AX39" s="17">
        <v>33.299999999999997</v>
      </c>
      <c r="AY39" s="17">
        <v>41.2</v>
      </c>
      <c r="AZ39" s="17">
        <v>3.6</v>
      </c>
      <c r="BA39" s="17">
        <v>12.8</v>
      </c>
      <c r="BB39" s="17">
        <v>96.1</v>
      </c>
      <c r="BC39" s="17"/>
      <c r="BD39" s="17"/>
      <c r="BE39" s="17">
        <v>0</v>
      </c>
      <c r="BF39" s="17">
        <v>0</v>
      </c>
      <c r="BG39" s="17"/>
      <c r="BH39" s="17">
        <v>43.6</v>
      </c>
      <c r="BI39" s="17"/>
      <c r="BJ39" s="17"/>
      <c r="BK39" s="17"/>
      <c r="BL39" s="17">
        <v>124.3</v>
      </c>
      <c r="BM39" s="17">
        <v>166.4</v>
      </c>
      <c r="BN39" s="17">
        <v>164.8</v>
      </c>
      <c r="BO39" s="17">
        <v>171.9</v>
      </c>
      <c r="BP39" s="17">
        <v>253.1</v>
      </c>
      <c r="BQ39" s="17">
        <v>0</v>
      </c>
      <c r="BR39" s="17"/>
      <c r="BS39" s="17"/>
      <c r="BT39" s="17"/>
      <c r="BU39" s="17"/>
      <c r="BV39" s="17">
        <v>35.5</v>
      </c>
      <c r="BW39" s="17"/>
      <c r="BX39" s="17"/>
      <c r="BY39" s="17">
        <v>2.9</v>
      </c>
      <c r="BZ39" s="17">
        <v>82.7</v>
      </c>
      <c r="CA39" s="17">
        <v>109</v>
      </c>
      <c r="CB39" s="17">
        <v>60.4</v>
      </c>
      <c r="CC39" s="17">
        <v>66.900000000000006</v>
      </c>
      <c r="CD39" s="17">
        <v>29.4</v>
      </c>
      <c r="CE39" s="17">
        <v>0</v>
      </c>
      <c r="CF39" s="17"/>
      <c r="CG39" s="17"/>
      <c r="CH39" s="17">
        <v>140.80000000000001</v>
      </c>
      <c r="CI39" s="17">
        <v>143.1</v>
      </c>
      <c r="CJ39" s="17">
        <v>145.5</v>
      </c>
      <c r="CK39" s="17">
        <v>0</v>
      </c>
      <c r="CL39" s="17"/>
      <c r="CM39" s="17"/>
      <c r="CN39" s="17"/>
      <c r="CO39" s="17"/>
      <c r="CP39" s="17">
        <v>205.5</v>
      </c>
      <c r="CQ39" s="17">
        <v>99</v>
      </c>
      <c r="CR39" s="17">
        <v>7.8</v>
      </c>
      <c r="CS39" s="17">
        <v>3.6</v>
      </c>
      <c r="CT39" s="17">
        <v>10.6</v>
      </c>
      <c r="CU39" s="17">
        <v>0.9</v>
      </c>
      <c r="CV39" s="17">
        <v>50.8</v>
      </c>
      <c r="CW39" s="17">
        <v>68.599999999999994</v>
      </c>
      <c r="CX39" s="17">
        <v>12.9</v>
      </c>
      <c r="CY39" s="17">
        <v>0.3</v>
      </c>
      <c r="CZ39" s="17">
        <v>16</v>
      </c>
      <c r="DA39" s="17">
        <v>9.9</v>
      </c>
      <c r="DB39" s="17">
        <v>3.5</v>
      </c>
      <c r="DC39" s="17">
        <v>168.8</v>
      </c>
      <c r="DD39" s="17">
        <v>86</v>
      </c>
      <c r="DE39" s="17">
        <v>1.3</v>
      </c>
      <c r="DF39" s="17">
        <v>2</v>
      </c>
      <c r="DG39" s="17">
        <v>2.6</v>
      </c>
      <c r="DH39" s="17">
        <v>20.2</v>
      </c>
      <c r="DI39" s="17">
        <v>10</v>
      </c>
      <c r="DJ39" s="17">
        <v>8.3000000000000007</v>
      </c>
      <c r="DK39" s="17"/>
      <c r="DL39" s="17">
        <v>7.5</v>
      </c>
      <c r="DM39" s="17">
        <v>12.7</v>
      </c>
      <c r="DN39" s="17">
        <v>16</v>
      </c>
      <c r="DO39" s="17">
        <v>14.2</v>
      </c>
      <c r="DP39" s="17">
        <v>40.200000000000003</v>
      </c>
      <c r="DQ39" s="17">
        <v>15.1</v>
      </c>
      <c r="DR39" s="17">
        <v>3</v>
      </c>
      <c r="DS39" s="17">
        <v>0</v>
      </c>
      <c r="DT39" s="17">
        <v>1.6</v>
      </c>
      <c r="DU39" s="17"/>
      <c r="DV39" s="17">
        <v>0.3</v>
      </c>
      <c r="DW39" s="17">
        <v>14.4</v>
      </c>
      <c r="DX39" s="17">
        <v>4.5999999999999996</v>
      </c>
      <c r="DY39" s="17">
        <v>8.3000000000000007</v>
      </c>
      <c r="DZ39" s="17">
        <v>12.6</v>
      </c>
      <c r="EA39" s="17">
        <v>16.600000000000001</v>
      </c>
      <c r="EB39" s="17">
        <v>25.4</v>
      </c>
      <c r="EC39" s="17">
        <v>29.4</v>
      </c>
      <c r="ED39" s="17">
        <v>37.700000000000003</v>
      </c>
      <c r="EE39" s="17">
        <v>48.7</v>
      </c>
      <c r="EF39" s="17">
        <v>5.4</v>
      </c>
      <c r="EG39" s="17">
        <v>4.5</v>
      </c>
      <c r="EH39" s="17">
        <v>1.4</v>
      </c>
      <c r="EI39" s="17">
        <v>9.9</v>
      </c>
      <c r="EJ39" s="17">
        <v>3.4</v>
      </c>
      <c r="EK39" s="17">
        <v>4.4000000000000004</v>
      </c>
      <c r="EL39" s="17">
        <v>8.6</v>
      </c>
      <c r="EM39" s="17">
        <v>9.4</v>
      </c>
      <c r="EN39" s="17">
        <v>9.6999999999999993</v>
      </c>
      <c r="EO39" s="17">
        <v>15.6</v>
      </c>
      <c r="EP39" s="17">
        <v>212.7</v>
      </c>
      <c r="EQ39" s="17">
        <v>12.1</v>
      </c>
      <c r="ER39" s="17">
        <v>115.1</v>
      </c>
      <c r="ES39" s="17">
        <v>0.6</v>
      </c>
      <c r="ET39" s="17">
        <v>60</v>
      </c>
      <c r="EU39" s="17">
        <v>84.4</v>
      </c>
      <c r="EV39" s="17">
        <v>84.9</v>
      </c>
      <c r="EW39" s="17"/>
      <c r="EX39" s="17">
        <v>2</v>
      </c>
      <c r="EY39" s="17"/>
      <c r="EZ39" s="17"/>
      <c r="FA39" s="17">
        <v>11.7</v>
      </c>
      <c r="FB39" s="17">
        <v>10</v>
      </c>
      <c r="FC39" s="17">
        <v>19.5</v>
      </c>
      <c r="FD39" s="17">
        <v>18.399999999999999</v>
      </c>
      <c r="FE39" s="17">
        <v>7</v>
      </c>
      <c r="FF39" s="17">
        <v>34.200000000000003</v>
      </c>
      <c r="FG39" s="17"/>
      <c r="FH39" s="17">
        <v>18.8</v>
      </c>
      <c r="FI39" s="17"/>
      <c r="FJ39" s="17"/>
      <c r="FK39" s="17">
        <v>10.9</v>
      </c>
      <c r="FL39" s="17"/>
      <c r="FM39" s="17">
        <v>7896.5</v>
      </c>
      <c r="FN39" s="15"/>
      <c r="FO39" s="17">
        <v>18.100000000000001</v>
      </c>
      <c r="FP39" s="17">
        <v>3.601</v>
      </c>
      <c r="FQ39" s="17">
        <v>10.7</v>
      </c>
      <c r="FR39" s="17">
        <v>9.6</v>
      </c>
      <c r="FS39" s="17">
        <v>24.485669999999999</v>
      </c>
      <c r="FT39" s="17">
        <v>18.957100000000001</v>
      </c>
      <c r="FU39" s="17">
        <v>11.5</v>
      </c>
      <c r="FV39" s="17">
        <v>0</v>
      </c>
      <c r="FW39" s="17">
        <v>96.943770000000001</v>
      </c>
    </row>
    <row r="40" spans="1:179" ht="24" customHeight="1" x14ac:dyDescent="0.3">
      <c r="A40" s="16" t="s">
        <v>67</v>
      </c>
      <c r="B40" s="16" t="s">
        <v>837</v>
      </c>
      <c r="C40" s="17">
        <v>104.9</v>
      </c>
      <c r="D40" s="17">
        <v>601.4</v>
      </c>
      <c r="E40" s="17">
        <v>205</v>
      </c>
      <c r="F40" s="17">
        <v>7</v>
      </c>
      <c r="G40" s="17">
        <v>6.9</v>
      </c>
      <c r="H40" s="17">
        <v>12</v>
      </c>
      <c r="I40" s="17">
        <v>128.19999999999999</v>
      </c>
      <c r="J40" s="17"/>
      <c r="K40" s="17">
        <v>80.400000000000006</v>
      </c>
      <c r="L40" s="17">
        <v>178</v>
      </c>
      <c r="M40" s="17">
        <v>0</v>
      </c>
      <c r="N40" s="17">
        <v>200</v>
      </c>
      <c r="O40" s="17">
        <v>189.3</v>
      </c>
      <c r="P40" s="17">
        <v>202.9</v>
      </c>
      <c r="Q40" s="17">
        <v>105.3</v>
      </c>
      <c r="R40" s="17">
        <v>402.6</v>
      </c>
      <c r="S40" s="17"/>
      <c r="T40" s="17"/>
      <c r="U40" s="17"/>
      <c r="V40" s="17"/>
      <c r="W40" s="17">
        <v>162.69999999999999</v>
      </c>
      <c r="X40" s="17">
        <v>7.9</v>
      </c>
      <c r="Y40" s="17">
        <v>5.4</v>
      </c>
      <c r="Z40" s="17">
        <v>0</v>
      </c>
      <c r="AA40" s="17">
        <v>6.7</v>
      </c>
      <c r="AB40" s="17">
        <v>62.2</v>
      </c>
      <c r="AC40" s="17"/>
      <c r="AD40" s="17"/>
      <c r="AE40" s="17"/>
      <c r="AF40" s="17"/>
      <c r="AG40" s="17">
        <v>98.3</v>
      </c>
      <c r="AH40" s="17">
        <v>83.4</v>
      </c>
      <c r="AI40" s="17"/>
      <c r="AJ40" s="17">
        <v>99.1</v>
      </c>
      <c r="AK40" s="17"/>
      <c r="AL40" s="17">
        <v>6.5</v>
      </c>
      <c r="AM40" s="17">
        <v>234.2</v>
      </c>
      <c r="AN40" s="17">
        <v>62.4</v>
      </c>
      <c r="AO40" s="17">
        <v>67.400000000000006</v>
      </c>
      <c r="AP40" s="17">
        <v>38.200000000000003</v>
      </c>
      <c r="AQ40" s="17">
        <v>18.600000000000001</v>
      </c>
      <c r="AR40" s="17">
        <v>18.8</v>
      </c>
      <c r="AS40" s="17">
        <v>89.9</v>
      </c>
      <c r="AT40" s="17">
        <v>176</v>
      </c>
      <c r="AU40" s="17">
        <v>177</v>
      </c>
      <c r="AV40" s="17">
        <v>182</v>
      </c>
      <c r="AW40" s="17">
        <v>107.7</v>
      </c>
      <c r="AX40" s="17">
        <v>0</v>
      </c>
      <c r="AY40" s="17">
        <v>41.7</v>
      </c>
      <c r="AZ40" s="17">
        <v>3.6</v>
      </c>
      <c r="BA40" s="17">
        <v>12.9</v>
      </c>
      <c r="BB40" s="17">
        <v>151.5</v>
      </c>
      <c r="BC40" s="17"/>
      <c r="BD40" s="17"/>
      <c r="BE40" s="17">
        <v>0</v>
      </c>
      <c r="BF40" s="17">
        <v>0</v>
      </c>
      <c r="BG40" s="17"/>
      <c r="BH40" s="17">
        <v>43.8</v>
      </c>
      <c r="BI40" s="17"/>
      <c r="BJ40" s="17"/>
      <c r="BK40" s="17"/>
      <c r="BL40" s="17">
        <v>124.9</v>
      </c>
      <c r="BM40" s="17">
        <v>167.6</v>
      </c>
      <c r="BN40" s="17">
        <v>165.8</v>
      </c>
      <c r="BO40" s="17">
        <v>171.9</v>
      </c>
      <c r="BP40" s="17">
        <v>254.1</v>
      </c>
      <c r="BQ40" s="17">
        <v>0</v>
      </c>
      <c r="BR40" s="17"/>
      <c r="BS40" s="17"/>
      <c r="BT40" s="17"/>
      <c r="BU40" s="17"/>
      <c r="BV40" s="17">
        <v>35.9</v>
      </c>
      <c r="BW40" s="17"/>
      <c r="BX40" s="17"/>
      <c r="BY40" s="17">
        <v>2.9</v>
      </c>
      <c r="BZ40" s="17">
        <v>102.4</v>
      </c>
      <c r="CA40" s="17">
        <v>114.9</v>
      </c>
      <c r="CB40" s="17">
        <v>61</v>
      </c>
      <c r="CC40" s="17">
        <v>72.099999999999994</v>
      </c>
      <c r="CD40" s="17">
        <v>29</v>
      </c>
      <c r="CE40" s="17">
        <v>0</v>
      </c>
      <c r="CF40" s="17"/>
      <c r="CG40" s="17"/>
      <c r="CH40" s="17">
        <v>140.6</v>
      </c>
      <c r="CI40" s="17">
        <v>143.19999999999999</v>
      </c>
      <c r="CJ40" s="17">
        <v>146</v>
      </c>
      <c r="CK40" s="17">
        <v>0</v>
      </c>
      <c r="CL40" s="17"/>
      <c r="CM40" s="17"/>
      <c r="CN40" s="17"/>
      <c r="CO40" s="17"/>
      <c r="CP40" s="17">
        <v>206.1</v>
      </c>
      <c r="CQ40" s="17">
        <v>98.9</v>
      </c>
      <c r="CR40" s="17">
        <v>7.8</v>
      </c>
      <c r="CS40" s="17">
        <v>3.6</v>
      </c>
      <c r="CT40" s="17">
        <v>9.9</v>
      </c>
      <c r="CU40" s="17">
        <v>0.8</v>
      </c>
      <c r="CV40" s="17">
        <v>58.3</v>
      </c>
      <c r="CW40" s="17">
        <v>67.2</v>
      </c>
      <c r="CX40" s="17">
        <v>13</v>
      </c>
      <c r="CY40" s="17">
        <v>0.3</v>
      </c>
      <c r="CZ40" s="17">
        <v>16</v>
      </c>
      <c r="DA40" s="17">
        <v>9.9</v>
      </c>
      <c r="DB40" s="17">
        <v>1.6</v>
      </c>
      <c r="DC40" s="17">
        <v>163.5</v>
      </c>
      <c r="DD40" s="17">
        <v>82.8</v>
      </c>
      <c r="DE40" s="17">
        <v>1.3</v>
      </c>
      <c r="DF40" s="17">
        <v>2.1</v>
      </c>
      <c r="DG40" s="17">
        <v>2.6</v>
      </c>
      <c r="DH40" s="17">
        <v>20.399999999999999</v>
      </c>
      <c r="DI40" s="17">
        <v>10</v>
      </c>
      <c r="DJ40" s="17">
        <v>8.3000000000000007</v>
      </c>
      <c r="DK40" s="17"/>
      <c r="DL40" s="17">
        <v>7.5</v>
      </c>
      <c r="DM40" s="17">
        <v>12.6</v>
      </c>
      <c r="DN40" s="17">
        <v>15.9</v>
      </c>
      <c r="DO40" s="17">
        <v>15.2</v>
      </c>
      <c r="DP40" s="17">
        <v>47.2</v>
      </c>
      <c r="DQ40" s="17">
        <v>14.5</v>
      </c>
      <c r="DR40" s="17">
        <v>3</v>
      </c>
      <c r="DS40" s="17">
        <v>0</v>
      </c>
      <c r="DT40" s="17">
        <v>1.7</v>
      </c>
      <c r="DU40" s="17"/>
      <c r="DV40" s="17">
        <v>0.3</v>
      </c>
      <c r="DW40" s="17">
        <v>14.1</v>
      </c>
      <c r="DX40" s="17">
        <v>4.2</v>
      </c>
      <c r="DY40" s="17">
        <v>8.3000000000000007</v>
      </c>
      <c r="DZ40" s="17">
        <v>12.9</v>
      </c>
      <c r="EA40" s="17">
        <v>15.6</v>
      </c>
      <c r="EB40" s="17">
        <v>21</v>
      </c>
      <c r="EC40" s="17">
        <v>29.1</v>
      </c>
      <c r="ED40" s="17">
        <v>35.6</v>
      </c>
      <c r="EE40" s="17">
        <v>44.4</v>
      </c>
      <c r="EF40" s="17">
        <v>6.4</v>
      </c>
      <c r="EG40" s="17">
        <v>4.8</v>
      </c>
      <c r="EH40" s="17">
        <v>1.3</v>
      </c>
      <c r="EI40" s="17">
        <v>9.9</v>
      </c>
      <c r="EJ40" s="17">
        <v>3.4</v>
      </c>
      <c r="EK40" s="17">
        <v>4.4000000000000004</v>
      </c>
      <c r="EL40" s="17">
        <v>8.6</v>
      </c>
      <c r="EM40" s="17">
        <v>9.4</v>
      </c>
      <c r="EN40" s="17">
        <v>9.6999999999999993</v>
      </c>
      <c r="EO40" s="17">
        <v>15.6</v>
      </c>
      <c r="EP40" s="17">
        <v>207.4</v>
      </c>
      <c r="EQ40" s="17">
        <v>10.199999999999999</v>
      </c>
      <c r="ER40" s="17">
        <v>115.1</v>
      </c>
      <c r="ES40" s="17">
        <v>0.6</v>
      </c>
      <c r="ET40" s="17">
        <v>73.099999999999994</v>
      </c>
      <c r="EU40" s="17">
        <v>82.6</v>
      </c>
      <c r="EV40" s="17">
        <v>84</v>
      </c>
      <c r="EW40" s="17"/>
      <c r="EX40" s="17">
        <v>2</v>
      </c>
      <c r="EY40" s="17"/>
      <c r="EZ40" s="17"/>
      <c r="FA40" s="17">
        <v>10</v>
      </c>
      <c r="FB40" s="17">
        <v>10</v>
      </c>
      <c r="FC40" s="17">
        <v>19.8</v>
      </c>
      <c r="FD40" s="17">
        <v>19</v>
      </c>
      <c r="FE40" s="17">
        <v>5.7</v>
      </c>
      <c r="FF40" s="17">
        <v>34</v>
      </c>
      <c r="FG40" s="17"/>
      <c r="FH40" s="17">
        <v>18.100000000000001</v>
      </c>
      <c r="FI40" s="17"/>
      <c r="FJ40" s="17"/>
      <c r="FK40" s="17">
        <v>10.9</v>
      </c>
      <c r="FL40" s="17"/>
      <c r="FM40" s="17">
        <v>7977.6</v>
      </c>
      <c r="FN40" s="15"/>
      <c r="FO40" s="17">
        <v>18.100000000000001</v>
      </c>
      <c r="FP40" s="17">
        <v>3.6160000000000001</v>
      </c>
      <c r="FQ40" s="17">
        <v>10.6</v>
      </c>
      <c r="FR40" s="17">
        <v>9.6</v>
      </c>
      <c r="FS40" s="17">
        <v>24.46181</v>
      </c>
      <c r="FT40" s="17">
        <v>18.956600000000002</v>
      </c>
      <c r="FU40" s="17">
        <v>11.5</v>
      </c>
      <c r="FV40" s="17">
        <v>0</v>
      </c>
      <c r="FW40" s="17">
        <v>96.834410000000005</v>
      </c>
    </row>
    <row r="41" spans="1:179" ht="24" customHeight="1" x14ac:dyDescent="0.3">
      <c r="A41" s="16" t="s">
        <v>67</v>
      </c>
      <c r="B41" s="16" t="s">
        <v>838</v>
      </c>
      <c r="C41" s="17">
        <v>104.2</v>
      </c>
      <c r="D41" s="17">
        <v>600.5</v>
      </c>
      <c r="E41" s="17">
        <v>204.1</v>
      </c>
      <c r="F41" s="17">
        <v>7.2</v>
      </c>
      <c r="G41" s="17">
        <v>7.2</v>
      </c>
      <c r="H41" s="17">
        <v>12.2</v>
      </c>
      <c r="I41" s="17">
        <v>129.5</v>
      </c>
      <c r="J41" s="17"/>
      <c r="K41" s="17">
        <v>81.5</v>
      </c>
      <c r="L41" s="17">
        <v>178.1</v>
      </c>
      <c r="M41" s="17">
        <v>0</v>
      </c>
      <c r="N41" s="17">
        <v>200.9</v>
      </c>
      <c r="O41" s="17">
        <v>188.8</v>
      </c>
      <c r="P41" s="17">
        <v>202.6</v>
      </c>
      <c r="Q41" s="17">
        <v>104.8</v>
      </c>
      <c r="R41" s="17">
        <v>556.6</v>
      </c>
      <c r="S41" s="17"/>
      <c r="T41" s="17"/>
      <c r="U41" s="17"/>
      <c r="V41" s="17"/>
      <c r="W41" s="17">
        <v>166.7</v>
      </c>
      <c r="X41" s="17">
        <v>7.6</v>
      </c>
      <c r="Y41" s="17">
        <v>5.4</v>
      </c>
      <c r="Z41" s="17">
        <v>0</v>
      </c>
      <c r="AA41" s="17">
        <v>6.8</v>
      </c>
      <c r="AB41" s="17">
        <v>61.4</v>
      </c>
      <c r="AC41" s="17"/>
      <c r="AD41" s="17"/>
      <c r="AE41" s="17"/>
      <c r="AF41" s="17"/>
      <c r="AG41" s="17">
        <v>110.2</v>
      </c>
      <c r="AH41" s="17">
        <v>114.8</v>
      </c>
      <c r="AI41" s="17"/>
      <c r="AJ41" s="17">
        <v>101.9</v>
      </c>
      <c r="AK41" s="17"/>
      <c r="AL41" s="17">
        <v>6.5</v>
      </c>
      <c r="AM41" s="17">
        <v>233.8</v>
      </c>
      <c r="AN41" s="17">
        <v>64.400000000000006</v>
      </c>
      <c r="AO41" s="17">
        <v>58.3</v>
      </c>
      <c r="AP41" s="17">
        <v>41.5</v>
      </c>
      <c r="AQ41" s="17">
        <v>18.600000000000001</v>
      </c>
      <c r="AR41" s="17">
        <v>18.8</v>
      </c>
      <c r="AS41" s="17">
        <v>92.5</v>
      </c>
      <c r="AT41" s="17">
        <v>178.6</v>
      </c>
      <c r="AU41" s="17">
        <v>178.6</v>
      </c>
      <c r="AV41" s="17">
        <v>181</v>
      </c>
      <c r="AW41" s="17">
        <v>108.6</v>
      </c>
      <c r="AX41" s="17">
        <v>0</v>
      </c>
      <c r="AY41" s="17">
        <v>41</v>
      </c>
      <c r="AZ41" s="17">
        <v>3.6</v>
      </c>
      <c r="BA41" s="17">
        <v>13.1</v>
      </c>
      <c r="BB41" s="17">
        <v>47.9</v>
      </c>
      <c r="BC41" s="17"/>
      <c r="BD41" s="17"/>
      <c r="BE41" s="17">
        <v>0</v>
      </c>
      <c r="BF41" s="17">
        <v>0</v>
      </c>
      <c r="BG41" s="17"/>
      <c r="BH41" s="17">
        <v>43.7</v>
      </c>
      <c r="BI41" s="17"/>
      <c r="BJ41" s="17"/>
      <c r="BK41" s="17"/>
      <c r="BL41" s="17">
        <v>125</v>
      </c>
      <c r="BM41" s="17">
        <v>157.6</v>
      </c>
      <c r="BN41" s="17">
        <v>157.4</v>
      </c>
      <c r="BO41" s="17">
        <v>158.30000000000001</v>
      </c>
      <c r="BP41" s="17">
        <v>248.8</v>
      </c>
      <c r="BQ41" s="17">
        <v>0</v>
      </c>
      <c r="BR41" s="17"/>
      <c r="BS41" s="17"/>
      <c r="BT41" s="17"/>
      <c r="BU41" s="17"/>
      <c r="BV41" s="17">
        <v>36.5</v>
      </c>
      <c r="BW41" s="17"/>
      <c r="BX41" s="17"/>
      <c r="BY41" s="17">
        <v>2.9</v>
      </c>
      <c r="BZ41" s="17">
        <v>21</v>
      </c>
      <c r="CA41" s="17">
        <v>107.6</v>
      </c>
      <c r="CB41" s="17">
        <v>61.3</v>
      </c>
      <c r="CC41" s="17">
        <v>72.099999999999994</v>
      </c>
      <c r="CD41" s="17">
        <v>28.7</v>
      </c>
      <c r="CE41" s="17">
        <v>0</v>
      </c>
      <c r="CF41" s="17"/>
      <c r="CG41" s="17"/>
      <c r="CH41" s="17">
        <v>140.30000000000001</v>
      </c>
      <c r="CI41" s="17">
        <v>142.9</v>
      </c>
      <c r="CJ41" s="17">
        <v>146</v>
      </c>
      <c r="CK41" s="17">
        <v>0</v>
      </c>
      <c r="CL41" s="17"/>
      <c r="CM41" s="17"/>
      <c r="CN41" s="17"/>
      <c r="CO41" s="17"/>
      <c r="CP41" s="17">
        <v>206.5</v>
      </c>
      <c r="CQ41" s="17">
        <v>99.1</v>
      </c>
      <c r="CR41" s="17">
        <v>7.8</v>
      </c>
      <c r="CS41" s="17">
        <v>3.6</v>
      </c>
      <c r="CT41" s="17">
        <v>10</v>
      </c>
      <c r="CU41" s="17">
        <v>0.7</v>
      </c>
      <c r="CV41" s="17">
        <v>67.7</v>
      </c>
      <c r="CW41" s="17">
        <v>64.3</v>
      </c>
      <c r="CX41" s="17">
        <v>13</v>
      </c>
      <c r="CY41" s="17">
        <v>0.3</v>
      </c>
      <c r="CZ41" s="17">
        <v>16.2</v>
      </c>
      <c r="DA41" s="17">
        <v>9.9</v>
      </c>
      <c r="DB41" s="17">
        <v>1</v>
      </c>
      <c r="DC41" s="17">
        <v>155.4</v>
      </c>
      <c r="DD41" s="17">
        <v>78.8</v>
      </c>
      <c r="DE41" s="17">
        <v>1.3</v>
      </c>
      <c r="DF41" s="17">
        <v>2.1</v>
      </c>
      <c r="DG41" s="17">
        <v>2.5</v>
      </c>
      <c r="DH41" s="17">
        <v>20.7</v>
      </c>
      <c r="DI41" s="17">
        <v>9.9</v>
      </c>
      <c r="DJ41" s="17">
        <v>8.1999999999999993</v>
      </c>
      <c r="DK41" s="17"/>
      <c r="DL41" s="17">
        <v>7.5</v>
      </c>
      <c r="DM41" s="17">
        <v>12.2</v>
      </c>
      <c r="DN41" s="17">
        <v>15.3</v>
      </c>
      <c r="DO41" s="17">
        <v>19</v>
      </c>
      <c r="DP41" s="17">
        <v>56.1</v>
      </c>
      <c r="DQ41" s="17">
        <v>12.9</v>
      </c>
      <c r="DR41" s="17">
        <v>3</v>
      </c>
      <c r="DS41" s="17">
        <v>0</v>
      </c>
      <c r="DT41" s="17">
        <v>1.7</v>
      </c>
      <c r="DU41" s="17"/>
      <c r="DV41" s="17">
        <v>0.2</v>
      </c>
      <c r="DW41" s="17">
        <v>14.1</v>
      </c>
      <c r="DX41" s="17">
        <v>4.3</v>
      </c>
      <c r="DY41" s="17">
        <v>8.4</v>
      </c>
      <c r="DZ41" s="17">
        <v>12.9</v>
      </c>
      <c r="EA41" s="17">
        <v>11.3</v>
      </c>
      <c r="EB41" s="17">
        <v>17.5</v>
      </c>
      <c r="EC41" s="17">
        <v>27.6</v>
      </c>
      <c r="ED41" s="17">
        <v>45.4</v>
      </c>
      <c r="EE41" s="17">
        <v>53.2</v>
      </c>
      <c r="EF41" s="17">
        <v>6.7</v>
      </c>
      <c r="EG41" s="17">
        <v>7</v>
      </c>
      <c r="EH41" s="17">
        <v>1.3</v>
      </c>
      <c r="EI41" s="17">
        <v>10.199999999999999</v>
      </c>
      <c r="EJ41" s="17">
        <v>3.5</v>
      </c>
      <c r="EK41" s="17">
        <v>4.4000000000000004</v>
      </c>
      <c r="EL41" s="17">
        <v>8.6</v>
      </c>
      <c r="EM41" s="17">
        <v>9.4</v>
      </c>
      <c r="EN41" s="17">
        <v>9.6999999999999993</v>
      </c>
      <c r="EO41" s="17">
        <v>15.6</v>
      </c>
      <c r="EP41" s="17">
        <v>197</v>
      </c>
      <c r="EQ41" s="17">
        <v>8.1</v>
      </c>
      <c r="ER41" s="17">
        <v>109.8</v>
      </c>
      <c r="ES41" s="17">
        <v>0.6</v>
      </c>
      <c r="ET41" s="17">
        <v>94.7</v>
      </c>
      <c r="EU41" s="17">
        <v>109.9</v>
      </c>
      <c r="EV41" s="17">
        <v>80.5</v>
      </c>
      <c r="EW41" s="17"/>
      <c r="EX41" s="17">
        <v>2</v>
      </c>
      <c r="EY41" s="17"/>
      <c r="EZ41" s="17"/>
      <c r="FA41" s="17">
        <v>7.9</v>
      </c>
      <c r="FB41" s="17">
        <v>10</v>
      </c>
      <c r="FC41" s="17">
        <v>19.399999999999999</v>
      </c>
      <c r="FD41" s="17">
        <v>18.5</v>
      </c>
      <c r="FE41" s="17">
        <v>8.3000000000000007</v>
      </c>
      <c r="FF41" s="17">
        <v>33.5</v>
      </c>
      <c r="FG41" s="17"/>
      <c r="FH41" s="17">
        <v>18.399999999999999</v>
      </c>
      <c r="FI41" s="17"/>
      <c r="FJ41" s="17"/>
      <c r="FK41" s="17">
        <v>10.3</v>
      </c>
      <c r="FL41" s="17"/>
      <c r="FM41" s="17">
        <v>7996.8</v>
      </c>
      <c r="FN41" s="15"/>
      <c r="FO41" s="17">
        <v>18.100000000000001</v>
      </c>
      <c r="FP41" s="17">
        <v>3.6539999999999999</v>
      </c>
      <c r="FQ41" s="17">
        <v>10.6</v>
      </c>
      <c r="FR41" s="17">
        <v>9.6</v>
      </c>
      <c r="FS41" s="17">
        <v>24.37763</v>
      </c>
      <c r="FT41" s="17">
        <v>18.956489999999999</v>
      </c>
      <c r="FU41" s="17">
        <v>11.4</v>
      </c>
      <c r="FV41" s="17">
        <v>0</v>
      </c>
      <c r="FW41" s="17">
        <v>96.688119999999998</v>
      </c>
    </row>
    <row r="42" spans="1:179" ht="24" customHeight="1" x14ac:dyDescent="0.3">
      <c r="A42" s="18" t="s">
        <v>67</v>
      </c>
      <c r="B42" s="18" t="s">
        <v>839</v>
      </c>
      <c r="C42" s="19">
        <v>104.5</v>
      </c>
      <c r="D42" s="19">
        <v>607.9</v>
      </c>
      <c r="E42" s="19">
        <v>203.9</v>
      </c>
      <c r="F42" s="19">
        <v>7.3</v>
      </c>
      <c r="G42" s="19">
        <v>7.2</v>
      </c>
      <c r="H42" s="19">
        <v>12.6</v>
      </c>
      <c r="I42" s="19">
        <v>126.7</v>
      </c>
      <c r="J42" s="19"/>
      <c r="K42" s="19">
        <v>80.7</v>
      </c>
      <c r="L42" s="19">
        <v>178.2</v>
      </c>
      <c r="M42" s="19">
        <v>0</v>
      </c>
      <c r="N42" s="19">
        <v>200</v>
      </c>
      <c r="O42" s="19">
        <v>188.6</v>
      </c>
      <c r="P42" s="19">
        <v>203.5</v>
      </c>
      <c r="Q42" s="19">
        <v>105.7</v>
      </c>
      <c r="R42" s="19">
        <v>569</v>
      </c>
      <c r="S42" s="19"/>
      <c r="T42" s="19"/>
      <c r="U42" s="19"/>
      <c r="V42" s="19"/>
      <c r="W42" s="19">
        <v>168.5</v>
      </c>
      <c r="X42" s="19">
        <v>8</v>
      </c>
      <c r="Y42" s="19">
        <v>5.6</v>
      </c>
      <c r="Z42" s="19">
        <v>0</v>
      </c>
      <c r="AA42" s="19">
        <v>6.8</v>
      </c>
      <c r="AB42" s="19">
        <v>82.9</v>
      </c>
      <c r="AC42" s="19"/>
      <c r="AD42" s="19"/>
      <c r="AE42" s="19"/>
      <c r="AF42" s="19"/>
      <c r="AG42" s="19">
        <v>110.4</v>
      </c>
      <c r="AH42" s="19">
        <v>110.5</v>
      </c>
      <c r="AI42" s="19"/>
      <c r="AJ42" s="19">
        <v>106.8</v>
      </c>
      <c r="AK42" s="19"/>
      <c r="AL42" s="19">
        <v>6.5</v>
      </c>
      <c r="AM42" s="19">
        <v>234.9</v>
      </c>
      <c r="AN42" s="19">
        <v>66.900000000000006</v>
      </c>
      <c r="AO42" s="19">
        <v>31.5</v>
      </c>
      <c r="AP42" s="19">
        <v>40.9</v>
      </c>
      <c r="AQ42" s="19">
        <v>18.600000000000001</v>
      </c>
      <c r="AR42" s="19">
        <v>18.8</v>
      </c>
      <c r="AS42" s="19">
        <v>94.3</v>
      </c>
      <c r="AT42" s="19">
        <v>182.5</v>
      </c>
      <c r="AU42" s="19">
        <v>182.2</v>
      </c>
      <c r="AV42" s="19">
        <v>186.2</v>
      </c>
      <c r="AW42" s="19">
        <v>108.7</v>
      </c>
      <c r="AX42" s="19">
        <v>0</v>
      </c>
      <c r="AY42" s="19">
        <v>42.8</v>
      </c>
      <c r="AZ42" s="19">
        <v>3.6</v>
      </c>
      <c r="BA42" s="19">
        <v>13.3</v>
      </c>
      <c r="BB42" s="19">
        <v>68.8</v>
      </c>
      <c r="BC42" s="19"/>
      <c r="BD42" s="19"/>
      <c r="BE42" s="19">
        <v>0</v>
      </c>
      <c r="BF42" s="19">
        <v>0</v>
      </c>
      <c r="BG42" s="19"/>
      <c r="BH42" s="19">
        <v>43.7</v>
      </c>
      <c r="BI42" s="19"/>
      <c r="BJ42" s="19"/>
      <c r="BK42" s="19"/>
      <c r="BL42" s="19">
        <v>126.6</v>
      </c>
      <c r="BM42" s="19">
        <v>167.1</v>
      </c>
      <c r="BN42" s="19">
        <v>164.8</v>
      </c>
      <c r="BO42" s="19">
        <v>173.5</v>
      </c>
      <c r="BP42" s="19">
        <v>248.7</v>
      </c>
      <c r="BQ42" s="19">
        <v>20</v>
      </c>
      <c r="BR42" s="19"/>
      <c r="BS42" s="19"/>
      <c r="BT42" s="19"/>
      <c r="BU42" s="19"/>
      <c r="BV42" s="19">
        <v>37.299999999999997</v>
      </c>
      <c r="BW42" s="19"/>
      <c r="BX42" s="19"/>
      <c r="BY42" s="19">
        <v>2.9</v>
      </c>
      <c r="BZ42" s="19">
        <v>38.1</v>
      </c>
      <c r="CA42" s="19">
        <v>121.1</v>
      </c>
      <c r="CB42" s="19">
        <v>62.8</v>
      </c>
      <c r="CC42" s="19">
        <v>72.599999999999994</v>
      </c>
      <c r="CD42" s="19">
        <v>29.2</v>
      </c>
      <c r="CE42" s="19">
        <v>0</v>
      </c>
      <c r="CF42" s="19"/>
      <c r="CG42" s="19"/>
      <c r="CH42" s="19">
        <v>139.19999999999999</v>
      </c>
      <c r="CI42" s="19">
        <v>141.9</v>
      </c>
      <c r="CJ42" s="19">
        <v>145.30000000000001</v>
      </c>
      <c r="CK42" s="19">
        <v>0</v>
      </c>
      <c r="CL42" s="19"/>
      <c r="CM42" s="19"/>
      <c r="CN42" s="19"/>
      <c r="CO42" s="19"/>
      <c r="CP42" s="19">
        <v>206.7</v>
      </c>
      <c r="CQ42" s="19">
        <v>99.3</v>
      </c>
      <c r="CR42" s="19">
        <v>7.9</v>
      </c>
      <c r="CS42" s="19">
        <v>3.5</v>
      </c>
      <c r="CT42" s="19">
        <v>10.1</v>
      </c>
      <c r="CU42" s="19">
        <v>0.5</v>
      </c>
      <c r="CV42" s="19">
        <v>63.8</v>
      </c>
      <c r="CW42" s="19">
        <v>44.7</v>
      </c>
      <c r="CX42" s="19">
        <v>13</v>
      </c>
      <c r="CY42" s="19">
        <v>0.2</v>
      </c>
      <c r="CZ42" s="19">
        <v>16.3</v>
      </c>
      <c r="DA42" s="19">
        <v>10</v>
      </c>
      <c r="DB42" s="19">
        <v>1.4</v>
      </c>
      <c r="DC42" s="19">
        <v>123.3</v>
      </c>
      <c r="DD42" s="19">
        <v>64</v>
      </c>
      <c r="DE42" s="19">
        <v>1.3</v>
      </c>
      <c r="DF42" s="19">
        <v>2</v>
      </c>
      <c r="DG42" s="19">
        <v>2.5</v>
      </c>
      <c r="DH42" s="19">
        <v>20.9</v>
      </c>
      <c r="DI42" s="19">
        <v>9.9</v>
      </c>
      <c r="DJ42" s="19">
        <v>4.5</v>
      </c>
      <c r="DK42" s="19"/>
      <c r="DL42" s="19">
        <v>7.6</v>
      </c>
      <c r="DM42" s="19">
        <v>11.3</v>
      </c>
      <c r="DN42" s="19">
        <v>14.3</v>
      </c>
      <c r="DO42" s="19">
        <v>17.100000000000001</v>
      </c>
      <c r="DP42" s="19">
        <v>54.4</v>
      </c>
      <c r="DQ42" s="19">
        <v>8.5</v>
      </c>
      <c r="DR42" s="19">
        <v>3</v>
      </c>
      <c r="DS42" s="19">
        <v>0</v>
      </c>
      <c r="DT42" s="19">
        <v>1.7</v>
      </c>
      <c r="DU42" s="19"/>
      <c r="DV42" s="19">
        <v>0.2</v>
      </c>
      <c r="DW42" s="19">
        <v>14.1</v>
      </c>
      <c r="DX42" s="19">
        <v>4.3</v>
      </c>
      <c r="DY42" s="19">
        <v>8.4</v>
      </c>
      <c r="DZ42" s="19">
        <v>13</v>
      </c>
      <c r="EA42" s="19">
        <v>10</v>
      </c>
      <c r="EB42" s="19">
        <v>17.3</v>
      </c>
      <c r="EC42" s="19">
        <v>19.399999999999999</v>
      </c>
      <c r="ED42" s="19">
        <v>41.8</v>
      </c>
      <c r="EE42" s="19">
        <v>55.4</v>
      </c>
      <c r="EF42" s="19">
        <v>6.5</v>
      </c>
      <c r="EG42" s="19">
        <v>4.3</v>
      </c>
      <c r="EH42" s="19">
        <v>1.7</v>
      </c>
      <c r="EI42" s="19">
        <v>9.9</v>
      </c>
      <c r="EJ42" s="19">
        <v>3.5</v>
      </c>
      <c r="EK42" s="19">
        <v>4.4000000000000004</v>
      </c>
      <c r="EL42" s="19">
        <v>8.6</v>
      </c>
      <c r="EM42" s="19">
        <v>9.4</v>
      </c>
      <c r="EN42" s="19">
        <v>9.6999999999999993</v>
      </c>
      <c r="EO42" s="19">
        <v>15.6</v>
      </c>
      <c r="EP42" s="19">
        <v>166.2</v>
      </c>
      <c r="EQ42" s="19">
        <v>5.8</v>
      </c>
      <c r="ER42" s="19">
        <v>76.599999999999994</v>
      </c>
      <c r="ES42" s="19">
        <v>0.6</v>
      </c>
      <c r="ET42" s="19">
        <v>107.9</v>
      </c>
      <c r="EU42" s="19">
        <v>125.7</v>
      </c>
      <c r="EV42" s="19">
        <v>65.5</v>
      </c>
      <c r="EW42" s="19"/>
      <c r="EX42" s="19">
        <v>2</v>
      </c>
      <c r="EY42" s="19"/>
      <c r="EZ42" s="19"/>
      <c r="FA42" s="19">
        <v>5.5</v>
      </c>
      <c r="FB42" s="19">
        <v>10</v>
      </c>
      <c r="FC42" s="19">
        <v>19.7</v>
      </c>
      <c r="FD42" s="19">
        <v>18.899999999999999</v>
      </c>
      <c r="FE42" s="19">
        <v>8.1</v>
      </c>
      <c r="FF42" s="19">
        <v>34.1</v>
      </c>
      <c r="FG42" s="19"/>
      <c r="FH42" s="19">
        <v>18.2</v>
      </c>
      <c r="FI42" s="19"/>
      <c r="FJ42" s="19"/>
      <c r="FK42" s="19">
        <v>10</v>
      </c>
      <c r="FL42" s="19"/>
      <c r="FM42" s="19">
        <v>7986.6</v>
      </c>
      <c r="FN42" s="15"/>
      <c r="FO42" s="19">
        <v>18.100000000000001</v>
      </c>
      <c r="FP42" s="19">
        <v>3.778</v>
      </c>
      <c r="FQ42" s="19">
        <v>10.6</v>
      </c>
      <c r="FR42" s="19">
        <v>9.6</v>
      </c>
      <c r="FS42" s="19">
        <v>24.416429999999998</v>
      </c>
      <c r="FT42" s="19">
        <v>18.956009999999999</v>
      </c>
      <c r="FU42" s="19">
        <v>11.5</v>
      </c>
      <c r="FV42" s="19">
        <v>0</v>
      </c>
      <c r="FW42" s="19">
        <v>96.95044</v>
      </c>
    </row>
    <row r="43" spans="1:179" ht="24" customHeight="1" x14ac:dyDescent="0.3">
      <c r="A43" s="13" t="s">
        <v>67</v>
      </c>
      <c r="B43" s="13" t="s">
        <v>840</v>
      </c>
      <c r="C43" s="14">
        <v>104.7</v>
      </c>
      <c r="D43" s="14">
        <v>606.6</v>
      </c>
      <c r="E43" s="14">
        <v>203.8</v>
      </c>
      <c r="F43" s="14">
        <v>7.3</v>
      </c>
      <c r="G43" s="14">
        <v>7.4</v>
      </c>
      <c r="H43" s="14">
        <v>12.7</v>
      </c>
      <c r="I43" s="14">
        <v>123.3</v>
      </c>
      <c r="J43" s="14"/>
      <c r="K43" s="14">
        <v>80.599999999999994</v>
      </c>
      <c r="L43" s="14">
        <v>177.8</v>
      </c>
      <c r="M43" s="14">
        <v>0</v>
      </c>
      <c r="N43" s="14">
        <v>200.5</v>
      </c>
      <c r="O43" s="14">
        <v>188.7</v>
      </c>
      <c r="P43" s="14">
        <v>203.8</v>
      </c>
      <c r="Q43" s="14">
        <v>105.3</v>
      </c>
      <c r="R43" s="14">
        <v>563.4</v>
      </c>
      <c r="S43" s="14"/>
      <c r="T43" s="14"/>
      <c r="U43" s="14"/>
      <c r="V43" s="14"/>
      <c r="W43" s="14">
        <v>168.1</v>
      </c>
      <c r="X43" s="14">
        <v>8.1</v>
      </c>
      <c r="Y43" s="14">
        <v>5.6</v>
      </c>
      <c r="Z43" s="14">
        <v>0</v>
      </c>
      <c r="AA43" s="14">
        <v>6.7</v>
      </c>
      <c r="AB43" s="14">
        <v>83</v>
      </c>
      <c r="AC43" s="14"/>
      <c r="AD43" s="14"/>
      <c r="AE43" s="14"/>
      <c r="AF43" s="14"/>
      <c r="AG43" s="14">
        <v>110.6</v>
      </c>
      <c r="AH43" s="14">
        <v>142.30000000000001</v>
      </c>
      <c r="AI43" s="14"/>
      <c r="AJ43" s="14">
        <v>105.1</v>
      </c>
      <c r="AK43" s="14"/>
      <c r="AL43" s="14">
        <v>6.5</v>
      </c>
      <c r="AM43" s="14">
        <v>231.2</v>
      </c>
      <c r="AN43" s="14">
        <v>61.3</v>
      </c>
      <c r="AO43" s="14">
        <v>31.3</v>
      </c>
      <c r="AP43" s="14">
        <v>40.799999999999997</v>
      </c>
      <c r="AQ43" s="14">
        <v>18.600000000000001</v>
      </c>
      <c r="AR43" s="14">
        <v>18.8</v>
      </c>
      <c r="AS43" s="14">
        <v>93.3</v>
      </c>
      <c r="AT43" s="14">
        <v>180.8</v>
      </c>
      <c r="AU43" s="14">
        <v>181.3</v>
      </c>
      <c r="AV43" s="14">
        <v>182.2</v>
      </c>
      <c r="AW43" s="14">
        <v>109.2</v>
      </c>
      <c r="AX43" s="14">
        <v>26</v>
      </c>
      <c r="AY43" s="14">
        <v>42.9</v>
      </c>
      <c r="AZ43" s="14">
        <v>3.6</v>
      </c>
      <c r="BA43" s="14">
        <v>13.2</v>
      </c>
      <c r="BB43" s="14">
        <v>151</v>
      </c>
      <c r="BC43" s="14"/>
      <c r="BD43" s="14"/>
      <c r="BE43" s="14">
        <v>0</v>
      </c>
      <c r="BF43" s="14">
        <v>0</v>
      </c>
      <c r="BG43" s="14"/>
      <c r="BH43" s="14">
        <v>43.9</v>
      </c>
      <c r="BI43" s="14"/>
      <c r="BJ43" s="14"/>
      <c r="BK43" s="14"/>
      <c r="BL43" s="14">
        <v>126.3</v>
      </c>
      <c r="BM43" s="14">
        <v>163.4</v>
      </c>
      <c r="BN43" s="14">
        <v>163.30000000000001</v>
      </c>
      <c r="BO43" s="14">
        <v>170.1</v>
      </c>
      <c r="BP43" s="14">
        <v>250.4</v>
      </c>
      <c r="BQ43" s="14">
        <v>72.8</v>
      </c>
      <c r="BR43" s="14"/>
      <c r="BS43" s="14"/>
      <c r="BT43" s="14"/>
      <c r="BU43" s="14"/>
      <c r="BV43" s="14">
        <v>37.1</v>
      </c>
      <c r="BW43" s="14"/>
      <c r="BX43" s="14"/>
      <c r="BY43" s="14">
        <v>2.9</v>
      </c>
      <c r="BZ43" s="14">
        <v>41.9</v>
      </c>
      <c r="CA43" s="14">
        <v>121.2</v>
      </c>
      <c r="CB43" s="14">
        <v>62.2</v>
      </c>
      <c r="CC43" s="14">
        <v>72.2</v>
      </c>
      <c r="CD43" s="14">
        <v>29</v>
      </c>
      <c r="CE43" s="14">
        <v>0</v>
      </c>
      <c r="CF43" s="14"/>
      <c r="CG43" s="14"/>
      <c r="CH43" s="14">
        <v>139.5</v>
      </c>
      <c r="CI43" s="14">
        <v>142.30000000000001</v>
      </c>
      <c r="CJ43" s="14">
        <v>145.5</v>
      </c>
      <c r="CK43" s="14">
        <v>129.30000000000001</v>
      </c>
      <c r="CL43" s="14"/>
      <c r="CM43" s="14"/>
      <c r="CN43" s="14"/>
      <c r="CO43" s="14"/>
      <c r="CP43" s="14">
        <v>207.1</v>
      </c>
      <c r="CQ43" s="14">
        <v>99.6</v>
      </c>
      <c r="CR43" s="14">
        <v>7.9</v>
      </c>
      <c r="CS43" s="14">
        <v>3.5</v>
      </c>
      <c r="CT43" s="14">
        <v>10</v>
      </c>
      <c r="CU43" s="14">
        <v>0.2</v>
      </c>
      <c r="CV43" s="14">
        <v>65.099999999999994</v>
      </c>
      <c r="CW43" s="14">
        <v>20.8</v>
      </c>
      <c r="CX43" s="14">
        <v>12.8</v>
      </c>
      <c r="CY43" s="14">
        <v>0.1</v>
      </c>
      <c r="CZ43" s="14">
        <v>16.3</v>
      </c>
      <c r="DA43" s="14">
        <v>9.9</v>
      </c>
      <c r="DB43" s="14">
        <v>1.3</v>
      </c>
      <c r="DC43" s="14">
        <v>61.9</v>
      </c>
      <c r="DD43" s="14">
        <v>32.5</v>
      </c>
      <c r="DE43" s="14">
        <v>1.3</v>
      </c>
      <c r="DF43" s="14">
        <v>2</v>
      </c>
      <c r="DG43" s="14">
        <v>2.5</v>
      </c>
      <c r="DH43" s="14">
        <v>20.7</v>
      </c>
      <c r="DI43" s="14">
        <v>9.9</v>
      </c>
      <c r="DJ43" s="14">
        <v>4.5</v>
      </c>
      <c r="DK43" s="14"/>
      <c r="DL43" s="14">
        <v>7.7</v>
      </c>
      <c r="DM43" s="14">
        <v>7</v>
      </c>
      <c r="DN43" s="14">
        <v>10.4</v>
      </c>
      <c r="DO43" s="14">
        <v>17.899999999999999</v>
      </c>
      <c r="DP43" s="14">
        <v>58.7</v>
      </c>
      <c r="DQ43" s="14">
        <v>2.2000000000000002</v>
      </c>
      <c r="DR43" s="14">
        <v>3</v>
      </c>
      <c r="DS43" s="14">
        <v>0</v>
      </c>
      <c r="DT43" s="14">
        <v>1.8</v>
      </c>
      <c r="DU43" s="14"/>
      <c r="DV43" s="14">
        <v>0.1</v>
      </c>
      <c r="DW43" s="14">
        <v>14.1</v>
      </c>
      <c r="DX43" s="14">
        <v>4.5999999999999996</v>
      </c>
      <c r="DY43" s="14">
        <v>8.4</v>
      </c>
      <c r="DZ43" s="14">
        <v>13.2</v>
      </c>
      <c r="EA43" s="14">
        <v>9.1</v>
      </c>
      <c r="EB43" s="14">
        <v>17.600000000000001</v>
      </c>
      <c r="EC43" s="14">
        <v>9.6</v>
      </c>
      <c r="ED43" s="14">
        <v>42.6</v>
      </c>
      <c r="EE43" s="14">
        <v>60.5</v>
      </c>
      <c r="EF43" s="14">
        <v>6.1</v>
      </c>
      <c r="EG43" s="14">
        <v>3.4</v>
      </c>
      <c r="EH43" s="14">
        <v>0.6</v>
      </c>
      <c r="EI43" s="14">
        <v>9.6999999999999993</v>
      </c>
      <c r="EJ43" s="14">
        <v>3.5</v>
      </c>
      <c r="EK43" s="14">
        <v>4.4000000000000004</v>
      </c>
      <c r="EL43" s="14">
        <v>8.4</v>
      </c>
      <c r="EM43" s="14">
        <v>9.4</v>
      </c>
      <c r="EN43" s="14">
        <v>9.6999999999999993</v>
      </c>
      <c r="EO43" s="14">
        <v>15.6</v>
      </c>
      <c r="EP43" s="14">
        <v>87.9</v>
      </c>
      <c r="EQ43" s="14">
        <v>2.4</v>
      </c>
      <c r="ER43" s="14">
        <v>36.299999999999997</v>
      </c>
      <c r="ES43" s="14">
        <v>0.6</v>
      </c>
      <c r="ET43" s="14">
        <v>113.9</v>
      </c>
      <c r="EU43" s="14">
        <v>133.69999999999999</v>
      </c>
      <c r="EV43" s="14">
        <v>31.9</v>
      </c>
      <c r="EW43" s="14"/>
      <c r="EX43" s="14">
        <v>2</v>
      </c>
      <c r="EY43" s="14"/>
      <c r="EZ43" s="14"/>
      <c r="FA43" s="14">
        <v>3</v>
      </c>
      <c r="FB43" s="14">
        <v>10</v>
      </c>
      <c r="FC43" s="14">
        <v>19.399999999999999</v>
      </c>
      <c r="FD43" s="14">
        <v>18.3</v>
      </c>
      <c r="FE43" s="14">
        <v>8</v>
      </c>
      <c r="FF43" s="14">
        <v>34.200000000000003</v>
      </c>
      <c r="FG43" s="14"/>
      <c r="FH43" s="14">
        <v>17.8</v>
      </c>
      <c r="FI43" s="14"/>
      <c r="FJ43" s="14"/>
      <c r="FK43" s="14">
        <v>10.8</v>
      </c>
      <c r="FL43" s="14"/>
      <c r="FM43" s="14">
        <v>8000.1</v>
      </c>
      <c r="FN43" s="15"/>
      <c r="FO43" s="14">
        <v>18.100000000000001</v>
      </c>
      <c r="FP43" s="14">
        <v>3.859</v>
      </c>
      <c r="FQ43" s="14">
        <v>10.6</v>
      </c>
      <c r="FR43" s="14">
        <v>9.6</v>
      </c>
      <c r="FS43" s="14">
        <v>24.489989999999999</v>
      </c>
      <c r="FT43" s="14">
        <v>18.95654</v>
      </c>
      <c r="FU43" s="14">
        <v>11.5</v>
      </c>
      <c r="FV43" s="14">
        <v>0</v>
      </c>
      <c r="FW43" s="14">
        <v>97.105530000000002</v>
      </c>
    </row>
    <row r="44" spans="1:179" ht="24" customHeight="1" x14ac:dyDescent="0.3">
      <c r="A44" s="16" t="s">
        <v>67</v>
      </c>
      <c r="B44" s="16" t="s">
        <v>841</v>
      </c>
      <c r="C44" s="17">
        <v>104.2</v>
      </c>
      <c r="D44" s="17">
        <v>594.79999999999995</v>
      </c>
      <c r="E44" s="17">
        <v>203.1</v>
      </c>
      <c r="F44" s="17">
        <v>7.5</v>
      </c>
      <c r="G44" s="17">
        <v>7.2</v>
      </c>
      <c r="H44" s="17">
        <v>19.600000000000001</v>
      </c>
      <c r="I44" s="17">
        <v>117.5</v>
      </c>
      <c r="J44" s="17"/>
      <c r="K44" s="17">
        <v>80.5</v>
      </c>
      <c r="L44" s="17">
        <v>179</v>
      </c>
      <c r="M44" s="17">
        <v>0</v>
      </c>
      <c r="N44" s="17">
        <v>201.6</v>
      </c>
      <c r="O44" s="17">
        <v>190.7</v>
      </c>
      <c r="P44" s="17">
        <v>205</v>
      </c>
      <c r="Q44" s="17">
        <v>105.6</v>
      </c>
      <c r="R44" s="17">
        <v>552.6</v>
      </c>
      <c r="S44" s="17"/>
      <c r="T44" s="17"/>
      <c r="U44" s="17"/>
      <c r="V44" s="17"/>
      <c r="W44" s="17">
        <v>162.5</v>
      </c>
      <c r="X44" s="17">
        <v>7.3</v>
      </c>
      <c r="Y44" s="17">
        <v>5.3</v>
      </c>
      <c r="Z44" s="17">
        <v>16.899999999999999</v>
      </c>
      <c r="AA44" s="17">
        <v>6.8</v>
      </c>
      <c r="AB44" s="17">
        <v>140.30000000000001</v>
      </c>
      <c r="AC44" s="17"/>
      <c r="AD44" s="17"/>
      <c r="AE44" s="17"/>
      <c r="AF44" s="17"/>
      <c r="AG44" s="17">
        <v>109</v>
      </c>
      <c r="AH44" s="17">
        <v>188.3</v>
      </c>
      <c r="AI44" s="17"/>
      <c r="AJ44" s="17">
        <v>84.4</v>
      </c>
      <c r="AK44" s="17"/>
      <c r="AL44" s="17">
        <v>6.5</v>
      </c>
      <c r="AM44" s="17">
        <v>223.2</v>
      </c>
      <c r="AN44" s="17">
        <v>61.9</v>
      </c>
      <c r="AO44" s="17">
        <v>93.8</v>
      </c>
      <c r="AP44" s="17">
        <v>39</v>
      </c>
      <c r="AQ44" s="17">
        <v>18.600000000000001</v>
      </c>
      <c r="AR44" s="17">
        <v>18.8</v>
      </c>
      <c r="AS44" s="17">
        <v>90.7</v>
      </c>
      <c r="AT44" s="17">
        <v>175.8</v>
      </c>
      <c r="AU44" s="17">
        <v>175.6</v>
      </c>
      <c r="AV44" s="17">
        <v>181.5</v>
      </c>
      <c r="AW44" s="17">
        <v>107</v>
      </c>
      <c r="AX44" s="17">
        <v>17.600000000000001</v>
      </c>
      <c r="AY44" s="17">
        <v>40.5</v>
      </c>
      <c r="AZ44" s="17">
        <v>3.6</v>
      </c>
      <c r="BA44" s="17">
        <v>12.8</v>
      </c>
      <c r="BB44" s="17">
        <v>89.1</v>
      </c>
      <c r="BC44" s="17"/>
      <c r="BD44" s="17"/>
      <c r="BE44" s="17">
        <v>0</v>
      </c>
      <c r="BF44" s="17">
        <v>0</v>
      </c>
      <c r="BG44" s="17"/>
      <c r="BH44" s="17">
        <v>43.5</v>
      </c>
      <c r="BI44" s="17"/>
      <c r="BJ44" s="17"/>
      <c r="BK44" s="17"/>
      <c r="BL44" s="17">
        <v>124.1</v>
      </c>
      <c r="BM44" s="17">
        <v>168.3</v>
      </c>
      <c r="BN44" s="17">
        <v>166.4</v>
      </c>
      <c r="BO44" s="17">
        <v>171.1</v>
      </c>
      <c r="BP44" s="17">
        <v>255.5</v>
      </c>
      <c r="BQ44" s="17">
        <v>72.900000000000006</v>
      </c>
      <c r="BR44" s="17"/>
      <c r="BS44" s="17"/>
      <c r="BT44" s="17"/>
      <c r="BU44" s="17"/>
      <c r="BV44" s="17">
        <v>35.4</v>
      </c>
      <c r="BW44" s="17"/>
      <c r="BX44" s="17"/>
      <c r="BY44" s="17">
        <v>2.9</v>
      </c>
      <c r="BZ44" s="17">
        <v>49.2</v>
      </c>
      <c r="CA44" s="17">
        <v>107</v>
      </c>
      <c r="CB44" s="17">
        <v>60.4</v>
      </c>
      <c r="CC44" s="17">
        <v>75.8</v>
      </c>
      <c r="CD44" s="17">
        <v>28</v>
      </c>
      <c r="CE44" s="17">
        <v>0</v>
      </c>
      <c r="CF44" s="17"/>
      <c r="CG44" s="17"/>
      <c r="CH44" s="17">
        <v>140.6</v>
      </c>
      <c r="CI44" s="17">
        <v>143.30000000000001</v>
      </c>
      <c r="CJ44" s="17">
        <v>153.69999999999999</v>
      </c>
      <c r="CK44" s="17">
        <v>181.4</v>
      </c>
      <c r="CL44" s="17"/>
      <c r="CM44" s="17"/>
      <c r="CN44" s="17"/>
      <c r="CO44" s="17"/>
      <c r="CP44" s="17">
        <v>206.9</v>
      </c>
      <c r="CQ44" s="17">
        <v>99.7</v>
      </c>
      <c r="CR44" s="17">
        <v>7.9</v>
      </c>
      <c r="CS44" s="17">
        <v>3.6</v>
      </c>
      <c r="CT44" s="17">
        <v>10</v>
      </c>
      <c r="CU44" s="17">
        <v>0</v>
      </c>
      <c r="CV44" s="17">
        <v>52.3</v>
      </c>
      <c r="CW44" s="17">
        <v>4</v>
      </c>
      <c r="CX44" s="17">
        <v>13</v>
      </c>
      <c r="CY44" s="17">
        <v>0.1</v>
      </c>
      <c r="CZ44" s="17">
        <v>16</v>
      </c>
      <c r="DA44" s="17">
        <v>9.9</v>
      </c>
      <c r="DB44" s="17">
        <v>1.2</v>
      </c>
      <c r="DC44" s="17">
        <v>4.5999999999999996</v>
      </c>
      <c r="DD44" s="17">
        <v>2.4</v>
      </c>
      <c r="DE44" s="17">
        <v>1.3</v>
      </c>
      <c r="DF44" s="17">
        <v>2.1</v>
      </c>
      <c r="DG44" s="17">
        <v>2.5</v>
      </c>
      <c r="DH44" s="17">
        <v>20.100000000000001</v>
      </c>
      <c r="DI44" s="17">
        <v>9.9</v>
      </c>
      <c r="DJ44" s="17">
        <v>4.5</v>
      </c>
      <c r="DK44" s="17"/>
      <c r="DL44" s="17">
        <v>7.7</v>
      </c>
      <c r="DM44" s="17">
        <v>2.1</v>
      </c>
      <c r="DN44" s="17">
        <v>3</v>
      </c>
      <c r="DO44" s="17">
        <v>15.6</v>
      </c>
      <c r="DP44" s="17">
        <v>54.2</v>
      </c>
      <c r="DQ44" s="17">
        <v>0</v>
      </c>
      <c r="DR44" s="17">
        <v>3</v>
      </c>
      <c r="DS44" s="17">
        <v>0</v>
      </c>
      <c r="DT44" s="17">
        <v>1.9</v>
      </c>
      <c r="DU44" s="17"/>
      <c r="DV44" s="17">
        <v>0</v>
      </c>
      <c r="DW44" s="17">
        <v>14.1</v>
      </c>
      <c r="DX44" s="17">
        <v>4.8</v>
      </c>
      <c r="DY44" s="17">
        <v>8.1999999999999993</v>
      </c>
      <c r="DZ44" s="17">
        <v>11.2</v>
      </c>
      <c r="EA44" s="17">
        <v>11.7</v>
      </c>
      <c r="EB44" s="17">
        <v>15</v>
      </c>
      <c r="EC44" s="17">
        <v>1.5</v>
      </c>
      <c r="ED44" s="17">
        <v>48.7</v>
      </c>
      <c r="EE44" s="17">
        <v>59.4</v>
      </c>
      <c r="EF44" s="17">
        <v>7.2</v>
      </c>
      <c r="EG44" s="17">
        <v>6.5</v>
      </c>
      <c r="EH44" s="17">
        <v>0</v>
      </c>
      <c r="EI44" s="17">
        <v>9.9</v>
      </c>
      <c r="EJ44" s="17">
        <v>3.5</v>
      </c>
      <c r="EK44" s="17">
        <v>4.3</v>
      </c>
      <c r="EL44" s="17">
        <v>8.4</v>
      </c>
      <c r="EM44" s="17">
        <v>9.4</v>
      </c>
      <c r="EN44" s="17">
        <v>9.6999999999999993</v>
      </c>
      <c r="EO44" s="17">
        <v>15.4</v>
      </c>
      <c r="EP44" s="17">
        <v>6.5</v>
      </c>
      <c r="EQ44" s="17">
        <v>1.2</v>
      </c>
      <c r="ER44" s="17">
        <v>5.0999999999999996</v>
      </c>
      <c r="ES44" s="17">
        <v>0.6</v>
      </c>
      <c r="ET44" s="17">
        <v>124.7</v>
      </c>
      <c r="EU44" s="17">
        <v>154.5</v>
      </c>
      <c r="EV44" s="17">
        <v>5.8</v>
      </c>
      <c r="EW44" s="17"/>
      <c r="EX44" s="17">
        <v>2</v>
      </c>
      <c r="EY44" s="17"/>
      <c r="EZ44" s="17"/>
      <c r="FA44" s="17">
        <v>0.4</v>
      </c>
      <c r="FB44" s="17">
        <v>10</v>
      </c>
      <c r="FC44" s="17">
        <v>19.399999999999999</v>
      </c>
      <c r="FD44" s="17">
        <v>18.2</v>
      </c>
      <c r="FE44" s="17">
        <v>7.8</v>
      </c>
      <c r="FF44" s="17">
        <v>34.4</v>
      </c>
      <c r="FG44" s="17"/>
      <c r="FH44" s="17">
        <v>18</v>
      </c>
      <c r="FI44" s="17"/>
      <c r="FJ44" s="17"/>
      <c r="FK44" s="17">
        <v>10.8</v>
      </c>
      <c r="FL44" s="17"/>
      <c r="FM44" s="17">
        <v>7853</v>
      </c>
      <c r="FN44" s="15"/>
      <c r="FO44" s="17">
        <v>18.100000000000001</v>
      </c>
      <c r="FP44" s="17">
        <v>3.8530000000000002</v>
      </c>
      <c r="FQ44" s="17">
        <v>10.5</v>
      </c>
      <c r="FR44" s="17">
        <v>9.6</v>
      </c>
      <c r="FS44" s="17">
        <v>24.673680000000001</v>
      </c>
      <c r="FT44" s="17">
        <v>18.956859999999999</v>
      </c>
      <c r="FU44" s="17">
        <v>11.5</v>
      </c>
      <c r="FV44" s="17">
        <v>0</v>
      </c>
      <c r="FW44" s="17">
        <v>97.183539999999994</v>
      </c>
    </row>
    <row r="45" spans="1:179" ht="24" customHeight="1" x14ac:dyDescent="0.3">
      <c r="A45" s="16" t="s">
        <v>67</v>
      </c>
      <c r="B45" s="16" t="s">
        <v>842</v>
      </c>
      <c r="C45" s="17">
        <v>104.7</v>
      </c>
      <c r="D45" s="17">
        <v>598.9</v>
      </c>
      <c r="E45" s="17">
        <v>204.2</v>
      </c>
      <c r="F45" s="17">
        <v>7.4</v>
      </c>
      <c r="G45" s="17">
        <v>7.3</v>
      </c>
      <c r="H45" s="17">
        <v>33</v>
      </c>
      <c r="I45" s="17">
        <v>124.1</v>
      </c>
      <c r="J45" s="17"/>
      <c r="K45" s="17">
        <v>80.400000000000006</v>
      </c>
      <c r="L45" s="17">
        <v>179.5</v>
      </c>
      <c r="M45" s="17">
        <v>0</v>
      </c>
      <c r="N45" s="17">
        <v>201.7</v>
      </c>
      <c r="O45" s="17">
        <v>190</v>
      </c>
      <c r="P45" s="17">
        <v>202.7</v>
      </c>
      <c r="Q45" s="17">
        <v>105.8</v>
      </c>
      <c r="R45" s="17">
        <v>556</v>
      </c>
      <c r="S45" s="17"/>
      <c r="T45" s="17"/>
      <c r="U45" s="17"/>
      <c r="V45" s="17"/>
      <c r="W45" s="17">
        <v>163.69999999999999</v>
      </c>
      <c r="X45" s="17">
        <v>8</v>
      </c>
      <c r="Y45" s="17">
        <v>5.4</v>
      </c>
      <c r="Z45" s="17">
        <v>16.899999999999999</v>
      </c>
      <c r="AA45" s="17">
        <v>6.8</v>
      </c>
      <c r="AB45" s="17">
        <v>90.9</v>
      </c>
      <c r="AC45" s="17"/>
      <c r="AD45" s="17"/>
      <c r="AE45" s="17"/>
      <c r="AF45" s="17"/>
      <c r="AG45" s="17">
        <v>110.2</v>
      </c>
      <c r="AH45" s="17">
        <v>175.7</v>
      </c>
      <c r="AI45" s="17"/>
      <c r="AJ45" s="17">
        <v>62.1</v>
      </c>
      <c r="AK45" s="17"/>
      <c r="AL45" s="17">
        <v>6.5</v>
      </c>
      <c r="AM45" s="17">
        <v>229</v>
      </c>
      <c r="AN45" s="17">
        <v>58</v>
      </c>
      <c r="AO45" s="17">
        <v>138.4</v>
      </c>
      <c r="AP45" s="17">
        <v>40</v>
      </c>
      <c r="AQ45" s="17">
        <v>18.600000000000001</v>
      </c>
      <c r="AR45" s="17">
        <v>18.8</v>
      </c>
      <c r="AS45" s="17">
        <v>89.9</v>
      </c>
      <c r="AT45" s="17">
        <v>178.1</v>
      </c>
      <c r="AU45" s="17">
        <v>178.5</v>
      </c>
      <c r="AV45" s="17">
        <v>182</v>
      </c>
      <c r="AW45" s="17">
        <v>108</v>
      </c>
      <c r="AX45" s="17">
        <v>19.3</v>
      </c>
      <c r="AY45" s="17">
        <v>42</v>
      </c>
      <c r="AZ45" s="17">
        <v>3.6</v>
      </c>
      <c r="BA45" s="17">
        <v>13</v>
      </c>
      <c r="BB45" s="17">
        <v>112.6</v>
      </c>
      <c r="BC45" s="17"/>
      <c r="BD45" s="17"/>
      <c r="BE45" s="17">
        <v>0</v>
      </c>
      <c r="BF45" s="17">
        <v>0</v>
      </c>
      <c r="BG45" s="17"/>
      <c r="BH45" s="17">
        <v>43.8</v>
      </c>
      <c r="BI45" s="17"/>
      <c r="BJ45" s="17"/>
      <c r="BK45" s="17"/>
      <c r="BL45" s="17">
        <v>125</v>
      </c>
      <c r="BM45" s="17">
        <v>175.5</v>
      </c>
      <c r="BN45" s="17">
        <v>166.4</v>
      </c>
      <c r="BO45" s="17">
        <v>197.8</v>
      </c>
      <c r="BP45" s="17">
        <v>263</v>
      </c>
      <c r="BQ45" s="17">
        <v>72.900000000000006</v>
      </c>
      <c r="BR45" s="17"/>
      <c r="BS45" s="17"/>
      <c r="BT45" s="17"/>
      <c r="BU45" s="17"/>
      <c r="BV45" s="17">
        <v>36.200000000000003</v>
      </c>
      <c r="BW45" s="17"/>
      <c r="BX45" s="17"/>
      <c r="BY45" s="17">
        <v>2.9</v>
      </c>
      <c r="BZ45" s="17">
        <v>91.2</v>
      </c>
      <c r="CA45" s="17">
        <v>114.3</v>
      </c>
      <c r="CB45" s="17">
        <v>61.1</v>
      </c>
      <c r="CC45" s="17">
        <v>77.599999999999994</v>
      </c>
      <c r="CD45" s="17">
        <v>29.2</v>
      </c>
      <c r="CE45" s="17">
        <v>0</v>
      </c>
      <c r="CF45" s="17"/>
      <c r="CG45" s="17"/>
      <c r="CH45" s="17">
        <v>140.6</v>
      </c>
      <c r="CI45" s="17">
        <v>143.4</v>
      </c>
      <c r="CJ45" s="17">
        <v>167.5</v>
      </c>
      <c r="CK45" s="17">
        <v>181.3</v>
      </c>
      <c r="CL45" s="17"/>
      <c r="CM45" s="17"/>
      <c r="CN45" s="17"/>
      <c r="CO45" s="17"/>
      <c r="CP45" s="17">
        <v>207.5</v>
      </c>
      <c r="CQ45" s="17">
        <v>99.9</v>
      </c>
      <c r="CR45" s="17">
        <v>7.9</v>
      </c>
      <c r="CS45" s="17">
        <v>3.6</v>
      </c>
      <c r="CT45" s="17">
        <v>10</v>
      </c>
      <c r="CU45" s="17">
        <v>0</v>
      </c>
      <c r="CV45" s="17">
        <v>60.6</v>
      </c>
      <c r="CW45" s="17">
        <v>0</v>
      </c>
      <c r="CX45" s="17">
        <v>12.6</v>
      </c>
      <c r="CY45" s="17">
        <v>0</v>
      </c>
      <c r="CZ45" s="17">
        <v>16.100000000000001</v>
      </c>
      <c r="DA45" s="17">
        <v>9.9</v>
      </c>
      <c r="DB45" s="17">
        <v>3.1</v>
      </c>
      <c r="DC45" s="17">
        <v>0</v>
      </c>
      <c r="DD45" s="17">
        <v>0</v>
      </c>
      <c r="DE45" s="17">
        <v>1.3</v>
      </c>
      <c r="DF45" s="17">
        <v>2.7</v>
      </c>
      <c r="DG45" s="17">
        <v>2.6</v>
      </c>
      <c r="DH45" s="17">
        <v>20.6</v>
      </c>
      <c r="DI45" s="17">
        <v>9.9</v>
      </c>
      <c r="DJ45" s="17">
        <v>8.3000000000000007</v>
      </c>
      <c r="DK45" s="17"/>
      <c r="DL45" s="17">
        <v>7.7</v>
      </c>
      <c r="DM45" s="17">
        <v>0</v>
      </c>
      <c r="DN45" s="17">
        <v>0</v>
      </c>
      <c r="DO45" s="17">
        <v>15.8</v>
      </c>
      <c r="DP45" s="17">
        <v>55.4</v>
      </c>
      <c r="DQ45" s="17">
        <v>0</v>
      </c>
      <c r="DR45" s="17">
        <v>3</v>
      </c>
      <c r="DS45" s="17">
        <v>0</v>
      </c>
      <c r="DT45" s="17">
        <v>1.9</v>
      </c>
      <c r="DU45" s="17"/>
      <c r="DV45" s="17">
        <v>0</v>
      </c>
      <c r="DW45" s="17">
        <v>13.9</v>
      </c>
      <c r="DX45" s="17">
        <v>4.9000000000000004</v>
      </c>
      <c r="DY45" s="17">
        <v>8.3000000000000007</v>
      </c>
      <c r="DZ45" s="17">
        <v>11.5</v>
      </c>
      <c r="EA45" s="17">
        <v>11.8</v>
      </c>
      <c r="EB45" s="17">
        <v>11</v>
      </c>
      <c r="EC45" s="17">
        <v>0</v>
      </c>
      <c r="ED45" s="17">
        <v>48.2</v>
      </c>
      <c r="EE45" s="17">
        <v>57.8</v>
      </c>
      <c r="EF45" s="17">
        <v>6.4</v>
      </c>
      <c r="EG45" s="17">
        <v>5.6</v>
      </c>
      <c r="EH45" s="17">
        <v>0</v>
      </c>
      <c r="EI45" s="17">
        <v>9.9</v>
      </c>
      <c r="EJ45" s="17">
        <v>3.5</v>
      </c>
      <c r="EK45" s="17">
        <v>4.3</v>
      </c>
      <c r="EL45" s="17">
        <v>8.4</v>
      </c>
      <c r="EM45" s="17">
        <v>9.4</v>
      </c>
      <c r="EN45" s="17">
        <v>9.6999999999999993</v>
      </c>
      <c r="EO45" s="17">
        <v>14.9</v>
      </c>
      <c r="EP45" s="17">
        <v>0</v>
      </c>
      <c r="EQ45" s="17">
        <v>0</v>
      </c>
      <c r="ER45" s="17">
        <v>0</v>
      </c>
      <c r="ES45" s="17">
        <v>0.6</v>
      </c>
      <c r="ET45" s="17">
        <v>124.9</v>
      </c>
      <c r="EU45" s="17">
        <v>163.1</v>
      </c>
      <c r="EV45" s="17">
        <v>0</v>
      </c>
      <c r="EW45" s="17"/>
      <c r="EX45" s="17">
        <v>2</v>
      </c>
      <c r="EY45" s="17"/>
      <c r="EZ45" s="17"/>
      <c r="FA45" s="17">
        <v>0</v>
      </c>
      <c r="FB45" s="17">
        <v>10</v>
      </c>
      <c r="FC45" s="17">
        <v>19.399999999999999</v>
      </c>
      <c r="FD45" s="17">
        <v>18.2</v>
      </c>
      <c r="FE45" s="17">
        <v>8.6999999999999993</v>
      </c>
      <c r="FF45" s="17">
        <v>34.299999999999997</v>
      </c>
      <c r="FG45" s="17"/>
      <c r="FH45" s="17">
        <v>18.5</v>
      </c>
      <c r="FI45" s="17"/>
      <c r="FJ45" s="17"/>
      <c r="FK45" s="17">
        <v>11</v>
      </c>
      <c r="FL45" s="17"/>
      <c r="FM45" s="17">
        <v>7972</v>
      </c>
      <c r="FN45" s="15"/>
      <c r="FO45" s="17">
        <v>18.8</v>
      </c>
      <c r="FP45" s="17">
        <v>3.8490000000000002</v>
      </c>
      <c r="FQ45" s="17">
        <v>10.5</v>
      </c>
      <c r="FR45" s="17">
        <v>9.6</v>
      </c>
      <c r="FS45" s="17">
        <v>24.795349999999999</v>
      </c>
      <c r="FT45" s="17">
        <v>18.958259999999999</v>
      </c>
      <c r="FU45" s="17">
        <v>11.4</v>
      </c>
      <c r="FV45" s="17">
        <v>0</v>
      </c>
      <c r="FW45" s="17">
        <v>97.902609999999996</v>
      </c>
    </row>
    <row r="46" spans="1:179" ht="24" customHeight="1" x14ac:dyDescent="0.3">
      <c r="A46" s="16" t="s">
        <v>67</v>
      </c>
      <c r="B46" s="16" t="s">
        <v>843</v>
      </c>
      <c r="C46" s="17">
        <v>104.3</v>
      </c>
      <c r="D46" s="17">
        <v>647.5</v>
      </c>
      <c r="E46" s="17">
        <v>208.9</v>
      </c>
      <c r="F46" s="17">
        <v>7.4</v>
      </c>
      <c r="G46" s="17">
        <v>7.5</v>
      </c>
      <c r="H46" s="17">
        <v>32.799999999999997</v>
      </c>
      <c r="I46" s="17">
        <v>126.7</v>
      </c>
      <c r="J46" s="17"/>
      <c r="K46" s="17">
        <v>80.599999999999994</v>
      </c>
      <c r="L46" s="17">
        <v>179.4</v>
      </c>
      <c r="M46" s="17">
        <v>0</v>
      </c>
      <c r="N46" s="17">
        <v>203.1</v>
      </c>
      <c r="O46" s="17">
        <v>190</v>
      </c>
      <c r="P46" s="17">
        <v>204.2</v>
      </c>
      <c r="Q46" s="17">
        <v>105.5</v>
      </c>
      <c r="R46" s="17">
        <v>552</v>
      </c>
      <c r="S46" s="17"/>
      <c r="T46" s="17"/>
      <c r="U46" s="17"/>
      <c r="V46" s="17"/>
      <c r="W46" s="17">
        <v>163.80000000000001</v>
      </c>
      <c r="X46" s="17">
        <v>7.5</v>
      </c>
      <c r="Y46" s="17">
        <v>5.3</v>
      </c>
      <c r="Z46" s="17">
        <v>16.899999999999999</v>
      </c>
      <c r="AA46" s="17">
        <v>6.7</v>
      </c>
      <c r="AB46" s="17">
        <v>89.4</v>
      </c>
      <c r="AC46" s="17"/>
      <c r="AD46" s="17"/>
      <c r="AE46" s="17"/>
      <c r="AF46" s="17"/>
      <c r="AG46" s="17">
        <v>109.9</v>
      </c>
      <c r="AH46" s="17">
        <v>167.7</v>
      </c>
      <c r="AI46" s="17"/>
      <c r="AJ46" s="17">
        <v>61</v>
      </c>
      <c r="AK46" s="17"/>
      <c r="AL46" s="17">
        <v>6.5</v>
      </c>
      <c r="AM46" s="17">
        <v>200.9</v>
      </c>
      <c r="AN46" s="17">
        <v>57.9</v>
      </c>
      <c r="AO46" s="17">
        <v>123.1</v>
      </c>
      <c r="AP46" s="17">
        <v>39.6</v>
      </c>
      <c r="AQ46" s="17">
        <v>18.600000000000001</v>
      </c>
      <c r="AR46" s="17">
        <v>18.8</v>
      </c>
      <c r="AS46" s="17">
        <v>91.7</v>
      </c>
      <c r="AT46" s="17">
        <v>177.8</v>
      </c>
      <c r="AU46" s="17">
        <v>178.4</v>
      </c>
      <c r="AV46" s="17">
        <v>181</v>
      </c>
      <c r="AW46" s="17">
        <v>107.5</v>
      </c>
      <c r="AX46" s="17">
        <v>17.7</v>
      </c>
      <c r="AY46" s="17">
        <v>36.299999999999997</v>
      </c>
      <c r="AZ46" s="17">
        <v>3.6</v>
      </c>
      <c r="BA46" s="17">
        <v>12.9</v>
      </c>
      <c r="BB46" s="17">
        <v>45.9</v>
      </c>
      <c r="BC46" s="17"/>
      <c r="BD46" s="17"/>
      <c r="BE46" s="17">
        <v>47.3</v>
      </c>
      <c r="BF46" s="17">
        <v>0</v>
      </c>
      <c r="BG46" s="17"/>
      <c r="BH46" s="17">
        <v>43.7</v>
      </c>
      <c r="BI46" s="17"/>
      <c r="BJ46" s="17"/>
      <c r="BK46" s="17"/>
      <c r="BL46" s="17">
        <v>124.5</v>
      </c>
      <c r="BM46" s="17">
        <v>156.1</v>
      </c>
      <c r="BN46" s="17">
        <v>156.30000000000001</v>
      </c>
      <c r="BO46" s="17">
        <v>157.9</v>
      </c>
      <c r="BP46" s="17">
        <v>253</v>
      </c>
      <c r="BQ46" s="17">
        <v>73</v>
      </c>
      <c r="BR46" s="17"/>
      <c r="BS46" s="17"/>
      <c r="BT46" s="17"/>
      <c r="BU46" s="17"/>
      <c r="BV46" s="17">
        <v>35.9</v>
      </c>
      <c r="BW46" s="17"/>
      <c r="BX46" s="17"/>
      <c r="BY46" s="17">
        <v>2.9</v>
      </c>
      <c r="BZ46" s="17">
        <v>62.4</v>
      </c>
      <c r="CA46" s="17">
        <v>94.3</v>
      </c>
      <c r="CB46" s="17">
        <v>61</v>
      </c>
      <c r="CC46" s="17">
        <v>77.3</v>
      </c>
      <c r="CD46" s="17">
        <v>30</v>
      </c>
      <c r="CE46" s="17">
        <v>0</v>
      </c>
      <c r="CF46" s="17"/>
      <c r="CG46" s="17"/>
      <c r="CH46" s="17">
        <v>140.80000000000001</v>
      </c>
      <c r="CI46" s="17">
        <v>143.80000000000001</v>
      </c>
      <c r="CJ46" s="17">
        <v>168.1</v>
      </c>
      <c r="CK46" s="17">
        <v>181.5</v>
      </c>
      <c r="CL46" s="17"/>
      <c r="CM46" s="17"/>
      <c r="CN46" s="17"/>
      <c r="CO46" s="17"/>
      <c r="CP46" s="17">
        <v>207.7</v>
      </c>
      <c r="CQ46" s="17">
        <v>100</v>
      </c>
      <c r="CR46" s="17">
        <v>7.9</v>
      </c>
      <c r="CS46" s="17">
        <v>3.5</v>
      </c>
      <c r="CT46" s="17">
        <v>10</v>
      </c>
      <c r="CU46" s="17">
        <v>0</v>
      </c>
      <c r="CV46" s="17">
        <v>70.099999999999994</v>
      </c>
      <c r="CW46" s="17">
        <v>0</v>
      </c>
      <c r="CX46" s="17">
        <v>12.5</v>
      </c>
      <c r="CY46" s="17">
        <v>0</v>
      </c>
      <c r="CZ46" s="17">
        <v>16</v>
      </c>
      <c r="DA46" s="17">
        <v>9.9</v>
      </c>
      <c r="DB46" s="17">
        <v>2.9</v>
      </c>
      <c r="DC46" s="17">
        <v>0</v>
      </c>
      <c r="DD46" s="17">
        <v>0</v>
      </c>
      <c r="DE46" s="17">
        <v>1.3</v>
      </c>
      <c r="DF46" s="17">
        <v>2.6</v>
      </c>
      <c r="DG46" s="17">
        <v>2.6</v>
      </c>
      <c r="DH46" s="17">
        <v>20.399999999999999</v>
      </c>
      <c r="DI46" s="17">
        <v>9.9</v>
      </c>
      <c r="DJ46" s="17">
        <v>8.3000000000000007</v>
      </c>
      <c r="DK46" s="17"/>
      <c r="DL46" s="17">
        <v>7.7</v>
      </c>
      <c r="DM46" s="17">
        <v>0</v>
      </c>
      <c r="DN46" s="17">
        <v>0</v>
      </c>
      <c r="DO46" s="17">
        <v>20.399999999999999</v>
      </c>
      <c r="DP46" s="17">
        <v>60.4</v>
      </c>
      <c r="DQ46" s="17">
        <v>0</v>
      </c>
      <c r="DR46" s="17">
        <v>3</v>
      </c>
      <c r="DS46" s="17">
        <v>2.5</v>
      </c>
      <c r="DT46" s="17">
        <v>2</v>
      </c>
      <c r="DU46" s="17"/>
      <c r="DV46" s="17">
        <v>0</v>
      </c>
      <c r="DW46" s="17">
        <v>13.8</v>
      </c>
      <c r="DX46" s="17">
        <v>5</v>
      </c>
      <c r="DY46" s="17">
        <v>8.1999999999999993</v>
      </c>
      <c r="DZ46" s="17">
        <v>10</v>
      </c>
      <c r="EA46" s="17">
        <v>10.6</v>
      </c>
      <c r="EB46" s="17">
        <v>9.6999999999999993</v>
      </c>
      <c r="EC46" s="17">
        <v>0</v>
      </c>
      <c r="ED46" s="17">
        <v>42.5</v>
      </c>
      <c r="EE46" s="17">
        <v>49.6</v>
      </c>
      <c r="EF46" s="17">
        <v>5</v>
      </c>
      <c r="EG46" s="17">
        <v>2.6</v>
      </c>
      <c r="EH46" s="17">
        <v>0</v>
      </c>
      <c r="EI46" s="17">
        <v>9.9</v>
      </c>
      <c r="EJ46" s="17">
        <v>3.5</v>
      </c>
      <c r="EK46" s="17">
        <v>4.3</v>
      </c>
      <c r="EL46" s="17">
        <v>8</v>
      </c>
      <c r="EM46" s="17">
        <v>9.1999999999999993</v>
      </c>
      <c r="EN46" s="17">
        <v>9.5</v>
      </c>
      <c r="EO46" s="17">
        <v>15.6</v>
      </c>
      <c r="EP46" s="17">
        <v>0</v>
      </c>
      <c r="EQ46" s="17">
        <v>0</v>
      </c>
      <c r="ER46" s="17">
        <v>0</v>
      </c>
      <c r="ES46" s="17">
        <v>0.6</v>
      </c>
      <c r="ET46" s="17">
        <v>125.6</v>
      </c>
      <c r="EU46" s="17">
        <v>160.6</v>
      </c>
      <c r="EV46" s="17">
        <v>0</v>
      </c>
      <c r="EW46" s="17"/>
      <c r="EX46" s="17">
        <v>2</v>
      </c>
      <c r="EY46" s="17"/>
      <c r="EZ46" s="17"/>
      <c r="FA46" s="17">
        <v>0</v>
      </c>
      <c r="FB46" s="17">
        <v>9.9</v>
      </c>
      <c r="FC46" s="17">
        <v>19.5</v>
      </c>
      <c r="FD46" s="17">
        <v>18.5</v>
      </c>
      <c r="FE46" s="17">
        <v>8.8000000000000007</v>
      </c>
      <c r="FF46" s="17">
        <v>34.5</v>
      </c>
      <c r="FG46" s="17"/>
      <c r="FH46" s="17">
        <v>18.600000000000001</v>
      </c>
      <c r="FI46" s="17"/>
      <c r="FJ46" s="17"/>
      <c r="FK46" s="17">
        <v>11</v>
      </c>
      <c r="FL46" s="17"/>
      <c r="FM46" s="17">
        <v>7814.3</v>
      </c>
      <c r="FN46" s="15"/>
      <c r="FO46" s="17">
        <v>22.5</v>
      </c>
      <c r="FP46" s="17">
        <v>5.6189999999999998</v>
      </c>
      <c r="FQ46" s="17">
        <v>11.7</v>
      </c>
      <c r="FR46" s="17">
        <v>9.6</v>
      </c>
      <c r="FS46" s="17">
        <v>24.95898</v>
      </c>
      <c r="FT46" s="17">
        <v>18.959160000000001</v>
      </c>
      <c r="FU46" s="17">
        <v>11.6</v>
      </c>
      <c r="FV46" s="17">
        <v>16.100000000000001</v>
      </c>
      <c r="FW46" s="17">
        <v>121.03713999999999</v>
      </c>
    </row>
    <row r="47" spans="1:179" ht="24" customHeight="1" x14ac:dyDescent="0.3">
      <c r="A47" s="16" t="s">
        <v>67</v>
      </c>
      <c r="B47" s="16" t="s">
        <v>844</v>
      </c>
      <c r="C47" s="17">
        <v>104</v>
      </c>
      <c r="D47" s="17">
        <v>652</v>
      </c>
      <c r="E47" s="17">
        <v>212.1</v>
      </c>
      <c r="F47" s="17">
        <v>7.2</v>
      </c>
      <c r="G47" s="17">
        <v>7.2</v>
      </c>
      <c r="H47" s="17">
        <v>33</v>
      </c>
      <c r="I47" s="17">
        <v>127.4</v>
      </c>
      <c r="J47" s="17"/>
      <c r="K47" s="17">
        <v>80.7</v>
      </c>
      <c r="L47" s="17">
        <v>178.9</v>
      </c>
      <c r="M47" s="17">
        <v>0</v>
      </c>
      <c r="N47" s="17">
        <v>202.7</v>
      </c>
      <c r="O47" s="17">
        <v>189</v>
      </c>
      <c r="P47" s="17">
        <v>205.1</v>
      </c>
      <c r="Q47" s="17">
        <v>105.5</v>
      </c>
      <c r="R47" s="17">
        <v>555.9</v>
      </c>
      <c r="S47" s="17"/>
      <c r="T47" s="17"/>
      <c r="U47" s="17"/>
      <c r="V47" s="17"/>
      <c r="W47" s="17">
        <v>166.3</v>
      </c>
      <c r="X47" s="17">
        <v>8</v>
      </c>
      <c r="Y47" s="17">
        <v>5.4</v>
      </c>
      <c r="Z47" s="17">
        <v>20.100000000000001</v>
      </c>
      <c r="AA47" s="17">
        <v>6.8</v>
      </c>
      <c r="AB47" s="17">
        <v>90.6</v>
      </c>
      <c r="AC47" s="17"/>
      <c r="AD47" s="17"/>
      <c r="AE47" s="17"/>
      <c r="AF47" s="17"/>
      <c r="AG47" s="17">
        <v>110</v>
      </c>
      <c r="AH47" s="17">
        <v>149.5</v>
      </c>
      <c r="AI47" s="17"/>
      <c r="AJ47" s="17">
        <v>61.9</v>
      </c>
      <c r="AK47" s="17"/>
      <c r="AL47" s="17">
        <v>6.5</v>
      </c>
      <c r="AM47" s="17">
        <v>215.6</v>
      </c>
      <c r="AN47" s="17">
        <v>57.9</v>
      </c>
      <c r="AO47" s="17">
        <v>105.6</v>
      </c>
      <c r="AP47" s="17">
        <v>40.299999999999997</v>
      </c>
      <c r="AQ47" s="17">
        <v>18.600000000000001</v>
      </c>
      <c r="AR47" s="17">
        <v>18.8</v>
      </c>
      <c r="AS47" s="17">
        <v>89.9</v>
      </c>
      <c r="AT47" s="17">
        <v>177.3</v>
      </c>
      <c r="AU47" s="17">
        <v>178.3</v>
      </c>
      <c r="AV47" s="17">
        <v>181.6</v>
      </c>
      <c r="AW47" s="17">
        <v>107.8</v>
      </c>
      <c r="AX47" s="17">
        <v>18.3</v>
      </c>
      <c r="AY47" s="17">
        <v>40.1</v>
      </c>
      <c r="AZ47" s="17">
        <v>3.6</v>
      </c>
      <c r="BA47" s="17">
        <v>13</v>
      </c>
      <c r="BB47" s="17">
        <v>84.5</v>
      </c>
      <c r="BC47" s="17"/>
      <c r="BD47" s="17"/>
      <c r="BE47" s="17">
        <v>47.5</v>
      </c>
      <c r="BF47" s="17">
        <v>0</v>
      </c>
      <c r="BG47" s="17"/>
      <c r="BH47" s="17">
        <v>44.6</v>
      </c>
      <c r="BI47" s="17"/>
      <c r="BJ47" s="17"/>
      <c r="BK47" s="17"/>
      <c r="BL47" s="17">
        <v>124.7</v>
      </c>
      <c r="BM47" s="17">
        <v>160.9</v>
      </c>
      <c r="BN47" s="17">
        <v>160.9</v>
      </c>
      <c r="BO47" s="17">
        <v>161.30000000000001</v>
      </c>
      <c r="BP47" s="17">
        <v>249.1</v>
      </c>
      <c r="BQ47" s="17">
        <v>72.8</v>
      </c>
      <c r="BR47" s="17"/>
      <c r="BS47" s="17"/>
      <c r="BT47" s="17"/>
      <c r="BU47" s="17"/>
      <c r="BV47" s="17">
        <v>36.200000000000003</v>
      </c>
      <c r="BW47" s="17"/>
      <c r="BX47" s="17"/>
      <c r="BY47" s="17">
        <v>2.9</v>
      </c>
      <c r="BZ47" s="17">
        <v>90.3</v>
      </c>
      <c r="CA47" s="17">
        <v>106.3</v>
      </c>
      <c r="CB47" s="17">
        <v>61.2</v>
      </c>
      <c r="CC47" s="17">
        <v>77.400000000000006</v>
      </c>
      <c r="CD47" s="17">
        <v>29.2</v>
      </c>
      <c r="CE47" s="17">
        <v>0</v>
      </c>
      <c r="CF47" s="17"/>
      <c r="CG47" s="17"/>
      <c r="CH47" s="17">
        <v>140.69999999999999</v>
      </c>
      <c r="CI47" s="17">
        <v>143.5</v>
      </c>
      <c r="CJ47" s="17">
        <v>167.4</v>
      </c>
      <c r="CK47" s="17">
        <v>181.6</v>
      </c>
      <c r="CL47" s="17"/>
      <c r="CM47" s="17"/>
      <c r="CN47" s="17"/>
      <c r="CO47" s="17"/>
      <c r="CP47" s="17">
        <v>208</v>
      </c>
      <c r="CQ47" s="17">
        <v>100</v>
      </c>
      <c r="CR47" s="17">
        <v>7.9</v>
      </c>
      <c r="CS47" s="17">
        <v>3.5</v>
      </c>
      <c r="CT47" s="17">
        <v>10</v>
      </c>
      <c r="CU47" s="17">
        <v>0</v>
      </c>
      <c r="CV47" s="17">
        <v>68.400000000000006</v>
      </c>
      <c r="CW47" s="17">
        <v>0</v>
      </c>
      <c r="CX47" s="17">
        <v>11.2</v>
      </c>
      <c r="CY47" s="17">
        <v>0</v>
      </c>
      <c r="CZ47" s="17">
        <v>16.100000000000001</v>
      </c>
      <c r="DA47" s="17">
        <v>9.9</v>
      </c>
      <c r="DB47" s="17">
        <v>3</v>
      </c>
      <c r="DC47" s="17">
        <v>0</v>
      </c>
      <c r="DD47" s="17">
        <v>0</v>
      </c>
      <c r="DE47" s="17">
        <v>1.3</v>
      </c>
      <c r="DF47" s="17">
        <v>2.6</v>
      </c>
      <c r="DG47" s="17">
        <v>2.6</v>
      </c>
      <c r="DH47" s="17">
        <v>20.6</v>
      </c>
      <c r="DI47" s="17">
        <v>9.9</v>
      </c>
      <c r="DJ47" s="17">
        <v>8.3000000000000007</v>
      </c>
      <c r="DK47" s="17"/>
      <c r="DL47" s="17">
        <v>7.7</v>
      </c>
      <c r="DM47" s="17">
        <v>0</v>
      </c>
      <c r="DN47" s="17">
        <v>0</v>
      </c>
      <c r="DO47" s="17">
        <v>21.6</v>
      </c>
      <c r="DP47" s="17">
        <v>63.7</v>
      </c>
      <c r="DQ47" s="17">
        <v>0</v>
      </c>
      <c r="DR47" s="17">
        <v>2.8</v>
      </c>
      <c r="DS47" s="17">
        <v>12</v>
      </c>
      <c r="DT47" s="17">
        <v>2</v>
      </c>
      <c r="DU47" s="17"/>
      <c r="DV47" s="17">
        <v>0</v>
      </c>
      <c r="DW47" s="17">
        <v>13.8</v>
      </c>
      <c r="DX47" s="17">
        <v>4.5</v>
      </c>
      <c r="DY47" s="17">
        <v>8.3000000000000007</v>
      </c>
      <c r="DZ47" s="17">
        <v>10.4</v>
      </c>
      <c r="EA47" s="17">
        <v>7.8</v>
      </c>
      <c r="EB47" s="17">
        <v>8.1999999999999993</v>
      </c>
      <c r="EC47" s="17">
        <v>0</v>
      </c>
      <c r="ED47" s="17">
        <v>41.7</v>
      </c>
      <c r="EE47" s="17">
        <v>59.8</v>
      </c>
      <c r="EF47" s="17">
        <v>5.6</v>
      </c>
      <c r="EG47" s="17">
        <v>3.2</v>
      </c>
      <c r="EH47" s="17">
        <v>0</v>
      </c>
      <c r="EI47" s="17">
        <v>9.9</v>
      </c>
      <c r="EJ47" s="17">
        <v>3.5</v>
      </c>
      <c r="EK47" s="17">
        <v>4.3</v>
      </c>
      <c r="EL47" s="17">
        <v>8</v>
      </c>
      <c r="EM47" s="17">
        <v>9</v>
      </c>
      <c r="EN47" s="17">
        <v>9.3000000000000007</v>
      </c>
      <c r="EO47" s="17">
        <v>13.2</v>
      </c>
      <c r="EP47" s="17">
        <v>0</v>
      </c>
      <c r="EQ47" s="17">
        <v>0</v>
      </c>
      <c r="ER47" s="17">
        <v>0</v>
      </c>
      <c r="ES47" s="17">
        <v>0.6</v>
      </c>
      <c r="ET47" s="17">
        <v>124.5</v>
      </c>
      <c r="EU47" s="17">
        <v>147.9</v>
      </c>
      <c r="EV47" s="17">
        <v>0</v>
      </c>
      <c r="EW47" s="17"/>
      <c r="EX47" s="17">
        <v>2</v>
      </c>
      <c r="EY47" s="17"/>
      <c r="EZ47" s="17"/>
      <c r="FA47" s="17">
        <v>0</v>
      </c>
      <c r="FB47" s="17">
        <v>10</v>
      </c>
      <c r="FC47" s="17">
        <v>19.600000000000001</v>
      </c>
      <c r="FD47" s="17">
        <v>18.7</v>
      </c>
      <c r="FE47" s="17">
        <v>9</v>
      </c>
      <c r="FF47" s="17">
        <v>34.299999999999997</v>
      </c>
      <c r="FG47" s="17"/>
      <c r="FH47" s="17">
        <v>19</v>
      </c>
      <c r="FI47" s="17"/>
      <c r="FJ47" s="17"/>
      <c r="FK47" s="17">
        <v>10.4</v>
      </c>
      <c r="FL47" s="17"/>
      <c r="FM47" s="17">
        <v>7905.1</v>
      </c>
      <c r="FN47" s="15"/>
      <c r="FO47" s="17">
        <v>22.4</v>
      </c>
      <c r="FP47" s="17">
        <v>7.7960000000000003</v>
      </c>
      <c r="FQ47" s="17">
        <v>10.6</v>
      </c>
      <c r="FR47" s="17">
        <v>9.4</v>
      </c>
      <c r="FS47" s="17">
        <v>25.354140000000001</v>
      </c>
      <c r="FT47" s="17">
        <v>18.958850000000002</v>
      </c>
      <c r="FU47" s="17">
        <v>11.5</v>
      </c>
      <c r="FV47" s="17">
        <v>16.2</v>
      </c>
      <c r="FW47" s="17">
        <v>122.20899</v>
      </c>
    </row>
    <row r="48" spans="1:179" ht="24" customHeight="1" x14ac:dyDescent="0.3">
      <c r="A48" s="16" t="s">
        <v>67</v>
      </c>
      <c r="B48" s="16" t="s">
        <v>845</v>
      </c>
      <c r="C48" s="17">
        <v>103.5</v>
      </c>
      <c r="D48" s="17">
        <v>651</v>
      </c>
      <c r="E48" s="17">
        <v>213.2</v>
      </c>
      <c r="F48" s="17">
        <v>7.3</v>
      </c>
      <c r="G48" s="17">
        <v>7.3</v>
      </c>
      <c r="H48" s="17">
        <v>90.2</v>
      </c>
      <c r="I48" s="17">
        <v>126.4</v>
      </c>
      <c r="J48" s="17"/>
      <c r="K48" s="17">
        <v>80.599999999999994</v>
      </c>
      <c r="L48" s="17">
        <v>178.8</v>
      </c>
      <c r="M48" s="17">
        <v>0</v>
      </c>
      <c r="N48" s="17">
        <v>202.9</v>
      </c>
      <c r="O48" s="17">
        <v>189.5</v>
      </c>
      <c r="P48" s="17">
        <v>203.9</v>
      </c>
      <c r="Q48" s="17">
        <v>105.8</v>
      </c>
      <c r="R48" s="17">
        <v>525.4</v>
      </c>
      <c r="S48" s="17"/>
      <c r="T48" s="17"/>
      <c r="U48" s="17"/>
      <c r="V48" s="17"/>
      <c r="W48" s="17">
        <v>165.9</v>
      </c>
      <c r="X48" s="17">
        <v>7.9</v>
      </c>
      <c r="Y48" s="17">
        <v>5.4</v>
      </c>
      <c r="Z48" s="17">
        <v>16.899999999999999</v>
      </c>
      <c r="AA48" s="17">
        <v>6.8</v>
      </c>
      <c r="AB48" s="17">
        <v>90.3</v>
      </c>
      <c r="AC48" s="17"/>
      <c r="AD48" s="17"/>
      <c r="AE48" s="17"/>
      <c r="AF48" s="17"/>
      <c r="AG48" s="17">
        <v>110</v>
      </c>
      <c r="AH48" s="17">
        <v>145</v>
      </c>
      <c r="AI48" s="17"/>
      <c r="AJ48" s="17">
        <v>62.2</v>
      </c>
      <c r="AK48" s="17"/>
      <c r="AL48" s="17">
        <v>6.5</v>
      </c>
      <c r="AM48" s="17">
        <v>185.7</v>
      </c>
      <c r="AN48" s="17">
        <v>59.8</v>
      </c>
      <c r="AO48" s="17">
        <v>122.4</v>
      </c>
      <c r="AP48" s="17">
        <v>39.9</v>
      </c>
      <c r="AQ48" s="17">
        <v>18.600000000000001</v>
      </c>
      <c r="AR48" s="17">
        <v>18.8</v>
      </c>
      <c r="AS48" s="17">
        <v>88.9</v>
      </c>
      <c r="AT48" s="17">
        <v>178.6</v>
      </c>
      <c r="AU48" s="17">
        <v>178.9</v>
      </c>
      <c r="AV48" s="17">
        <v>181.7</v>
      </c>
      <c r="AW48" s="17">
        <v>108.5</v>
      </c>
      <c r="AX48" s="17">
        <v>18.2</v>
      </c>
      <c r="AY48" s="17">
        <v>36.700000000000003</v>
      </c>
      <c r="AZ48" s="17">
        <v>3.6</v>
      </c>
      <c r="BA48" s="17">
        <v>17.100000000000001</v>
      </c>
      <c r="BB48" s="17">
        <v>42.2</v>
      </c>
      <c r="BC48" s="17"/>
      <c r="BD48" s="17"/>
      <c r="BE48" s="17">
        <v>47.5</v>
      </c>
      <c r="BF48" s="17">
        <v>0</v>
      </c>
      <c r="BG48" s="17"/>
      <c r="BH48" s="17">
        <v>44.5</v>
      </c>
      <c r="BI48" s="17"/>
      <c r="BJ48" s="17"/>
      <c r="BK48" s="17"/>
      <c r="BL48" s="17">
        <v>125.1</v>
      </c>
      <c r="BM48" s="17">
        <v>168.3</v>
      </c>
      <c r="BN48" s="17">
        <v>166.4</v>
      </c>
      <c r="BO48" s="17">
        <v>198.4</v>
      </c>
      <c r="BP48" s="17">
        <v>263.60000000000002</v>
      </c>
      <c r="BQ48" s="17">
        <v>72.8</v>
      </c>
      <c r="BR48" s="17"/>
      <c r="BS48" s="17"/>
      <c r="BT48" s="17"/>
      <c r="BU48" s="17"/>
      <c r="BV48" s="17">
        <v>36.4</v>
      </c>
      <c r="BW48" s="17"/>
      <c r="BX48" s="17"/>
      <c r="BY48" s="17">
        <v>2.8</v>
      </c>
      <c r="BZ48" s="17">
        <v>64.2</v>
      </c>
      <c r="CA48" s="17">
        <v>93.3</v>
      </c>
      <c r="CB48" s="17">
        <v>64.400000000000006</v>
      </c>
      <c r="CC48" s="17">
        <v>77.599999999999994</v>
      </c>
      <c r="CD48" s="17">
        <v>29.6</v>
      </c>
      <c r="CE48" s="17">
        <v>0</v>
      </c>
      <c r="CF48" s="17"/>
      <c r="CG48" s="17"/>
      <c r="CH48" s="17">
        <v>141.30000000000001</v>
      </c>
      <c r="CI48" s="17">
        <v>143.80000000000001</v>
      </c>
      <c r="CJ48" s="17">
        <v>168.3</v>
      </c>
      <c r="CK48" s="17">
        <v>103.3</v>
      </c>
      <c r="CL48" s="17"/>
      <c r="CM48" s="17"/>
      <c r="CN48" s="17"/>
      <c r="CO48" s="17"/>
      <c r="CP48" s="17">
        <v>207.9</v>
      </c>
      <c r="CQ48" s="17">
        <v>100.1</v>
      </c>
      <c r="CR48" s="17">
        <v>7.9</v>
      </c>
      <c r="CS48" s="17">
        <v>3.6</v>
      </c>
      <c r="CT48" s="17">
        <v>10</v>
      </c>
      <c r="CU48" s="17">
        <v>0</v>
      </c>
      <c r="CV48" s="17">
        <v>72.900000000000006</v>
      </c>
      <c r="CW48" s="17">
        <v>0</v>
      </c>
      <c r="CX48" s="17">
        <v>11.4</v>
      </c>
      <c r="CY48" s="17">
        <v>0</v>
      </c>
      <c r="CZ48" s="17">
        <v>16.100000000000001</v>
      </c>
      <c r="DA48" s="17">
        <v>9.9</v>
      </c>
      <c r="DB48" s="17">
        <v>3</v>
      </c>
      <c r="DC48" s="17">
        <v>0</v>
      </c>
      <c r="DD48" s="17">
        <v>0</v>
      </c>
      <c r="DE48" s="17">
        <v>1.3</v>
      </c>
      <c r="DF48" s="17">
        <v>2.6</v>
      </c>
      <c r="DG48" s="17">
        <v>2.6</v>
      </c>
      <c r="DH48" s="17">
        <v>20.6</v>
      </c>
      <c r="DI48" s="17">
        <v>9.9</v>
      </c>
      <c r="DJ48" s="17">
        <v>8.3000000000000007</v>
      </c>
      <c r="DK48" s="17"/>
      <c r="DL48" s="17">
        <v>7.7</v>
      </c>
      <c r="DM48" s="17">
        <v>0</v>
      </c>
      <c r="DN48" s="17">
        <v>0</v>
      </c>
      <c r="DO48" s="17">
        <v>19.399999999999999</v>
      </c>
      <c r="DP48" s="17">
        <v>58.2</v>
      </c>
      <c r="DQ48" s="17">
        <v>0</v>
      </c>
      <c r="DR48" s="17">
        <v>2.9</v>
      </c>
      <c r="DS48" s="17">
        <v>12.1</v>
      </c>
      <c r="DT48" s="17">
        <v>2.1</v>
      </c>
      <c r="DU48" s="17"/>
      <c r="DV48" s="17">
        <v>0</v>
      </c>
      <c r="DW48" s="17">
        <v>13.7</v>
      </c>
      <c r="DX48" s="17">
        <v>4.2</v>
      </c>
      <c r="DY48" s="17">
        <v>8.1</v>
      </c>
      <c r="DZ48" s="17">
        <v>11.2</v>
      </c>
      <c r="EA48" s="17">
        <v>3.8</v>
      </c>
      <c r="EB48" s="17">
        <v>10.199999999999999</v>
      </c>
      <c r="EC48" s="17">
        <v>0</v>
      </c>
      <c r="ED48" s="17">
        <v>62.4</v>
      </c>
      <c r="EE48" s="17">
        <v>65.8</v>
      </c>
      <c r="EF48" s="17">
        <v>6.4</v>
      </c>
      <c r="EG48" s="17">
        <v>4.4000000000000004</v>
      </c>
      <c r="EH48" s="17">
        <v>0</v>
      </c>
      <c r="EI48" s="17">
        <v>9.9</v>
      </c>
      <c r="EJ48" s="17">
        <v>3.5</v>
      </c>
      <c r="EK48" s="17">
        <v>4.3</v>
      </c>
      <c r="EL48" s="17">
        <v>8</v>
      </c>
      <c r="EM48" s="17">
        <v>8.6</v>
      </c>
      <c r="EN48" s="17">
        <v>8.9</v>
      </c>
      <c r="EO48" s="17">
        <v>12.3</v>
      </c>
      <c r="EP48" s="17">
        <v>0</v>
      </c>
      <c r="EQ48" s="17">
        <v>0</v>
      </c>
      <c r="ER48" s="17">
        <v>0</v>
      </c>
      <c r="ES48" s="17">
        <v>0.6</v>
      </c>
      <c r="ET48" s="17">
        <v>124</v>
      </c>
      <c r="EU48" s="17">
        <v>135.5</v>
      </c>
      <c r="EV48" s="17">
        <v>0</v>
      </c>
      <c r="EW48" s="17"/>
      <c r="EX48" s="17">
        <v>2</v>
      </c>
      <c r="EY48" s="17"/>
      <c r="EZ48" s="17"/>
      <c r="FA48" s="17">
        <v>0</v>
      </c>
      <c r="FB48" s="17">
        <v>10</v>
      </c>
      <c r="FC48" s="17">
        <v>19.399999999999999</v>
      </c>
      <c r="FD48" s="17">
        <v>18.399999999999999</v>
      </c>
      <c r="FE48" s="17">
        <v>8.1</v>
      </c>
      <c r="FF48" s="17">
        <v>34.1</v>
      </c>
      <c r="FG48" s="17"/>
      <c r="FH48" s="17">
        <v>18.5</v>
      </c>
      <c r="FI48" s="17"/>
      <c r="FJ48" s="17"/>
      <c r="FK48" s="17">
        <v>10.8</v>
      </c>
      <c r="FL48" s="17"/>
      <c r="FM48" s="17">
        <v>7831.5</v>
      </c>
      <c r="FN48" s="15"/>
      <c r="FO48" s="17">
        <v>22.3</v>
      </c>
      <c r="FP48" s="17">
        <v>11.88791</v>
      </c>
      <c r="FQ48" s="17">
        <v>10.4</v>
      </c>
      <c r="FR48" s="17">
        <v>9.4</v>
      </c>
      <c r="FS48" s="17">
        <v>25.583359999999999</v>
      </c>
      <c r="FT48" s="17">
        <v>18.95825</v>
      </c>
      <c r="FU48" s="17">
        <v>11.5</v>
      </c>
      <c r="FV48" s="17">
        <v>16.100000000000001</v>
      </c>
      <c r="FW48" s="17">
        <v>126.12952</v>
      </c>
    </row>
    <row r="49" spans="1:179" ht="24" customHeight="1" x14ac:dyDescent="0.3">
      <c r="A49" s="16" t="s">
        <v>67</v>
      </c>
      <c r="B49" s="16" t="s">
        <v>846</v>
      </c>
      <c r="C49" s="17">
        <v>104.3</v>
      </c>
      <c r="D49" s="17">
        <v>652</v>
      </c>
      <c r="E49" s="17">
        <v>213.4</v>
      </c>
      <c r="F49" s="17">
        <v>7.7</v>
      </c>
      <c r="G49" s="17">
        <v>7.7</v>
      </c>
      <c r="H49" s="17">
        <v>90.2</v>
      </c>
      <c r="I49" s="17">
        <v>126.3</v>
      </c>
      <c r="J49" s="17"/>
      <c r="K49" s="17">
        <v>80.5</v>
      </c>
      <c r="L49" s="17">
        <v>104.8</v>
      </c>
      <c r="M49" s="17">
        <v>0</v>
      </c>
      <c r="N49" s="17">
        <v>104.9</v>
      </c>
      <c r="O49" s="17">
        <v>140.4</v>
      </c>
      <c r="P49" s="17">
        <v>204</v>
      </c>
      <c r="Q49" s="17">
        <v>105.7</v>
      </c>
      <c r="R49" s="17">
        <v>450.6</v>
      </c>
      <c r="S49" s="17"/>
      <c r="T49" s="17"/>
      <c r="U49" s="17"/>
      <c r="V49" s="17"/>
      <c r="W49" s="17">
        <v>163.1</v>
      </c>
      <c r="X49" s="17">
        <v>7.9</v>
      </c>
      <c r="Y49" s="17">
        <v>5.3</v>
      </c>
      <c r="Z49" s="17">
        <v>0</v>
      </c>
      <c r="AA49" s="17">
        <v>6.7</v>
      </c>
      <c r="AB49" s="17">
        <v>131</v>
      </c>
      <c r="AC49" s="17"/>
      <c r="AD49" s="17"/>
      <c r="AE49" s="17"/>
      <c r="AF49" s="17"/>
      <c r="AG49" s="17">
        <v>110.2</v>
      </c>
      <c r="AH49" s="17">
        <v>198.9</v>
      </c>
      <c r="AI49" s="17"/>
      <c r="AJ49" s="17">
        <v>100.6</v>
      </c>
      <c r="AK49" s="17"/>
      <c r="AL49" s="17">
        <v>6.5</v>
      </c>
      <c r="AM49" s="17">
        <v>233.8</v>
      </c>
      <c r="AN49" s="17">
        <v>62.3</v>
      </c>
      <c r="AO49" s="17">
        <v>142.5</v>
      </c>
      <c r="AP49" s="17">
        <v>39.9</v>
      </c>
      <c r="AQ49" s="17">
        <v>18.600000000000001</v>
      </c>
      <c r="AR49" s="17">
        <v>18.8</v>
      </c>
      <c r="AS49" s="17">
        <v>90.4</v>
      </c>
      <c r="AT49" s="17">
        <v>177.8</v>
      </c>
      <c r="AU49" s="17">
        <v>178</v>
      </c>
      <c r="AV49" s="17">
        <v>182.4</v>
      </c>
      <c r="AW49" s="17">
        <v>108</v>
      </c>
      <c r="AX49" s="17">
        <v>25.4</v>
      </c>
      <c r="AY49" s="17">
        <v>42.3</v>
      </c>
      <c r="AZ49" s="17">
        <v>3.6</v>
      </c>
      <c r="BA49" s="17">
        <v>17</v>
      </c>
      <c r="BB49" s="17">
        <v>122.1</v>
      </c>
      <c r="BC49" s="17"/>
      <c r="BD49" s="17"/>
      <c r="BE49" s="17">
        <v>47.4</v>
      </c>
      <c r="BF49" s="17">
        <v>0</v>
      </c>
      <c r="BG49" s="17"/>
      <c r="BH49" s="17">
        <v>44.8</v>
      </c>
      <c r="BI49" s="17"/>
      <c r="BJ49" s="17"/>
      <c r="BK49" s="17"/>
      <c r="BL49" s="17">
        <v>115.9</v>
      </c>
      <c r="BM49" s="17">
        <v>168.3</v>
      </c>
      <c r="BN49" s="17">
        <v>166.5</v>
      </c>
      <c r="BO49" s="17">
        <v>198.3</v>
      </c>
      <c r="BP49" s="17">
        <v>263.5</v>
      </c>
      <c r="BQ49" s="17">
        <v>0</v>
      </c>
      <c r="BR49" s="17"/>
      <c r="BS49" s="17"/>
      <c r="BT49" s="17"/>
      <c r="BU49" s="17"/>
      <c r="BV49" s="17">
        <v>36.200000000000003</v>
      </c>
      <c r="BW49" s="17"/>
      <c r="BX49" s="17"/>
      <c r="BY49" s="17">
        <v>2.8</v>
      </c>
      <c r="BZ49" s="17">
        <v>151</v>
      </c>
      <c r="CA49" s="17">
        <v>118.1</v>
      </c>
      <c r="CB49" s="17">
        <v>64.099999999999994</v>
      </c>
      <c r="CC49" s="17">
        <v>76.5</v>
      </c>
      <c r="CD49" s="17">
        <v>30.2</v>
      </c>
      <c r="CE49" s="17">
        <v>0</v>
      </c>
      <c r="CF49" s="17"/>
      <c r="CG49" s="17"/>
      <c r="CH49" s="17">
        <v>141.30000000000001</v>
      </c>
      <c r="CI49" s="17">
        <v>144.1</v>
      </c>
      <c r="CJ49" s="17">
        <v>154.80000000000001</v>
      </c>
      <c r="CK49" s="17">
        <v>103</v>
      </c>
      <c r="CL49" s="17"/>
      <c r="CM49" s="17"/>
      <c r="CN49" s="17"/>
      <c r="CO49" s="17"/>
      <c r="CP49" s="17">
        <v>208</v>
      </c>
      <c r="CQ49" s="17">
        <v>100</v>
      </c>
      <c r="CR49" s="17">
        <v>7.9</v>
      </c>
      <c r="CS49" s="17">
        <v>3.6</v>
      </c>
      <c r="CT49" s="17">
        <v>10.1</v>
      </c>
      <c r="CU49" s="17">
        <v>0</v>
      </c>
      <c r="CV49" s="17">
        <v>69.8</v>
      </c>
      <c r="CW49" s="17">
        <v>0</v>
      </c>
      <c r="CX49" s="17">
        <v>8.9</v>
      </c>
      <c r="CY49" s="17">
        <v>0</v>
      </c>
      <c r="CZ49" s="17">
        <v>16.100000000000001</v>
      </c>
      <c r="DA49" s="17">
        <v>9.9</v>
      </c>
      <c r="DB49" s="17">
        <v>5.6</v>
      </c>
      <c r="DC49" s="17">
        <v>0</v>
      </c>
      <c r="DD49" s="17">
        <v>0</v>
      </c>
      <c r="DE49" s="17">
        <v>1.3</v>
      </c>
      <c r="DF49" s="17">
        <v>2.2999999999999998</v>
      </c>
      <c r="DG49" s="17">
        <v>2.6</v>
      </c>
      <c r="DH49" s="17">
        <v>20.5</v>
      </c>
      <c r="DI49" s="17">
        <v>10</v>
      </c>
      <c r="DJ49" s="17">
        <v>8.3000000000000007</v>
      </c>
      <c r="DK49" s="17"/>
      <c r="DL49" s="17">
        <v>7.7</v>
      </c>
      <c r="DM49" s="17">
        <v>0</v>
      </c>
      <c r="DN49" s="17">
        <v>0</v>
      </c>
      <c r="DO49" s="17">
        <v>20.5</v>
      </c>
      <c r="DP49" s="17">
        <v>61.3</v>
      </c>
      <c r="DQ49" s="17">
        <v>0</v>
      </c>
      <c r="DR49" s="17">
        <v>2.8</v>
      </c>
      <c r="DS49" s="17">
        <v>12.1</v>
      </c>
      <c r="DT49" s="17">
        <v>2.1</v>
      </c>
      <c r="DU49" s="17"/>
      <c r="DV49" s="17">
        <v>0</v>
      </c>
      <c r="DW49" s="17">
        <v>13.7</v>
      </c>
      <c r="DX49" s="17">
        <v>4.2</v>
      </c>
      <c r="DY49" s="17">
        <v>8.1999999999999993</v>
      </c>
      <c r="DZ49" s="17">
        <v>11.3</v>
      </c>
      <c r="EA49" s="17">
        <v>3.6</v>
      </c>
      <c r="EB49" s="17">
        <v>14.2</v>
      </c>
      <c r="EC49" s="17">
        <v>0</v>
      </c>
      <c r="ED49" s="17">
        <v>66.599999999999994</v>
      </c>
      <c r="EE49" s="17">
        <v>77.900000000000006</v>
      </c>
      <c r="EF49" s="17">
        <v>6</v>
      </c>
      <c r="EG49" s="17">
        <v>4.7</v>
      </c>
      <c r="EH49" s="17">
        <v>0</v>
      </c>
      <c r="EI49" s="17">
        <v>9.9</v>
      </c>
      <c r="EJ49" s="17">
        <v>3.5</v>
      </c>
      <c r="EK49" s="17">
        <v>4.3</v>
      </c>
      <c r="EL49" s="17">
        <v>8.4</v>
      </c>
      <c r="EM49" s="17">
        <v>9.1</v>
      </c>
      <c r="EN49" s="17">
        <v>9.3000000000000007</v>
      </c>
      <c r="EO49" s="17">
        <v>10.6</v>
      </c>
      <c r="EP49" s="17">
        <v>0</v>
      </c>
      <c r="EQ49" s="17">
        <v>0</v>
      </c>
      <c r="ER49" s="17">
        <v>0</v>
      </c>
      <c r="ES49" s="17">
        <v>0.6</v>
      </c>
      <c r="ET49" s="17">
        <v>106.3</v>
      </c>
      <c r="EU49" s="17">
        <v>97.5</v>
      </c>
      <c r="EV49" s="17">
        <v>0</v>
      </c>
      <c r="EW49" s="17"/>
      <c r="EX49" s="17">
        <v>2</v>
      </c>
      <c r="EY49" s="17"/>
      <c r="EZ49" s="17"/>
      <c r="FA49" s="17">
        <v>0</v>
      </c>
      <c r="FB49" s="17">
        <v>10</v>
      </c>
      <c r="FC49" s="17">
        <v>19.399999999999999</v>
      </c>
      <c r="FD49" s="17">
        <v>18.100000000000001</v>
      </c>
      <c r="FE49" s="17">
        <v>7.2</v>
      </c>
      <c r="FF49" s="17">
        <v>34.299999999999997</v>
      </c>
      <c r="FG49" s="17"/>
      <c r="FH49" s="17">
        <v>18.100000000000001</v>
      </c>
      <c r="FI49" s="17"/>
      <c r="FJ49" s="17"/>
      <c r="FK49" s="17">
        <v>10.8</v>
      </c>
      <c r="FL49" s="17"/>
      <c r="FM49" s="17">
        <v>7793.6</v>
      </c>
      <c r="FN49" s="15"/>
      <c r="FO49" s="17">
        <v>22.4</v>
      </c>
      <c r="FP49" s="17">
        <v>12.085089999999999</v>
      </c>
      <c r="FQ49" s="17">
        <v>11.1</v>
      </c>
      <c r="FR49" s="17">
        <v>9.4</v>
      </c>
      <c r="FS49" s="17">
        <v>25.78716</v>
      </c>
      <c r="FT49" s="17">
        <v>18.958300000000001</v>
      </c>
      <c r="FU49" s="17">
        <v>11.4</v>
      </c>
      <c r="FV49" s="17">
        <v>16</v>
      </c>
      <c r="FW49" s="17">
        <v>127.13055</v>
      </c>
    </row>
    <row r="50" spans="1:179" ht="24" customHeight="1" x14ac:dyDescent="0.3">
      <c r="A50" s="18" t="s">
        <v>67</v>
      </c>
      <c r="B50" s="18" t="s">
        <v>847</v>
      </c>
      <c r="C50" s="19">
        <v>104.4</v>
      </c>
      <c r="D50" s="19">
        <v>650.6</v>
      </c>
      <c r="E50" s="19">
        <v>213.1</v>
      </c>
      <c r="F50" s="19">
        <v>7.6</v>
      </c>
      <c r="G50" s="19">
        <v>7.5</v>
      </c>
      <c r="H50" s="19">
        <v>90</v>
      </c>
      <c r="I50" s="19">
        <v>126.4</v>
      </c>
      <c r="J50" s="19"/>
      <c r="K50" s="19">
        <v>80.400000000000006</v>
      </c>
      <c r="L50" s="19">
        <v>104.9</v>
      </c>
      <c r="M50" s="19">
        <v>0</v>
      </c>
      <c r="N50" s="19">
        <v>105</v>
      </c>
      <c r="O50" s="19">
        <v>133.6</v>
      </c>
      <c r="P50" s="19">
        <v>203.3</v>
      </c>
      <c r="Q50" s="19">
        <v>106</v>
      </c>
      <c r="R50" s="19">
        <v>557.1</v>
      </c>
      <c r="S50" s="19"/>
      <c r="T50" s="19"/>
      <c r="U50" s="19"/>
      <c r="V50" s="19"/>
      <c r="W50" s="19">
        <v>166.1</v>
      </c>
      <c r="X50" s="19">
        <v>7.8</v>
      </c>
      <c r="Y50" s="19">
        <v>5.2</v>
      </c>
      <c r="Z50" s="19">
        <v>0</v>
      </c>
      <c r="AA50" s="19">
        <v>6.8</v>
      </c>
      <c r="AB50" s="19">
        <v>130.5</v>
      </c>
      <c r="AC50" s="19"/>
      <c r="AD50" s="19"/>
      <c r="AE50" s="19"/>
      <c r="AF50" s="19"/>
      <c r="AG50" s="19">
        <v>110</v>
      </c>
      <c r="AH50" s="19">
        <v>198.5</v>
      </c>
      <c r="AI50" s="19"/>
      <c r="AJ50" s="19">
        <v>102</v>
      </c>
      <c r="AK50" s="19"/>
      <c r="AL50" s="19">
        <v>6.5</v>
      </c>
      <c r="AM50" s="19">
        <v>233.7</v>
      </c>
      <c r="AN50" s="19">
        <v>62.5</v>
      </c>
      <c r="AO50" s="19">
        <v>106</v>
      </c>
      <c r="AP50" s="19">
        <v>39.6</v>
      </c>
      <c r="AQ50" s="19">
        <v>18.600000000000001</v>
      </c>
      <c r="AR50" s="19">
        <v>18.8</v>
      </c>
      <c r="AS50" s="19">
        <v>90.1</v>
      </c>
      <c r="AT50" s="19">
        <v>178.7</v>
      </c>
      <c r="AU50" s="19">
        <v>178.6</v>
      </c>
      <c r="AV50" s="19">
        <v>181.8</v>
      </c>
      <c r="AW50" s="19">
        <v>108.3</v>
      </c>
      <c r="AX50" s="19">
        <v>29.9</v>
      </c>
      <c r="AY50" s="19">
        <v>42.3</v>
      </c>
      <c r="AZ50" s="19">
        <v>3.6</v>
      </c>
      <c r="BA50" s="19">
        <v>17</v>
      </c>
      <c r="BB50" s="19">
        <v>148.1</v>
      </c>
      <c r="BC50" s="19"/>
      <c r="BD50" s="19"/>
      <c r="BE50" s="19">
        <v>47.4</v>
      </c>
      <c r="BF50" s="19">
        <v>0</v>
      </c>
      <c r="BG50" s="19"/>
      <c r="BH50" s="19">
        <v>44.7</v>
      </c>
      <c r="BI50" s="19"/>
      <c r="BJ50" s="19"/>
      <c r="BK50" s="19"/>
      <c r="BL50" s="19">
        <v>102</v>
      </c>
      <c r="BM50" s="19">
        <v>168.3</v>
      </c>
      <c r="BN50" s="19">
        <v>166.7</v>
      </c>
      <c r="BO50" s="19">
        <v>198.3</v>
      </c>
      <c r="BP50" s="19">
        <v>263</v>
      </c>
      <c r="BQ50" s="19">
        <v>0</v>
      </c>
      <c r="BR50" s="19"/>
      <c r="BS50" s="19"/>
      <c r="BT50" s="19"/>
      <c r="BU50" s="19"/>
      <c r="BV50" s="19">
        <v>36.299999999999997</v>
      </c>
      <c r="BW50" s="19"/>
      <c r="BX50" s="19"/>
      <c r="BY50" s="19">
        <v>2.8</v>
      </c>
      <c r="BZ50" s="19">
        <v>163.30000000000001</v>
      </c>
      <c r="CA50" s="19">
        <v>119.5</v>
      </c>
      <c r="CB50" s="19">
        <v>66</v>
      </c>
      <c r="CC50" s="19">
        <v>74.5</v>
      </c>
      <c r="CD50" s="19">
        <v>30.1</v>
      </c>
      <c r="CE50" s="19">
        <v>0</v>
      </c>
      <c r="CF50" s="19"/>
      <c r="CG50" s="19"/>
      <c r="CH50" s="19">
        <v>141.5</v>
      </c>
      <c r="CI50" s="19">
        <v>144.1</v>
      </c>
      <c r="CJ50" s="19">
        <v>147</v>
      </c>
      <c r="CK50" s="19">
        <v>103.1</v>
      </c>
      <c r="CL50" s="19"/>
      <c r="CM50" s="19"/>
      <c r="CN50" s="19"/>
      <c r="CO50" s="19"/>
      <c r="CP50" s="19">
        <v>207.9</v>
      </c>
      <c r="CQ50" s="19">
        <v>99.8</v>
      </c>
      <c r="CR50" s="19">
        <v>7.9</v>
      </c>
      <c r="CS50" s="19">
        <v>3.6</v>
      </c>
      <c r="CT50" s="19">
        <v>11.7</v>
      </c>
      <c r="CU50" s="19">
        <v>0</v>
      </c>
      <c r="CV50" s="19">
        <v>67.599999999999994</v>
      </c>
      <c r="CW50" s="19">
        <v>0</v>
      </c>
      <c r="CX50" s="19">
        <v>12.5</v>
      </c>
      <c r="CY50" s="19">
        <v>0</v>
      </c>
      <c r="CZ50" s="19">
        <v>16.100000000000001</v>
      </c>
      <c r="DA50" s="19">
        <v>9.9</v>
      </c>
      <c r="DB50" s="19">
        <v>5.5</v>
      </c>
      <c r="DC50" s="19">
        <v>0</v>
      </c>
      <c r="DD50" s="19">
        <v>0</v>
      </c>
      <c r="DE50" s="19">
        <v>1.3</v>
      </c>
      <c r="DF50" s="19">
        <v>2.6</v>
      </c>
      <c r="DG50" s="19">
        <v>2.6</v>
      </c>
      <c r="DH50" s="19">
        <v>20.5</v>
      </c>
      <c r="DI50" s="19">
        <v>9.9</v>
      </c>
      <c r="DJ50" s="19">
        <v>8.3000000000000007</v>
      </c>
      <c r="DK50" s="19"/>
      <c r="DL50" s="19">
        <v>7.7</v>
      </c>
      <c r="DM50" s="19">
        <v>0</v>
      </c>
      <c r="DN50" s="19">
        <v>0</v>
      </c>
      <c r="DO50" s="19">
        <v>19.600000000000001</v>
      </c>
      <c r="DP50" s="19">
        <v>65.2</v>
      </c>
      <c r="DQ50" s="19">
        <v>0</v>
      </c>
      <c r="DR50" s="19">
        <v>2.8</v>
      </c>
      <c r="DS50" s="19">
        <v>12.1</v>
      </c>
      <c r="DT50" s="19">
        <v>2.1</v>
      </c>
      <c r="DU50" s="19"/>
      <c r="DV50" s="19">
        <v>0</v>
      </c>
      <c r="DW50" s="19">
        <v>13.9</v>
      </c>
      <c r="DX50" s="19">
        <v>4.5999999999999996</v>
      </c>
      <c r="DY50" s="19">
        <v>8.1</v>
      </c>
      <c r="DZ50" s="19">
        <v>11.6</v>
      </c>
      <c r="EA50" s="19">
        <v>4.3</v>
      </c>
      <c r="EB50" s="19">
        <v>19.100000000000001</v>
      </c>
      <c r="EC50" s="19">
        <v>0</v>
      </c>
      <c r="ED50" s="19">
        <v>62.8</v>
      </c>
      <c r="EE50" s="19">
        <v>88.5</v>
      </c>
      <c r="EF50" s="19">
        <v>5.9</v>
      </c>
      <c r="EG50" s="19">
        <v>4.5999999999999996</v>
      </c>
      <c r="EH50" s="19">
        <v>0</v>
      </c>
      <c r="EI50" s="19">
        <v>9.9</v>
      </c>
      <c r="EJ50" s="19">
        <v>3.5</v>
      </c>
      <c r="EK50" s="19">
        <v>3.4</v>
      </c>
      <c r="EL50" s="19">
        <v>8.4</v>
      </c>
      <c r="EM50" s="19">
        <v>9.1</v>
      </c>
      <c r="EN50" s="19">
        <v>9.3000000000000007</v>
      </c>
      <c r="EO50" s="19">
        <v>10.6</v>
      </c>
      <c r="EP50" s="19">
        <v>0</v>
      </c>
      <c r="EQ50" s="19">
        <v>0</v>
      </c>
      <c r="ER50" s="19">
        <v>0</v>
      </c>
      <c r="ES50" s="19">
        <v>0.6</v>
      </c>
      <c r="ET50" s="19">
        <v>79.400000000000006</v>
      </c>
      <c r="EU50" s="19">
        <v>80.400000000000006</v>
      </c>
      <c r="EV50" s="19">
        <v>0</v>
      </c>
      <c r="EW50" s="19"/>
      <c r="EX50" s="19">
        <v>2</v>
      </c>
      <c r="EY50" s="19"/>
      <c r="EZ50" s="19"/>
      <c r="FA50" s="19">
        <v>0</v>
      </c>
      <c r="FB50" s="19">
        <v>10</v>
      </c>
      <c r="FC50" s="19">
        <v>19.3</v>
      </c>
      <c r="FD50" s="19">
        <v>17.899999999999999</v>
      </c>
      <c r="FE50" s="19">
        <v>6.2</v>
      </c>
      <c r="FF50" s="19">
        <v>34.299999999999997</v>
      </c>
      <c r="FG50" s="19"/>
      <c r="FH50" s="19">
        <v>18</v>
      </c>
      <c r="FI50" s="19"/>
      <c r="FJ50" s="19"/>
      <c r="FK50" s="19">
        <v>10.8</v>
      </c>
      <c r="FL50" s="19"/>
      <c r="FM50" s="19">
        <v>7853.2</v>
      </c>
      <c r="FN50" s="15"/>
      <c r="FO50" s="19">
        <v>22.4</v>
      </c>
      <c r="FP50" s="19">
        <v>12.08872</v>
      </c>
      <c r="FQ50" s="19">
        <v>11.7</v>
      </c>
      <c r="FR50" s="19">
        <v>9.4</v>
      </c>
      <c r="FS50" s="19">
        <v>25.869620000000001</v>
      </c>
      <c r="FT50" s="19">
        <v>18.958570000000002</v>
      </c>
      <c r="FU50" s="19">
        <v>11.5</v>
      </c>
      <c r="FV50" s="19">
        <v>16.100000000000001</v>
      </c>
      <c r="FW50" s="19">
        <v>128.01691</v>
      </c>
    </row>
    <row r="51" spans="1:179" ht="24" customHeight="1" x14ac:dyDescent="0.3">
      <c r="A51" s="13" t="s">
        <v>67</v>
      </c>
      <c r="B51" s="13" t="s">
        <v>848</v>
      </c>
      <c r="C51" s="14">
        <v>104.5</v>
      </c>
      <c r="D51" s="14">
        <v>652.4</v>
      </c>
      <c r="E51" s="14">
        <v>213.9</v>
      </c>
      <c r="F51" s="14">
        <v>7.5</v>
      </c>
      <c r="G51" s="14">
        <v>7.4</v>
      </c>
      <c r="H51" s="14">
        <v>90</v>
      </c>
      <c r="I51" s="14">
        <v>126.3</v>
      </c>
      <c r="J51" s="14"/>
      <c r="K51" s="14">
        <v>80.7</v>
      </c>
      <c r="L51" s="14">
        <v>105.2</v>
      </c>
      <c r="M51" s="14">
        <v>0</v>
      </c>
      <c r="N51" s="14">
        <v>105.2</v>
      </c>
      <c r="O51" s="14">
        <v>133.19999999999999</v>
      </c>
      <c r="P51" s="14">
        <v>203.6</v>
      </c>
      <c r="Q51" s="14">
        <v>106.2</v>
      </c>
      <c r="R51" s="14">
        <v>555.9</v>
      </c>
      <c r="S51" s="14"/>
      <c r="T51" s="14"/>
      <c r="U51" s="14"/>
      <c r="V51" s="14"/>
      <c r="W51" s="14">
        <v>165</v>
      </c>
      <c r="X51" s="14">
        <v>7.8</v>
      </c>
      <c r="Y51" s="14">
        <v>5.2</v>
      </c>
      <c r="Z51" s="14">
        <v>0</v>
      </c>
      <c r="AA51" s="14">
        <v>6.8</v>
      </c>
      <c r="AB51" s="14">
        <v>130.69999999999999</v>
      </c>
      <c r="AC51" s="14"/>
      <c r="AD51" s="14"/>
      <c r="AE51" s="14"/>
      <c r="AF51" s="14"/>
      <c r="AG51" s="14">
        <v>109.9</v>
      </c>
      <c r="AH51" s="14">
        <v>222.7</v>
      </c>
      <c r="AI51" s="14"/>
      <c r="AJ51" s="14">
        <v>59.2</v>
      </c>
      <c r="AK51" s="14"/>
      <c r="AL51" s="14">
        <v>6.5</v>
      </c>
      <c r="AM51" s="14">
        <v>228.4</v>
      </c>
      <c r="AN51" s="14">
        <v>63.8</v>
      </c>
      <c r="AO51" s="14">
        <v>149.80000000000001</v>
      </c>
      <c r="AP51" s="14">
        <v>40.1</v>
      </c>
      <c r="AQ51" s="14">
        <v>18.600000000000001</v>
      </c>
      <c r="AR51" s="14">
        <v>18.8</v>
      </c>
      <c r="AS51" s="14">
        <v>90.6</v>
      </c>
      <c r="AT51" s="14">
        <v>176.1</v>
      </c>
      <c r="AU51" s="14">
        <v>176.8</v>
      </c>
      <c r="AV51" s="14">
        <v>182.4</v>
      </c>
      <c r="AW51" s="14">
        <v>107.8</v>
      </c>
      <c r="AX51" s="14">
        <v>32.299999999999997</v>
      </c>
      <c r="AY51" s="14">
        <v>42.5</v>
      </c>
      <c r="AZ51" s="14">
        <v>3.6</v>
      </c>
      <c r="BA51" s="14">
        <v>16.8</v>
      </c>
      <c r="BB51" s="14">
        <v>152.30000000000001</v>
      </c>
      <c r="BC51" s="14"/>
      <c r="BD51" s="14"/>
      <c r="BE51" s="14">
        <v>47.4</v>
      </c>
      <c r="BF51" s="14">
        <v>81.900000000000006</v>
      </c>
      <c r="BG51" s="14"/>
      <c r="BH51" s="14">
        <v>0</v>
      </c>
      <c r="BI51" s="14"/>
      <c r="BJ51" s="14"/>
      <c r="BK51" s="14"/>
      <c r="BL51" s="14">
        <v>102.1</v>
      </c>
      <c r="BM51" s="14">
        <v>169</v>
      </c>
      <c r="BN51" s="14">
        <v>167.1</v>
      </c>
      <c r="BO51" s="14">
        <v>198.6</v>
      </c>
      <c r="BP51" s="14">
        <v>263.8</v>
      </c>
      <c r="BQ51" s="14">
        <v>0</v>
      </c>
      <c r="BR51" s="14"/>
      <c r="BS51" s="14"/>
      <c r="BT51" s="14"/>
      <c r="BU51" s="14"/>
      <c r="BV51" s="14">
        <v>35.9</v>
      </c>
      <c r="BW51" s="14"/>
      <c r="BX51" s="14"/>
      <c r="BY51" s="14">
        <v>2.8</v>
      </c>
      <c r="BZ51" s="14">
        <v>139.1</v>
      </c>
      <c r="CA51" s="14">
        <v>121.9</v>
      </c>
      <c r="CB51" s="14">
        <v>66.099999999999994</v>
      </c>
      <c r="CC51" s="14">
        <v>74.599999999999994</v>
      </c>
      <c r="CD51" s="14">
        <v>30.2</v>
      </c>
      <c r="CE51" s="14">
        <v>0</v>
      </c>
      <c r="CF51" s="14"/>
      <c r="CG51" s="14"/>
      <c r="CH51" s="14">
        <v>141.5</v>
      </c>
      <c r="CI51" s="14">
        <v>144.4</v>
      </c>
      <c r="CJ51" s="14">
        <v>147.1</v>
      </c>
      <c r="CK51" s="14">
        <v>103.3</v>
      </c>
      <c r="CL51" s="14"/>
      <c r="CM51" s="14"/>
      <c r="CN51" s="14"/>
      <c r="CO51" s="14"/>
      <c r="CP51" s="14">
        <v>208</v>
      </c>
      <c r="CQ51" s="14">
        <v>99.9</v>
      </c>
      <c r="CR51" s="14">
        <v>7.9</v>
      </c>
      <c r="CS51" s="14">
        <v>3.8</v>
      </c>
      <c r="CT51" s="14">
        <v>10</v>
      </c>
      <c r="CU51" s="14">
        <v>0</v>
      </c>
      <c r="CV51" s="14">
        <v>69.8</v>
      </c>
      <c r="CW51" s="14">
        <v>0</v>
      </c>
      <c r="CX51" s="14">
        <v>9.9</v>
      </c>
      <c r="CY51" s="14">
        <v>0</v>
      </c>
      <c r="CZ51" s="14">
        <v>16</v>
      </c>
      <c r="DA51" s="14">
        <v>9.9</v>
      </c>
      <c r="DB51" s="14">
        <v>5.5</v>
      </c>
      <c r="DC51" s="14">
        <v>0</v>
      </c>
      <c r="DD51" s="14">
        <v>0</v>
      </c>
      <c r="DE51" s="14">
        <v>1.3</v>
      </c>
      <c r="DF51" s="14">
        <v>2.5</v>
      </c>
      <c r="DG51" s="14">
        <v>2.6</v>
      </c>
      <c r="DH51" s="14">
        <v>20.399999999999999</v>
      </c>
      <c r="DI51" s="14">
        <v>9.9</v>
      </c>
      <c r="DJ51" s="14">
        <v>8.3000000000000007</v>
      </c>
      <c r="DK51" s="14"/>
      <c r="DL51" s="14">
        <v>7.7</v>
      </c>
      <c r="DM51" s="14">
        <v>0</v>
      </c>
      <c r="DN51" s="14">
        <v>0</v>
      </c>
      <c r="DO51" s="14">
        <v>23.1</v>
      </c>
      <c r="DP51" s="14">
        <v>67.3</v>
      </c>
      <c r="DQ51" s="14">
        <v>0</v>
      </c>
      <c r="DR51" s="14">
        <v>3.1</v>
      </c>
      <c r="DS51" s="14">
        <v>12.1</v>
      </c>
      <c r="DT51" s="14">
        <v>2.1</v>
      </c>
      <c r="DU51" s="14"/>
      <c r="DV51" s="14">
        <v>0</v>
      </c>
      <c r="DW51" s="14">
        <v>14</v>
      </c>
      <c r="DX51" s="14">
        <v>5.3</v>
      </c>
      <c r="DY51" s="14">
        <v>8.1999999999999993</v>
      </c>
      <c r="DZ51" s="14">
        <v>11.7</v>
      </c>
      <c r="EA51" s="14">
        <v>7.2</v>
      </c>
      <c r="EB51" s="14">
        <v>24.1</v>
      </c>
      <c r="EC51" s="14">
        <v>0</v>
      </c>
      <c r="ED51" s="14">
        <v>55.4</v>
      </c>
      <c r="EE51" s="14">
        <v>74.7</v>
      </c>
      <c r="EF51" s="14">
        <v>6.7</v>
      </c>
      <c r="EG51" s="14">
        <v>3.5</v>
      </c>
      <c r="EH51" s="14">
        <v>0</v>
      </c>
      <c r="EI51" s="14">
        <v>9.9</v>
      </c>
      <c r="EJ51" s="14">
        <v>3.5</v>
      </c>
      <c r="EK51" s="14">
        <v>4.3</v>
      </c>
      <c r="EL51" s="14">
        <v>8.4</v>
      </c>
      <c r="EM51" s="14">
        <v>9.1</v>
      </c>
      <c r="EN51" s="14">
        <v>9.3000000000000007</v>
      </c>
      <c r="EO51" s="14">
        <v>8.3000000000000007</v>
      </c>
      <c r="EP51" s="14">
        <v>0</v>
      </c>
      <c r="EQ51" s="14">
        <v>0</v>
      </c>
      <c r="ER51" s="14">
        <v>0</v>
      </c>
      <c r="ES51" s="14">
        <v>0.6</v>
      </c>
      <c r="ET51" s="14">
        <v>61.1</v>
      </c>
      <c r="EU51" s="14">
        <v>52.4</v>
      </c>
      <c r="EV51" s="14">
        <v>0</v>
      </c>
      <c r="EW51" s="14"/>
      <c r="EX51" s="14">
        <v>2</v>
      </c>
      <c r="EY51" s="14"/>
      <c r="EZ51" s="14"/>
      <c r="FA51" s="14">
        <v>0</v>
      </c>
      <c r="FB51" s="14">
        <v>10</v>
      </c>
      <c r="FC51" s="14">
        <v>19.5</v>
      </c>
      <c r="FD51" s="14">
        <v>18.399999999999999</v>
      </c>
      <c r="FE51" s="14">
        <v>5.2</v>
      </c>
      <c r="FF51" s="14">
        <v>34.1</v>
      </c>
      <c r="FG51" s="14"/>
      <c r="FH51" s="14">
        <v>18.100000000000001</v>
      </c>
      <c r="FI51" s="14"/>
      <c r="FJ51" s="14"/>
      <c r="FK51" s="14">
        <v>10.8</v>
      </c>
      <c r="FL51" s="14"/>
      <c r="FM51" s="14">
        <v>7840.2</v>
      </c>
      <c r="FN51" s="15"/>
      <c r="FO51" s="14">
        <v>22.4</v>
      </c>
      <c r="FP51" s="14">
        <v>8.0969999999999995</v>
      </c>
      <c r="FQ51" s="14">
        <v>11.7</v>
      </c>
      <c r="FR51" s="14">
        <v>9.4</v>
      </c>
      <c r="FS51" s="14">
        <v>25.843340000000001</v>
      </c>
      <c r="FT51" s="14">
        <v>18.959230000000002</v>
      </c>
      <c r="FU51" s="14">
        <v>11.5</v>
      </c>
      <c r="FV51" s="14">
        <v>16.2</v>
      </c>
      <c r="FW51" s="14">
        <v>124.09957</v>
      </c>
    </row>
    <row r="52" spans="1:179" ht="24" customHeight="1" x14ac:dyDescent="0.3">
      <c r="A52" s="16" t="s">
        <v>67</v>
      </c>
      <c r="B52" s="16" t="s">
        <v>849</v>
      </c>
      <c r="C52" s="17">
        <v>104.3</v>
      </c>
      <c r="D52" s="17">
        <v>651.79999999999995</v>
      </c>
      <c r="E52" s="17">
        <v>213.8</v>
      </c>
      <c r="F52" s="17">
        <v>5</v>
      </c>
      <c r="G52" s="17">
        <v>4.9000000000000004</v>
      </c>
      <c r="H52" s="17">
        <v>90.3</v>
      </c>
      <c r="I52" s="17">
        <v>125.3</v>
      </c>
      <c r="J52" s="17"/>
      <c r="K52" s="17">
        <v>80.2</v>
      </c>
      <c r="L52" s="17">
        <v>164.9</v>
      </c>
      <c r="M52" s="17">
        <v>0</v>
      </c>
      <c r="N52" s="17">
        <v>164.7</v>
      </c>
      <c r="O52" s="17">
        <v>170.1</v>
      </c>
      <c r="P52" s="17">
        <v>203.5</v>
      </c>
      <c r="Q52" s="17">
        <v>106.2</v>
      </c>
      <c r="R52" s="17">
        <v>555.79999999999995</v>
      </c>
      <c r="S52" s="17"/>
      <c r="T52" s="17"/>
      <c r="U52" s="17"/>
      <c r="V52" s="17"/>
      <c r="W52" s="17">
        <v>163.80000000000001</v>
      </c>
      <c r="X52" s="17">
        <v>7.8</v>
      </c>
      <c r="Y52" s="17">
        <v>5.2</v>
      </c>
      <c r="Z52" s="17">
        <v>0</v>
      </c>
      <c r="AA52" s="17">
        <v>6.7</v>
      </c>
      <c r="AB52" s="17">
        <v>130.69999999999999</v>
      </c>
      <c r="AC52" s="17"/>
      <c r="AD52" s="17"/>
      <c r="AE52" s="17"/>
      <c r="AF52" s="17"/>
      <c r="AG52" s="17">
        <v>110</v>
      </c>
      <c r="AH52" s="17">
        <v>222.6</v>
      </c>
      <c r="AI52" s="17"/>
      <c r="AJ52" s="17">
        <v>0</v>
      </c>
      <c r="AK52" s="17"/>
      <c r="AL52" s="17">
        <v>6.5</v>
      </c>
      <c r="AM52" s="17">
        <v>229</v>
      </c>
      <c r="AN52" s="17">
        <v>59.9</v>
      </c>
      <c r="AO52" s="17">
        <v>151.4</v>
      </c>
      <c r="AP52" s="17">
        <v>39.799999999999997</v>
      </c>
      <c r="AQ52" s="17">
        <v>18.600000000000001</v>
      </c>
      <c r="AR52" s="17">
        <v>18.8</v>
      </c>
      <c r="AS52" s="17">
        <v>90.3</v>
      </c>
      <c r="AT52" s="17">
        <v>178.3</v>
      </c>
      <c r="AU52" s="17">
        <v>178.5</v>
      </c>
      <c r="AV52" s="17">
        <v>182.5</v>
      </c>
      <c r="AW52" s="17">
        <v>107.9</v>
      </c>
      <c r="AX52" s="17">
        <v>30</v>
      </c>
      <c r="AY52" s="17">
        <v>42.8</v>
      </c>
      <c r="AZ52" s="17">
        <v>3.6</v>
      </c>
      <c r="BA52" s="17">
        <v>17.3</v>
      </c>
      <c r="BB52" s="17">
        <v>73.400000000000006</v>
      </c>
      <c r="BC52" s="17"/>
      <c r="BD52" s="17"/>
      <c r="BE52" s="17">
        <v>47.4</v>
      </c>
      <c r="BF52" s="17">
        <v>82</v>
      </c>
      <c r="BG52" s="17"/>
      <c r="BH52" s="17">
        <v>0</v>
      </c>
      <c r="BI52" s="17"/>
      <c r="BJ52" s="17"/>
      <c r="BK52" s="17"/>
      <c r="BL52" s="17">
        <v>102</v>
      </c>
      <c r="BM52" s="17">
        <v>168.9</v>
      </c>
      <c r="BN52" s="17">
        <v>166.9</v>
      </c>
      <c r="BO52" s="17">
        <v>198.8</v>
      </c>
      <c r="BP52" s="17">
        <v>264.10000000000002</v>
      </c>
      <c r="BQ52" s="17">
        <v>0</v>
      </c>
      <c r="BR52" s="17"/>
      <c r="BS52" s="17"/>
      <c r="BT52" s="17"/>
      <c r="BU52" s="17"/>
      <c r="BV52" s="17">
        <v>36.200000000000003</v>
      </c>
      <c r="BW52" s="17"/>
      <c r="BX52" s="17"/>
      <c r="BY52" s="17">
        <v>2.8</v>
      </c>
      <c r="BZ52" s="17">
        <v>119.3</v>
      </c>
      <c r="CA52" s="17">
        <v>114.7</v>
      </c>
      <c r="CB52" s="17">
        <v>66</v>
      </c>
      <c r="CC52" s="17">
        <v>74.5</v>
      </c>
      <c r="CD52" s="17">
        <v>30.2</v>
      </c>
      <c r="CE52" s="17">
        <v>0</v>
      </c>
      <c r="CF52" s="17"/>
      <c r="CG52" s="17"/>
      <c r="CH52" s="17">
        <v>141.69999999999999</v>
      </c>
      <c r="CI52" s="17">
        <v>144.1</v>
      </c>
      <c r="CJ52" s="17">
        <v>147.19999999999999</v>
      </c>
      <c r="CK52" s="17">
        <v>103.3</v>
      </c>
      <c r="CL52" s="17"/>
      <c r="CM52" s="17"/>
      <c r="CN52" s="17"/>
      <c r="CO52" s="17"/>
      <c r="CP52" s="17">
        <v>208.1</v>
      </c>
      <c r="CQ52" s="17">
        <v>100.2</v>
      </c>
      <c r="CR52" s="17">
        <v>7.9</v>
      </c>
      <c r="CS52" s="17">
        <v>3.8</v>
      </c>
      <c r="CT52" s="17">
        <v>10</v>
      </c>
      <c r="CU52" s="17">
        <v>0</v>
      </c>
      <c r="CV52" s="17">
        <v>74.599999999999994</v>
      </c>
      <c r="CW52" s="17">
        <v>0</v>
      </c>
      <c r="CX52" s="17">
        <v>13</v>
      </c>
      <c r="CY52" s="17">
        <v>0</v>
      </c>
      <c r="CZ52" s="17">
        <v>16</v>
      </c>
      <c r="DA52" s="17">
        <v>9.9</v>
      </c>
      <c r="DB52" s="17">
        <v>5.6</v>
      </c>
      <c r="DC52" s="17">
        <v>0</v>
      </c>
      <c r="DD52" s="17">
        <v>0</v>
      </c>
      <c r="DE52" s="17">
        <v>1.3</v>
      </c>
      <c r="DF52" s="17">
        <v>2.6</v>
      </c>
      <c r="DG52" s="17">
        <v>2.6</v>
      </c>
      <c r="DH52" s="17">
        <v>20.5</v>
      </c>
      <c r="DI52" s="17">
        <v>9.4</v>
      </c>
      <c r="DJ52" s="17">
        <v>4.5</v>
      </c>
      <c r="DK52" s="17"/>
      <c r="DL52" s="17">
        <v>7.7</v>
      </c>
      <c r="DM52" s="17">
        <v>0</v>
      </c>
      <c r="DN52" s="17">
        <v>0</v>
      </c>
      <c r="DO52" s="17">
        <v>21.7</v>
      </c>
      <c r="DP52" s="17">
        <v>66.8</v>
      </c>
      <c r="DQ52" s="17">
        <v>0</v>
      </c>
      <c r="DR52" s="17">
        <v>3.1</v>
      </c>
      <c r="DS52" s="17">
        <v>12.1</v>
      </c>
      <c r="DT52" s="17">
        <v>2.1</v>
      </c>
      <c r="DU52" s="17"/>
      <c r="DV52" s="17">
        <v>0</v>
      </c>
      <c r="DW52" s="17">
        <v>14</v>
      </c>
      <c r="DX52" s="17">
        <v>5.3</v>
      </c>
      <c r="DY52" s="17">
        <v>8.1999999999999993</v>
      </c>
      <c r="DZ52" s="17">
        <v>12.1</v>
      </c>
      <c r="EA52" s="17">
        <v>9</v>
      </c>
      <c r="EB52" s="17">
        <v>34.1</v>
      </c>
      <c r="EC52" s="17">
        <v>0</v>
      </c>
      <c r="ED52" s="17">
        <v>43.9</v>
      </c>
      <c r="EE52" s="17">
        <v>75.599999999999994</v>
      </c>
      <c r="EF52" s="17">
        <v>4.5999999999999996</v>
      </c>
      <c r="EG52" s="17">
        <v>2.2999999999999998</v>
      </c>
      <c r="EH52" s="17">
        <v>0</v>
      </c>
      <c r="EI52" s="17">
        <v>9.9</v>
      </c>
      <c r="EJ52" s="17">
        <v>3.5</v>
      </c>
      <c r="EK52" s="17">
        <v>4.5</v>
      </c>
      <c r="EL52" s="17">
        <v>8.4</v>
      </c>
      <c r="EM52" s="17">
        <v>9.1</v>
      </c>
      <c r="EN52" s="17">
        <v>9.3000000000000007</v>
      </c>
      <c r="EO52" s="17">
        <v>15.4</v>
      </c>
      <c r="EP52" s="17">
        <v>0</v>
      </c>
      <c r="EQ52" s="17">
        <v>0</v>
      </c>
      <c r="ER52" s="17">
        <v>0</v>
      </c>
      <c r="ES52" s="17">
        <v>0.6</v>
      </c>
      <c r="ET52" s="17">
        <v>32.6</v>
      </c>
      <c r="EU52" s="17">
        <v>30.9</v>
      </c>
      <c r="EV52" s="17">
        <v>0</v>
      </c>
      <c r="EW52" s="17"/>
      <c r="EX52" s="17">
        <v>2</v>
      </c>
      <c r="EY52" s="17"/>
      <c r="EZ52" s="17"/>
      <c r="FA52" s="17">
        <v>0</v>
      </c>
      <c r="FB52" s="17">
        <v>10</v>
      </c>
      <c r="FC52" s="17">
        <v>19.600000000000001</v>
      </c>
      <c r="FD52" s="17">
        <v>18.8</v>
      </c>
      <c r="FE52" s="17">
        <v>8.1999999999999993</v>
      </c>
      <c r="FF52" s="17">
        <v>33.799999999999997</v>
      </c>
      <c r="FG52" s="17"/>
      <c r="FH52" s="17">
        <v>18.5</v>
      </c>
      <c r="FI52" s="17"/>
      <c r="FJ52" s="17"/>
      <c r="FK52" s="17">
        <v>11.3</v>
      </c>
      <c r="FL52" s="17"/>
      <c r="FM52" s="17">
        <v>7785.3</v>
      </c>
      <c r="FN52" s="15"/>
      <c r="FO52" s="17">
        <v>22.4</v>
      </c>
      <c r="FP52" s="17">
        <v>8.093</v>
      </c>
      <c r="FQ52" s="17">
        <v>11.7</v>
      </c>
      <c r="FR52" s="17">
        <v>9.4</v>
      </c>
      <c r="FS52" s="17">
        <v>25.860800000000001</v>
      </c>
      <c r="FT52" s="17">
        <v>18.959540000000001</v>
      </c>
      <c r="FU52" s="17">
        <v>11.5</v>
      </c>
      <c r="FV52" s="17">
        <v>16.100000000000001</v>
      </c>
      <c r="FW52" s="17">
        <v>124.01334</v>
      </c>
    </row>
    <row r="53" spans="1:179" ht="24" customHeight="1" x14ac:dyDescent="0.3">
      <c r="A53" s="16" t="s">
        <v>67</v>
      </c>
      <c r="B53" s="16" t="s">
        <v>850</v>
      </c>
      <c r="C53" s="17">
        <v>104</v>
      </c>
      <c r="D53" s="17">
        <v>653</v>
      </c>
      <c r="E53" s="17">
        <v>213.6</v>
      </c>
      <c r="F53" s="17">
        <v>0</v>
      </c>
      <c r="G53" s="17">
        <v>0</v>
      </c>
      <c r="H53" s="17">
        <v>90</v>
      </c>
      <c r="I53" s="17">
        <v>125.7</v>
      </c>
      <c r="J53" s="17"/>
      <c r="K53" s="17">
        <v>52.1</v>
      </c>
      <c r="L53" s="17">
        <v>179.6</v>
      </c>
      <c r="M53" s="17">
        <v>0</v>
      </c>
      <c r="N53" s="17">
        <v>189</v>
      </c>
      <c r="O53" s="17">
        <v>176.7</v>
      </c>
      <c r="P53" s="17">
        <v>206.9</v>
      </c>
      <c r="Q53" s="17">
        <v>106.5</v>
      </c>
      <c r="R53" s="17">
        <v>556.1</v>
      </c>
      <c r="S53" s="17"/>
      <c r="T53" s="17"/>
      <c r="U53" s="17"/>
      <c r="V53" s="17"/>
      <c r="W53" s="17">
        <v>165</v>
      </c>
      <c r="X53" s="17">
        <v>7.9</v>
      </c>
      <c r="Y53" s="17">
        <v>5.2</v>
      </c>
      <c r="Z53" s="17">
        <v>0</v>
      </c>
      <c r="AA53" s="17">
        <v>6.7</v>
      </c>
      <c r="AB53" s="17">
        <v>130.80000000000001</v>
      </c>
      <c r="AC53" s="17"/>
      <c r="AD53" s="17"/>
      <c r="AE53" s="17"/>
      <c r="AF53" s="17"/>
      <c r="AG53" s="17">
        <v>110</v>
      </c>
      <c r="AH53" s="17">
        <v>222.8</v>
      </c>
      <c r="AI53" s="17"/>
      <c r="AJ53" s="17">
        <v>0</v>
      </c>
      <c r="AK53" s="17"/>
      <c r="AL53" s="17">
        <v>6.5</v>
      </c>
      <c r="AM53" s="17">
        <v>229.4</v>
      </c>
      <c r="AN53" s="17">
        <v>60.2</v>
      </c>
      <c r="AO53" s="17">
        <v>151.6</v>
      </c>
      <c r="AP53" s="17">
        <v>40</v>
      </c>
      <c r="AQ53" s="17">
        <v>18.600000000000001</v>
      </c>
      <c r="AR53" s="17">
        <v>18.8</v>
      </c>
      <c r="AS53" s="17">
        <v>90.7</v>
      </c>
      <c r="AT53" s="17">
        <v>177.3</v>
      </c>
      <c r="AU53" s="17">
        <v>177.8</v>
      </c>
      <c r="AV53" s="17">
        <v>183</v>
      </c>
      <c r="AW53" s="17">
        <v>108.1</v>
      </c>
      <c r="AX53" s="17">
        <v>30</v>
      </c>
      <c r="AY53" s="17">
        <v>43</v>
      </c>
      <c r="AZ53" s="17">
        <v>3.6</v>
      </c>
      <c r="BA53" s="17">
        <v>17.600000000000001</v>
      </c>
      <c r="BB53" s="17">
        <v>125.2</v>
      </c>
      <c r="BC53" s="17"/>
      <c r="BD53" s="17"/>
      <c r="BE53" s="17">
        <v>47.5</v>
      </c>
      <c r="BF53" s="17">
        <v>82.8</v>
      </c>
      <c r="BG53" s="17"/>
      <c r="BH53" s="17">
        <v>0</v>
      </c>
      <c r="BI53" s="17"/>
      <c r="BJ53" s="17"/>
      <c r="BK53" s="17"/>
      <c r="BL53" s="17">
        <v>102.1</v>
      </c>
      <c r="BM53" s="17">
        <v>169</v>
      </c>
      <c r="BN53" s="17">
        <v>167.4</v>
      </c>
      <c r="BO53" s="17">
        <v>198.9</v>
      </c>
      <c r="BP53" s="17">
        <v>264.89999999999998</v>
      </c>
      <c r="BQ53" s="17">
        <v>0</v>
      </c>
      <c r="BR53" s="17"/>
      <c r="BS53" s="17"/>
      <c r="BT53" s="17"/>
      <c r="BU53" s="17"/>
      <c r="BV53" s="17">
        <v>36.200000000000003</v>
      </c>
      <c r="BW53" s="17"/>
      <c r="BX53" s="17"/>
      <c r="BY53" s="17">
        <v>2.8</v>
      </c>
      <c r="BZ53" s="17">
        <v>162.4</v>
      </c>
      <c r="CA53" s="17">
        <v>95.5</v>
      </c>
      <c r="CB53" s="17">
        <v>66</v>
      </c>
      <c r="CC53" s="17">
        <v>61.1</v>
      </c>
      <c r="CD53" s="17">
        <v>30.1</v>
      </c>
      <c r="CE53" s="17">
        <v>0</v>
      </c>
      <c r="CF53" s="17"/>
      <c r="CG53" s="17"/>
      <c r="CH53" s="17">
        <v>141.9</v>
      </c>
      <c r="CI53" s="17">
        <v>144.5</v>
      </c>
      <c r="CJ53" s="17">
        <v>147.5</v>
      </c>
      <c r="CK53" s="17">
        <v>103.9</v>
      </c>
      <c r="CL53" s="17"/>
      <c r="CM53" s="17"/>
      <c r="CN53" s="17"/>
      <c r="CO53" s="17"/>
      <c r="CP53" s="17">
        <v>208.5</v>
      </c>
      <c r="CQ53" s="17">
        <v>100.3</v>
      </c>
      <c r="CR53" s="17">
        <v>7.9</v>
      </c>
      <c r="CS53" s="17">
        <v>3.8</v>
      </c>
      <c r="CT53" s="17">
        <v>10</v>
      </c>
      <c r="CU53" s="17">
        <v>0</v>
      </c>
      <c r="CV53" s="17">
        <v>60</v>
      </c>
      <c r="CW53" s="17">
        <v>0</v>
      </c>
      <c r="CX53" s="17">
        <v>12.9</v>
      </c>
      <c r="CY53" s="17">
        <v>0</v>
      </c>
      <c r="CZ53" s="17">
        <v>16</v>
      </c>
      <c r="DA53" s="17">
        <v>10</v>
      </c>
      <c r="DB53" s="17">
        <v>5.5</v>
      </c>
      <c r="DC53" s="17">
        <v>0</v>
      </c>
      <c r="DD53" s="17">
        <v>0</v>
      </c>
      <c r="DE53" s="17">
        <v>1.3</v>
      </c>
      <c r="DF53" s="17">
        <v>2.5</v>
      </c>
      <c r="DG53" s="17">
        <v>2.6</v>
      </c>
      <c r="DH53" s="17">
        <v>20.399999999999999</v>
      </c>
      <c r="DI53" s="17">
        <v>8.9</v>
      </c>
      <c r="DJ53" s="17">
        <v>4.5</v>
      </c>
      <c r="DK53" s="17"/>
      <c r="DL53" s="17">
        <v>7.7</v>
      </c>
      <c r="DM53" s="17">
        <v>0</v>
      </c>
      <c r="DN53" s="17">
        <v>0</v>
      </c>
      <c r="DO53" s="17">
        <v>19.600000000000001</v>
      </c>
      <c r="DP53" s="17">
        <v>51</v>
      </c>
      <c r="DQ53" s="17">
        <v>0</v>
      </c>
      <c r="DR53" s="17">
        <v>3.1</v>
      </c>
      <c r="DS53" s="17">
        <v>12.1</v>
      </c>
      <c r="DT53" s="17">
        <v>2.1</v>
      </c>
      <c r="DU53" s="17"/>
      <c r="DV53" s="17">
        <v>0</v>
      </c>
      <c r="DW53" s="17">
        <v>14</v>
      </c>
      <c r="DX53" s="17">
        <v>5.3</v>
      </c>
      <c r="DY53" s="17">
        <v>8.1</v>
      </c>
      <c r="DZ53" s="17">
        <v>12.2</v>
      </c>
      <c r="EA53" s="17">
        <v>8.6999999999999993</v>
      </c>
      <c r="EB53" s="17">
        <v>27.3</v>
      </c>
      <c r="EC53" s="17">
        <v>0</v>
      </c>
      <c r="ED53" s="17">
        <v>40.799999999999997</v>
      </c>
      <c r="EE53" s="17">
        <v>73.400000000000006</v>
      </c>
      <c r="EF53" s="17">
        <v>2.1</v>
      </c>
      <c r="EG53" s="17">
        <v>1.4</v>
      </c>
      <c r="EH53" s="17">
        <v>0</v>
      </c>
      <c r="EI53" s="17">
        <v>9.9</v>
      </c>
      <c r="EJ53" s="17">
        <v>3.4</v>
      </c>
      <c r="EK53" s="17">
        <v>4.5</v>
      </c>
      <c r="EL53" s="17">
        <v>8.4</v>
      </c>
      <c r="EM53" s="17">
        <v>9.1</v>
      </c>
      <c r="EN53" s="17">
        <v>9.3000000000000007</v>
      </c>
      <c r="EO53" s="17">
        <v>15.6</v>
      </c>
      <c r="EP53" s="17">
        <v>0</v>
      </c>
      <c r="EQ53" s="17">
        <v>0</v>
      </c>
      <c r="ER53" s="17">
        <v>0</v>
      </c>
      <c r="ES53" s="17">
        <v>0.6</v>
      </c>
      <c r="ET53" s="17">
        <v>12.8</v>
      </c>
      <c r="EU53" s="17">
        <v>7.8</v>
      </c>
      <c r="EV53" s="17">
        <v>0</v>
      </c>
      <c r="EW53" s="17"/>
      <c r="EX53" s="17">
        <v>2</v>
      </c>
      <c r="EY53" s="17"/>
      <c r="EZ53" s="17"/>
      <c r="FA53" s="17">
        <v>0</v>
      </c>
      <c r="FB53" s="17">
        <v>10</v>
      </c>
      <c r="FC53" s="17">
        <v>19.600000000000001</v>
      </c>
      <c r="FD53" s="17">
        <v>18.7</v>
      </c>
      <c r="FE53" s="17">
        <v>8.6</v>
      </c>
      <c r="FF53" s="17">
        <v>33.700000000000003</v>
      </c>
      <c r="FG53" s="17"/>
      <c r="FH53" s="17">
        <v>18</v>
      </c>
      <c r="FI53" s="17"/>
      <c r="FJ53" s="17"/>
      <c r="FK53" s="17">
        <v>11.1</v>
      </c>
      <c r="FL53" s="17"/>
      <c r="FM53" s="17">
        <v>7774.6</v>
      </c>
      <c r="FN53" s="15"/>
      <c r="FO53" s="17">
        <v>22.3</v>
      </c>
      <c r="FP53" s="17">
        <v>8.0950000000000006</v>
      </c>
      <c r="FQ53" s="17">
        <v>11.7</v>
      </c>
      <c r="FR53" s="17">
        <v>9.4</v>
      </c>
      <c r="FS53" s="17">
        <v>25.844760000000001</v>
      </c>
      <c r="FT53" s="17">
        <v>18.96096</v>
      </c>
      <c r="FU53" s="17">
        <v>11.6</v>
      </c>
      <c r="FV53" s="17">
        <v>16.2</v>
      </c>
      <c r="FW53" s="17">
        <v>124.10072</v>
      </c>
    </row>
    <row r="54" spans="1:179" ht="24" customHeight="1" x14ac:dyDescent="0.3">
      <c r="A54" s="16" t="s">
        <v>67</v>
      </c>
      <c r="B54" s="16" t="s">
        <v>851</v>
      </c>
      <c r="C54" s="17">
        <v>104.8</v>
      </c>
      <c r="D54" s="17">
        <v>651.20000000000005</v>
      </c>
      <c r="E54" s="17">
        <v>213.8</v>
      </c>
      <c r="F54" s="17">
        <v>0</v>
      </c>
      <c r="G54" s="17">
        <v>0</v>
      </c>
      <c r="H54" s="17">
        <v>90.2</v>
      </c>
      <c r="I54" s="17">
        <v>120.9</v>
      </c>
      <c r="J54" s="17"/>
      <c r="K54" s="17">
        <v>74.8</v>
      </c>
      <c r="L54" s="17">
        <v>179.9</v>
      </c>
      <c r="M54" s="17">
        <v>0</v>
      </c>
      <c r="N54" s="17">
        <v>202.8</v>
      </c>
      <c r="O54" s="17">
        <v>189.8</v>
      </c>
      <c r="P54" s="17">
        <v>204.1</v>
      </c>
      <c r="Q54" s="17">
        <v>106.5</v>
      </c>
      <c r="R54" s="17">
        <v>554.5</v>
      </c>
      <c r="S54" s="17"/>
      <c r="T54" s="17"/>
      <c r="U54" s="17"/>
      <c r="V54" s="17"/>
      <c r="W54" s="17">
        <v>165.9</v>
      </c>
      <c r="X54" s="17">
        <v>7.9</v>
      </c>
      <c r="Y54" s="17">
        <v>5.2</v>
      </c>
      <c r="Z54" s="17">
        <v>0</v>
      </c>
      <c r="AA54" s="17">
        <v>6.8</v>
      </c>
      <c r="AB54" s="17">
        <v>130.19999999999999</v>
      </c>
      <c r="AC54" s="17"/>
      <c r="AD54" s="17"/>
      <c r="AE54" s="17"/>
      <c r="AF54" s="17"/>
      <c r="AG54" s="17">
        <v>109.8</v>
      </c>
      <c r="AH54" s="17">
        <v>218.4</v>
      </c>
      <c r="AI54" s="17"/>
      <c r="AJ54" s="17">
        <v>0</v>
      </c>
      <c r="AK54" s="17"/>
      <c r="AL54" s="17">
        <v>6.5</v>
      </c>
      <c r="AM54" s="17">
        <v>234</v>
      </c>
      <c r="AN54" s="17">
        <v>61.4</v>
      </c>
      <c r="AO54" s="17">
        <v>151.19999999999999</v>
      </c>
      <c r="AP54" s="17">
        <v>40.299999999999997</v>
      </c>
      <c r="AQ54" s="17">
        <v>18.600000000000001</v>
      </c>
      <c r="AR54" s="17">
        <v>18.8</v>
      </c>
      <c r="AS54" s="17">
        <v>90.5</v>
      </c>
      <c r="AT54" s="17">
        <v>177.5</v>
      </c>
      <c r="AU54" s="17">
        <v>178.5</v>
      </c>
      <c r="AV54" s="17">
        <v>181.9</v>
      </c>
      <c r="AW54" s="17">
        <v>108</v>
      </c>
      <c r="AX54" s="17">
        <v>29.6</v>
      </c>
      <c r="AY54" s="17">
        <v>39.9</v>
      </c>
      <c r="AZ54" s="17">
        <v>3.6</v>
      </c>
      <c r="BA54" s="17">
        <v>16.600000000000001</v>
      </c>
      <c r="BB54" s="17">
        <v>43.3</v>
      </c>
      <c r="BC54" s="17"/>
      <c r="BD54" s="17"/>
      <c r="BE54" s="17">
        <v>47.5</v>
      </c>
      <c r="BF54" s="17">
        <v>81.5</v>
      </c>
      <c r="BG54" s="17"/>
      <c r="BH54" s="17">
        <v>0</v>
      </c>
      <c r="BI54" s="17"/>
      <c r="BJ54" s="17"/>
      <c r="BK54" s="17"/>
      <c r="BL54" s="17">
        <v>102.2</v>
      </c>
      <c r="BM54" s="17">
        <v>168.8</v>
      </c>
      <c r="BN54" s="17">
        <v>166.9</v>
      </c>
      <c r="BO54" s="17">
        <v>198.3</v>
      </c>
      <c r="BP54" s="17">
        <v>264.89999999999998</v>
      </c>
      <c r="BQ54" s="17">
        <v>0</v>
      </c>
      <c r="BR54" s="17"/>
      <c r="BS54" s="17"/>
      <c r="BT54" s="17"/>
      <c r="BU54" s="17"/>
      <c r="BV54" s="17">
        <v>36.200000000000003</v>
      </c>
      <c r="BW54" s="17"/>
      <c r="BX54" s="17"/>
      <c r="BY54" s="17">
        <v>2.8</v>
      </c>
      <c r="BZ54" s="17">
        <v>115.2</v>
      </c>
      <c r="CA54" s="17">
        <v>86.2</v>
      </c>
      <c r="CB54" s="17">
        <v>66.3</v>
      </c>
      <c r="CC54" s="17">
        <v>61.1</v>
      </c>
      <c r="CD54" s="17">
        <v>30.4</v>
      </c>
      <c r="CE54" s="17">
        <v>0</v>
      </c>
      <c r="CF54" s="17"/>
      <c r="CG54" s="17"/>
      <c r="CH54" s="17">
        <v>141.6</v>
      </c>
      <c r="CI54" s="17">
        <v>144.6</v>
      </c>
      <c r="CJ54" s="17">
        <v>147.19999999999999</v>
      </c>
      <c r="CK54" s="17">
        <v>184.2</v>
      </c>
      <c r="CL54" s="17"/>
      <c r="CM54" s="17"/>
      <c r="CN54" s="17"/>
      <c r="CO54" s="17"/>
      <c r="CP54" s="17">
        <v>208.4</v>
      </c>
      <c r="CQ54" s="17">
        <v>100.4</v>
      </c>
      <c r="CR54" s="17">
        <v>7.9</v>
      </c>
      <c r="CS54" s="17">
        <v>3.8</v>
      </c>
      <c r="CT54" s="17">
        <v>9.6</v>
      </c>
      <c r="CU54" s="17">
        <v>0</v>
      </c>
      <c r="CV54" s="17">
        <v>50.3</v>
      </c>
      <c r="CW54" s="17">
        <v>0</v>
      </c>
      <c r="CX54" s="17">
        <v>12.7</v>
      </c>
      <c r="CY54" s="17">
        <v>0</v>
      </c>
      <c r="CZ54" s="17">
        <v>16.100000000000001</v>
      </c>
      <c r="DA54" s="17">
        <v>9.9</v>
      </c>
      <c r="DB54" s="17">
        <v>5.6</v>
      </c>
      <c r="DC54" s="17">
        <v>0</v>
      </c>
      <c r="DD54" s="17">
        <v>0</v>
      </c>
      <c r="DE54" s="17">
        <v>1.3</v>
      </c>
      <c r="DF54" s="17">
        <v>2.4</v>
      </c>
      <c r="DG54" s="17">
        <v>2.6</v>
      </c>
      <c r="DH54" s="17">
        <v>20.6</v>
      </c>
      <c r="DI54" s="17">
        <v>8.6</v>
      </c>
      <c r="DJ54" s="17">
        <v>4.5</v>
      </c>
      <c r="DK54" s="17"/>
      <c r="DL54" s="17">
        <v>7.7</v>
      </c>
      <c r="DM54" s="17">
        <v>0</v>
      </c>
      <c r="DN54" s="17">
        <v>0</v>
      </c>
      <c r="DO54" s="17">
        <v>16.5</v>
      </c>
      <c r="DP54" s="17">
        <v>43.3</v>
      </c>
      <c r="DQ54" s="17">
        <v>0</v>
      </c>
      <c r="DR54" s="17">
        <v>3.1</v>
      </c>
      <c r="DS54" s="17">
        <v>12.1</v>
      </c>
      <c r="DT54" s="17">
        <v>2.1</v>
      </c>
      <c r="DU54" s="17"/>
      <c r="DV54" s="17">
        <v>0</v>
      </c>
      <c r="DW54" s="17">
        <v>13.9</v>
      </c>
      <c r="DX54" s="17">
        <v>5.3</v>
      </c>
      <c r="DY54" s="17">
        <v>8.1</v>
      </c>
      <c r="DZ54" s="17">
        <v>12.2</v>
      </c>
      <c r="EA54" s="17">
        <v>4.5</v>
      </c>
      <c r="EB54" s="17">
        <v>22</v>
      </c>
      <c r="EC54" s="17">
        <v>0</v>
      </c>
      <c r="ED54" s="17">
        <v>49.7</v>
      </c>
      <c r="EE54" s="17">
        <v>80.5</v>
      </c>
      <c r="EF54" s="17">
        <v>3.7</v>
      </c>
      <c r="EG54" s="17">
        <v>1.6</v>
      </c>
      <c r="EH54" s="17">
        <v>0</v>
      </c>
      <c r="EI54" s="17">
        <v>9.9</v>
      </c>
      <c r="EJ54" s="17">
        <v>3.4</v>
      </c>
      <c r="EK54" s="17">
        <v>4.5</v>
      </c>
      <c r="EL54" s="17">
        <v>9</v>
      </c>
      <c r="EM54" s="17">
        <v>10</v>
      </c>
      <c r="EN54" s="17">
        <v>10.1</v>
      </c>
      <c r="EO54" s="17">
        <v>15.1</v>
      </c>
      <c r="EP54" s="17">
        <v>0</v>
      </c>
      <c r="EQ54" s="17">
        <v>0</v>
      </c>
      <c r="ER54" s="17">
        <v>0</v>
      </c>
      <c r="ES54" s="17">
        <v>0.6</v>
      </c>
      <c r="ET54" s="17">
        <v>7.2</v>
      </c>
      <c r="EU54" s="17">
        <v>9.1999999999999993</v>
      </c>
      <c r="EV54" s="17">
        <v>0</v>
      </c>
      <c r="EW54" s="17"/>
      <c r="EX54" s="17">
        <v>2</v>
      </c>
      <c r="EY54" s="17"/>
      <c r="EZ54" s="17"/>
      <c r="FA54" s="17">
        <v>0</v>
      </c>
      <c r="FB54" s="17">
        <v>10</v>
      </c>
      <c r="FC54" s="17">
        <v>19.399999999999999</v>
      </c>
      <c r="FD54" s="17">
        <v>18.399999999999999</v>
      </c>
      <c r="FE54" s="17">
        <v>9</v>
      </c>
      <c r="FF54" s="17">
        <v>33.5</v>
      </c>
      <c r="FG54" s="17"/>
      <c r="FH54" s="17">
        <v>18.600000000000001</v>
      </c>
      <c r="FI54" s="17"/>
      <c r="FJ54" s="17"/>
      <c r="FK54" s="17">
        <v>11.2</v>
      </c>
      <c r="FL54" s="17"/>
      <c r="FM54" s="17">
        <v>7735.7</v>
      </c>
      <c r="FN54" s="15"/>
      <c r="FO54" s="17">
        <v>22.3</v>
      </c>
      <c r="FP54" s="17">
        <v>8.0950000000000006</v>
      </c>
      <c r="FQ54" s="17">
        <v>11.7</v>
      </c>
      <c r="FR54" s="17">
        <v>9.4</v>
      </c>
      <c r="FS54" s="17">
        <v>25.812670000000001</v>
      </c>
      <c r="FT54" s="17">
        <v>18.961069999999999</v>
      </c>
      <c r="FU54" s="17">
        <v>11.5</v>
      </c>
      <c r="FV54" s="17">
        <v>0</v>
      </c>
      <c r="FW54" s="17">
        <v>107.76873999999999</v>
      </c>
    </row>
    <row r="55" spans="1:179" ht="24" customHeight="1" x14ac:dyDescent="0.3">
      <c r="A55" s="16" t="s">
        <v>67</v>
      </c>
      <c r="B55" s="16" t="s">
        <v>852</v>
      </c>
      <c r="C55" s="17">
        <v>104.1</v>
      </c>
      <c r="D55" s="17">
        <v>650.79999999999995</v>
      </c>
      <c r="E55" s="17">
        <v>213.3</v>
      </c>
      <c r="F55" s="17">
        <v>0</v>
      </c>
      <c r="G55" s="17">
        <v>0</v>
      </c>
      <c r="H55" s="17">
        <v>89.7</v>
      </c>
      <c r="I55" s="17">
        <v>120.6</v>
      </c>
      <c r="J55" s="17"/>
      <c r="K55" s="17">
        <v>31.2</v>
      </c>
      <c r="L55" s="17">
        <v>180.3</v>
      </c>
      <c r="M55" s="17">
        <v>0</v>
      </c>
      <c r="N55" s="17">
        <v>203.8</v>
      </c>
      <c r="O55" s="17">
        <v>190.1</v>
      </c>
      <c r="P55" s="17">
        <v>206.7</v>
      </c>
      <c r="Q55" s="17">
        <v>106.7</v>
      </c>
      <c r="R55" s="17">
        <v>555.79999999999995</v>
      </c>
      <c r="S55" s="17"/>
      <c r="T55" s="17"/>
      <c r="U55" s="17"/>
      <c r="V55" s="17"/>
      <c r="W55" s="17">
        <v>161.30000000000001</v>
      </c>
      <c r="X55" s="17">
        <v>7.7</v>
      </c>
      <c r="Y55" s="17">
        <v>5.2</v>
      </c>
      <c r="Z55" s="17">
        <v>0</v>
      </c>
      <c r="AA55" s="17">
        <v>6.8</v>
      </c>
      <c r="AB55" s="17">
        <v>123.6</v>
      </c>
      <c r="AC55" s="17"/>
      <c r="AD55" s="17"/>
      <c r="AE55" s="17"/>
      <c r="AF55" s="17"/>
      <c r="AG55" s="17">
        <v>109.8</v>
      </c>
      <c r="AH55" s="17">
        <v>183.8</v>
      </c>
      <c r="AI55" s="17"/>
      <c r="AJ55" s="17">
        <v>0</v>
      </c>
      <c r="AK55" s="17"/>
      <c r="AL55" s="17">
        <v>6.5</v>
      </c>
      <c r="AM55" s="17">
        <v>234</v>
      </c>
      <c r="AN55" s="17">
        <v>59.9</v>
      </c>
      <c r="AO55" s="17">
        <v>151.6</v>
      </c>
      <c r="AP55" s="17">
        <v>39.799999999999997</v>
      </c>
      <c r="AQ55" s="17">
        <v>18.600000000000001</v>
      </c>
      <c r="AR55" s="17">
        <v>18.8</v>
      </c>
      <c r="AS55" s="17">
        <v>90.6</v>
      </c>
      <c r="AT55" s="17">
        <v>177.6</v>
      </c>
      <c r="AU55" s="17">
        <v>177.5</v>
      </c>
      <c r="AV55" s="17">
        <v>181.8</v>
      </c>
      <c r="AW55" s="17">
        <v>107.6</v>
      </c>
      <c r="AX55" s="17">
        <v>29.4</v>
      </c>
      <c r="AY55" s="17">
        <v>40.9</v>
      </c>
      <c r="AZ55" s="17">
        <v>3.6</v>
      </c>
      <c r="BA55" s="17">
        <v>16.899999999999999</v>
      </c>
      <c r="BB55" s="17">
        <v>93</v>
      </c>
      <c r="BC55" s="17"/>
      <c r="BD55" s="17"/>
      <c r="BE55" s="17">
        <v>47.3</v>
      </c>
      <c r="BF55" s="17">
        <v>80.099999999999994</v>
      </c>
      <c r="BG55" s="17"/>
      <c r="BH55" s="17">
        <v>0</v>
      </c>
      <c r="BI55" s="17"/>
      <c r="BJ55" s="17"/>
      <c r="BK55" s="17"/>
      <c r="BL55" s="17">
        <v>101.5</v>
      </c>
      <c r="BM55" s="17">
        <v>158.80000000000001</v>
      </c>
      <c r="BN55" s="17">
        <v>158.6</v>
      </c>
      <c r="BO55" s="17">
        <v>158.30000000000001</v>
      </c>
      <c r="BP55" s="17">
        <v>245.4</v>
      </c>
      <c r="BQ55" s="17">
        <v>0</v>
      </c>
      <c r="BR55" s="17"/>
      <c r="BS55" s="17"/>
      <c r="BT55" s="17"/>
      <c r="BU55" s="17"/>
      <c r="BV55" s="17">
        <v>34.5</v>
      </c>
      <c r="BW55" s="17"/>
      <c r="BX55" s="17"/>
      <c r="BY55" s="17">
        <v>2.8</v>
      </c>
      <c r="BZ55" s="17">
        <v>116.2</v>
      </c>
      <c r="CA55" s="17">
        <v>104.8</v>
      </c>
      <c r="CB55" s="17">
        <v>65.8</v>
      </c>
      <c r="CC55" s="17">
        <v>65</v>
      </c>
      <c r="CD55" s="17">
        <v>30.2</v>
      </c>
      <c r="CE55" s="17">
        <v>0</v>
      </c>
      <c r="CF55" s="17"/>
      <c r="CG55" s="17"/>
      <c r="CH55" s="17">
        <v>141.6</v>
      </c>
      <c r="CI55" s="17">
        <v>144.4</v>
      </c>
      <c r="CJ55" s="17">
        <v>147.4</v>
      </c>
      <c r="CK55" s="17">
        <v>103.2</v>
      </c>
      <c r="CL55" s="17"/>
      <c r="CM55" s="17"/>
      <c r="CN55" s="17"/>
      <c r="CO55" s="17"/>
      <c r="CP55" s="17">
        <v>208.4</v>
      </c>
      <c r="CQ55" s="17">
        <v>100.4</v>
      </c>
      <c r="CR55" s="17">
        <v>7.9</v>
      </c>
      <c r="CS55" s="17">
        <v>3.8</v>
      </c>
      <c r="CT55" s="17">
        <v>10</v>
      </c>
      <c r="CU55" s="17">
        <v>0</v>
      </c>
      <c r="CV55" s="17">
        <v>37.5</v>
      </c>
      <c r="CW55" s="17">
        <v>0</v>
      </c>
      <c r="CX55" s="17">
        <v>12.4</v>
      </c>
      <c r="CY55" s="17">
        <v>0</v>
      </c>
      <c r="CZ55" s="17">
        <v>16</v>
      </c>
      <c r="DA55" s="17">
        <v>9.9</v>
      </c>
      <c r="DB55" s="17">
        <v>5.5</v>
      </c>
      <c r="DC55" s="17">
        <v>0</v>
      </c>
      <c r="DD55" s="17">
        <v>0</v>
      </c>
      <c r="DE55" s="17">
        <v>1.3</v>
      </c>
      <c r="DF55" s="17">
        <v>2.2999999999999998</v>
      </c>
      <c r="DG55" s="17">
        <v>2.5</v>
      </c>
      <c r="DH55" s="17">
        <v>20.399999999999999</v>
      </c>
      <c r="DI55" s="17">
        <v>8.6999999999999993</v>
      </c>
      <c r="DJ55" s="17">
        <v>4.5</v>
      </c>
      <c r="DK55" s="17"/>
      <c r="DL55" s="17">
        <v>7.7</v>
      </c>
      <c r="DM55" s="17">
        <v>0</v>
      </c>
      <c r="DN55" s="17">
        <v>0</v>
      </c>
      <c r="DO55" s="17">
        <v>11.6</v>
      </c>
      <c r="DP55" s="17">
        <v>27.3</v>
      </c>
      <c r="DQ55" s="17">
        <v>0</v>
      </c>
      <c r="DR55" s="17">
        <v>3.1</v>
      </c>
      <c r="DS55" s="17">
        <v>12</v>
      </c>
      <c r="DT55" s="17">
        <v>2.1</v>
      </c>
      <c r="DU55" s="17"/>
      <c r="DV55" s="17">
        <v>0</v>
      </c>
      <c r="DW55" s="17">
        <v>13.9</v>
      </c>
      <c r="DX55" s="17">
        <v>5.3</v>
      </c>
      <c r="DY55" s="17">
        <v>8.1</v>
      </c>
      <c r="DZ55" s="17">
        <v>12.1</v>
      </c>
      <c r="EA55" s="17">
        <v>3.3</v>
      </c>
      <c r="EB55" s="17">
        <v>19.600000000000001</v>
      </c>
      <c r="EC55" s="17">
        <v>0</v>
      </c>
      <c r="ED55" s="17">
        <v>43.3</v>
      </c>
      <c r="EE55" s="17">
        <v>63.7</v>
      </c>
      <c r="EF55" s="17">
        <v>3</v>
      </c>
      <c r="EG55" s="17">
        <v>1.5</v>
      </c>
      <c r="EH55" s="17">
        <v>0</v>
      </c>
      <c r="EI55" s="17">
        <v>9.9</v>
      </c>
      <c r="EJ55" s="17">
        <v>3.4</v>
      </c>
      <c r="EK55" s="17">
        <v>4.5</v>
      </c>
      <c r="EL55" s="17">
        <v>9</v>
      </c>
      <c r="EM55" s="17">
        <v>10</v>
      </c>
      <c r="EN55" s="17">
        <v>10.1</v>
      </c>
      <c r="EO55" s="17">
        <v>15</v>
      </c>
      <c r="EP55" s="17">
        <v>0</v>
      </c>
      <c r="EQ55" s="17">
        <v>0</v>
      </c>
      <c r="ER55" s="17">
        <v>0</v>
      </c>
      <c r="ES55" s="17">
        <v>0.6</v>
      </c>
      <c r="ET55" s="17">
        <v>6.8</v>
      </c>
      <c r="EU55" s="17">
        <v>5.9</v>
      </c>
      <c r="EV55" s="17">
        <v>0</v>
      </c>
      <c r="EW55" s="17"/>
      <c r="EX55" s="17">
        <v>2</v>
      </c>
      <c r="EY55" s="17"/>
      <c r="EZ55" s="17"/>
      <c r="FA55" s="17">
        <v>0</v>
      </c>
      <c r="FB55" s="17">
        <v>10</v>
      </c>
      <c r="FC55" s="17">
        <v>19.3</v>
      </c>
      <c r="FD55" s="17">
        <v>18.3</v>
      </c>
      <c r="FE55" s="17">
        <v>8.9</v>
      </c>
      <c r="FF55" s="17">
        <v>34</v>
      </c>
      <c r="FG55" s="17"/>
      <c r="FH55" s="17">
        <v>18.7</v>
      </c>
      <c r="FI55" s="17"/>
      <c r="FJ55" s="17"/>
      <c r="FK55" s="17">
        <v>11.2</v>
      </c>
      <c r="FL55" s="17"/>
      <c r="FM55" s="17">
        <v>7492</v>
      </c>
      <c r="FN55" s="15"/>
      <c r="FO55" s="17">
        <v>22.3</v>
      </c>
      <c r="FP55" s="17">
        <v>8.0909999999999993</v>
      </c>
      <c r="FQ55" s="17">
        <v>11.7</v>
      </c>
      <c r="FR55" s="17">
        <v>9.4</v>
      </c>
      <c r="FS55" s="17">
        <v>25.81991</v>
      </c>
      <c r="FT55" s="17">
        <v>18.96114</v>
      </c>
      <c r="FU55" s="17">
        <v>11.6</v>
      </c>
      <c r="FV55" s="17">
        <v>0</v>
      </c>
      <c r="FW55" s="17">
        <v>107.87205</v>
      </c>
    </row>
    <row r="56" spans="1:179" ht="24" customHeight="1" x14ac:dyDescent="0.3">
      <c r="A56" s="16" t="s">
        <v>67</v>
      </c>
      <c r="B56" s="16" t="s">
        <v>853</v>
      </c>
      <c r="C56" s="17">
        <v>104.1</v>
      </c>
      <c r="D56" s="17">
        <v>650.5</v>
      </c>
      <c r="E56" s="17">
        <v>212.9</v>
      </c>
      <c r="F56" s="17">
        <v>0</v>
      </c>
      <c r="G56" s="17">
        <v>0</v>
      </c>
      <c r="H56" s="17">
        <v>33.200000000000003</v>
      </c>
      <c r="I56" s="17">
        <v>121.3</v>
      </c>
      <c r="J56" s="17"/>
      <c r="K56" s="17">
        <v>31.1</v>
      </c>
      <c r="L56" s="17">
        <v>180.1</v>
      </c>
      <c r="M56" s="17">
        <v>0</v>
      </c>
      <c r="N56" s="17">
        <v>203.1</v>
      </c>
      <c r="O56" s="17">
        <v>190.6</v>
      </c>
      <c r="P56" s="17">
        <v>205</v>
      </c>
      <c r="Q56" s="17">
        <v>106.8</v>
      </c>
      <c r="R56" s="17">
        <v>449.8</v>
      </c>
      <c r="S56" s="17"/>
      <c r="T56" s="17"/>
      <c r="U56" s="17"/>
      <c r="V56" s="17"/>
      <c r="W56" s="17">
        <v>165.1</v>
      </c>
      <c r="X56" s="17">
        <v>7.8</v>
      </c>
      <c r="Y56" s="17">
        <v>5.2</v>
      </c>
      <c r="Z56" s="17">
        <v>0</v>
      </c>
      <c r="AA56" s="17">
        <v>6.8</v>
      </c>
      <c r="AB56" s="17">
        <v>122.8</v>
      </c>
      <c r="AC56" s="17"/>
      <c r="AD56" s="17"/>
      <c r="AE56" s="17"/>
      <c r="AF56" s="17"/>
      <c r="AG56" s="17">
        <v>109.6</v>
      </c>
      <c r="AH56" s="17">
        <v>183.2</v>
      </c>
      <c r="AI56" s="17"/>
      <c r="AJ56" s="17">
        <v>0</v>
      </c>
      <c r="AK56" s="17"/>
      <c r="AL56" s="17">
        <v>6.5</v>
      </c>
      <c r="AM56" s="17">
        <v>233.9</v>
      </c>
      <c r="AN56" s="17">
        <v>61.7</v>
      </c>
      <c r="AO56" s="17">
        <v>143.9</v>
      </c>
      <c r="AP56" s="17">
        <v>39.799999999999997</v>
      </c>
      <c r="AQ56" s="17">
        <v>18.7</v>
      </c>
      <c r="AR56" s="17">
        <v>18.8</v>
      </c>
      <c r="AS56" s="17">
        <v>90.8</v>
      </c>
      <c r="AT56" s="17">
        <v>178.4</v>
      </c>
      <c r="AU56" s="17">
        <v>179</v>
      </c>
      <c r="AV56" s="17">
        <v>181.7</v>
      </c>
      <c r="AW56" s="17">
        <v>108.3</v>
      </c>
      <c r="AX56" s="17">
        <v>30</v>
      </c>
      <c r="AY56" s="17">
        <v>42.2</v>
      </c>
      <c r="AZ56" s="17">
        <v>3.6</v>
      </c>
      <c r="BA56" s="17">
        <v>16.600000000000001</v>
      </c>
      <c r="BB56" s="17">
        <v>147.69999999999999</v>
      </c>
      <c r="BC56" s="17"/>
      <c r="BD56" s="17"/>
      <c r="BE56" s="17">
        <v>47.4</v>
      </c>
      <c r="BF56" s="17">
        <v>0</v>
      </c>
      <c r="BG56" s="17"/>
      <c r="BH56" s="17">
        <v>0</v>
      </c>
      <c r="BI56" s="17"/>
      <c r="BJ56" s="17"/>
      <c r="BK56" s="17"/>
      <c r="BL56" s="17">
        <v>102</v>
      </c>
      <c r="BM56" s="17">
        <v>167.6</v>
      </c>
      <c r="BN56" s="17">
        <v>167.2</v>
      </c>
      <c r="BO56" s="17">
        <v>168.3</v>
      </c>
      <c r="BP56" s="17">
        <v>256.3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2.8</v>
      </c>
      <c r="BZ56" s="17">
        <v>184.9</v>
      </c>
      <c r="CA56" s="17">
        <v>100.7</v>
      </c>
      <c r="CB56" s="17">
        <v>66</v>
      </c>
      <c r="CC56" s="17">
        <v>65.099999999999994</v>
      </c>
      <c r="CD56" s="17">
        <v>30.1</v>
      </c>
      <c r="CE56" s="17">
        <v>0</v>
      </c>
      <c r="CF56" s="17"/>
      <c r="CG56" s="17"/>
      <c r="CH56" s="17">
        <v>141.69999999999999</v>
      </c>
      <c r="CI56" s="17">
        <v>144.19999999999999</v>
      </c>
      <c r="CJ56" s="17">
        <v>147.1</v>
      </c>
      <c r="CK56" s="17">
        <v>0</v>
      </c>
      <c r="CL56" s="17"/>
      <c r="CM56" s="17"/>
      <c r="CN56" s="17"/>
      <c r="CO56" s="17"/>
      <c r="CP56" s="17">
        <v>208.4</v>
      </c>
      <c r="CQ56" s="17">
        <v>100.4</v>
      </c>
      <c r="CR56" s="17">
        <v>7.9</v>
      </c>
      <c r="CS56" s="17">
        <v>3.8</v>
      </c>
      <c r="CT56" s="17">
        <v>10.199999999999999</v>
      </c>
      <c r="CU56" s="17">
        <v>0</v>
      </c>
      <c r="CV56" s="17">
        <v>27.4</v>
      </c>
      <c r="CW56" s="17">
        <v>0</v>
      </c>
      <c r="CX56" s="17">
        <v>12.9</v>
      </c>
      <c r="CY56" s="17">
        <v>0</v>
      </c>
      <c r="CZ56" s="17">
        <v>16</v>
      </c>
      <c r="DA56" s="17">
        <v>9.9</v>
      </c>
      <c r="DB56" s="17">
        <v>3.7</v>
      </c>
      <c r="DC56" s="17">
        <v>0</v>
      </c>
      <c r="DD56" s="17">
        <v>0</v>
      </c>
      <c r="DE56" s="17">
        <v>1.3</v>
      </c>
      <c r="DF56" s="17">
        <v>2.2999999999999998</v>
      </c>
      <c r="DG56" s="17">
        <v>2.5</v>
      </c>
      <c r="DH56" s="17">
        <v>20.399999999999999</v>
      </c>
      <c r="DI56" s="17">
        <v>8.3000000000000007</v>
      </c>
      <c r="DJ56" s="17">
        <v>8.3000000000000007</v>
      </c>
      <c r="DK56" s="17"/>
      <c r="DL56" s="17">
        <v>7.7</v>
      </c>
      <c r="DM56" s="17">
        <v>0</v>
      </c>
      <c r="DN56" s="17">
        <v>0</v>
      </c>
      <c r="DO56" s="17">
        <v>7.6</v>
      </c>
      <c r="DP56" s="17">
        <v>17</v>
      </c>
      <c r="DQ56" s="17">
        <v>0</v>
      </c>
      <c r="DR56" s="17">
        <v>2.7</v>
      </c>
      <c r="DS56" s="17">
        <v>12.1</v>
      </c>
      <c r="DT56" s="17">
        <v>2</v>
      </c>
      <c r="DU56" s="17"/>
      <c r="DV56" s="17">
        <v>0</v>
      </c>
      <c r="DW56" s="17">
        <v>13.9</v>
      </c>
      <c r="DX56" s="17">
        <v>5.3</v>
      </c>
      <c r="DY56" s="17">
        <v>8.1</v>
      </c>
      <c r="DZ56" s="17">
        <v>12</v>
      </c>
      <c r="EA56" s="17">
        <v>3</v>
      </c>
      <c r="EB56" s="17">
        <v>20.399999999999999</v>
      </c>
      <c r="EC56" s="17">
        <v>0</v>
      </c>
      <c r="ED56" s="17">
        <v>39.1</v>
      </c>
      <c r="EE56" s="17">
        <v>60.8</v>
      </c>
      <c r="EF56" s="17">
        <v>3.8</v>
      </c>
      <c r="EG56" s="17">
        <v>1.3</v>
      </c>
      <c r="EH56" s="17">
        <v>0</v>
      </c>
      <c r="EI56" s="17">
        <v>9.9</v>
      </c>
      <c r="EJ56" s="17">
        <v>3.4</v>
      </c>
      <c r="EK56" s="17">
        <v>4.5</v>
      </c>
      <c r="EL56" s="17">
        <v>9.6</v>
      </c>
      <c r="EM56" s="17">
        <v>10.6</v>
      </c>
      <c r="EN56" s="17">
        <v>10.6</v>
      </c>
      <c r="EO56" s="17">
        <v>15.4</v>
      </c>
      <c r="EP56" s="17">
        <v>0</v>
      </c>
      <c r="EQ56" s="17">
        <v>0</v>
      </c>
      <c r="ER56" s="17">
        <v>0</v>
      </c>
      <c r="ES56" s="17">
        <v>0.6</v>
      </c>
      <c r="ET56" s="17">
        <v>4</v>
      </c>
      <c r="EU56" s="17">
        <v>0.1</v>
      </c>
      <c r="EV56" s="17">
        <v>0</v>
      </c>
      <c r="EW56" s="17"/>
      <c r="EX56" s="17">
        <v>2</v>
      </c>
      <c r="EY56" s="17"/>
      <c r="EZ56" s="17"/>
      <c r="FA56" s="17">
        <v>0</v>
      </c>
      <c r="FB56" s="17">
        <v>10</v>
      </c>
      <c r="FC56" s="17">
        <v>19.5</v>
      </c>
      <c r="FD56" s="17">
        <v>18.399999999999999</v>
      </c>
      <c r="FE56" s="17">
        <v>8.1</v>
      </c>
      <c r="FF56" s="17">
        <v>32.799999999999997</v>
      </c>
      <c r="FG56" s="17"/>
      <c r="FH56" s="17">
        <v>18.8</v>
      </c>
      <c r="FI56" s="17"/>
      <c r="FJ56" s="17"/>
      <c r="FK56" s="17">
        <v>11.2</v>
      </c>
      <c r="FL56" s="17"/>
      <c r="FM56" s="17">
        <v>7232</v>
      </c>
      <c r="FN56" s="15"/>
      <c r="FO56" s="17">
        <v>22.3</v>
      </c>
      <c r="FP56" s="17">
        <v>8.0850000000000009</v>
      </c>
      <c r="FQ56" s="17">
        <v>11.7</v>
      </c>
      <c r="FR56" s="17">
        <v>9.4</v>
      </c>
      <c r="FS56" s="17">
        <v>25.88072</v>
      </c>
      <c r="FT56" s="17">
        <v>18.960930000000001</v>
      </c>
      <c r="FU56" s="17">
        <v>11.5</v>
      </c>
      <c r="FV56" s="17">
        <v>0</v>
      </c>
      <c r="FW56" s="17">
        <v>107.82665</v>
      </c>
    </row>
    <row r="57" spans="1:179" ht="24" customHeight="1" x14ac:dyDescent="0.3">
      <c r="A57" s="16" t="s">
        <v>67</v>
      </c>
      <c r="B57" s="16" t="s">
        <v>854</v>
      </c>
      <c r="C57" s="17">
        <v>104.2</v>
      </c>
      <c r="D57" s="17">
        <v>648</v>
      </c>
      <c r="E57" s="17">
        <v>211.8</v>
      </c>
      <c r="F57" s="17">
        <v>0</v>
      </c>
      <c r="G57" s="17">
        <v>0</v>
      </c>
      <c r="H57" s="17">
        <v>23.9</v>
      </c>
      <c r="I57" s="17">
        <v>124.4</v>
      </c>
      <c r="J57" s="17"/>
      <c r="K57" s="17">
        <v>30.4</v>
      </c>
      <c r="L57" s="17">
        <v>180</v>
      </c>
      <c r="M57" s="17">
        <v>0</v>
      </c>
      <c r="N57" s="17">
        <v>204.7</v>
      </c>
      <c r="O57" s="17">
        <v>189.9</v>
      </c>
      <c r="P57" s="17">
        <v>204.9</v>
      </c>
      <c r="Q57" s="17">
        <v>107.5</v>
      </c>
      <c r="R57" s="17">
        <v>445.3</v>
      </c>
      <c r="S57" s="17"/>
      <c r="T57" s="17"/>
      <c r="U57" s="17"/>
      <c r="V57" s="17"/>
      <c r="W57" s="17">
        <v>167.5</v>
      </c>
      <c r="X57" s="17">
        <v>8</v>
      </c>
      <c r="Y57" s="17">
        <v>5.3</v>
      </c>
      <c r="Z57" s="17">
        <v>0</v>
      </c>
      <c r="AA57" s="17">
        <v>6.8</v>
      </c>
      <c r="AB57" s="17">
        <v>122.3</v>
      </c>
      <c r="AC57" s="17"/>
      <c r="AD57" s="17"/>
      <c r="AE57" s="17"/>
      <c r="AF57" s="17"/>
      <c r="AG57" s="17">
        <v>100.5</v>
      </c>
      <c r="AH57" s="17">
        <v>123.6</v>
      </c>
      <c r="AI57" s="17"/>
      <c r="AJ57" s="17">
        <v>0</v>
      </c>
      <c r="AK57" s="17"/>
      <c r="AL57" s="17">
        <v>6.5</v>
      </c>
      <c r="AM57" s="17">
        <v>218.1</v>
      </c>
      <c r="AN57" s="17">
        <v>61.7</v>
      </c>
      <c r="AO57" s="17">
        <v>121.8</v>
      </c>
      <c r="AP57" s="17">
        <v>40.200000000000003</v>
      </c>
      <c r="AQ57" s="17">
        <v>18.600000000000001</v>
      </c>
      <c r="AR57" s="17">
        <v>18.8</v>
      </c>
      <c r="AS57" s="17">
        <v>91.2</v>
      </c>
      <c r="AT57" s="17">
        <v>180.5</v>
      </c>
      <c r="AU57" s="17">
        <v>180.2</v>
      </c>
      <c r="AV57" s="17">
        <v>180.5</v>
      </c>
      <c r="AW57" s="17">
        <v>107.9</v>
      </c>
      <c r="AX57" s="17">
        <v>30.7</v>
      </c>
      <c r="AY57" s="17">
        <v>40.4</v>
      </c>
      <c r="AZ57" s="17">
        <v>3.6</v>
      </c>
      <c r="BA57" s="17">
        <v>17.899999999999999</v>
      </c>
      <c r="BB57" s="17">
        <v>131.30000000000001</v>
      </c>
      <c r="BC57" s="17"/>
      <c r="BD57" s="17"/>
      <c r="BE57" s="17">
        <v>47.6</v>
      </c>
      <c r="BF57" s="17">
        <v>0</v>
      </c>
      <c r="BG57" s="17"/>
      <c r="BH57" s="17">
        <v>0</v>
      </c>
      <c r="BI57" s="17"/>
      <c r="BJ57" s="17"/>
      <c r="BK57" s="17"/>
      <c r="BL57" s="17">
        <v>104.5</v>
      </c>
      <c r="BM57" s="17">
        <v>166.2</v>
      </c>
      <c r="BN57" s="17">
        <v>165.9</v>
      </c>
      <c r="BO57" s="17">
        <v>167.5</v>
      </c>
      <c r="BP57" s="17">
        <v>256.8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2.8</v>
      </c>
      <c r="BZ57" s="17">
        <v>147.30000000000001</v>
      </c>
      <c r="CA57" s="17">
        <v>89.1</v>
      </c>
      <c r="CB57" s="17">
        <v>66.7</v>
      </c>
      <c r="CC57" s="17">
        <v>67.900000000000006</v>
      </c>
      <c r="CD57" s="17">
        <v>30.4</v>
      </c>
      <c r="CE57" s="17">
        <v>0</v>
      </c>
      <c r="CF57" s="17"/>
      <c r="CG57" s="17"/>
      <c r="CH57" s="17">
        <v>140.1</v>
      </c>
      <c r="CI57" s="17">
        <v>142.6</v>
      </c>
      <c r="CJ57" s="17">
        <v>145.6</v>
      </c>
      <c r="CK57" s="17">
        <v>0</v>
      </c>
      <c r="CL57" s="17"/>
      <c r="CM57" s="17"/>
      <c r="CN57" s="17"/>
      <c r="CO57" s="17"/>
      <c r="CP57" s="17">
        <v>208.6</v>
      </c>
      <c r="CQ57" s="17">
        <v>100.6</v>
      </c>
      <c r="CR57" s="17">
        <v>7.9</v>
      </c>
      <c r="CS57" s="17">
        <v>3.8</v>
      </c>
      <c r="CT57" s="17">
        <v>10.3</v>
      </c>
      <c r="CU57" s="17">
        <v>0</v>
      </c>
      <c r="CV57" s="17">
        <v>29.6</v>
      </c>
      <c r="CW57" s="17">
        <v>0</v>
      </c>
      <c r="CX57" s="17">
        <v>13</v>
      </c>
      <c r="CY57" s="17">
        <v>0</v>
      </c>
      <c r="CZ57" s="17">
        <v>16</v>
      </c>
      <c r="DA57" s="17">
        <v>9.9</v>
      </c>
      <c r="DB57" s="17">
        <v>2.2000000000000002</v>
      </c>
      <c r="DC57" s="17">
        <v>0</v>
      </c>
      <c r="DD57" s="17">
        <v>0</v>
      </c>
      <c r="DE57" s="17">
        <v>1.3</v>
      </c>
      <c r="DF57" s="17">
        <v>2.2999999999999998</v>
      </c>
      <c r="DG57" s="17">
        <v>2.5</v>
      </c>
      <c r="DH57" s="17">
        <v>20.100000000000001</v>
      </c>
      <c r="DI57" s="17">
        <v>8.1999999999999993</v>
      </c>
      <c r="DJ57" s="17">
        <v>8.3000000000000007</v>
      </c>
      <c r="DK57" s="17"/>
      <c r="DL57" s="17">
        <v>7.7</v>
      </c>
      <c r="DM57" s="17">
        <v>0</v>
      </c>
      <c r="DN57" s="17">
        <v>0</v>
      </c>
      <c r="DO57" s="17">
        <v>6.1</v>
      </c>
      <c r="DP57" s="17">
        <v>14.7</v>
      </c>
      <c r="DQ57" s="17">
        <v>0</v>
      </c>
      <c r="DR57" s="17">
        <v>2.8</v>
      </c>
      <c r="DS57" s="17">
        <v>12.1</v>
      </c>
      <c r="DT57" s="17">
        <v>2</v>
      </c>
      <c r="DU57" s="17"/>
      <c r="DV57" s="17">
        <v>0</v>
      </c>
      <c r="DW57" s="17">
        <v>13.9</v>
      </c>
      <c r="DX57" s="17">
        <v>5.3</v>
      </c>
      <c r="DY57" s="17">
        <v>8.1999999999999993</v>
      </c>
      <c r="DZ57" s="17">
        <v>12.2</v>
      </c>
      <c r="EA57" s="17">
        <v>4.0999999999999996</v>
      </c>
      <c r="EB57" s="17">
        <v>24</v>
      </c>
      <c r="EC57" s="17">
        <v>0</v>
      </c>
      <c r="ED57" s="17">
        <v>41.2</v>
      </c>
      <c r="EE57" s="17">
        <v>68.599999999999994</v>
      </c>
      <c r="EF57" s="17">
        <v>4.4000000000000004</v>
      </c>
      <c r="EG57" s="17">
        <v>2.5</v>
      </c>
      <c r="EH57" s="17">
        <v>0</v>
      </c>
      <c r="EI57" s="17">
        <v>9.9</v>
      </c>
      <c r="EJ57" s="17">
        <v>3.4</v>
      </c>
      <c r="EK57" s="17">
        <v>4.5</v>
      </c>
      <c r="EL57" s="17">
        <v>9.6</v>
      </c>
      <c r="EM57" s="17">
        <v>10.4</v>
      </c>
      <c r="EN57" s="17">
        <v>10.6</v>
      </c>
      <c r="EO57" s="17">
        <v>15.4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/>
      <c r="EX57" s="17">
        <v>2</v>
      </c>
      <c r="EY57" s="17"/>
      <c r="EZ57" s="17"/>
      <c r="FA57" s="17">
        <v>0</v>
      </c>
      <c r="FB57" s="17">
        <v>10</v>
      </c>
      <c r="FC57" s="17">
        <v>19.399999999999999</v>
      </c>
      <c r="FD57" s="17">
        <v>18.399999999999999</v>
      </c>
      <c r="FE57" s="17">
        <v>7.7</v>
      </c>
      <c r="FF57" s="17">
        <v>33.200000000000003</v>
      </c>
      <c r="FG57" s="17"/>
      <c r="FH57" s="17">
        <v>18.7</v>
      </c>
      <c r="FI57" s="17"/>
      <c r="FJ57" s="17"/>
      <c r="FK57" s="17">
        <v>10.7</v>
      </c>
      <c r="FL57" s="17"/>
      <c r="FM57" s="17">
        <v>7058.8</v>
      </c>
      <c r="FN57" s="15"/>
      <c r="FO57" s="17">
        <v>22.3</v>
      </c>
      <c r="FP57" s="17">
        <v>7.9450000000000003</v>
      </c>
      <c r="FQ57" s="17">
        <v>11.3</v>
      </c>
      <c r="FR57" s="17">
        <v>9.4</v>
      </c>
      <c r="FS57" s="17">
        <v>25.84168</v>
      </c>
      <c r="FT57" s="17">
        <v>18.960629999999998</v>
      </c>
      <c r="FU57" s="17">
        <v>11.5</v>
      </c>
      <c r="FV57" s="17">
        <v>0</v>
      </c>
      <c r="FW57" s="17">
        <v>107.24731</v>
      </c>
    </row>
    <row r="58" spans="1:179" ht="24" customHeight="1" x14ac:dyDescent="0.3">
      <c r="A58" s="18" t="s">
        <v>855</v>
      </c>
      <c r="B58" s="18" t="s">
        <v>68</v>
      </c>
      <c r="C58" s="19">
        <v>104.7</v>
      </c>
      <c r="D58" s="19">
        <v>646.20000000000005</v>
      </c>
      <c r="E58" s="19">
        <v>211.3</v>
      </c>
      <c r="F58" s="19">
        <v>0</v>
      </c>
      <c r="G58" s="19">
        <v>0</v>
      </c>
      <c r="H58" s="19">
        <v>21.3</v>
      </c>
      <c r="I58" s="19">
        <v>120.1</v>
      </c>
      <c r="J58" s="19"/>
      <c r="K58" s="19">
        <v>31.2</v>
      </c>
      <c r="L58" s="19">
        <v>180.6</v>
      </c>
      <c r="M58" s="19">
        <v>0</v>
      </c>
      <c r="N58" s="19">
        <v>203.7</v>
      </c>
      <c r="O58" s="19">
        <v>191</v>
      </c>
      <c r="P58" s="19">
        <v>205.4</v>
      </c>
      <c r="Q58" s="19">
        <v>106.5</v>
      </c>
      <c r="R58" s="19">
        <v>442.8</v>
      </c>
      <c r="S58" s="19"/>
      <c r="T58" s="19"/>
      <c r="U58" s="19"/>
      <c r="V58" s="19"/>
      <c r="W58" s="19">
        <v>160.4</v>
      </c>
      <c r="X58" s="19">
        <v>7.1</v>
      </c>
      <c r="Y58" s="19">
        <v>5.0999999999999996</v>
      </c>
      <c r="Z58" s="19">
        <v>0</v>
      </c>
      <c r="AA58" s="19">
        <v>6.7</v>
      </c>
      <c r="AB58" s="19">
        <v>123.2</v>
      </c>
      <c r="AC58" s="19"/>
      <c r="AD58" s="19"/>
      <c r="AE58" s="19"/>
      <c r="AF58" s="19"/>
      <c r="AG58" s="19">
        <v>92.5</v>
      </c>
      <c r="AH58" s="19">
        <v>136.80000000000001</v>
      </c>
      <c r="AI58" s="19"/>
      <c r="AJ58" s="19">
        <v>0</v>
      </c>
      <c r="AK58" s="19"/>
      <c r="AL58" s="19">
        <v>6.5</v>
      </c>
      <c r="AM58" s="19">
        <v>228</v>
      </c>
      <c r="AN58" s="19">
        <v>62.2</v>
      </c>
      <c r="AO58" s="19">
        <v>52.7</v>
      </c>
      <c r="AP58" s="19">
        <v>38.799999999999997</v>
      </c>
      <c r="AQ58" s="19">
        <v>18.600000000000001</v>
      </c>
      <c r="AR58" s="19">
        <v>18.8</v>
      </c>
      <c r="AS58" s="19">
        <v>88.7</v>
      </c>
      <c r="AT58" s="19">
        <v>173.8</v>
      </c>
      <c r="AU58" s="19">
        <v>174.4</v>
      </c>
      <c r="AV58" s="19">
        <v>181.5</v>
      </c>
      <c r="AW58" s="19">
        <v>106.6</v>
      </c>
      <c r="AX58" s="19">
        <v>29.5</v>
      </c>
      <c r="AY58" s="19">
        <v>40</v>
      </c>
      <c r="AZ58" s="19">
        <v>3.6</v>
      </c>
      <c r="BA58" s="19">
        <v>16.600000000000001</v>
      </c>
      <c r="BB58" s="19">
        <v>40</v>
      </c>
      <c r="BC58" s="19"/>
      <c r="BD58" s="19"/>
      <c r="BE58" s="19">
        <v>46.7</v>
      </c>
      <c r="BF58" s="19">
        <v>0</v>
      </c>
      <c r="BG58" s="19"/>
      <c r="BH58" s="19">
        <v>0</v>
      </c>
      <c r="BI58" s="19"/>
      <c r="BJ58" s="19"/>
      <c r="BK58" s="19"/>
      <c r="BL58" s="19">
        <v>100.7</v>
      </c>
      <c r="BM58" s="19">
        <v>169</v>
      </c>
      <c r="BN58" s="19">
        <v>168.4</v>
      </c>
      <c r="BO58" s="19">
        <v>169.6</v>
      </c>
      <c r="BP58" s="19">
        <v>257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2.9</v>
      </c>
      <c r="BZ58" s="19">
        <v>165.7</v>
      </c>
      <c r="CA58" s="19">
        <v>76.2</v>
      </c>
      <c r="CB58" s="19">
        <v>64.7</v>
      </c>
      <c r="CC58" s="19">
        <v>66.5</v>
      </c>
      <c r="CD58" s="19">
        <v>29.3</v>
      </c>
      <c r="CE58" s="19">
        <v>0</v>
      </c>
      <c r="CF58" s="19"/>
      <c r="CG58" s="19"/>
      <c r="CH58" s="19">
        <v>141.6</v>
      </c>
      <c r="CI58" s="19">
        <v>144.4</v>
      </c>
      <c r="CJ58" s="19">
        <v>147.4</v>
      </c>
      <c r="CK58" s="19">
        <v>0</v>
      </c>
      <c r="CL58" s="19"/>
      <c r="CM58" s="19"/>
      <c r="CN58" s="19"/>
      <c r="CO58" s="19"/>
      <c r="CP58" s="19">
        <v>208.8</v>
      </c>
      <c r="CQ58" s="19">
        <v>100.5</v>
      </c>
      <c r="CR58" s="19">
        <v>7.9</v>
      </c>
      <c r="CS58" s="19">
        <v>3.8</v>
      </c>
      <c r="CT58" s="19">
        <v>10.199999999999999</v>
      </c>
      <c r="CU58" s="19">
        <v>0</v>
      </c>
      <c r="CV58" s="19">
        <v>25.5</v>
      </c>
      <c r="CW58" s="19">
        <v>0</v>
      </c>
      <c r="CX58" s="19">
        <v>13</v>
      </c>
      <c r="CY58" s="19">
        <v>0</v>
      </c>
      <c r="CZ58" s="19">
        <v>15.9</v>
      </c>
      <c r="DA58" s="19">
        <v>9.9</v>
      </c>
      <c r="DB58" s="19">
        <v>2.1</v>
      </c>
      <c r="DC58" s="19">
        <v>0</v>
      </c>
      <c r="DD58" s="19">
        <v>0</v>
      </c>
      <c r="DE58" s="19">
        <v>1.3</v>
      </c>
      <c r="DF58" s="19">
        <v>2.2999999999999998</v>
      </c>
      <c r="DG58" s="19">
        <v>2.6</v>
      </c>
      <c r="DH58" s="19">
        <v>19.899999999999999</v>
      </c>
      <c r="DI58" s="19">
        <v>8.5</v>
      </c>
      <c r="DJ58" s="19">
        <v>8.1999999999999993</v>
      </c>
      <c r="DK58" s="19"/>
      <c r="DL58" s="19">
        <v>7.7</v>
      </c>
      <c r="DM58" s="19">
        <v>0</v>
      </c>
      <c r="DN58" s="19">
        <v>0</v>
      </c>
      <c r="DO58" s="19">
        <v>8.3000000000000007</v>
      </c>
      <c r="DP58" s="19">
        <v>14.8</v>
      </c>
      <c r="DQ58" s="19">
        <v>0</v>
      </c>
      <c r="DR58" s="19">
        <v>2.7</v>
      </c>
      <c r="DS58" s="19">
        <v>12.1</v>
      </c>
      <c r="DT58" s="19">
        <v>2</v>
      </c>
      <c r="DU58" s="19"/>
      <c r="DV58" s="19">
        <v>0</v>
      </c>
      <c r="DW58" s="19">
        <v>14</v>
      </c>
      <c r="DX58" s="19">
        <v>5.4</v>
      </c>
      <c r="DY58" s="19">
        <v>8</v>
      </c>
      <c r="DZ58" s="19">
        <v>11.8</v>
      </c>
      <c r="EA58" s="19">
        <v>5.4</v>
      </c>
      <c r="EB58" s="19">
        <v>22.3</v>
      </c>
      <c r="EC58" s="19">
        <v>0</v>
      </c>
      <c r="ED58" s="19">
        <v>35.700000000000003</v>
      </c>
      <c r="EE58" s="19">
        <v>57.6</v>
      </c>
      <c r="EF58" s="19">
        <v>3.5</v>
      </c>
      <c r="EG58" s="19">
        <v>0.5</v>
      </c>
      <c r="EH58" s="19">
        <v>0</v>
      </c>
      <c r="EI58" s="19">
        <v>9.9</v>
      </c>
      <c r="EJ58" s="19">
        <v>3.4</v>
      </c>
      <c r="EK58" s="19">
        <v>8.1</v>
      </c>
      <c r="EL58" s="19">
        <v>9.1999999999999993</v>
      </c>
      <c r="EM58" s="19">
        <v>10.4</v>
      </c>
      <c r="EN58" s="19">
        <v>10.6</v>
      </c>
      <c r="EO58" s="19">
        <v>15.4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/>
      <c r="EX58" s="19">
        <v>2</v>
      </c>
      <c r="EY58" s="19"/>
      <c r="EZ58" s="19"/>
      <c r="FA58" s="19">
        <v>0</v>
      </c>
      <c r="FB58" s="19">
        <v>10</v>
      </c>
      <c r="FC58" s="19">
        <v>19.5</v>
      </c>
      <c r="FD58" s="19">
        <v>18.399999999999999</v>
      </c>
      <c r="FE58" s="19">
        <v>7.5</v>
      </c>
      <c r="FF58" s="19">
        <v>33.700000000000003</v>
      </c>
      <c r="FG58" s="19"/>
      <c r="FH58" s="19">
        <v>18.8</v>
      </c>
      <c r="FI58" s="19"/>
      <c r="FJ58" s="19"/>
      <c r="FK58" s="19">
        <v>10.8</v>
      </c>
      <c r="FL58" s="19"/>
      <c r="FM58" s="19">
        <v>6867.5</v>
      </c>
      <c r="FN58" s="15"/>
      <c r="FO58" s="19">
        <v>22.3</v>
      </c>
      <c r="FP58" s="19">
        <v>5.5430000000000001</v>
      </c>
      <c r="FQ58" s="19">
        <v>10.7</v>
      </c>
      <c r="FR58" s="19">
        <v>9.4</v>
      </c>
      <c r="FS58" s="19">
        <v>25.67859</v>
      </c>
      <c r="FT58" s="19">
        <v>18.96031</v>
      </c>
      <c r="FU58" s="19">
        <v>11.5</v>
      </c>
      <c r="FV58" s="19">
        <v>0</v>
      </c>
      <c r="FW58" s="19">
        <v>104.0819</v>
      </c>
    </row>
    <row r="59" spans="1:179" ht="25.05" customHeight="1" x14ac:dyDescent="0.3">
      <c r="A59" s="204" t="s">
        <v>856</v>
      </c>
      <c r="B59" s="205"/>
      <c r="C59" s="20">
        <v>2505.8000000000002</v>
      </c>
      <c r="D59" s="20">
        <v>15051</v>
      </c>
      <c r="E59" s="20">
        <v>5012.6499999999996</v>
      </c>
      <c r="F59" s="20">
        <v>48.95</v>
      </c>
      <c r="G59" s="20">
        <v>48.85</v>
      </c>
      <c r="H59" s="20">
        <v>1050.6500000000001</v>
      </c>
      <c r="I59" s="20">
        <v>3076.8</v>
      </c>
      <c r="J59" s="20">
        <v>0</v>
      </c>
      <c r="K59" s="20">
        <v>756.1</v>
      </c>
      <c r="L59" s="20">
        <v>4068.2</v>
      </c>
      <c r="M59" s="20">
        <v>26.1</v>
      </c>
      <c r="N59" s="20">
        <v>4459.45</v>
      </c>
      <c r="O59" s="20">
        <v>4345.5</v>
      </c>
      <c r="P59" s="20">
        <v>4901.45</v>
      </c>
      <c r="Q59" s="20">
        <v>2541.15</v>
      </c>
      <c r="R59" s="20">
        <v>11610.95</v>
      </c>
      <c r="S59" s="20">
        <v>0</v>
      </c>
      <c r="T59" s="20">
        <v>0</v>
      </c>
      <c r="U59" s="20">
        <v>0</v>
      </c>
      <c r="V59" s="20">
        <v>0</v>
      </c>
      <c r="W59" s="20">
        <v>3945.45</v>
      </c>
      <c r="X59" s="20">
        <v>183</v>
      </c>
      <c r="Y59" s="20">
        <v>128.35</v>
      </c>
      <c r="Z59" s="20">
        <v>43.85</v>
      </c>
      <c r="AA59" s="20">
        <v>160.94999999999999</v>
      </c>
      <c r="AB59" s="20">
        <v>1932.8</v>
      </c>
      <c r="AC59" s="20">
        <v>0</v>
      </c>
      <c r="AD59" s="20">
        <v>0</v>
      </c>
      <c r="AE59" s="20">
        <v>0</v>
      </c>
      <c r="AF59" s="20">
        <v>0</v>
      </c>
      <c r="AG59" s="20">
        <v>2325.9499999999998</v>
      </c>
      <c r="AH59" s="20">
        <v>3219.35</v>
      </c>
      <c r="AI59" s="20">
        <v>0</v>
      </c>
      <c r="AJ59" s="20">
        <v>584.04999999999995</v>
      </c>
      <c r="AK59" s="20">
        <v>0</v>
      </c>
      <c r="AL59" s="20">
        <v>155.94999999999999</v>
      </c>
      <c r="AM59" s="20">
        <v>5419.75</v>
      </c>
      <c r="AN59" s="20">
        <v>1507.8</v>
      </c>
      <c r="AO59" s="20">
        <v>2121.4</v>
      </c>
      <c r="AP59" s="20">
        <v>959.5</v>
      </c>
      <c r="AQ59" s="20">
        <v>446.45</v>
      </c>
      <c r="AR59" s="20">
        <v>451.2</v>
      </c>
      <c r="AS59" s="20">
        <v>2173.5500000000002</v>
      </c>
      <c r="AT59" s="20">
        <v>4255.5</v>
      </c>
      <c r="AU59" s="20">
        <v>4264.5</v>
      </c>
      <c r="AV59" s="20">
        <v>4368.8</v>
      </c>
      <c r="AW59" s="20">
        <v>2586.65</v>
      </c>
      <c r="AX59" s="20">
        <v>358.1</v>
      </c>
      <c r="AY59" s="20">
        <v>973.25</v>
      </c>
      <c r="AZ59" s="20">
        <v>86.4</v>
      </c>
      <c r="BA59" s="20">
        <v>309.75</v>
      </c>
      <c r="BB59" s="20">
        <v>2290.35</v>
      </c>
      <c r="BC59" s="20">
        <v>0</v>
      </c>
      <c r="BD59" s="20">
        <v>0</v>
      </c>
      <c r="BE59" s="20">
        <v>670.45</v>
      </c>
      <c r="BF59" s="20">
        <v>304.10000000000002</v>
      </c>
      <c r="BG59" s="20">
        <v>0</v>
      </c>
      <c r="BH59" s="20">
        <v>580.04999999999995</v>
      </c>
      <c r="BI59" s="20">
        <v>0</v>
      </c>
      <c r="BJ59" s="20">
        <v>0</v>
      </c>
      <c r="BK59" s="20">
        <v>0</v>
      </c>
      <c r="BL59" s="20">
        <v>2885.6</v>
      </c>
      <c r="BM59" s="20">
        <v>3858.65</v>
      </c>
      <c r="BN59" s="20">
        <v>3838.7</v>
      </c>
      <c r="BO59" s="20">
        <v>4021.95</v>
      </c>
      <c r="BP59" s="20">
        <v>5979.7</v>
      </c>
      <c r="BQ59" s="20">
        <v>228.6</v>
      </c>
      <c r="BR59" s="20">
        <v>0</v>
      </c>
      <c r="BS59" s="20">
        <v>0</v>
      </c>
      <c r="BT59" s="20">
        <v>0</v>
      </c>
      <c r="BU59" s="20">
        <v>0</v>
      </c>
      <c r="BV59" s="20">
        <v>317.39999999999998</v>
      </c>
      <c r="BW59" s="20">
        <v>0</v>
      </c>
      <c r="BX59" s="20">
        <v>0</v>
      </c>
      <c r="BY59" s="20">
        <v>69.099999999999994</v>
      </c>
      <c r="BZ59" s="20">
        <v>2037.95</v>
      </c>
      <c r="CA59" s="20">
        <v>2504.5</v>
      </c>
      <c r="CB59" s="20">
        <v>1522.2</v>
      </c>
      <c r="CC59" s="20">
        <v>1599.75</v>
      </c>
      <c r="CD59" s="20">
        <v>707.9</v>
      </c>
      <c r="CE59" s="20">
        <v>130.35</v>
      </c>
      <c r="CF59" s="20">
        <v>0</v>
      </c>
      <c r="CG59" s="20">
        <v>0</v>
      </c>
      <c r="CH59" s="20">
        <v>3385</v>
      </c>
      <c r="CI59" s="20">
        <v>3450.3</v>
      </c>
      <c r="CJ59" s="20">
        <v>3570.45</v>
      </c>
      <c r="CK59" s="20">
        <v>881.2</v>
      </c>
      <c r="CL59" s="20">
        <v>0</v>
      </c>
      <c r="CM59" s="20">
        <v>0</v>
      </c>
      <c r="CN59" s="20">
        <v>0</v>
      </c>
      <c r="CO59" s="20">
        <v>0</v>
      </c>
      <c r="CP59" s="20">
        <v>4978.25</v>
      </c>
      <c r="CQ59" s="20">
        <v>2397.25</v>
      </c>
      <c r="CR59" s="20">
        <v>188.45</v>
      </c>
      <c r="CS59" s="20">
        <v>86.95</v>
      </c>
      <c r="CT59" s="20">
        <v>253.6</v>
      </c>
      <c r="CU59" s="20">
        <v>8.0500000000000007</v>
      </c>
      <c r="CV59" s="20">
        <v>874.85</v>
      </c>
      <c r="CW59" s="20">
        <v>605.54999999999995</v>
      </c>
      <c r="CX59" s="20">
        <v>294.45</v>
      </c>
      <c r="CY59" s="20">
        <v>2.6</v>
      </c>
      <c r="CZ59" s="20">
        <v>385.75</v>
      </c>
      <c r="DA59" s="20">
        <v>188.35</v>
      </c>
      <c r="DB59" s="20">
        <v>72.650000000000006</v>
      </c>
      <c r="DC59" s="20">
        <v>1468.55</v>
      </c>
      <c r="DD59" s="20">
        <v>753.1</v>
      </c>
      <c r="DE59" s="20">
        <v>31.2</v>
      </c>
      <c r="DF59" s="20">
        <v>55.45</v>
      </c>
      <c r="DG59" s="20">
        <v>61.15</v>
      </c>
      <c r="DH59" s="20">
        <v>489.4</v>
      </c>
      <c r="DI59" s="20">
        <v>233.5</v>
      </c>
      <c r="DJ59" s="20">
        <v>162.85</v>
      </c>
      <c r="DK59" s="20">
        <v>0</v>
      </c>
      <c r="DL59" s="20">
        <v>181.65</v>
      </c>
      <c r="DM59" s="20">
        <v>98.9</v>
      </c>
      <c r="DN59" s="20">
        <v>125.2</v>
      </c>
      <c r="DO59" s="20">
        <v>225.7</v>
      </c>
      <c r="DP59" s="20">
        <v>650.65</v>
      </c>
      <c r="DQ59" s="20">
        <v>104.95</v>
      </c>
      <c r="DR59" s="20">
        <v>68.650000000000006</v>
      </c>
      <c r="DS59" s="20">
        <v>172.15</v>
      </c>
      <c r="DT59" s="20">
        <v>44.05</v>
      </c>
      <c r="DU59" s="20">
        <v>0</v>
      </c>
      <c r="DV59" s="20">
        <v>2.7</v>
      </c>
      <c r="DW59" s="20">
        <v>343.1</v>
      </c>
      <c r="DX59" s="20">
        <v>117.7</v>
      </c>
      <c r="DY59" s="20">
        <v>198.2</v>
      </c>
      <c r="DZ59" s="20">
        <v>289.89999999999998</v>
      </c>
      <c r="EA59" s="20">
        <v>354.45</v>
      </c>
      <c r="EB59" s="20">
        <v>526.9</v>
      </c>
      <c r="EC59" s="20">
        <v>257.39999999999998</v>
      </c>
      <c r="ED59" s="20">
        <v>673.9</v>
      </c>
      <c r="EE59" s="20">
        <v>967.4</v>
      </c>
      <c r="EF59" s="20">
        <v>82.1</v>
      </c>
      <c r="EG59" s="20">
        <v>51.1</v>
      </c>
      <c r="EH59" s="20">
        <v>11.25</v>
      </c>
      <c r="EI59" s="20">
        <v>241.9</v>
      </c>
      <c r="EJ59" s="20">
        <v>83.45</v>
      </c>
      <c r="EK59" s="20">
        <v>108.65</v>
      </c>
      <c r="EL59" s="20">
        <v>209.5</v>
      </c>
      <c r="EM59" s="20">
        <v>229.65</v>
      </c>
      <c r="EN59" s="20">
        <v>236.4</v>
      </c>
      <c r="EO59" s="20">
        <v>324.05</v>
      </c>
      <c r="EP59" s="20">
        <v>1886</v>
      </c>
      <c r="EQ59" s="20">
        <v>114.9</v>
      </c>
      <c r="ER59" s="20">
        <v>1026.9000000000001</v>
      </c>
      <c r="ES59" s="20">
        <v>14.4</v>
      </c>
      <c r="ET59" s="20">
        <v>808.25</v>
      </c>
      <c r="EU59" s="20">
        <v>1010</v>
      </c>
      <c r="EV59" s="20">
        <v>776.6</v>
      </c>
      <c r="EW59" s="20">
        <v>0</v>
      </c>
      <c r="EX59" s="20">
        <v>48</v>
      </c>
      <c r="EY59" s="20">
        <v>0</v>
      </c>
      <c r="EZ59" s="20">
        <v>0</v>
      </c>
      <c r="FA59" s="20">
        <v>109.9</v>
      </c>
      <c r="FB59" s="20">
        <v>239.75</v>
      </c>
      <c r="FC59" s="20">
        <v>468.65</v>
      </c>
      <c r="FD59" s="20">
        <v>447.4</v>
      </c>
      <c r="FE59" s="20">
        <v>199.15</v>
      </c>
      <c r="FF59" s="20">
        <v>818.25</v>
      </c>
      <c r="FG59" s="20">
        <v>0</v>
      </c>
      <c r="FH59" s="20">
        <v>440.35</v>
      </c>
      <c r="FI59" s="20">
        <v>0</v>
      </c>
      <c r="FJ59" s="20">
        <v>0</v>
      </c>
      <c r="FK59" s="20">
        <v>264.8</v>
      </c>
      <c r="FL59" s="20">
        <v>0</v>
      </c>
      <c r="FM59" s="20">
        <v>176547</v>
      </c>
      <c r="FN59" s="21"/>
      <c r="FO59" s="20">
        <v>487.55</v>
      </c>
      <c r="FP59" s="20">
        <v>90.480860000000007</v>
      </c>
      <c r="FQ59" s="20">
        <v>260.14999999999998</v>
      </c>
      <c r="FR59" s="20">
        <v>229.2</v>
      </c>
      <c r="FS59" s="20">
        <v>613.34792500000003</v>
      </c>
      <c r="FT59" s="20">
        <v>390.65242000000001</v>
      </c>
      <c r="FU59" s="20">
        <v>275.85000000000002</v>
      </c>
      <c r="FV59" s="20">
        <v>144.6</v>
      </c>
      <c r="FW59" s="20">
        <v>2491.831205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7" t="s">
        <v>857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03" t="s">
        <v>589</v>
      </c>
      <c r="FP5" s="202"/>
      <c r="FQ5" s="202"/>
      <c r="FR5" s="202"/>
      <c r="FS5" s="202"/>
      <c r="FT5" s="202"/>
      <c r="FU5" s="202"/>
    </row>
    <row r="6" spans="1:177" ht="22.05" hidden="1" customHeight="1" x14ac:dyDescent="0.3">
      <c r="A6" s="206" t="s">
        <v>63</v>
      </c>
      <c r="B6" s="206" t="s">
        <v>590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591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2" t="s">
        <v>592</v>
      </c>
    </row>
    <row r="7" spans="1:177" ht="15" hidden="1" customHeight="1" x14ac:dyDescent="0.3">
      <c r="A7" s="206"/>
      <c r="B7" s="206"/>
      <c r="C7" s="9" t="s">
        <v>593</v>
      </c>
      <c r="D7" s="9" t="s">
        <v>594</v>
      </c>
      <c r="E7" s="9" t="s">
        <v>594</v>
      </c>
      <c r="F7" s="9" t="s">
        <v>595</v>
      </c>
      <c r="G7" s="9" t="s">
        <v>595</v>
      </c>
      <c r="H7" s="9" t="s">
        <v>595</v>
      </c>
      <c r="I7" s="9" t="s">
        <v>595</v>
      </c>
      <c r="J7" s="9" t="s">
        <v>594</v>
      </c>
      <c r="K7" s="9" t="s">
        <v>594</v>
      </c>
      <c r="L7" s="9" t="s">
        <v>594</v>
      </c>
      <c r="M7" s="9" t="s">
        <v>594</v>
      </c>
      <c r="N7" s="9" t="s">
        <v>594</v>
      </c>
      <c r="O7" s="9" t="s">
        <v>594</v>
      </c>
      <c r="P7" s="9" t="s">
        <v>594</v>
      </c>
      <c r="Q7" s="9" t="s">
        <v>594</v>
      </c>
      <c r="R7" s="9" t="s">
        <v>594</v>
      </c>
      <c r="S7" s="9" t="s">
        <v>594</v>
      </c>
      <c r="T7" s="9" t="s">
        <v>594</v>
      </c>
      <c r="U7" s="9" t="s">
        <v>594</v>
      </c>
      <c r="V7" s="9" t="s">
        <v>594</v>
      </c>
      <c r="W7" s="9" t="s">
        <v>593</v>
      </c>
      <c r="X7" s="9" t="s">
        <v>593</v>
      </c>
      <c r="Y7" s="9" t="s">
        <v>593</v>
      </c>
      <c r="Z7" s="9" t="s">
        <v>594</v>
      </c>
      <c r="AA7" s="9" t="s">
        <v>593</v>
      </c>
      <c r="AB7" s="9" t="s">
        <v>593</v>
      </c>
      <c r="AC7" s="9" t="s">
        <v>593</v>
      </c>
      <c r="AD7" s="9" t="s">
        <v>593</v>
      </c>
      <c r="AE7" s="9" t="s">
        <v>593</v>
      </c>
      <c r="AF7" s="9" t="s">
        <v>593</v>
      </c>
      <c r="AG7" s="9" t="s">
        <v>593</v>
      </c>
      <c r="AH7" s="9" t="s">
        <v>594</v>
      </c>
      <c r="AI7" s="9" t="s">
        <v>595</v>
      </c>
      <c r="AJ7" s="9" t="s">
        <v>595</v>
      </c>
      <c r="AK7" s="9" t="s">
        <v>595</v>
      </c>
      <c r="AL7" s="9" t="s">
        <v>594</v>
      </c>
      <c r="AM7" s="9" t="s">
        <v>594</v>
      </c>
      <c r="AN7" s="9" t="s">
        <v>594</v>
      </c>
      <c r="AO7" s="9" t="s">
        <v>594</v>
      </c>
      <c r="AP7" s="9" t="s">
        <v>594</v>
      </c>
      <c r="AQ7" s="9" t="s">
        <v>594</v>
      </c>
      <c r="AR7" s="9" t="s">
        <v>594</v>
      </c>
      <c r="AS7" s="9" t="s">
        <v>593</v>
      </c>
      <c r="AT7" s="9" t="s">
        <v>594</v>
      </c>
      <c r="AU7" s="9" t="s">
        <v>594</v>
      </c>
      <c r="AV7" s="9" t="s">
        <v>594</v>
      </c>
      <c r="AW7" s="9" t="s">
        <v>594</v>
      </c>
      <c r="AX7" s="9" t="s">
        <v>594</v>
      </c>
      <c r="AY7" s="9" t="s">
        <v>594</v>
      </c>
      <c r="AZ7" s="9" t="s">
        <v>593</v>
      </c>
      <c r="BA7" s="9" t="s">
        <v>595</v>
      </c>
      <c r="BB7" s="9" t="s">
        <v>594</v>
      </c>
      <c r="BC7" s="9" t="s">
        <v>594</v>
      </c>
      <c r="BD7" s="9" t="s">
        <v>594</v>
      </c>
      <c r="BE7" s="9" t="s">
        <v>594</v>
      </c>
      <c r="BF7" s="9" t="s">
        <v>595</v>
      </c>
      <c r="BG7" s="9" t="s">
        <v>595</v>
      </c>
      <c r="BH7" s="9" t="s">
        <v>595</v>
      </c>
      <c r="BI7" s="9" t="s">
        <v>593</v>
      </c>
      <c r="BJ7" s="9" t="s">
        <v>593</v>
      </c>
      <c r="BK7" s="9" t="s">
        <v>593</v>
      </c>
      <c r="BL7" s="9" t="s">
        <v>594</v>
      </c>
      <c r="BM7" s="9" t="s">
        <v>594</v>
      </c>
      <c r="BN7" s="9" t="s">
        <v>594</v>
      </c>
      <c r="BO7" s="9" t="s">
        <v>594</v>
      </c>
      <c r="BP7" s="9" t="s">
        <v>594</v>
      </c>
      <c r="BQ7" s="9" t="s">
        <v>594</v>
      </c>
      <c r="BR7" s="9" t="s">
        <v>594</v>
      </c>
      <c r="BS7" s="9" t="s">
        <v>593</v>
      </c>
      <c r="BT7" s="9" t="s">
        <v>593</v>
      </c>
      <c r="BU7" s="9" t="s">
        <v>593</v>
      </c>
      <c r="BV7" s="9" t="s">
        <v>595</v>
      </c>
      <c r="BW7" s="9" t="s">
        <v>593</v>
      </c>
      <c r="BX7" s="9" t="s">
        <v>594</v>
      </c>
      <c r="BY7" s="9" t="s">
        <v>595</v>
      </c>
      <c r="BZ7" s="9" t="s">
        <v>594</v>
      </c>
      <c r="CA7" s="9" t="s">
        <v>594</v>
      </c>
      <c r="CB7" s="9" t="s">
        <v>594</v>
      </c>
      <c r="CC7" s="9" t="s">
        <v>594</v>
      </c>
      <c r="CD7" s="9" t="s">
        <v>594</v>
      </c>
      <c r="CE7" s="9" t="s">
        <v>594</v>
      </c>
      <c r="CF7" s="9" t="s">
        <v>594</v>
      </c>
      <c r="CG7" s="9" t="s">
        <v>594</v>
      </c>
      <c r="CH7" s="9" t="s">
        <v>594</v>
      </c>
      <c r="CI7" s="9" t="s">
        <v>594</v>
      </c>
      <c r="CJ7" s="9" t="s">
        <v>594</v>
      </c>
      <c r="CK7" s="9" t="s">
        <v>594</v>
      </c>
      <c r="CL7" s="9" t="s">
        <v>593</v>
      </c>
      <c r="CM7" s="9" t="s">
        <v>593</v>
      </c>
      <c r="CN7" s="9" t="s">
        <v>593</v>
      </c>
      <c r="CO7" s="9" t="s">
        <v>593</v>
      </c>
      <c r="CP7" s="9" t="s">
        <v>594</v>
      </c>
      <c r="CQ7" s="9" t="s">
        <v>594</v>
      </c>
      <c r="CR7" s="9" t="s">
        <v>594</v>
      </c>
      <c r="CS7" s="9" t="s">
        <v>594</v>
      </c>
      <c r="CT7" s="9" t="s">
        <v>595</v>
      </c>
      <c r="CU7" s="9" t="s">
        <v>594</v>
      </c>
      <c r="CV7" s="9" t="s">
        <v>594</v>
      </c>
      <c r="CW7" s="9" t="s">
        <v>593</v>
      </c>
      <c r="CX7" s="9" t="s">
        <v>595</v>
      </c>
      <c r="CY7" s="9" t="s">
        <v>595</v>
      </c>
      <c r="CZ7" s="9" t="s">
        <v>594</v>
      </c>
      <c r="DA7" s="9" t="s">
        <v>595</v>
      </c>
      <c r="DB7" s="9" t="s">
        <v>595</v>
      </c>
      <c r="DC7" s="9" t="s">
        <v>593</v>
      </c>
      <c r="DD7" s="9" t="s">
        <v>593</v>
      </c>
      <c r="DE7" s="9" t="s">
        <v>593</v>
      </c>
      <c r="DF7" s="9" t="s">
        <v>594</v>
      </c>
      <c r="DG7" s="9" t="s">
        <v>594</v>
      </c>
      <c r="DH7" s="9" t="s">
        <v>594</v>
      </c>
      <c r="DI7" s="9" t="s">
        <v>595</v>
      </c>
      <c r="DJ7" s="9" t="s">
        <v>595</v>
      </c>
      <c r="DK7" s="9" t="s">
        <v>594</v>
      </c>
      <c r="DL7" s="9" t="s">
        <v>594</v>
      </c>
      <c r="DM7" s="9" t="s">
        <v>593</v>
      </c>
      <c r="DN7" s="9" t="s">
        <v>593</v>
      </c>
      <c r="DO7" s="9" t="s">
        <v>594</v>
      </c>
      <c r="DP7" s="9" t="s">
        <v>594</v>
      </c>
      <c r="DQ7" s="9" t="s">
        <v>593</v>
      </c>
      <c r="DR7" s="9" t="s">
        <v>594</v>
      </c>
      <c r="DS7" s="9" t="s">
        <v>594</v>
      </c>
      <c r="DT7" s="9" t="s">
        <v>595</v>
      </c>
      <c r="DU7" s="9" t="s">
        <v>594</v>
      </c>
      <c r="DV7" s="9" t="s">
        <v>594</v>
      </c>
      <c r="DW7" s="9" t="s">
        <v>594</v>
      </c>
      <c r="DX7" s="9" t="s">
        <v>595</v>
      </c>
      <c r="DY7" s="9" t="s">
        <v>594</v>
      </c>
      <c r="DZ7" s="9" t="s">
        <v>594</v>
      </c>
      <c r="EA7" s="9" t="s">
        <v>595</v>
      </c>
      <c r="EB7" s="9" t="s">
        <v>595</v>
      </c>
      <c r="EC7" s="9" t="s">
        <v>593</v>
      </c>
      <c r="ED7" s="9" t="s">
        <v>594</v>
      </c>
      <c r="EE7" s="9" t="s">
        <v>594</v>
      </c>
      <c r="EF7" s="9" t="s">
        <v>594</v>
      </c>
      <c r="EG7" s="9" t="s">
        <v>594</v>
      </c>
      <c r="EH7" s="9" t="s">
        <v>593</v>
      </c>
      <c r="EI7" s="9" t="s">
        <v>594</v>
      </c>
      <c r="EJ7" s="9" t="s">
        <v>594</v>
      </c>
      <c r="EK7" s="9" t="s">
        <v>593</v>
      </c>
      <c r="EL7" s="9" t="s">
        <v>593</v>
      </c>
      <c r="EM7" s="9" t="s">
        <v>593</v>
      </c>
      <c r="EN7" s="9" t="s">
        <v>593</v>
      </c>
      <c r="EO7" s="9" t="s">
        <v>595</v>
      </c>
      <c r="EP7" s="9" t="s">
        <v>593</v>
      </c>
      <c r="EQ7" s="9" t="s">
        <v>593</v>
      </c>
      <c r="ER7" s="9" t="s">
        <v>593</v>
      </c>
      <c r="ES7" s="9" t="s">
        <v>594</v>
      </c>
      <c r="ET7" s="9" t="s">
        <v>594</v>
      </c>
      <c r="EU7" s="9" t="s">
        <v>594</v>
      </c>
      <c r="EV7" s="9" t="s">
        <v>593</v>
      </c>
      <c r="EW7" s="9" t="s">
        <v>594</v>
      </c>
      <c r="EX7" s="9" t="s">
        <v>594</v>
      </c>
      <c r="EY7" s="9" t="s">
        <v>594</v>
      </c>
      <c r="EZ7" s="9" t="s">
        <v>594</v>
      </c>
      <c r="FA7" s="9" t="s">
        <v>593</v>
      </c>
      <c r="FB7" s="9" t="s">
        <v>595</v>
      </c>
      <c r="FC7" s="9" t="s">
        <v>594</v>
      </c>
      <c r="FD7" s="9" t="s">
        <v>594</v>
      </c>
      <c r="FE7" s="9" t="s">
        <v>595</v>
      </c>
      <c r="FF7" s="9" t="s">
        <v>595</v>
      </c>
      <c r="FG7" s="9" t="s">
        <v>595</v>
      </c>
      <c r="FH7" s="9" t="s">
        <v>594</v>
      </c>
      <c r="FI7" s="9" t="s">
        <v>595</v>
      </c>
      <c r="FJ7" s="9" t="s">
        <v>595</v>
      </c>
      <c r="FK7" s="9" t="s">
        <v>595</v>
      </c>
      <c r="FL7" s="9" t="s">
        <v>595</v>
      </c>
      <c r="FM7" s="206"/>
      <c r="FN7" s="1"/>
      <c r="FO7" s="10" t="s">
        <v>594</v>
      </c>
      <c r="FP7" s="10" t="s">
        <v>595</v>
      </c>
      <c r="FQ7" s="10" t="s">
        <v>595</v>
      </c>
      <c r="FR7" s="10" t="s">
        <v>595</v>
      </c>
      <c r="FS7" s="10" t="s">
        <v>595</v>
      </c>
      <c r="FT7" s="10" t="s">
        <v>595</v>
      </c>
      <c r="FU7" s="202"/>
    </row>
    <row r="8" spans="1:177" ht="15" hidden="1" customHeight="1" x14ac:dyDescent="0.3">
      <c r="A8" s="206"/>
      <c r="B8" s="206"/>
      <c r="C8" s="9" t="s">
        <v>596</v>
      </c>
      <c r="D8" s="9" t="s">
        <v>596</v>
      </c>
      <c r="E8" s="9" t="s">
        <v>596</v>
      </c>
      <c r="F8" s="9" t="s">
        <v>597</v>
      </c>
      <c r="G8" s="9" t="s">
        <v>597</v>
      </c>
      <c r="H8" s="9" t="s">
        <v>596</v>
      </c>
      <c r="I8" s="9" t="s">
        <v>596</v>
      </c>
      <c r="J8" s="9" t="s">
        <v>597</v>
      </c>
      <c r="K8" s="9" t="s">
        <v>597</v>
      </c>
      <c r="L8" s="9" t="s">
        <v>597</v>
      </c>
      <c r="M8" s="9" t="s">
        <v>597</v>
      </c>
      <c r="N8" s="9" t="s">
        <v>597</v>
      </c>
      <c r="O8" s="9" t="s">
        <v>597</v>
      </c>
      <c r="P8" s="9" t="s">
        <v>597</v>
      </c>
      <c r="Q8" s="9" t="s">
        <v>597</v>
      </c>
      <c r="R8" s="9" t="s">
        <v>596</v>
      </c>
      <c r="S8" s="9" t="s">
        <v>596</v>
      </c>
      <c r="T8" s="9" t="s">
        <v>597</v>
      </c>
      <c r="U8" s="9" t="s">
        <v>597</v>
      </c>
      <c r="V8" s="9" t="s">
        <v>597</v>
      </c>
      <c r="W8" s="9" t="s">
        <v>596</v>
      </c>
      <c r="X8" s="9" t="s">
        <v>596</v>
      </c>
      <c r="Y8" s="9" t="s">
        <v>596</v>
      </c>
      <c r="Z8" s="9" t="s">
        <v>597</v>
      </c>
      <c r="AA8" s="9" t="s">
        <v>596</v>
      </c>
      <c r="AB8" s="9" t="s">
        <v>596</v>
      </c>
      <c r="AC8" s="9" t="s">
        <v>596</v>
      </c>
      <c r="AD8" s="9" t="s">
        <v>597</v>
      </c>
      <c r="AE8" s="9" t="s">
        <v>597</v>
      </c>
      <c r="AF8" s="9" t="s">
        <v>597</v>
      </c>
      <c r="AG8" s="9" t="s">
        <v>596</v>
      </c>
      <c r="AH8" s="9" t="s">
        <v>596</v>
      </c>
      <c r="AI8" s="9" t="s">
        <v>597</v>
      </c>
      <c r="AJ8" s="9" t="s">
        <v>597</v>
      </c>
      <c r="AK8" s="9" t="s">
        <v>597</v>
      </c>
      <c r="AL8" s="9" t="s">
        <v>596</v>
      </c>
      <c r="AM8" s="9" t="s">
        <v>596</v>
      </c>
      <c r="AN8" s="9" t="s">
        <v>596</v>
      </c>
      <c r="AO8" s="9" t="s">
        <v>596</v>
      </c>
      <c r="AP8" s="9" t="s">
        <v>596</v>
      </c>
      <c r="AQ8" s="9" t="s">
        <v>596</v>
      </c>
      <c r="AR8" s="9" t="s">
        <v>596</v>
      </c>
      <c r="AS8" s="9" t="s">
        <v>596</v>
      </c>
      <c r="AT8" s="9" t="s">
        <v>597</v>
      </c>
      <c r="AU8" s="9" t="s">
        <v>597</v>
      </c>
      <c r="AV8" s="9" t="s">
        <v>597</v>
      </c>
      <c r="AW8" s="9" t="s">
        <v>596</v>
      </c>
      <c r="AX8" s="9" t="s">
        <v>596</v>
      </c>
      <c r="AY8" s="9" t="s">
        <v>596</v>
      </c>
      <c r="AZ8" s="9" t="s">
        <v>596</v>
      </c>
      <c r="BA8" s="9" t="s">
        <v>596</v>
      </c>
      <c r="BB8" s="9" t="s">
        <v>596</v>
      </c>
      <c r="BC8" s="9" t="s">
        <v>596</v>
      </c>
      <c r="BD8" s="9" t="s">
        <v>596</v>
      </c>
      <c r="BE8" s="9" t="s">
        <v>596</v>
      </c>
      <c r="BF8" s="9" t="s">
        <v>597</v>
      </c>
      <c r="BG8" s="9" t="s">
        <v>597</v>
      </c>
      <c r="BH8" s="9" t="s">
        <v>597</v>
      </c>
      <c r="BI8" s="9" t="s">
        <v>597</v>
      </c>
      <c r="BJ8" s="9" t="s">
        <v>597</v>
      </c>
      <c r="BK8" s="9" t="s">
        <v>597</v>
      </c>
      <c r="BL8" s="9" t="s">
        <v>596</v>
      </c>
      <c r="BM8" s="9" t="s">
        <v>597</v>
      </c>
      <c r="BN8" s="9" t="s">
        <v>597</v>
      </c>
      <c r="BO8" s="9" t="s">
        <v>597</v>
      </c>
      <c r="BP8" s="9" t="s">
        <v>597</v>
      </c>
      <c r="BQ8" s="9" t="s">
        <v>597</v>
      </c>
      <c r="BR8" s="9" t="s">
        <v>597</v>
      </c>
      <c r="BS8" s="9" t="s">
        <v>597</v>
      </c>
      <c r="BT8" s="9" t="s">
        <v>597</v>
      </c>
      <c r="BU8" s="9" t="s">
        <v>597</v>
      </c>
      <c r="BV8" s="9" t="s">
        <v>596</v>
      </c>
      <c r="BW8" s="9" t="s">
        <v>597</v>
      </c>
      <c r="BX8" s="9" t="s">
        <v>597</v>
      </c>
      <c r="BY8" s="9" t="s">
        <v>596</v>
      </c>
      <c r="BZ8" s="9" t="s">
        <v>596</v>
      </c>
      <c r="CA8" s="9" t="s">
        <v>596</v>
      </c>
      <c r="CB8" s="9" t="s">
        <v>596</v>
      </c>
      <c r="CC8" s="9" t="s">
        <v>596</v>
      </c>
      <c r="CD8" s="9" t="s">
        <v>596</v>
      </c>
      <c r="CE8" s="9" t="s">
        <v>597</v>
      </c>
      <c r="CF8" s="9" t="s">
        <v>597</v>
      </c>
      <c r="CG8" s="9" t="s">
        <v>597</v>
      </c>
      <c r="CH8" s="9" t="s">
        <v>597</v>
      </c>
      <c r="CI8" s="9" t="s">
        <v>597</v>
      </c>
      <c r="CJ8" s="9" t="s">
        <v>597</v>
      </c>
      <c r="CK8" s="9" t="s">
        <v>597</v>
      </c>
      <c r="CL8" s="9" t="s">
        <v>597</v>
      </c>
      <c r="CM8" s="9" t="s">
        <v>597</v>
      </c>
      <c r="CN8" s="9" t="s">
        <v>597</v>
      </c>
      <c r="CO8" s="9" t="s">
        <v>597</v>
      </c>
      <c r="CP8" s="9" t="s">
        <v>597</v>
      </c>
      <c r="CQ8" s="9" t="s">
        <v>597</v>
      </c>
      <c r="CR8" s="9" t="s">
        <v>596</v>
      </c>
      <c r="CS8" s="9" t="s">
        <v>596</v>
      </c>
      <c r="CT8" s="9" t="s">
        <v>596</v>
      </c>
      <c r="CU8" s="9" t="s">
        <v>598</v>
      </c>
      <c r="CV8" s="9" t="s">
        <v>599</v>
      </c>
      <c r="CW8" s="9" t="s">
        <v>598</v>
      </c>
      <c r="CX8" s="9" t="s">
        <v>599</v>
      </c>
      <c r="CY8" s="9" t="s">
        <v>598</v>
      </c>
      <c r="CZ8" s="9" t="s">
        <v>596</v>
      </c>
      <c r="DA8" s="9" t="s">
        <v>596</v>
      </c>
      <c r="DB8" s="9" t="s">
        <v>596</v>
      </c>
      <c r="DC8" s="9" t="s">
        <v>598</v>
      </c>
      <c r="DD8" s="9" t="s">
        <v>598</v>
      </c>
      <c r="DE8" s="9" t="s">
        <v>596</v>
      </c>
      <c r="DF8" s="9" t="s">
        <v>596</v>
      </c>
      <c r="DG8" s="9" t="s">
        <v>596</v>
      </c>
      <c r="DH8" s="9" t="s">
        <v>596</v>
      </c>
      <c r="DI8" s="9" t="s">
        <v>596</v>
      </c>
      <c r="DJ8" s="9" t="s">
        <v>596</v>
      </c>
      <c r="DK8" s="9" t="s">
        <v>596</v>
      </c>
      <c r="DL8" s="9" t="s">
        <v>596</v>
      </c>
      <c r="DM8" s="9" t="s">
        <v>598</v>
      </c>
      <c r="DN8" s="9" t="s">
        <v>598</v>
      </c>
      <c r="DO8" s="9" t="s">
        <v>599</v>
      </c>
      <c r="DP8" s="9" t="s">
        <v>599</v>
      </c>
      <c r="DQ8" s="9" t="s">
        <v>598</v>
      </c>
      <c r="DR8" s="9" t="s">
        <v>596</v>
      </c>
      <c r="DS8" s="9" t="s">
        <v>596</v>
      </c>
      <c r="DT8" s="9" t="s">
        <v>596</v>
      </c>
      <c r="DU8" s="9" t="s">
        <v>596</v>
      </c>
      <c r="DV8" s="9" t="s">
        <v>598</v>
      </c>
      <c r="DW8" s="9" t="s">
        <v>596</v>
      </c>
      <c r="DX8" s="9" t="s">
        <v>596</v>
      </c>
      <c r="DY8" s="9" t="s">
        <v>596</v>
      </c>
      <c r="DZ8" s="9" t="s">
        <v>596</v>
      </c>
      <c r="EA8" s="9" t="s">
        <v>599</v>
      </c>
      <c r="EB8" s="9" t="s">
        <v>599</v>
      </c>
      <c r="EC8" s="9" t="s">
        <v>598</v>
      </c>
      <c r="ED8" s="9" t="s">
        <v>599</v>
      </c>
      <c r="EE8" s="9" t="s">
        <v>599</v>
      </c>
      <c r="EF8" s="9" t="s">
        <v>599</v>
      </c>
      <c r="EG8" s="9" t="s">
        <v>599</v>
      </c>
      <c r="EH8" s="9" t="s">
        <v>598</v>
      </c>
      <c r="EI8" s="9" t="s">
        <v>596</v>
      </c>
      <c r="EJ8" s="9" t="s">
        <v>596</v>
      </c>
      <c r="EK8" s="9" t="s">
        <v>596</v>
      </c>
      <c r="EL8" s="9" t="s">
        <v>596</v>
      </c>
      <c r="EM8" s="9" t="s">
        <v>596</v>
      </c>
      <c r="EN8" s="9" t="s">
        <v>596</v>
      </c>
      <c r="EO8" s="9" t="s">
        <v>599</v>
      </c>
      <c r="EP8" s="9" t="s">
        <v>598</v>
      </c>
      <c r="EQ8" s="9" t="s">
        <v>598</v>
      </c>
      <c r="ER8" s="9" t="s">
        <v>598</v>
      </c>
      <c r="ES8" s="9" t="s">
        <v>596</v>
      </c>
      <c r="ET8" s="9" t="s">
        <v>599</v>
      </c>
      <c r="EU8" s="9" t="s">
        <v>599</v>
      </c>
      <c r="EV8" s="9" t="s">
        <v>598</v>
      </c>
      <c r="EW8" s="9" t="s">
        <v>597</v>
      </c>
      <c r="EX8" s="9" t="s">
        <v>597</v>
      </c>
      <c r="EY8" s="9" t="s">
        <v>597</v>
      </c>
      <c r="EZ8" s="9" t="s">
        <v>597</v>
      </c>
      <c r="FA8" s="9" t="s">
        <v>598</v>
      </c>
      <c r="FB8" s="9" t="s">
        <v>596</v>
      </c>
      <c r="FC8" s="9" t="s">
        <v>596</v>
      </c>
      <c r="FD8" s="9" t="s">
        <v>596</v>
      </c>
      <c r="FE8" s="9" t="s">
        <v>597</v>
      </c>
      <c r="FF8" s="9" t="s">
        <v>597</v>
      </c>
      <c r="FG8" s="9" t="s">
        <v>597</v>
      </c>
      <c r="FH8" s="9" t="s">
        <v>597</v>
      </c>
      <c r="FI8" s="9" t="s">
        <v>597</v>
      </c>
      <c r="FJ8" s="9" t="s">
        <v>597</v>
      </c>
      <c r="FK8" s="9" t="s">
        <v>597</v>
      </c>
      <c r="FL8" s="9" t="s">
        <v>597</v>
      </c>
      <c r="FM8" s="206"/>
      <c r="FN8" s="1"/>
      <c r="FO8" s="10" t="s">
        <v>596</v>
      </c>
      <c r="FP8" s="10" t="s">
        <v>596</v>
      </c>
      <c r="FQ8" s="10" t="s">
        <v>597</v>
      </c>
      <c r="FR8" s="10" t="s">
        <v>597</v>
      </c>
      <c r="FS8" s="10" t="s">
        <v>596</v>
      </c>
      <c r="FT8" s="10" t="s">
        <v>596</v>
      </c>
      <c r="FU8" s="202"/>
    </row>
    <row r="9" spans="1:177" ht="40.049999999999997" customHeight="1" x14ac:dyDescent="0.3">
      <c r="A9" s="206"/>
      <c r="B9" s="206"/>
      <c r="C9" s="11" t="s">
        <v>600</v>
      </c>
      <c r="D9" s="11" t="s">
        <v>80</v>
      </c>
      <c r="E9" s="11" t="s">
        <v>80</v>
      </c>
      <c r="F9" s="11" t="s">
        <v>80</v>
      </c>
      <c r="G9" s="11" t="s">
        <v>80</v>
      </c>
      <c r="H9" s="11" t="s">
        <v>122</v>
      </c>
      <c r="I9" s="11" t="s">
        <v>122</v>
      </c>
      <c r="J9" s="11" t="s">
        <v>164</v>
      </c>
      <c r="K9" s="11" t="s">
        <v>164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601</v>
      </c>
      <c r="U9" s="11" t="s">
        <v>601</v>
      </c>
      <c r="V9" s="11" t="s">
        <v>601</v>
      </c>
      <c r="W9" s="11" t="s">
        <v>602</v>
      </c>
      <c r="X9" s="11" t="s">
        <v>28</v>
      </c>
      <c r="Y9" s="11" t="s">
        <v>28</v>
      </c>
      <c r="Z9" s="11" t="s">
        <v>28</v>
      </c>
      <c r="AA9" s="11" t="s">
        <v>75</v>
      </c>
      <c r="AB9" s="11" t="s">
        <v>75</v>
      </c>
      <c r="AC9" s="11" t="s">
        <v>75</v>
      </c>
      <c r="AD9" s="11" t="s">
        <v>75</v>
      </c>
      <c r="AE9" s="11" t="s">
        <v>75</v>
      </c>
      <c r="AF9" s="11" t="s">
        <v>75</v>
      </c>
      <c r="AG9" s="11" t="s">
        <v>603</v>
      </c>
      <c r="AH9" s="11" t="s">
        <v>70</v>
      </c>
      <c r="AI9" s="11" t="s">
        <v>377</v>
      </c>
      <c r="AJ9" s="11" t="s">
        <v>604</v>
      </c>
      <c r="AK9" s="11" t="s">
        <v>604</v>
      </c>
      <c r="AL9" s="11" t="s">
        <v>83</v>
      </c>
      <c r="AM9" s="11" t="s">
        <v>83</v>
      </c>
      <c r="AN9" s="11" t="s">
        <v>605</v>
      </c>
      <c r="AO9" s="11" t="s">
        <v>606</v>
      </c>
      <c r="AP9" s="11" t="s">
        <v>606</v>
      </c>
      <c r="AQ9" s="11" t="s">
        <v>607</v>
      </c>
      <c r="AR9" s="11" t="s">
        <v>608</v>
      </c>
      <c r="AS9" s="11" t="s">
        <v>609</v>
      </c>
      <c r="AT9" s="11" t="s">
        <v>103</v>
      </c>
      <c r="AU9" s="11" t="s">
        <v>103</v>
      </c>
      <c r="AV9" s="11" t="s">
        <v>103</v>
      </c>
      <c r="AW9" s="11" t="s">
        <v>151</v>
      </c>
      <c r="AX9" s="11" t="s">
        <v>151</v>
      </c>
      <c r="AY9" s="11" t="s">
        <v>151</v>
      </c>
      <c r="AZ9" s="11" t="s">
        <v>151</v>
      </c>
      <c r="BA9" s="11" t="s">
        <v>151</v>
      </c>
      <c r="BB9" s="11" t="s">
        <v>151</v>
      </c>
      <c r="BC9" s="11" t="s">
        <v>610</v>
      </c>
      <c r="BD9" s="11" t="s">
        <v>610</v>
      </c>
      <c r="BE9" s="11" t="s">
        <v>611</v>
      </c>
      <c r="BF9" s="11" t="s">
        <v>86</v>
      </c>
      <c r="BG9" s="11" t="s">
        <v>86</v>
      </c>
      <c r="BH9" s="11" t="s">
        <v>86</v>
      </c>
      <c r="BI9" s="11" t="s">
        <v>93</v>
      </c>
      <c r="BJ9" s="11" t="s">
        <v>93</v>
      </c>
      <c r="BK9" s="11" t="s">
        <v>93</v>
      </c>
      <c r="BL9" s="11" t="s">
        <v>93</v>
      </c>
      <c r="BM9" s="11" t="s">
        <v>93</v>
      </c>
      <c r="BN9" s="11" t="s">
        <v>93</v>
      </c>
      <c r="BO9" s="11" t="s">
        <v>93</v>
      </c>
      <c r="BP9" s="11" t="s">
        <v>93</v>
      </c>
      <c r="BQ9" s="11" t="s">
        <v>93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612</v>
      </c>
      <c r="BX9" s="11" t="s">
        <v>612</v>
      </c>
      <c r="BY9" s="11" t="s">
        <v>351</v>
      </c>
      <c r="BZ9" s="11" t="s">
        <v>130</v>
      </c>
      <c r="CA9" s="11" t="s">
        <v>130</v>
      </c>
      <c r="CB9" s="11" t="s">
        <v>130</v>
      </c>
      <c r="CC9" s="11" t="s">
        <v>130</v>
      </c>
      <c r="CD9" s="11" t="s">
        <v>130</v>
      </c>
      <c r="CE9" s="11" t="s">
        <v>130</v>
      </c>
      <c r="CF9" s="11" t="s">
        <v>130</v>
      </c>
      <c r="CG9" s="11" t="s">
        <v>130</v>
      </c>
      <c r="CH9" s="11" t="s">
        <v>130</v>
      </c>
      <c r="CI9" s="11" t="s">
        <v>130</v>
      </c>
      <c r="CJ9" s="11" t="s">
        <v>130</v>
      </c>
      <c r="CK9" s="11" t="s">
        <v>130</v>
      </c>
      <c r="CL9" s="11" t="s">
        <v>148</v>
      </c>
      <c r="CM9" s="11" t="s">
        <v>148</v>
      </c>
      <c r="CN9" s="11" t="s">
        <v>148</v>
      </c>
      <c r="CO9" s="11" t="s">
        <v>148</v>
      </c>
      <c r="CP9" s="11" t="s">
        <v>159</v>
      </c>
      <c r="CQ9" s="11" t="s">
        <v>159</v>
      </c>
      <c r="CR9" s="11" t="s">
        <v>613</v>
      </c>
      <c r="CS9" s="11" t="s">
        <v>613</v>
      </c>
      <c r="CT9" s="11" t="s">
        <v>21</v>
      </c>
      <c r="CU9" s="11" t="s">
        <v>614</v>
      </c>
      <c r="CV9" s="11" t="s">
        <v>615</v>
      </c>
      <c r="CW9" s="11" t="s">
        <v>616</v>
      </c>
      <c r="CX9" s="11" t="s">
        <v>331</v>
      </c>
      <c r="CY9" s="11" t="s">
        <v>617</v>
      </c>
      <c r="CZ9" s="11" t="s">
        <v>618</v>
      </c>
      <c r="DA9" s="11" t="s">
        <v>122</v>
      </c>
      <c r="DB9" s="11" t="s">
        <v>122</v>
      </c>
      <c r="DC9" s="11" t="s">
        <v>106</v>
      </c>
      <c r="DD9" s="11" t="s">
        <v>106</v>
      </c>
      <c r="DE9" s="11" t="s">
        <v>603</v>
      </c>
      <c r="DF9" s="11" t="s">
        <v>619</v>
      </c>
      <c r="DG9" s="11" t="s">
        <v>278</v>
      </c>
      <c r="DH9" s="11" t="s">
        <v>620</v>
      </c>
      <c r="DI9" s="11" t="s">
        <v>621</v>
      </c>
      <c r="DJ9" s="11" t="s">
        <v>622</v>
      </c>
      <c r="DK9" s="11" t="s">
        <v>623</v>
      </c>
      <c r="DL9" s="11" t="s">
        <v>343</v>
      </c>
      <c r="DM9" s="11" t="s">
        <v>624</v>
      </c>
      <c r="DN9" s="11" t="s">
        <v>625</v>
      </c>
      <c r="DO9" s="11" t="s">
        <v>626</v>
      </c>
      <c r="DP9" s="11" t="s">
        <v>627</v>
      </c>
      <c r="DQ9" s="11" t="s">
        <v>628</v>
      </c>
      <c r="DR9" s="11" t="s">
        <v>629</v>
      </c>
      <c r="DS9" s="11" t="s">
        <v>630</v>
      </c>
      <c r="DT9" s="11" t="s">
        <v>631</v>
      </c>
      <c r="DU9" s="11" t="s">
        <v>632</v>
      </c>
      <c r="DV9" s="11" t="s">
        <v>633</v>
      </c>
      <c r="DW9" s="11" t="s">
        <v>634</v>
      </c>
      <c r="DX9" s="11" t="s">
        <v>634</v>
      </c>
      <c r="DY9" s="11" t="s">
        <v>634</v>
      </c>
      <c r="DZ9" s="11" t="s">
        <v>634</v>
      </c>
      <c r="EA9" s="11" t="s">
        <v>635</v>
      </c>
      <c r="EB9" s="11" t="s">
        <v>635</v>
      </c>
      <c r="EC9" s="11" t="s">
        <v>93</v>
      </c>
      <c r="ED9" s="11" t="s">
        <v>93</v>
      </c>
      <c r="EE9" s="11" t="s">
        <v>93</v>
      </c>
      <c r="EF9" s="11" t="s">
        <v>93</v>
      </c>
      <c r="EG9" s="11" t="s">
        <v>93</v>
      </c>
      <c r="EH9" s="11" t="s">
        <v>93</v>
      </c>
      <c r="EI9" s="11" t="s">
        <v>636</v>
      </c>
      <c r="EJ9" s="11" t="s">
        <v>636</v>
      </c>
      <c r="EK9" s="11" t="s">
        <v>637</v>
      </c>
      <c r="EL9" s="11" t="s">
        <v>637</v>
      </c>
      <c r="EM9" s="11" t="s">
        <v>637</v>
      </c>
      <c r="EN9" s="11" t="s">
        <v>637</v>
      </c>
      <c r="EO9" s="11" t="s">
        <v>327</v>
      </c>
      <c r="EP9" s="11" t="s">
        <v>638</v>
      </c>
      <c r="EQ9" s="11" t="s">
        <v>639</v>
      </c>
      <c r="ER9" s="11" t="s">
        <v>130</v>
      </c>
      <c r="ES9" s="11" t="s">
        <v>130</v>
      </c>
      <c r="ET9" s="11" t="s">
        <v>130</v>
      </c>
      <c r="EU9" s="11" t="s">
        <v>130</v>
      </c>
      <c r="EV9" s="11" t="s">
        <v>130</v>
      </c>
      <c r="EW9" s="11" t="s">
        <v>402</v>
      </c>
      <c r="EX9" s="11" t="s">
        <v>402</v>
      </c>
      <c r="EY9" s="11" t="s">
        <v>402</v>
      </c>
      <c r="EZ9" s="11" t="s">
        <v>402</v>
      </c>
      <c r="FA9" s="11" t="s">
        <v>640</v>
      </c>
      <c r="FB9" s="11" t="s">
        <v>641</v>
      </c>
      <c r="FC9" s="11" t="s">
        <v>641</v>
      </c>
      <c r="FD9" s="11" t="s">
        <v>641</v>
      </c>
      <c r="FE9" s="11" t="s">
        <v>642</v>
      </c>
      <c r="FF9" s="11" t="s">
        <v>643</v>
      </c>
      <c r="FG9" s="11" t="s">
        <v>643</v>
      </c>
      <c r="FH9" s="11" t="s">
        <v>644</v>
      </c>
      <c r="FI9" s="11" t="s">
        <v>181</v>
      </c>
      <c r="FJ9" s="11" t="s">
        <v>192</v>
      </c>
      <c r="FK9" s="11" t="s">
        <v>645</v>
      </c>
      <c r="FL9" s="11" t="s">
        <v>233</v>
      </c>
      <c r="FM9" s="206"/>
      <c r="FN9" s="1"/>
      <c r="FO9" s="12" t="s">
        <v>43</v>
      </c>
      <c r="FP9" s="12" t="s">
        <v>647</v>
      </c>
      <c r="FQ9" s="12" t="s">
        <v>649</v>
      </c>
      <c r="FR9" s="12" t="s">
        <v>650</v>
      </c>
      <c r="FS9" s="12" t="s">
        <v>641</v>
      </c>
      <c r="FT9" s="12" t="s">
        <v>641</v>
      </c>
      <c r="FU9" s="202"/>
    </row>
    <row r="10" spans="1:177" ht="40.049999999999997" customHeight="1" x14ac:dyDescent="0.3">
      <c r="A10" s="206"/>
      <c r="B10" s="206"/>
      <c r="C10" s="9" t="s">
        <v>347</v>
      </c>
      <c r="D10" s="9" t="s">
        <v>273</v>
      </c>
      <c r="E10" s="9" t="s">
        <v>651</v>
      </c>
      <c r="F10" s="9" t="s">
        <v>652</v>
      </c>
      <c r="G10" s="9" t="s">
        <v>653</v>
      </c>
      <c r="H10" s="9" t="s">
        <v>654</v>
      </c>
      <c r="I10" s="9" t="s">
        <v>655</v>
      </c>
      <c r="J10" s="9" t="s">
        <v>656</v>
      </c>
      <c r="K10" s="9" t="s">
        <v>657</v>
      </c>
      <c r="L10" s="9" t="s">
        <v>658</v>
      </c>
      <c r="M10" s="9" t="s">
        <v>659</v>
      </c>
      <c r="N10" s="9" t="s">
        <v>660</v>
      </c>
      <c r="O10" s="9" t="s">
        <v>661</v>
      </c>
      <c r="P10" s="9" t="s">
        <v>662</v>
      </c>
      <c r="Q10" s="9" t="s">
        <v>663</v>
      </c>
      <c r="R10" s="9" t="s">
        <v>664</v>
      </c>
      <c r="S10" s="9" t="s">
        <v>665</v>
      </c>
      <c r="T10" s="9" t="s">
        <v>666</v>
      </c>
      <c r="U10" s="9" t="s">
        <v>667</v>
      </c>
      <c r="V10" s="9" t="s">
        <v>668</v>
      </c>
      <c r="W10" s="9" t="s">
        <v>669</v>
      </c>
      <c r="X10" s="9" t="s">
        <v>670</v>
      </c>
      <c r="Y10" s="9" t="s">
        <v>671</v>
      </c>
      <c r="Z10" s="9" t="s">
        <v>29</v>
      </c>
      <c r="AA10" s="9" t="s">
        <v>672</v>
      </c>
      <c r="AB10" s="9" t="s">
        <v>673</v>
      </c>
      <c r="AC10" s="9" t="s">
        <v>674</v>
      </c>
      <c r="AD10" s="9" t="s">
        <v>675</v>
      </c>
      <c r="AE10" s="9" t="s">
        <v>676</v>
      </c>
      <c r="AF10" s="9" t="s">
        <v>677</v>
      </c>
      <c r="AG10" s="9" t="s">
        <v>678</v>
      </c>
      <c r="AH10" s="9" t="s">
        <v>679</v>
      </c>
      <c r="AI10" s="9" t="s">
        <v>378</v>
      </c>
      <c r="AJ10" s="9" t="s">
        <v>680</v>
      </c>
      <c r="AK10" s="9" t="s">
        <v>681</v>
      </c>
      <c r="AL10" s="9" t="s">
        <v>682</v>
      </c>
      <c r="AM10" s="9" t="s">
        <v>282</v>
      </c>
      <c r="AN10" s="9" t="s">
        <v>605</v>
      </c>
      <c r="AO10" s="9" t="s">
        <v>683</v>
      </c>
      <c r="AP10" s="9" t="s">
        <v>684</v>
      </c>
      <c r="AQ10" s="9" t="s">
        <v>685</v>
      </c>
      <c r="AR10" s="9" t="s">
        <v>686</v>
      </c>
      <c r="AS10" s="9" t="s">
        <v>687</v>
      </c>
      <c r="AT10" s="9" t="s">
        <v>688</v>
      </c>
      <c r="AU10" s="9" t="s">
        <v>689</v>
      </c>
      <c r="AV10" s="9" t="s">
        <v>690</v>
      </c>
      <c r="AW10" s="9" t="s">
        <v>691</v>
      </c>
      <c r="AX10" s="9" t="s">
        <v>537</v>
      </c>
      <c r="AY10" s="9" t="s">
        <v>692</v>
      </c>
      <c r="AZ10" s="9" t="s">
        <v>693</v>
      </c>
      <c r="BA10" s="9" t="s">
        <v>694</v>
      </c>
      <c r="BB10" s="9" t="s">
        <v>695</v>
      </c>
      <c r="BC10" s="9" t="s">
        <v>696</v>
      </c>
      <c r="BD10" s="9" t="s">
        <v>697</v>
      </c>
      <c r="BE10" s="9" t="s">
        <v>287</v>
      </c>
      <c r="BF10" s="9" t="s">
        <v>698</v>
      </c>
      <c r="BG10" s="9" t="s">
        <v>699</v>
      </c>
      <c r="BH10" s="9" t="s">
        <v>700</v>
      </c>
      <c r="BI10" s="9" t="s">
        <v>701</v>
      </c>
      <c r="BJ10" s="9" t="s">
        <v>702</v>
      </c>
      <c r="BK10" s="9" t="s">
        <v>703</v>
      </c>
      <c r="BL10" s="9" t="s">
        <v>704</v>
      </c>
      <c r="BM10" s="9" t="s">
        <v>705</v>
      </c>
      <c r="BN10" s="9" t="s">
        <v>706</v>
      </c>
      <c r="BO10" s="9" t="s">
        <v>707</v>
      </c>
      <c r="BP10" s="9" t="s">
        <v>708</v>
      </c>
      <c r="BQ10" s="9" t="s">
        <v>709</v>
      </c>
      <c r="BR10" s="9" t="s">
        <v>710</v>
      </c>
      <c r="BS10" s="9" t="s">
        <v>711</v>
      </c>
      <c r="BT10" s="9" t="s">
        <v>712</v>
      </c>
      <c r="BU10" s="9" t="s">
        <v>713</v>
      </c>
      <c r="BV10" s="9" t="s">
        <v>314</v>
      </c>
      <c r="BW10" s="9" t="s">
        <v>714</v>
      </c>
      <c r="BX10" s="9" t="s">
        <v>715</v>
      </c>
      <c r="BY10" s="9" t="s">
        <v>352</v>
      </c>
      <c r="BZ10" s="9" t="s">
        <v>394</v>
      </c>
      <c r="CA10" s="9" t="s">
        <v>716</v>
      </c>
      <c r="CB10" s="9" t="s">
        <v>717</v>
      </c>
      <c r="CC10" s="9" t="s">
        <v>390</v>
      </c>
      <c r="CD10" s="9" t="s">
        <v>718</v>
      </c>
      <c r="CE10" s="9" t="s">
        <v>719</v>
      </c>
      <c r="CF10" s="9" t="s">
        <v>720</v>
      </c>
      <c r="CG10" s="9" t="s">
        <v>721</v>
      </c>
      <c r="CH10" s="9" t="s">
        <v>722</v>
      </c>
      <c r="CI10" s="9" t="s">
        <v>723</v>
      </c>
      <c r="CJ10" s="9" t="s">
        <v>724</v>
      </c>
      <c r="CK10" s="9" t="s">
        <v>725</v>
      </c>
      <c r="CL10" s="9" t="s">
        <v>726</v>
      </c>
      <c r="CM10" s="9" t="s">
        <v>727</v>
      </c>
      <c r="CN10" s="9" t="s">
        <v>728</v>
      </c>
      <c r="CO10" s="9" t="s">
        <v>729</v>
      </c>
      <c r="CP10" s="9" t="s">
        <v>730</v>
      </c>
      <c r="CQ10" s="9" t="s">
        <v>731</v>
      </c>
      <c r="CR10" s="9" t="s">
        <v>732</v>
      </c>
      <c r="CS10" s="9" t="s">
        <v>733</v>
      </c>
      <c r="CT10" s="9" t="s">
        <v>22</v>
      </c>
      <c r="CU10" s="9" t="s">
        <v>734</v>
      </c>
      <c r="CV10" s="9" t="s">
        <v>735</v>
      </c>
      <c r="CW10" s="9" t="s">
        <v>736</v>
      </c>
      <c r="CX10" s="9" t="s">
        <v>737</v>
      </c>
      <c r="CY10" s="9" t="s">
        <v>738</v>
      </c>
      <c r="CZ10" s="9" t="s">
        <v>739</v>
      </c>
      <c r="DA10" s="9" t="s">
        <v>740</v>
      </c>
      <c r="DB10" s="9" t="s">
        <v>741</v>
      </c>
      <c r="DC10" s="9" t="s">
        <v>742</v>
      </c>
      <c r="DD10" s="9" t="s">
        <v>743</v>
      </c>
      <c r="DE10" s="9" t="s">
        <v>744</v>
      </c>
      <c r="DF10" s="9" t="s">
        <v>745</v>
      </c>
      <c r="DG10" s="9" t="s">
        <v>279</v>
      </c>
      <c r="DH10" s="9" t="s">
        <v>746</v>
      </c>
      <c r="DI10" s="9" t="s">
        <v>747</v>
      </c>
      <c r="DJ10" s="9" t="s">
        <v>748</v>
      </c>
      <c r="DK10" s="9" t="s">
        <v>749</v>
      </c>
      <c r="DL10" s="9" t="s">
        <v>344</v>
      </c>
      <c r="DM10" s="9" t="s">
        <v>750</v>
      </c>
      <c r="DN10" s="9" t="s">
        <v>751</v>
      </c>
      <c r="DO10" s="9" t="s">
        <v>752</v>
      </c>
      <c r="DP10" s="9" t="s">
        <v>753</v>
      </c>
      <c r="DQ10" s="9" t="s">
        <v>754</v>
      </c>
      <c r="DR10" s="9" t="s">
        <v>755</v>
      </c>
      <c r="DS10" s="9" t="s">
        <v>756</v>
      </c>
      <c r="DT10" s="9" t="s">
        <v>757</v>
      </c>
      <c r="DU10" s="9" t="s">
        <v>758</v>
      </c>
      <c r="DV10" s="9" t="s">
        <v>759</v>
      </c>
      <c r="DW10" s="9" t="s">
        <v>760</v>
      </c>
      <c r="DX10" s="9" t="s">
        <v>761</v>
      </c>
      <c r="DY10" s="9" t="s">
        <v>762</v>
      </c>
      <c r="DZ10" s="9" t="s">
        <v>763</v>
      </c>
      <c r="EA10" s="9" t="s">
        <v>764</v>
      </c>
      <c r="EB10" s="9" t="s">
        <v>765</v>
      </c>
      <c r="EC10" s="9" t="s">
        <v>766</v>
      </c>
      <c r="ED10" s="9" t="s">
        <v>767</v>
      </c>
      <c r="EE10" s="9" t="s">
        <v>768</v>
      </c>
      <c r="EF10" s="9" t="s">
        <v>769</v>
      </c>
      <c r="EG10" s="9" t="s">
        <v>770</v>
      </c>
      <c r="EH10" s="9" t="s">
        <v>771</v>
      </c>
      <c r="EI10" s="9" t="s">
        <v>772</v>
      </c>
      <c r="EJ10" s="9" t="s">
        <v>773</v>
      </c>
      <c r="EK10" s="9" t="s">
        <v>774</v>
      </c>
      <c r="EL10" s="9" t="s">
        <v>775</v>
      </c>
      <c r="EM10" s="9" t="s">
        <v>776</v>
      </c>
      <c r="EN10" s="9" t="s">
        <v>777</v>
      </c>
      <c r="EO10" s="9" t="s">
        <v>778</v>
      </c>
      <c r="EP10" s="9" t="s">
        <v>779</v>
      </c>
      <c r="EQ10" s="9" t="s">
        <v>780</v>
      </c>
      <c r="ER10" s="9" t="s">
        <v>781</v>
      </c>
      <c r="ES10" s="9" t="s">
        <v>782</v>
      </c>
      <c r="ET10" s="9" t="s">
        <v>783</v>
      </c>
      <c r="EU10" s="9" t="s">
        <v>397</v>
      </c>
      <c r="EV10" s="9" t="s">
        <v>784</v>
      </c>
      <c r="EW10" s="9" t="s">
        <v>406</v>
      </c>
      <c r="EX10" s="9" t="s">
        <v>785</v>
      </c>
      <c r="EY10" s="9" t="s">
        <v>786</v>
      </c>
      <c r="EZ10" s="9" t="s">
        <v>787</v>
      </c>
      <c r="FA10" s="9" t="s">
        <v>788</v>
      </c>
      <c r="FB10" s="9" t="s">
        <v>789</v>
      </c>
      <c r="FC10" s="9" t="s">
        <v>790</v>
      </c>
      <c r="FD10" s="9" t="s">
        <v>791</v>
      </c>
      <c r="FE10" s="9" t="s">
        <v>792</v>
      </c>
      <c r="FF10" s="9" t="s">
        <v>793</v>
      </c>
      <c r="FG10" s="9" t="s">
        <v>794</v>
      </c>
      <c r="FH10" s="9" t="s">
        <v>795</v>
      </c>
      <c r="FI10" s="9" t="s">
        <v>796</v>
      </c>
      <c r="FJ10" s="9" t="s">
        <v>797</v>
      </c>
      <c r="FK10" s="9" t="s">
        <v>798</v>
      </c>
      <c r="FL10" s="9" t="s">
        <v>234</v>
      </c>
      <c r="FM10" s="206" t="s">
        <v>858</v>
      </c>
      <c r="FN10" s="1"/>
      <c r="FO10" s="10" t="s">
        <v>801</v>
      </c>
      <c r="FP10" s="10" t="s">
        <v>802</v>
      </c>
      <c r="FQ10" s="10" t="s">
        <v>804</v>
      </c>
      <c r="FR10" s="10" t="s">
        <v>805</v>
      </c>
      <c r="FS10" s="10" t="s">
        <v>806</v>
      </c>
      <c r="FT10" s="10" t="s">
        <v>807</v>
      </c>
      <c r="FU10" s="202" t="s">
        <v>858</v>
      </c>
    </row>
    <row r="11" spans="1:177" ht="24" customHeight="1" x14ac:dyDescent="0.3">
      <c r="A11" s="13" t="s">
        <v>67</v>
      </c>
      <c r="B11" s="13" t="s">
        <v>808</v>
      </c>
      <c r="C11" s="14">
        <v>-7.1</v>
      </c>
      <c r="D11" s="14">
        <v>9.6</v>
      </c>
      <c r="E11" s="14">
        <v>14.2</v>
      </c>
      <c r="F11" s="14">
        <v>0</v>
      </c>
      <c r="G11" s="14">
        <v>0</v>
      </c>
      <c r="H11" s="14">
        <v>-5.9</v>
      </c>
      <c r="I11" s="14">
        <v>-1.3</v>
      </c>
      <c r="J11" s="14"/>
      <c r="K11" s="14">
        <v>0</v>
      </c>
      <c r="L11" s="14">
        <v>-31.8</v>
      </c>
      <c r="M11" s="14">
        <v>-36.9</v>
      </c>
      <c r="N11" s="14">
        <v>-5.2</v>
      </c>
      <c r="O11" s="14">
        <v>22.3</v>
      </c>
      <c r="P11" s="14">
        <v>28.6</v>
      </c>
      <c r="Q11" s="14">
        <v>37.5</v>
      </c>
      <c r="R11" s="14">
        <v>38.299999999999997</v>
      </c>
      <c r="S11" s="14"/>
      <c r="T11" s="14"/>
      <c r="U11" s="14"/>
      <c r="V11" s="14"/>
      <c r="W11" s="14">
        <v>-3.3</v>
      </c>
      <c r="X11" s="14">
        <v>0.2</v>
      </c>
      <c r="Y11" s="14">
        <v>0.8</v>
      </c>
      <c r="Z11" s="14">
        <v>0</v>
      </c>
      <c r="AA11" s="14">
        <v>-3.2</v>
      </c>
      <c r="AB11" s="14">
        <v>13.8</v>
      </c>
      <c r="AC11" s="14"/>
      <c r="AD11" s="14"/>
      <c r="AE11" s="14"/>
      <c r="AF11" s="14"/>
      <c r="AG11" s="14">
        <v>2.6</v>
      </c>
      <c r="AH11" s="14">
        <v>-7.3</v>
      </c>
      <c r="AI11" s="14"/>
      <c r="AJ11" s="14">
        <v>0</v>
      </c>
      <c r="AK11" s="14"/>
      <c r="AL11" s="14">
        <v>-1.6</v>
      </c>
      <c r="AM11" s="14">
        <v>-17.5</v>
      </c>
      <c r="AN11" s="14">
        <v>4.2</v>
      </c>
      <c r="AO11" s="14">
        <v>10.6</v>
      </c>
      <c r="AP11" s="14">
        <v>10.5</v>
      </c>
      <c r="AQ11" s="14">
        <v>-0.5</v>
      </c>
      <c r="AR11" s="14">
        <v>2.6</v>
      </c>
      <c r="AS11" s="14">
        <v>0.4</v>
      </c>
      <c r="AT11" s="14">
        <v>19.100000000000001</v>
      </c>
      <c r="AU11" s="14">
        <v>5.4</v>
      </c>
      <c r="AV11" s="14">
        <v>-45.6</v>
      </c>
      <c r="AW11" s="14">
        <v>0.3</v>
      </c>
      <c r="AX11" s="14">
        <v>0</v>
      </c>
      <c r="AY11" s="14">
        <v>0.9</v>
      </c>
      <c r="AZ11" s="14">
        <v>1</v>
      </c>
      <c r="BA11" s="14">
        <v>0.1</v>
      </c>
      <c r="BB11" s="14">
        <v>-3.1</v>
      </c>
      <c r="BC11" s="14"/>
      <c r="BD11" s="14"/>
      <c r="BE11" s="14">
        <v>-3.6</v>
      </c>
      <c r="BF11" s="14">
        <v>0</v>
      </c>
      <c r="BG11" s="14"/>
      <c r="BH11" s="14">
        <v>0</v>
      </c>
      <c r="BI11" s="14"/>
      <c r="BJ11" s="14"/>
      <c r="BK11" s="14"/>
      <c r="BL11" s="14">
        <v>-2.1408200000000002</v>
      </c>
      <c r="BM11" s="14">
        <v>-20.8</v>
      </c>
      <c r="BN11" s="14">
        <v>-8</v>
      </c>
      <c r="BO11" s="14">
        <v>-6.9</v>
      </c>
      <c r="BP11" s="14">
        <v>-8.4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23.5</v>
      </c>
      <c r="CA11" s="14">
        <v>36.4</v>
      </c>
      <c r="CB11" s="14">
        <v>11.1</v>
      </c>
      <c r="CC11" s="14">
        <v>8.6999999999999993</v>
      </c>
      <c r="CD11" s="14">
        <v>0.7</v>
      </c>
      <c r="CE11" s="14">
        <v>-22.9</v>
      </c>
      <c r="CF11" s="14"/>
      <c r="CG11" s="14"/>
      <c r="CH11" s="14">
        <v>13.8</v>
      </c>
      <c r="CI11" s="14">
        <v>10.199999999999999</v>
      </c>
      <c r="CJ11" s="14">
        <v>-25.5</v>
      </c>
      <c r="CK11" s="14">
        <v>0</v>
      </c>
      <c r="CL11" s="14"/>
      <c r="CM11" s="14"/>
      <c r="CN11" s="14"/>
      <c r="CO11" s="14"/>
      <c r="CP11" s="14">
        <v>7.8</v>
      </c>
      <c r="CQ11" s="14">
        <v>-1.7</v>
      </c>
      <c r="CR11" s="14">
        <v>-2.8</v>
      </c>
      <c r="CS11" s="14">
        <v>0</v>
      </c>
      <c r="CT11" s="14">
        <v>0.8</v>
      </c>
      <c r="CU11" s="14"/>
      <c r="CV11" s="14">
        <v>-5.6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/>
      <c r="DE11" s="14"/>
      <c r="DF11" s="14">
        <v>0</v>
      </c>
      <c r="DG11" s="14">
        <v>0.6</v>
      </c>
      <c r="DH11" s="14">
        <v>0.1</v>
      </c>
      <c r="DI11" s="14">
        <v>-0.1</v>
      </c>
      <c r="DJ11" s="14">
        <v>0.1</v>
      </c>
      <c r="DK11" s="14"/>
      <c r="DL11" s="14"/>
      <c r="DM11" s="14">
        <v>0</v>
      </c>
      <c r="DN11" s="14">
        <v>0</v>
      </c>
      <c r="DO11" s="14">
        <v>-0.2</v>
      </c>
      <c r="DP11" s="14">
        <v>1.7</v>
      </c>
      <c r="DQ11" s="14">
        <v>0</v>
      </c>
      <c r="DR11" s="14">
        <v>0</v>
      </c>
      <c r="DS11" s="14">
        <v>0.2</v>
      </c>
      <c r="DT11" s="14">
        <v>0.2</v>
      </c>
      <c r="DU11" s="14"/>
      <c r="DV11" s="14"/>
      <c r="DW11" s="14">
        <v>-2.6</v>
      </c>
      <c r="DX11" s="14">
        <v>0.2</v>
      </c>
      <c r="DY11" s="14">
        <v>0.6</v>
      </c>
      <c r="DZ11" s="14">
        <v>0.7</v>
      </c>
      <c r="EA11" s="14">
        <v>0.8</v>
      </c>
      <c r="EB11" s="14">
        <v>3.7</v>
      </c>
      <c r="EC11" s="14">
        <v>0</v>
      </c>
      <c r="ED11" s="14">
        <v>-3.4</v>
      </c>
      <c r="EE11" s="14">
        <v>-6.5</v>
      </c>
      <c r="EF11" s="14"/>
      <c r="EG11" s="14"/>
      <c r="EH11" s="14"/>
      <c r="EI11" s="14">
        <v>1.5</v>
      </c>
      <c r="EJ11" s="14">
        <v>0.2</v>
      </c>
      <c r="EK11" s="14">
        <v>1.1000000000000001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/>
      <c r="EX11" s="14">
        <v>0.7</v>
      </c>
      <c r="EY11" s="14"/>
      <c r="EZ11" s="14"/>
      <c r="FA11" s="14">
        <v>0</v>
      </c>
      <c r="FB11" s="14">
        <v>0.2</v>
      </c>
      <c r="FC11" s="14">
        <v>1.2</v>
      </c>
      <c r="FD11" s="14">
        <v>0.9</v>
      </c>
      <c r="FE11" s="14">
        <v>1.7</v>
      </c>
      <c r="FF11" s="14">
        <v>0.2</v>
      </c>
      <c r="FG11" s="14"/>
      <c r="FH11" s="14">
        <v>2</v>
      </c>
      <c r="FI11" s="14"/>
      <c r="FJ11" s="14"/>
      <c r="FK11" s="14">
        <v>4.2</v>
      </c>
      <c r="FL11" s="14"/>
      <c r="FM11" s="14">
        <v>67.159180000000006</v>
      </c>
      <c r="FN11" s="15"/>
      <c r="FO11" s="14">
        <v>0</v>
      </c>
      <c r="FP11" s="14">
        <v>1.17807</v>
      </c>
      <c r="FQ11" s="14">
        <v>0.34998000000000001</v>
      </c>
      <c r="FR11" s="14">
        <v>0.25841999999999998</v>
      </c>
      <c r="FS11" s="14">
        <v>-1.2</v>
      </c>
      <c r="FT11" s="14">
        <v>1</v>
      </c>
      <c r="FU11" s="14">
        <v>1.58647</v>
      </c>
    </row>
    <row r="12" spans="1:177" ht="24" customHeight="1" x14ac:dyDescent="0.3">
      <c r="A12" s="16" t="s">
        <v>67</v>
      </c>
      <c r="B12" s="16" t="s">
        <v>809</v>
      </c>
      <c r="C12" s="17">
        <v>-7.4</v>
      </c>
      <c r="D12" s="17">
        <v>7.5</v>
      </c>
      <c r="E12" s="17">
        <v>13.7</v>
      </c>
      <c r="F12" s="17">
        <v>0</v>
      </c>
      <c r="G12" s="17">
        <v>0</v>
      </c>
      <c r="H12" s="17">
        <v>0</v>
      </c>
      <c r="I12" s="17">
        <v>-2.5</v>
      </c>
      <c r="J12" s="17"/>
      <c r="K12" s="17">
        <v>0</v>
      </c>
      <c r="L12" s="17">
        <v>-36.700000000000003</v>
      </c>
      <c r="M12" s="17">
        <v>0</v>
      </c>
      <c r="N12" s="17">
        <v>-12.4</v>
      </c>
      <c r="O12" s="17">
        <v>15.1</v>
      </c>
      <c r="P12" s="17">
        <v>25</v>
      </c>
      <c r="Q12" s="17">
        <v>35</v>
      </c>
      <c r="R12" s="17">
        <v>49.4</v>
      </c>
      <c r="S12" s="17"/>
      <c r="T12" s="17"/>
      <c r="U12" s="17"/>
      <c r="V12" s="17"/>
      <c r="W12" s="17">
        <v>-0.1</v>
      </c>
      <c r="X12" s="17">
        <v>0.8</v>
      </c>
      <c r="Y12" s="17">
        <v>1.7</v>
      </c>
      <c r="Z12" s="17">
        <v>0</v>
      </c>
      <c r="AA12" s="17">
        <v>-3.2</v>
      </c>
      <c r="AB12" s="17">
        <v>11.6</v>
      </c>
      <c r="AC12" s="17"/>
      <c r="AD12" s="17"/>
      <c r="AE12" s="17"/>
      <c r="AF12" s="17"/>
      <c r="AG12" s="17">
        <v>-4.5</v>
      </c>
      <c r="AH12" s="17">
        <v>-0.5</v>
      </c>
      <c r="AI12" s="17"/>
      <c r="AJ12" s="17">
        <v>0</v>
      </c>
      <c r="AK12" s="17"/>
      <c r="AL12" s="17">
        <v>-1.7</v>
      </c>
      <c r="AM12" s="17">
        <v>-16.5</v>
      </c>
      <c r="AN12" s="17">
        <v>3.9</v>
      </c>
      <c r="AO12" s="17">
        <v>10</v>
      </c>
      <c r="AP12" s="17">
        <v>10</v>
      </c>
      <c r="AQ12" s="17">
        <v>-0.1</v>
      </c>
      <c r="AR12" s="17">
        <v>2.6</v>
      </c>
      <c r="AS12" s="17">
        <v>0.9</v>
      </c>
      <c r="AT12" s="17">
        <v>17.899999999999999</v>
      </c>
      <c r="AU12" s="17">
        <v>4.0999999999999996</v>
      </c>
      <c r="AV12" s="17">
        <v>-47.1</v>
      </c>
      <c r="AW12" s="17">
        <v>0.7</v>
      </c>
      <c r="AX12" s="17">
        <v>0</v>
      </c>
      <c r="AY12" s="17">
        <v>0.8</v>
      </c>
      <c r="AZ12" s="17">
        <v>1</v>
      </c>
      <c r="BA12" s="17">
        <v>0.1</v>
      </c>
      <c r="BB12" s="17">
        <v>-0.1</v>
      </c>
      <c r="BC12" s="17"/>
      <c r="BD12" s="17"/>
      <c r="BE12" s="17">
        <v>-3.6</v>
      </c>
      <c r="BF12" s="17">
        <v>0</v>
      </c>
      <c r="BG12" s="17"/>
      <c r="BH12" s="17">
        <v>0</v>
      </c>
      <c r="BI12" s="17"/>
      <c r="BJ12" s="17"/>
      <c r="BK12" s="17"/>
      <c r="BL12" s="17">
        <v>-2.9723600000000001</v>
      </c>
      <c r="BM12" s="17">
        <v>-24.1</v>
      </c>
      <c r="BN12" s="17">
        <v>-11.2</v>
      </c>
      <c r="BO12" s="17">
        <v>-13.5</v>
      </c>
      <c r="BP12" s="17">
        <v>-14.5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15.9</v>
      </c>
      <c r="CA12" s="17">
        <v>36</v>
      </c>
      <c r="CB12" s="17">
        <v>10.6</v>
      </c>
      <c r="CC12" s="17">
        <v>6.3</v>
      </c>
      <c r="CD12" s="17">
        <v>0.8</v>
      </c>
      <c r="CE12" s="17">
        <v>-25.1</v>
      </c>
      <c r="CF12" s="17"/>
      <c r="CG12" s="17"/>
      <c r="CH12" s="17">
        <v>11.8</v>
      </c>
      <c r="CI12" s="17">
        <v>8.1</v>
      </c>
      <c r="CJ12" s="17">
        <v>-28.5</v>
      </c>
      <c r="CK12" s="17">
        <v>0</v>
      </c>
      <c r="CL12" s="17"/>
      <c r="CM12" s="17"/>
      <c r="CN12" s="17"/>
      <c r="CO12" s="17"/>
      <c r="CP12" s="17">
        <v>5.9</v>
      </c>
      <c r="CQ12" s="17">
        <v>-2.8</v>
      </c>
      <c r="CR12" s="17">
        <v>-2.8</v>
      </c>
      <c r="CS12" s="17">
        <v>0</v>
      </c>
      <c r="CT12" s="17">
        <v>0.9</v>
      </c>
      <c r="CU12" s="17"/>
      <c r="CV12" s="17">
        <v>-5.5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0.2</v>
      </c>
      <c r="DG12" s="17">
        <v>0.5</v>
      </c>
      <c r="DH12" s="17">
        <v>0.2</v>
      </c>
      <c r="DI12" s="17">
        <v>-0.6</v>
      </c>
      <c r="DJ12" s="17">
        <v>0</v>
      </c>
      <c r="DK12" s="17"/>
      <c r="DL12" s="17"/>
      <c r="DM12" s="17">
        <v>0</v>
      </c>
      <c r="DN12" s="17">
        <v>0</v>
      </c>
      <c r="DO12" s="17">
        <v>0.7</v>
      </c>
      <c r="DP12" s="17">
        <v>2.6</v>
      </c>
      <c r="DQ12" s="17">
        <v>0</v>
      </c>
      <c r="DR12" s="17">
        <v>0</v>
      </c>
      <c r="DS12" s="17">
        <v>0.3</v>
      </c>
      <c r="DT12" s="17">
        <v>0.2</v>
      </c>
      <c r="DU12" s="17"/>
      <c r="DV12" s="17"/>
      <c r="DW12" s="17">
        <v>-2.6</v>
      </c>
      <c r="DX12" s="17">
        <v>0.4</v>
      </c>
      <c r="DY12" s="17">
        <v>0.6</v>
      </c>
      <c r="DZ12" s="17">
        <v>0.8</v>
      </c>
      <c r="EA12" s="17">
        <v>0.8</v>
      </c>
      <c r="EB12" s="17">
        <v>3.7</v>
      </c>
      <c r="EC12" s="17">
        <v>0</v>
      </c>
      <c r="ED12" s="17">
        <v>-3.4</v>
      </c>
      <c r="EE12" s="17">
        <v>-7.9</v>
      </c>
      <c r="EF12" s="17"/>
      <c r="EG12" s="17"/>
      <c r="EH12" s="17"/>
      <c r="EI12" s="17">
        <v>1.5</v>
      </c>
      <c r="EJ12" s="17">
        <v>0.2</v>
      </c>
      <c r="EK12" s="17">
        <v>1.1000000000000001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/>
      <c r="EX12" s="17">
        <v>0.6</v>
      </c>
      <c r="EY12" s="17"/>
      <c r="EZ12" s="17"/>
      <c r="FA12" s="17">
        <v>0</v>
      </c>
      <c r="FB12" s="17">
        <v>0.2</v>
      </c>
      <c r="FC12" s="17">
        <v>1</v>
      </c>
      <c r="FD12" s="17">
        <v>0.7</v>
      </c>
      <c r="FE12" s="17">
        <v>1.7</v>
      </c>
      <c r="FF12" s="17">
        <v>0.6</v>
      </c>
      <c r="FG12" s="17"/>
      <c r="FH12" s="17">
        <v>2.1</v>
      </c>
      <c r="FI12" s="17"/>
      <c r="FJ12" s="17"/>
      <c r="FK12" s="17">
        <v>4.2</v>
      </c>
      <c r="FL12" s="17"/>
      <c r="FM12" s="17">
        <v>50.927639999999997</v>
      </c>
      <c r="FN12" s="15"/>
      <c r="FO12" s="17">
        <v>0</v>
      </c>
      <c r="FP12" s="17">
        <v>1.1789099999999999</v>
      </c>
      <c r="FQ12" s="17">
        <v>0.35264000000000001</v>
      </c>
      <c r="FR12" s="17">
        <v>0.23791999999999999</v>
      </c>
      <c r="FS12" s="17">
        <v>-1.2</v>
      </c>
      <c r="FT12" s="17">
        <v>1</v>
      </c>
      <c r="FU12" s="17">
        <v>1.5694699999999999</v>
      </c>
    </row>
    <row r="13" spans="1:177" ht="24" customHeight="1" x14ac:dyDescent="0.3">
      <c r="A13" s="16" t="s">
        <v>67</v>
      </c>
      <c r="B13" s="16" t="s">
        <v>810</v>
      </c>
      <c r="C13" s="17">
        <v>-8.1999999999999993</v>
      </c>
      <c r="D13" s="17">
        <v>2</v>
      </c>
      <c r="E13" s="17">
        <v>12.8</v>
      </c>
      <c r="F13" s="17">
        <v>0</v>
      </c>
      <c r="G13" s="17">
        <v>0</v>
      </c>
      <c r="H13" s="17">
        <v>0</v>
      </c>
      <c r="I13" s="17">
        <v>-3.9</v>
      </c>
      <c r="J13" s="17"/>
      <c r="K13" s="17">
        <v>0</v>
      </c>
      <c r="L13" s="17">
        <v>-38.200000000000003</v>
      </c>
      <c r="M13" s="17">
        <v>0</v>
      </c>
      <c r="N13" s="17">
        <v>-14.1</v>
      </c>
      <c r="O13" s="17">
        <v>13.1</v>
      </c>
      <c r="P13" s="17">
        <v>24.3</v>
      </c>
      <c r="Q13" s="17">
        <v>34.200000000000003</v>
      </c>
      <c r="R13" s="17">
        <v>46.5</v>
      </c>
      <c r="S13" s="17"/>
      <c r="T13" s="17"/>
      <c r="U13" s="17"/>
      <c r="V13" s="17"/>
      <c r="W13" s="17">
        <v>-1.3</v>
      </c>
      <c r="X13" s="17">
        <v>1.4</v>
      </c>
      <c r="Y13" s="17">
        <v>0.3</v>
      </c>
      <c r="Z13" s="17">
        <v>0</v>
      </c>
      <c r="AA13" s="17">
        <v>-3.1</v>
      </c>
      <c r="AB13" s="17">
        <v>11.1</v>
      </c>
      <c r="AC13" s="17"/>
      <c r="AD13" s="17"/>
      <c r="AE13" s="17"/>
      <c r="AF13" s="17"/>
      <c r="AG13" s="17">
        <v>-5.4</v>
      </c>
      <c r="AH13" s="17">
        <v>0.2</v>
      </c>
      <c r="AI13" s="17"/>
      <c r="AJ13" s="17">
        <v>0</v>
      </c>
      <c r="AK13" s="17"/>
      <c r="AL13" s="17">
        <v>-1.6</v>
      </c>
      <c r="AM13" s="17">
        <v>-16.5</v>
      </c>
      <c r="AN13" s="17">
        <v>3.9</v>
      </c>
      <c r="AO13" s="17">
        <v>10.4</v>
      </c>
      <c r="AP13" s="17">
        <v>10.199999999999999</v>
      </c>
      <c r="AQ13" s="17">
        <v>-1.2</v>
      </c>
      <c r="AR13" s="17">
        <v>2.6</v>
      </c>
      <c r="AS13" s="17">
        <v>0.9</v>
      </c>
      <c r="AT13" s="17">
        <v>15.5</v>
      </c>
      <c r="AU13" s="17">
        <v>1.7</v>
      </c>
      <c r="AV13" s="17">
        <v>-44.1</v>
      </c>
      <c r="AW13" s="17">
        <v>0.7</v>
      </c>
      <c r="AX13" s="17">
        <v>0</v>
      </c>
      <c r="AY13" s="17">
        <v>0.7</v>
      </c>
      <c r="AZ13" s="17">
        <v>1</v>
      </c>
      <c r="BA13" s="17">
        <v>0.1</v>
      </c>
      <c r="BB13" s="17">
        <v>-2.2000000000000002</v>
      </c>
      <c r="BC13" s="17"/>
      <c r="BD13" s="17"/>
      <c r="BE13" s="17">
        <v>-4.7</v>
      </c>
      <c r="BF13" s="17">
        <v>0</v>
      </c>
      <c r="BG13" s="17"/>
      <c r="BH13" s="17">
        <v>0</v>
      </c>
      <c r="BI13" s="17"/>
      <c r="BJ13" s="17"/>
      <c r="BK13" s="17"/>
      <c r="BL13" s="17">
        <v>-1.3155399999999999</v>
      </c>
      <c r="BM13" s="17">
        <v>-24.7</v>
      </c>
      <c r="BN13" s="17">
        <v>-11.9</v>
      </c>
      <c r="BO13" s="17">
        <v>-14.1</v>
      </c>
      <c r="BP13" s="17">
        <v>-15.9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15.4</v>
      </c>
      <c r="CA13" s="17">
        <v>36.799999999999997</v>
      </c>
      <c r="CB13" s="17">
        <v>11.1</v>
      </c>
      <c r="CC13" s="17">
        <v>6.4</v>
      </c>
      <c r="CD13" s="17">
        <v>0.1</v>
      </c>
      <c r="CE13" s="17">
        <v>-26.1</v>
      </c>
      <c r="CF13" s="17"/>
      <c r="CG13" s="17"/>
      <c r="CH13" s="17">
        <v>9.8000000000000007</v>
      </c>
      <c r="CI13" s="17">
        <v>5.9</v>
      </c>
      <c r="CJ13" s="17">
        <v>-31.8</v>
      </c>
      <c r="CK13" s="17">
        <v>0</v>
      </c>
      <c r="CL13" s="17"/>
      <c r="CM13" s="17"/>
      <c r="CN13" s="17"/>
      <c r="CO13" s="17"/>
      <c r="CP13" s="17">
        <v>5</v>
      </c>
      <c r="CQ13" s="17">
        <v>-3.4</v>
      </c>
      <c r="CR13" s="17">
        <v>-2.7</v>
      </c>
      <c r="CS13" s="17">
        <v>0.2</v>
      </c>
      <c r="CT13" s="17">
        <v>0.8</v>
      </c>
      <c r="CU13" s="17"/>
      <c r="CV13" s="17">
        <v>-5.5</v>
      </c>
      <c r="CW13" s="17">
        <v>0</v>
      </c>
      <c r="CX13" s="17"/>
      <c r="CY13" s="17"/>
      <c r="CZ13" s="17">
        <v>0.1</v>
      </c>
      <c r="DA13" s="17">
        <v>0</v>
      </c>
      <c r="DB13" s="17">
        <v>0</v>
      </c>
      <c r="DC13" s="17">
        <v>0</v>
      </c>
      <c r="DD13" s="17"/>
      <c r="DE13" s="17"/>
      <c r="DF13" s="17">
        <v>0.1</v>
      </c>
      <c r="DG13" s="17">
        <v>0.5</v>
      </c>
      <c r="DH13" s="17">
        <v>0.2</v>
      </c>
      <c r="DI13" s="17">
        <v>-0.5</v>
      </c>
      <c r="DJ13" s="17">
        <v>0</v>
      </c>
      <c r="DK13" s="17"/>
      <c r="DL13" s="17"/>
      <c r="DM13" s="17">
        <v>0</v>
      </c>
      <c r="DN13" s="17">
        <v>0</v>
      </c>
      <c r="DO13" s="17">
        <v>0.9</v>
      </c>
      <c r="DP13" s="17">
        <v>2.6</v>
      </c>
      <c r="DQ13" s="17">
        <v>0</v>
      </c>
      <c r="DR13" s="17">
        <v>0</v>
      </c>
      <c r="DS13" s="17">
        <v>0.3</v>
      </c>
      <c r="DT13" s="17">
        <v>0.2</v>
      </c>
      <c r="DU13" s="17"/>
      <c r="DV13" s="17"/>
      <c r="DW13" s="17">
        <v>-2.6</v>
      </c>
      <c r="DX13" s="17">
        <v>0.4</v>
      </c>
      <c r="DY13" s="17">
        <v>0.6</v>
      </c>
      <c r="DZ13" s="17">
        <v>0.7</v>
      </c>
      <c r="EA13" s="17">
        <v>0.8</v>
      </c>
      <c r="EB13" s="17">
        <v>3.7</v>
      </c>
      <c r="EC13" s="17">
        <v>0</v>
      </c>
      <c r="ED13" s="17">
        <v>-2.1</v>
      </c>
      <c r="EE13" s="17">
        <v>-7.9</v>
      </c>
      <c r="EF13" s="17"/>
      <c r="EG13" s="17"/>
      <c r="EH13" s="17"/>
      <c r="EI13" s="17">
        <v>1.5</v>
      </c>
      <c r="EJ13" s="17">
        <v>0.2</v>
      </c>
      <c r="EK13" s="17">
        <v>1.1000000000000001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0</v>
      </c>
      <c r="EV13" s="17">
        <v>0</v>
      </c>
      <c r="EW13" s="17"/>
      <c r="EX13" s="17">
        <v>0.6</v>
      </c>
      <c r="EY13" s="17"/>
      <c r="EZ13" s="17"/>
      <c r="FA13" s="17">
        <v>0</v>
      </c>
      <c r="FB13" s="17">
        <v>0.2</v>
      </c>
      <c r="FC13" s="17">
        <v>1.2</v>
      </c>
      <c r="FD13" s="17">
        <v>1.1000000000000001</v>
      </c>
      <c r="FE13" s="17">
        <v>1.7</v>
      </c>
      <c r="FF13" s="17">
        <v>0.6</v>
      </c>
      <c r="FG13" s="17"/>
      <c r="FH13" s="17">
        <v>3.7</v>
      </c>
      <c r="FI13" s="17"/>
      <c r="FJ13" s="17"/>
      <c r="FK13" s="17">
        <v>4.2</v>
      </c>
      <c r="FL13" s="17"/>
      <c r="FM13" s="17">
        <v>17.08446</v>
      </c>
      <c r="FN13" s="15"/>
      <c r="FO13" s="17">
        <v>0</v>
      </c>
      <c r="FP13" s="17">
        <v>1.16143</v>
      </c>
      <c r="FQ13" s="17">
        <v>0.35172999999999999</v>
      </c>
      <c r="FR13" s="17">
        <v>0.16711999999999999</v>
      </c>
      <c r="FS13" s="17">
        <v>-1.4</v>
      </c>
      <c r="FT13" s="17">
        <v>1</v>
      </c>
      <c r="FU13" s="17">
        <v>1.2802800000000001</v>
      </c>
    </row>
    <row r="14" spans="1:177" ht="24" customHeight="1" x14ac:dyDescent="0.3">
      <c r="A14" s="16" t="s">
        <v>67</v>
      </c>
      <c r="B14" s="16" t="s">
        <v>811</v>
      </c>
      <c r="C14" s="17">
        <v>-7.8</v>
      </c>
      <c r="D14" s="17">
        <v>9.8000000000000007</v>
      </c>
      <c r="E14" s="17">
        <v>14.6</v>
      </c>
      <c r="F14" s="17">
        <v>0</v>
      </c>
      <c r="G14" s="17">
        <v>0</v>
      </c>
      <c r="H14" s="17">
        <v>0</v>
      </c>
      <c r="I14" s="17">
        <v>12.1</v>
      </c>
      <c r="J14" s="17"/>
      <c r="K14" s="17">
        <v>0</v>
      </c>
      <c r="L14" s="17">
        <v>-36.1</v>
      </c>
      <c r="M14" s="17">
        <v>0</v>
      </c>
      <c r="N14" s="17">
        <v>-11.9</v>
      </c>
      <c r="O14" s="17">
        <v>15.7</v>
      </c>
      <c r="P14" s="17">
        <v>22.5</v>
      </c>
      <c r="Q14" s="17">
        <v>33.299999999999997</v>
      </c>
      <c r="R14" s="17">
        <v>35</v>
      </c>
      <c r="S14" s="17"/>
      <c r="T14" s="17"/>
      <c r="U14" s="17"/>
      <c r="V14" s="17"/>
      <c r="W14" s="17">
        <v>-0.3</v>
      </c>
      <c r="X14" s="17">
        <v>1</v>
      </c>
      <c r="Y14" s="17">
        <v>-0.1</v>
      </c>
      <c r="Z14" s="17">
        <v>0</v>
      </c>
      <c r="AA14" s="17">
        <v>-3.1</v>
      </c>
      <c r="AB14" s="17">
        <v>10.9</v>
      </c>
      <c r="AC14" s="17"/>
      <c r="AD14" s="17"/>
      <c r="AE14" s="17"/>
      <c r="AF14" s="17"/>
      <c r="AG14" s="17">
        <v>-4.9000000000000004</v>
      </c>
      <c r="AH14" s="17">
        <v>-3.2</v>
      </c>
      <c r="AI14" s="17"/>
      <c r="AJ14" s="17">
        <v>0</v>
      </c>
      <c r="AK14" s="17"/>
      <c r="AL14" s="17">
        <v>-1.1000000000000001</v>
      </c>
      <c r="AM14" s="17">
        <v>-14.5</v>
      </c>
      <c r="AN14" s="17">
        <v>4</v>
      </c>
      <c r="AO14" s="17">
        <v>9.9</v>
      </c>
      <c r="AP14" s="17">
        <v>10.1</v>
      </c>
      <c r="AQ14" s="17">
        <v>-1</v>
      </c>
      <c r="AR14" s="17">
        <v>2.6</v>
      </c>
      <c r="AS14" s="17">
        <v>0.9</v>
      </c>
      <c r="AT14" s="17">
        <v>11.9</v>
      </c>
      <c r="AU14" s="17">
        <v>-1.9</v>
      </c>
      <c r="AV14" s="17">
        <v>-43.2</v>
      </c>
      <c r="AW14" s="17">
        <v>2.6</v>
      </c>
      <c r="AX14" s="17">
        <v>0</v>
      </c>
      <c r="AY14" s="17">
        <v>1.5</v>
      </c>
      <c r="AZ14" s="17">
        <v>1</v>
      </c>
      <c r="BA14" s="17">
        <v>0.1</v>
      </c>
      <c r="BB14" s="17">
        <v>-1.2</v>
      </c>
      <c r="BC14" s="17"/>
      <c r="BD14" s="17"/>
      <c r="BE14" s="17">
        <v>-2.2000000000000002</v>
      </c>
      <c r="BF14" s="17">
        <v>0</v>
      </c>
      <c r="BG14" s="17"/>
      <c r="BH14" s="17">
        <v>0</v>
      </c>
      <c r="BI14" s="17"/>
      <c r="BJ14" s="17"/>
      <c r="BK14" s="17"/>
      <c r="BL14" s="17">
        <v>-1.1779200000000001</v>
      </c>
      <c r="BM14" s="17">
        <v>-26.4</v>
      </c>
      <c r="BN14" s="17">
        <v>-13.7</v>
      </c>
      <c r="BO14" s="17">
        <v>-16</v>
      </c>
      <c r="BP14" s="17">
        <v>-17.100000000000001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-0.3</v>
      </c>
      <c r="BZ14" s="17">
        <v>15.7</v>
      </c>
      <c r="CA14" s="17">
        <v>35.799999999999997</v>
      </c>
      <c r="CB14" s="17">
        <v>10.8</v>
      </c>
      <c r="CC14" s="17">
        <v>6.2</v>
      </c>
      <c r="CD14" s="17">
        <v>0</v>
      </c>
      <c r="CE14" s="17">
        <v>-26.1</v>
      </c>
      <c r="CF14" s="17"/>
      <c r="CG14" s="17"/>
      <c r="CH14" s="17">
        <v>14.9</v>
      </c>
      <c r="CI14" s="17">
        <v>11.3</v>
      </c>
      <c r="CJ14" s="17">
        <v>-22.7</v>
      </c>
      <c r="CK14" s="17">
        <v>0</v>
      </c>
      <c r="CL14" s="17"/>
      <c r="CM14" s="17"/>
      <c r="CN14" s="17"/>
      <c r="CO14" s="17"/>
      <c r="CP14" s="17">
        <v>-1.1000000000000001</v>
      </c>
      <c r="CQ14" s="17">
        <v>-7</v>
      </c>
      <c r="CR14" s="17">
        <v>-2.7</v>
      </c>
      <c r="CS14" s="17">
        <v>0.2</v>
      </c>
      <c r="CT14" s="17">
        <v>0.7</v>
      </c>
      <c r="CU14" s="17"/>
      <c r="CV14" s="17">
        <v>-5.5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0.2</v>
      </c>
      <c r="DG14" s="17">
        <v>0.4</v>
      </c>
      <c r="DH14" s="17">
        <v>0.1</v>
      </c>
      <c r="DI14" s="17">
        <v>-0.4</v>
      </c>
      <c r="DJ14" s="17">
        <v>0</v>
      </c>
      <c r="DK14" s="17"/>
      <c r="DL14" s="17"/>
      <c r="DM14" s="17">
        <v>0</v>
      </c>
      <c r="DN14" s="17">
        <v>0</v>
      </c>
      <c r="DO14" s="17">
        <v>0.2</v>
      </c>
      <c r="DP14" s="17">
        <v>3.2</v>
      </c>
      <c r="DQ14" s="17">
        <v>0</v>
      </c>
      <c r="DR14" s="17">
        <v>0.1</v>
      </c>
      <c r="DS14" s="17">
        <v>0.3</v>
      </c>
      <c r="DT14" s="17">
        <v>0.2</v>
      </c>
      <c r="DU14" s="17"/>
      <c r="DV14" s="17"/>
      <c r="DW14" s="17">
        <v>-2.6</v>
      </c>
      <c r="DX14" s="17">
        <v>0.4</v>
      </c>
      <c r="DY14" s="17">
        <v>0.6</v>
      </c>
      <c r="DZ14" s="17">
        <v>0.8</v>
      </c>
      <c r="EA14" s="17">
        <v>0.8</v>
      </c>
      <c r="EB14" s="17">
        <v>3.7</v>
      </c>
      <c r="EC14" s="17">
        <v>0</v>
      </c>
      <c r="ED14" s="17">
        <v>-1.3</v>
      </c>
      <c r="EE14" s="17">
        <v>-5.0999999999999996</v>
      </c>
      <c r="EF14" s="17"/>
      <c r="EG14" s="17"/>
      <c r="EH14" s="17"/>
      <c r="EI14" s="17">
        <v>1.5</v>
      </c>
      <c r="EJ14" s="17">
        <v>0.2</v>
      </c>
      <c r="EK14" s="17">
        <v>1.1000000000000001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</v>
      </c>
      <c r="EV14" s="17">
        <v>0</v>
      </c>
      <c r="EW14" s="17"/>
      <c r="EX14" s="17">
        <v>0.6</v>
      </c>
      <c r="EY14" s="17"/>
      <c r="EZ14" s="17"/>
      <c r="FA14" s="17">
        <v>0</v>
      </c>
      <c r="FB14" s="17">
        <v>0.2</v>
      </c>
      <c r="FC14" s="17">
        <v>1.4</v>
      </c>
      <c r="FD14" s="17">
        <v>1.1000000000000001</v>
      </c>
      <c r="FE14" s="17">
        <v>1.7</v>
      </c>
      <c r="FF14" s="17">
        <v>0.2</v>
      </c>
      <c r="FG14" s="17"/>
      <c r="FH14" s="17">
        <v>3.3</v>
      </c>
      <c r="FI14" s="17"/>
      <c r="FJ14" s="17"/>
      <c r="FK14" s="17">
        <v>4</v>
      </c>
      <c r="FL14" s="17"/>
      <c r="FM14" s="17">
        <v>40.122079999999997</v>
      </c>
      <c r="FN14" s="15"/>
      <c r="FO14" s="17">
        <v>0</v>
      </c>
      <c r="FP14" s="17">
        <v>1.17059</v>
      </c>
      <c r="FQ14" s="17">
        <v>0.35154000000000002</v>
      </c>
      <c r="FR14" s="17">
        <v>0.24379000000000001</v>
      </c>
      <c r="FS14" s="17">
        <v>-1.2</v>
      </c>
      <c r="FT14" s="17">
        <v>1</v>
      </c>
      <c r="FU14" s="17">
        <v>1.56592</v>
      </c>
    </row>
    <row r="15" spans="1:177" ht="24" customHeight="1" x14ac:dyDescent="0.3">
      <c r="A15" s="16" t="s">
        <v>67</v>
      </c>
      <c r="B15" s="16" t="s">
        <v>812</v>
      </c>
      <c r="C15" s="17">
        <v>-8.8000000000000007</v>
      </c>
      <c r="D15" s="17">
        <v>4.3</v>
      </c>
      <c r="E15" s="17">
        <v>13.4</v>
      </c>
      <c r="F15" s="17">
        <v>0</v>
      </c>
      <c r="G15" s="17">
        <v>0</v>
      </c>
      <c r="H15" s="17">
        <v>0</v>
      </c>
      <c r="I15" s="17">
        <v>10.5</v>
      </c>
      <c r="J15" s="17"/>
      <c r="K15" s="17">
        <v>0</v>
      </c>
      <c r="L15" s="17">
        <v>-37.5</v>
      </c>
      <c r="M15" s="17">
        <v>0</v>
      </c>
      <c r="N15" s="17">
        <v>-13.2</v>
      </c>
      <c r="O15" s="17">
        <v>13.6</v>
      </c>
      <c r="P15" s="17">
        <v>20.7</v>
      </c>
      <c r="Q15" s="17">
        <v>32.200000000000003</v>
      </c>
      <c r="R15" s="17">
        <v>33.299999999999997</v>
      </c>
      <c r="S15" s="17"/>
      <c r="T15" s="17"/>
      <c r="U15" s="17"/>
      <c r="V15" s="17"/>
      <c r="W15" s="17">
        <v>-1.9</v>
      </c>
      <c r="X15" s="17">
        <v>1</v>
      </c>
      <c r="Y15" s="17">
        <v>0</v>
      </c>
      <c r="Z15" s="17">
        <v>0</v>
      </c>
      <c r="AA15" s="17">
        <v>-3</v>
      </c>
      <c r="AB15" s="17">
        <v>10.6</v>
      </c>
      <c r="AC15" s="17"/>
      <c r="AD15" s="17"/>
      <c r="AE15" s="17"/>
      <c r="AF15" s="17"/>
      <c r="AG15" s="17">
        <v>-5.9</v>
      </c>
      <c r="AH15" s="17">
        <v>-0.8</v>
      </c>
      <c r="AI15" s="17"/>
      <c r="AJ15" s="17">
        <v>0</v>
      </c>
      <c r="AK15" s="17"/>
      <c r="AL15" s="17">
        <v>-1.2</v>
      </c>
      <c r="AM15" s="17">
        <v>-15.2</v>
      </c>
      <c r="AN15" s="17">
        <v>3.9</v>
      </c>
      <c r="AO15" s="17">
        <v>11</v>
      </c>
      <c r="AP15" s="17">
        <v>9.8000000000000007</v>
      </c>
      <c r="AQ15" s="17">
        <v>-0.8</v>
      </c>
      <c r="AR15" s="17">
        <v>2.6</v>
      </c>
      <c r="AS15" s="17">
        <v>0.9</v>
      </c>
      <c r="AT15" s="17">
        <v>8.3000000000000007</v>
      </c>
      <c r="AU15" s="17">
        <v>-5.5</v>
      </c>
      <c r="AV15" s="17">
        <v>-46.7</v>
      </c>
      <c r="AW15" s="17">
        <v>2.6</v>
      </c>
      <c r="AX15" s="17">
        <v>0</v>
      </c>
      <c r="AY15" s="17">
        <v>1.4</v>
      </c>
      <c r="AZ15" s="17">
        <v>1</v>
      </c>
      <c r="BA15" s="17">
        <v>0</v>
      </c>
      <c r="BB15" s="17">
        <v>0</v>
      </c>
      <c r="BC15" s="17"/>
      <c r="BD15" s="17"/>
      <c r="BE15" s="17">
        <v>-2.9</v>
      </c>
      <c r="BF15" s="17">
        <v>0</v>
      </c>
      <c r="BG15" s="17"/>
      <c r="BH15" s="17">
        <v>0</v>
      </c>
      <c r="BI15" s="17"/>
      <c r="BJ15" s="17"/>
      <c r="BK15" s="17"/>
      <c r="BL15" s="17">
        <v>-0.96270999999999995</v>
      </c>
      <c r="BM15" s="17">
        <v>-28.3</v>
      </c>
      <c r="BN15" s="17">
        <v>-15.5</v>
      </c>
      <c r="BO15" s="17">
        <v>-18</v>
      </c>
      <c r="BP15" s="17">
        <v>-20.6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15.8</v>
      </c>
      <c r="CA15" s="17">
        <v>36</v>
      </c>
      <c r="CB15" s="17">
        <v>11.1</v>
      </c>
      <c r="CC15" s="17">
        <v>6.4</v>
      </c>
      <c r="CD15" s="17">
        <v>0.1</v>
      </c>
      <c r="CE15" s="17">
        <v>0</v>
      </c>
      <c r="CF15" s="17"/>
      <c r="CG15" s="17"/>
      <c r="CH15" s="17">
        <v>13.8</v>
      </c>
      <c r="CI15" s="17">
        <v>10.1</v>
      </c>
      <c r="CJ15" s="17">
        <v>-25.6</v>
      </c>
      <c r="CK15" s="17">
        <v>0</v>
      </c>
      <c r="CL15" s="17"/>
      <c r="CM15" s="17"/>
      <c r="CN15" s="17"/>
      <c r="CO15" s="17"/>
      <c r="CP15" s="17">
        <v>-4.0999999999999996</v>
      </c>
      <c r="CQ15" s="17">
        <v>-8.8000000000000007</v>
      </c>
      <c r="CR15" s="17">
        <v>-2.7</v>
      </c>
      <c r="CS15" s="17">
        <v>0.3</v>
      </c>
      <c r="CT15" s="17">
        <v>0.8</v>
      </c>
      <c r="CU15" s="17"/>
      <c r="CV15" s="17">
        <v>-5.5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/>
      <c r="DE15" s="17"/>
      <c r="DF15" s="17">
        <v>0.1</v>
      </c>
      <c r="DG15" s="17">
        <v>0.4</v>
      </c>
      <c r="DH15" s="17">
        <v>0.2</v>
      </c>
      <c r="DI15" s="17">
        <v>-0.6</v>
      </c>
      <c r="DJ15" s="17">
        <v>0</v>
      </c>
      <c r="DK15" s="17"/>
      <c r="DL15" s="17"/>
      <c r="DM15" s="17">
        <v>0</v>
      </c>
      <c r="DN15" s="17">
        <v>0</v>
      </c>
      <c r="DO15" s="17">
        <v>0</v>
      </c>
      <c r="DP15" s="17">
        <v>3.4</v>
      </c>
      <c r="DQ15" s="17">
        <v>0</v>
      </c>
      <c r="DR15" s="17">
        <v>0</v>
      </c>
      <c r="DS15" s="17">
        <v>0.3</v>
      </c>
      <c r="DT15" s="17">
        <v>0.2</v>
      </c>
      <c r="DU15" s="17"/>
      <c r="DV15" s="17"/>
      <c r="DW15" s="17">
        <v>-2.6</v>
      </c>
      <c r="DX15" s="17">
        <v>0.3</v>
      </c>
      <c r="DY15" s="17">
        <v>0.6</v>
      </c>
      <c r="DZ15" s="17">
        <v>0.8</v>
      </c>
      <c r="EA15" s="17">
        <v>0.8</v>
      </c>
      <c r="EB15" s="17">
        <v>3.7</v>
      </c>
      <c r="EC15" s="17">
        <v>0</v>
      </c>
      <c r="ED15" s="17">
        <v>-4.4000000000000004</v>
      </c>
      <c r="EE15" s="17">
        <v>-7.5</v>
      </c>
      <c r="EF15" s="17"/>
      <c r="EG15" s="17"/>
      <c r="EH15" s="17"/>
      <c r="EI15" s="17">
        <v>1.5</v>
      </c>
      <c r="EJ15" s="17">
        <v>0.2</v>
      </c>
      <c r="EK15" s="17">
        <v>1.1000000000000001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/>
      <c r="EX15" s="17">
        <v>0.6</v>
      </c>
      <c r="EY15" s="17"/>
      <c r="EZ15" s="17"/>
      <c r="FA15" s="17">
        <v>0</v>
      </c>
      <c r="FB15" s="17">
        <v>0.2</v>
      </c>
      <c r="FC15" s="17">
        <v>1.4</v>
      </c>
      <c r="FD15" s="17">
        <v>1.1000000000000001</v>
      </c>
      <c r="FE15" s="17">
        <v>1.7</v>
      </c>
      <c r="FF15" s="17">
        <v>0.7</v>
      </c>
      <c r="FG15" s="17"/>
      <c r="FH15" s="17">
        <v>3.9</v>
      </c>
      <c r="FI15" s="17"/>
      <c r="FJ15" s="17"/>
      <c r="FK15" s="17">
        <v>3.9</v>
      </c>
      <c r="FL15" s="17"/>
      <c r="FM15" s="17">
        <v>14.13729</v>
      </c>
      <c r="FN15" s="15"/>
      <c r="FO15" s="17">
        <v>0</v>
      </c>
      <c r="FP15" s="17">
        <v>1.1295900000000001</v>
      </c>
      <c r="FQ15" s="17">
        <v>0.34092</v>
      </c>
      <c r="FR15" s="17">
        <v>0.22062999999999999</v>
      </c>
      <c r="FS15" s="17">
        <v>-1.1000000000000001</v>
      </c>
      <c r="FT15" s="17">
        <v>0.2</v>
      </c>
      <c r="FU15" s="17">
        <v>0.79113999999999995</v>
      </c>
    </row>
    <row r="16" spans="1:177" ht="24" customHeight="1" x14ac:dyDescent="0.3">
      <c r="A16" s="16" t="s">
        <v>67</v>
      </c>
      <c r="B16" s="16" t="s">
        <v>813</v>
      </c>
      <c r="C16" s="17">
        <v>-8.3000000000000007</v>
      </c>
      <c r="D16" s="17">
        <v>8</v>
      </c>
      <c r="E16" s="17">
        <v>13.5</v>
      </c>
      <c r="F16" s="17">
        <v>0</v>
      </c>
      <c r="G16" s="17">
        <v>0</v>
      </c>
      <c r="H16" s="17">
        <v>0</v>
      </c>
      <c r="I16" s="17">
        <v>1.8</v>
      </c>
      <c r="J16" s="17"/>
      <c r="K16" s="17">
        <v>0</v>
      </c>
      <c r="L16" s="17">
        <v>-40.1</v>
      </c>
      <c r="M16" s="17">
        <v>0</v>
      </c>
      <c r="N16" s="17">
        <v>-16.399999999999999</v>
      </c>
      <c r="O16" s="17">
        <v>10.7</v>
      </c>
      <c r="P16" s="17">
        <v>21.6</v>
      </c>
      <c r="Q16" s="17">
        <v>32.5</v>
      </c>
      <c r="R16" s="17">
        <v>23.2</v>
      </c>
      <c r="S16" s="17"/>
      <c r="T16" s="17"/>
      <c r="U16" s="17"/>
      <c r="V16" s="17"/>
      <c r="W16" s="17">
        <v>-1.2</v>
      </c>
      <c r="X16" s="17">
        <v>1.4</v>
      </c>
      <c r="Y16" s="17">
        <v>0.8</v>
      </c>
      <c r="Z16" s="17">
        <v>0</v>
      </c>
      <c r="AA16" s="17">
        <v>-3.1</v>
      </c>
      <c r="AB16" s="17">
        <v>10.8</v>
      </c>
      <c r="AC16" s="17"/>
      <c r="AD16" s="17"/>
      <c r="AE16" s="17"/>
      <c r="AF16" s="17"/>
      <c r="AG16" s="17">
        <v>-6</v>
      </c>
      <c r="AH16" s="17">
        <v>-12.8</v>
      </c>
      <c r="AI16" s="17"/>
      <c r="AJ16" s="17">
        <v>0</v>
      </c>
      <c r="AK16" s="17"/>
      <c r="AL16" s="17">
        <v>-1.2</v>
      </c>
      <c r="AM16" s="17">
        <v>-13.1</v>
      </c>
      <c r="AN16" s="17">
        <v>4</v>
      </c>
      <c r="AO16" s="17">
        <v>10.7</v>
      </c>
      <c r="AP16" s="17">
        <v>10.9</v>
      </c>
      <c r="AQ16" s="17">
        <v>-0.8</v>
      </c>
      <c r="AR16" s="17">
        <v>2.6</v>
      </c>
      <c r="AS16" s="17">
        <v>1.7</v>
      </c>
      <c r="AT16" s="17">
        <v>7.3</v>
      </c>
      <c r="AU16" s="17">
        <v>-6.5</v>
      </c>
      <c r="AV16" s="17">
        <v>-47.4</v>
      </c>
      <c r="AW16" s="17">
        <v>-0.1</v>
      </c>
      <c r="AX16" s="17">
        <v>0</v>
      </c>
      <c r="AY16" s="17">
        <v>1.2</v>
      </c>
      <c r="AZ16" s="17">
        <v>1</v>
      </c>
      <c r="BA16" s="17">
        <v>0.1</v>
      </c>
      <c r="BB16" s="17">
        <v>-2.8</v>
      </c>
      <c r="BC16" s="17"/>
      <c r="BD16" s="17"/>
      <c r="BE16" s="17">
        <v>-3.3</v>
      </c>
      <c r="BF16" s="17">
        <v>0</v>
      </c>
      <c r="BG16" s="17"/>
      <c r="BH16" s="17">
        <v>0</v>
      </c>
      <c r="BI16" s="17"/>
      <c r="BJ16" s="17"/>
      <c r="BK16" s="17"/>
      <c r="BL16" s="17">
        <v>0.13286999999999999</v>
      </c>
      <c r="BM16" s="17">
        <v>-27</v>
      </c>
      <c r="BN16" s="17">
        <v>-14.4</v>
      </c>
      <c r="BO16" s="17">
        <v>-7.4</v>
      </c>
      <c r="BP16" s="17">
        <v>-16.8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15.7</v>
      </c>
      <c r="CA16" s="17">
        <v>36.299999999999997</v>
      </c>
      <c r="CB16" s="17">
        <v>2.8</v>
      </c>
      <c r="CC16" s="17">
        <v>6.4</v>
      </c>
      <c r="CD16" s="17">
        <v>0</v>
      </c>
      <c r="CE16" s="17">
        <v>0</v>
      </c>
      <c r="CF16" s="17"/>
      <c r="CG16" s="17"/>
      <c r="CH16" s="17">
        <v>12.9</v>
      </c>
      <c r="CI16" s="17">
        <v>9.4</v>
      </c>
      <c r="CJ16" s="17">
        <v>-27</v>
      </c>
      <c r="CK16" s="17">
        <v>0</v>
      </c>
      <c r="CL16" s="17"/>
      <c r="CM16" s="17"/>
      <c r="CN16" s="17"/>
      <c r="CO16" s="17"/>
      <c r="CP16" s="17">
        <v>-3.7</v>
      </c>
      <c r="CQ16" s="17">
        <v>-8.6</v>
      </c>
      <c r="CR16" s="17">
        <v>-2.7</v>
      </c>
      <c r="CS16" s="17">
        <v>0.3</v>
      </c>
      <c r="CT16" s="17">
        <v>0.8</v>
      </c>
      <c r="CU16" s="17"/>
      <c r="CV16" s="17">
        <v>-5.6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0.2</v>
      </c>
      <c r="DG16" s="17">
        <v>0.7</v>
      </c>
      <c r="DH16" s="17">
        <v>0.2</v>
      </c>
      <c r="DI16" s="17">
        <v>-0.5</v>
      </c>
      <c r="DJ16" s="17">
        <v>0.1</v>
      </c>
      <c r="DK16" s="17"/>
      <c r="DL16" s="17"/>
      <c r="DM16" s="17">
        <v>0</v>
      </c>
      <c r="DN16" s="17">
        <v>0</v>
      </c>
      <c r="DO16" s="17">
        <v>0.2</v>
      </c>
      <c r="DP16" s="17">
        <v>3.7</v>
      </c>
      <c r="DQ16" s="17">
        <v>0</v>
      </c>
      <c r="DR16" s="17">
        <v>0</v>
      </c>
      <c r="DS16" s="17">
        <v>0.3</v>
      </c>
      <c r="DT16" s="17">
        <v>0.2</v>
      </c>
      <c r="DU16" s="17"/>
      <c r="DV16" s="17"/>
      <c r="DW16" s="17">
        <v>-2.6</v>
      </c>
      <c r="DX16" s="17">
        <v>0.1</v>
      </c>
      <c r="DY16" s="17">
        <v>0.6</v>
      </c>
      <c r="DZ16" s="17">
        <v>0.8</v>
      </c>
      <c r="EA16" s="17">
        <v>0.8</v>
      </c>
      <c r="EB16" s="17">
        <v>3.7</v>
      </c>
      <c r="EC16" s="17">
        <v>0</v>
      </c>
      <c r="ED16" s="17">
        <v>-6.1</v>
      </c>
      <c r="EE16" s="17">
        <v>-8.1999999999999993</v>
      </c>
      <c r="EF16" s="17"/>
      <c r="EG16" s="17"/>
      <c r="EH16" s="17"/>
      <c r="EI16" s="17">
        <v>1.5</v>
      </c>
      <c r="EJ16" s="17">
        <v>0.2</v>
      </c>
      <c r="EK16" s="17">
        <v>1.1000000000000001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/>
      <c r="EX16" s="17">
        <v>0.6</v>
      </c>
      <c r="EY16" s="17"/>
      <c r="EZ16" s="17"/>
      <c r="FA16" s="17">
        <v>0</v>
      </c>
      <c r="FB16" s="17">
        <v>0.2</v>
      </c>
      <c r="FC16" s="17">
        <v>1.2</v>
      </c>
      <c r="FD16" s="17">
        <v>1.1000000000000001</v>
      </c>
      <c r="FE16" s="17">
        <v>1.7</v>
      </c>
      <c r="FF16" s="17">
        <v>0.7</v>
      </c>
      <c r="FG16" s="17"/>
      <c r="FH16" s="17">
        <v>3.6</v>
      </c>
      <c r="FI16" s="17"/>
      <c r="FJ16" s="17"/>
      <c r="FK16" s="17">
        <v>3.8</v>
      </c>
      <c r="FL16" s="17"/>
      <c r="FM16" s="17">
        <v>-17.86713</v>
      </c>
      <c r="FN16" s="15"/>
      <c r="FO16" s="17">
        <v>0</v>
      </c>
      <c r="FP16" s="17">
        <v>1.18754</v>
      </c>
      <c r="FQ16" s="17">
        <v>0.33631</v>
      </c>
      <c r="FR16" s="17">
        <v>0.18395</v>
      </c>
      <c r="FS16" s="17">
        <v>-1.2</v>
      </c>
      <c r="FT16" s="17">
        <v>0.2</v>
      </c>
      <c r="FU16" s="17">
        <v>0.70779999999999998</v>
      </c>
    </row>
    <row r="17" spans="1:177" ht="24" customHeight="1" x14ac:dyDescent="0.3">
      <c r="A17" s="16" t="s">
        <v>67</v>
      </c>
      <c r="B17" s="16" t="s">
        <v>814</v>
      </c>
      <c r="C17" s="17">
        <v>-7.9</v>
      </c>
      <c r="D17" s="17">
        <v>6.5</v>
      </c>
      <c r="E17" s="17">
        <v>13.8</v>
      </c>
      <c r="F17" s="17">
        <v>0</v>
      </c>
      <c r="G17" s="17">
        <v>0</v>
      </c>
      <c r="H17" s="17">
        <v>0</v>
      </c>
      <c r="I17" s="17">
        <v>13.5</v>
      </c>
      <c r="J17" s="17"/>
      <c r="K17" s="17">
        <v>0</v>
      </c>
      <c r="L17" s="17">
        <v>-35</v>
      </c>
      <c r="M17" s="17">
        <v>0</v>
      </c>
      <c r="N17" s="17">
        <v>-9.9</v>
      </c>
      <c r="O17" s="17">
        <v>15.2</v>
      </c>
      <c r="P17" s="17">
        <v>19.7</v>
      </c>
      <c r="Q17" s="17">
        <v>31.1</v>
      </c>
      <c r="R17" s="17">
        <v>22.9</v>
      </c>
      <c r="S17" s="17"/>
      <c r="T17" s="17"/>
      <c r="U17" s="17"/>
      <c r="V17" s="17"/>
      <c r="W17" s="17">
        <v>-0.8</v>
      </c>
      <c r="X17" s="17">
        <v>1.2</v>
      </c>
      <c r="Y17" s="17">
        <v>0.2</v>
      </c>
      <c r="Z17" s="17">
        <v>0</v>
      </c>
      <c r="AA17" s="17">
        <v>-3</v>
      </c>
      <c r="AB17" s="17">
        <v>11.3</v>
      </c>
      <c r="AC17" s="17"/>
      <c r="AD17" s="17"/>
      <c r="AE17" s="17"/>
      <c r="AF17" s="17"/>
      <c r="AG17" s="17">
        <v>-5.8</v>
      </c>
      <c r="AH17" s="17">
        <v>-3.4</v>
      </c>
      <c r="AI17" s="17"/>
      <c r="AJ17" s="17">
        <v>0</v>
      </c>
      <c r="AK17" s="17"/>
      <c r="AL17" s="17">
        <v>-1.2</v>
      </c>
      <c r="AM17" s="17">
        <v>-13.6</v>
      </c>
      <c r="AN17" s="17">
        <v>4.3</v>
      </c>
      <c r="AO17" s="17">
        <v>11.1</v>
      </c>
      <c r="AP17" s="17">
        <v>9.8000000000000007</v>
      </c>
      <c r="AQ17" s="17">
        <v>-0.9</v>
      </c>
      <c r="AR17" s="17">
        <v>2.6</v>
      </c>
      <c r="AS17" s="17">
        <v>1</v>
      </c>
      <c r="AT17" s="17">
        <v>7.9</v>
      </c>
      <c r="AU17" s="17">
        <v>-5.9</v>
      </c>
      <c r="AV17" s="17">
        <v>-47.2</v>
      </c>
      <c r="AW17" s="17">
        <v>3.2</v>
      </c>
      <c r="AX17" s="17">
        <v>0</v>
      </c>
      <c r="AY17" s="17">
        <v>2.1</v>
      </c>
      <c r="AZ17" s="17">
        <v>1</v>
      </c>
      <c r="BA17" s="17">
        <v>0.1</v>
      </c>
      <c r="BB17" s="17">
        <v>2</v>
      </c>
      <c r="BC17" s="17"/>
      <c r="BD17" s="17"/>
      <c r="BE17" s="17">
        <v>-3.2</v>
      </c>
      <c r="BF17" s="17">
        <v>0</v>
      </c>
      <c r="BG17" s="17"/>
      <c r="BH17" s="17">
        <v>0</v>
      </c>
      <c r="BI17" s="17"/>
      <c r="BJ17" s="17"/>
      <c r="BK17" s="17"/>
      <c r="BL17" s="17">
        <v>-1.72888</v>
      </c>
      <c r="BM17" s="17">
        <v>-30.1</v>
      </c>
      <c r="BN17" s="17">
        <v>-17.3</v>
      </c>
      <c r="BO17" s="17">
        <v>-13.6</v>
      </c>
      <c r="BP17" s="17">
        <v>-22.2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8.1</v>
      </c>
      <c r="CA17" s="17">
        <v>35.4</v>
      </c>
      <c r="CB17" s="17">
        <v>1.7</v>
      </c>
      <c r="CC17" s="17">
        <v>6.4</v>
      </c>
      <c r="CD17" s="17">
        <v>-0.1</v>
      </c>
      <c r="CE17" s="17">
        <v>0</v>
      </c>
      <c r="CF17" s="17"/>
      <c r="CG17" s="17"/>
      <c r="CH17" s="17">
        <v>13.9</v>
      </c>
      <c r="CI17" s="17">
        <v>10.1</v>
      </c>
      <c r="CJ17" s="17">
        <v>-25.9</v>
      </c>
      <c r="CK17" s="17">
        <v>0</v>
      </c>
      <c r="CL17" s="17"/>
      <c r="CM17" s="17"/>
      <c r="CN17" s="17"/>
      <c r="CO17" s="17"/>
      <c r="CP17" s="17">
        <v>-4.7</v>
      </c>
      <c r="CQ17" s="17">
        <v>-9.1999999999999993</v>
      </c>
      <c r="CR17" s="17">
        <v>-2.7</v>
      </c>
      <c r="CS17" s="17">
        <v>0.1</v>
      </c>
      <c r="CT17" s="17">
        <v>0.8</v>
      </c>
      <c r="CU17" s="17"/>
      <c r="CV17" s="17">
        <v>-5.6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0.2</v>
      </c>
      <c r="DG17" s="17">
        <v>0.7</v>
      </c>
      <c r="DH17" s="17">
        <v>0.2</v>
      </c>
      <c r="DI17" s="17">
        <v>-0.7</v>
      </c>
      <c r="DJ17" s="17">
        <v>0.9</v>
      </c>
      <c r="DK17" s="17"/>
      <c r="DL17" s="17"/>
      <c r="DM17" s="17">
        <v>0</v>
      </c>
      <c r="DN17" s="17">
        <v>0</v>
      </c>
      <c r="DO17" s="17">
        <v>0.6</v>
      </c>
      <c r="DP17" s="17">
        <v>3.3</v>
      </c>
      <c r="DQ17" s="17">
        <v>0</v>
      </c>
      <c r="DR17" s="17">
        <v>0</v>
      </c>
      <c r="DS17" s="17">
        <v>0.3</v>
      </c>
      <c r="DT17" s="17">
        <v>0.2</v>
      </c>
      <c r="DU17" s="17"/>
      <c r="DV17" s="17"/>
      <c r="DW17" s="17">
        <v>-2.6</v>
      </c>
      <c r="DX17" s="17">
        <v>0.5</v>
      </c>
      <c r="DY17" s="17">
        <v>0.6</v>
      </c>
      <c r="DZ17" s="17">
        <v>0.8</v>
      </c>
      <c r="EA17" s="17">
        <v>0.8</v>
      </c>
      <c r="EB17" s="17">
        <v>3.7</v>
      </c>
      <c r="EC17" s="17">
        <v>0</v>
      </c>
      <c r="ED17" s="17">
        <v>-4.3</v>
      </c>
      <c r="EE17" s="17">
        <v>-6.8</v>
      </c>
      <c r="EF17" s="17"/>
      <c r="EG17" s="17"/>
      <c r="EH17" s="17"/>
      <c r="EI17" s="17">
        <v>1.5</v>
      </c>
      <c r="EJ17" s="17">
        <v>0.2</v>
      </c>
      <c r="EK17" s="17">
        <v>1.1000000000000001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/>
      <c r="EX17" s="17">
        <v>0.6</v>
      </c>
      <c r="EY17" s="17"/>
      <c r="EZ17" s="17"/>
      <c r="FA17" s="17">
        <v>0</v>
      </c>
      <c r="FB17" s="17">
        <v>0.2</v>
      </c>
      <c r="FC17" s="17">
        <v>1.2</v>
      </c>
      <c r="FD17" s="17">
        <v>1.1000000000000001</v>
      </c>
      <c r="FE17" s="17">
        <v>1.7</v>
      </c>
      <c r="FF17" s="17">
        <v>0.5</v>
      </c>
      <c r="FG17" s="17"/>
      <c r="FH17" s="17">
        <v>3.4</v>
      </c>
      <c r="FI17" s="17"/>
      <c r="FJ17" s="17"/>
      <c r="FK17" s="17">
        <v>3.6</v>
      </c>
      <c r="FL17" s="17"/>
      <c r="FM17" s="17">
        <v>-0.42887999999999998</v>
      </c>
      <c r="FN17" s="15"/>
      <c r="FO17" s="17">
        <v>0</v>
      </c>
      <c r="FP17" s="17">
        <v>1.1383000000000001</v>
      </c>
      <c r="FQ17" s="17">
        <v>0.34359000000000001</v>
      </c>
      <c r="FR17" s="17">
        <v>7.7259999999999995E-2</v>
      </c>
      <c r="FS17" s="17">
        <v>-1.3</v>
      </c>
      <c r="FT17" s="17">
        <v>0.1</v>
      </c>
      <c r="FU17" s="17">
        <v>0.35915000000000002</v>
      </c>
    </row>
    <row r="18" spans="1:177" ht="24" customHeight="1" x14ac:dyDescent="0.3">
      <c r="A18" s="18" t="s">
        <v>67</v>
      </c>
      <c r="B18" s="18" t="s">
        <v>815</v>
      </c>
      <c r="C18" s="19">
        <v>-7.5</v>
      </c>
      <c r="D18" s="19">
        <v>1.6</v>
      </c>
      <c r="E18" s="19">
        <v>13.1</v>
      </c>
      <c r="F18" s="19">
        <v>0</v>
      </c>
      <c r="G18" s="19">
        <v>0</v>
      </c>
      <c r="H18" s="19">
        <v>0</v>
      </c>
      <c r="I18" s="19">
        <v>10.5</v>
      </c>
      <c r="J18" s="19"/>
      <c r="K18" s="19">
        <v>0</v>
      </c>
      <c r="L18" s="19">
        <v>-35.799999999999997</v>
      </c>
      <c r="M18" s="19">
        <v>0</v>
      </c>
      <c r="N18" s="19">
        <v>-10.1</v>
      </c>
      <c r="O18" s="19">
        <v>15.6</v>
      </c>
      <c r="P18" s="19">
        <v>20.2</v>
      </c>
      <c r="Q18" s="19">
        <v>31.6</v>
      </c>
      <c r="R18" s="19">
        <v>24.1</v>
      </c>
      <c r="S18" s="19"/>
      <c r="T18" s="19"/>
      <c r="U18" s="19"/>
      <c r="V18" s="19"/>
      <c r="W18" s="19">
        <v>-1.8</v>
      </c>
      <c r="X18" s="19">
        <v>1.5</v>
      </c>
      <c r="Y18" s="19">
        <v>0.8</v>
      </c>
      <c r="Z18" s="19">
        <v>0</v>
      </c>
      <c r="AA18" s="19">
        <v>-3</v>
      </c>
      <c r="AB18" s="19">
        <v>11.6</v>
      </c>
      <c r="AC18" s="19"/>
      <c r="AD18" s="19"/>
      <c r="AE18" s="19"/>
      <c r="AF18" s="19"/>
      <c r="AG18" s="19">
        <v>-6.2</v>
      </c>
      <c r="AH18" s="19">
        <v>-7.6</v>
      </c>
      <c r="AI18" s="19"/>
      <c r="AJ18" s="19">
        <v>0</v>
      </c>
      <c r="AK18" s="19"/>
      <c r="AL18" s="19">
        <v>-1.2</v>
      </c>
      <c r="AM18" s="19">
        <v>-14.2</v>
      </c>
      <c r="AN18" s="19">
        <v>3.9</v>
      </c>
      <c r="AO18" s="19">
        <v>10.1</v>
      </c>
      <c r="AP18" s="19">
        <v>10</v>
      </c>
      <c r="AQ18" s="19">
        <v>-0.8</v>
      </c>
      <c r="AR18" s="19">
        <v>2.6</v>
      </c>
      <c r="AS18" s="19">
        <v>1.5</v>
      </c>
      <c r="AT18" s="19">
        <v>8.5</v>
      </c>
      <c r="AU18" s="19">
        <v>-5.4</v>
      </c>
      <c r="AV18" s="19">
        <v>-46.5</v>
      </c>
      <c r="AW18" s="19">
        <v>2.1</v>
      </c>
      <c r="AX18" s="19">
        <v>0</v>
      </c>
      <c r="AY18" s="19">
        <v>1.7</v>
      </c>
      <c r="AZ18" s="19">
        <v>1</v>
      </c>
      <c r="BA18" s="19">
        <v>0.2</v>
      </c>
      <c r="BB18" s="19">
        <v>0.2</v>
      </c>
      <c r="BC18" s="19"/>
      <c r="BD18" s="19"/>
      <c r="BE18" s="19">
        <v>-3.1</v>
      </c>
      <c r="BF18" s="19">
        <v>0</v>
      </c>
      <c r="BG18" s="19"/>
      <c r="BH18" s="19">
        <v>0</v>
      </c>
      <c r="BI18" s="19"/>
      <c r="BJ18" s="19"/>
      <c r="BK18" s="19"/>
      <c r="BL18" s="19">
        <v>-1.7215499999999999</v>
      </c>
      <c r="BM18" s="19">
        <v>-29.4</v>
      </c>
      <c r="BN18" s="19">
        <v>-16.600000000000001</v>
      </c>
      <c r="BO18" s="19">
        <v>-12.8</v>
      </c>
      <c r="BP18" s="19">
        <v>-21.3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-0.4</v>
      </c>
      <c r="BZ18" s="19">
        <v>8</v>
      </c>
      <c r="CA18" s="19">
        <v>35.9</v>
      </c>
      <c r="CB18" s="19">
        <v>1.8</v>
      </c>
      <c r="CC18" s="19">
        <v>6.4</v>
      </c>
      <c r="CD18" s="19">
        <v>0.1</v>
      </c>
      <c r="CE18" s="19">
        <v>0</v>
      </c>
      <c r="CF18" s="19"/>
      <c r="CG18" s="19"/>
      <c r="CH18" s="19">
        <v>13.4</v>
      </c>
      <c r="CI18" s="19">
        <v>9.6999999999999993</v>
      </c>
      <c r="CJ18" s="19">
        <v>-26.3</v>
      </c>
      <c r="CK18" s="19">
        <v>0</v>
      </c>
      <c r="CL18" s="19"/>
      <c r="CM18" s="19"/>
      <c r="CN18" s="19"/>
      <c r="CO18" s="19"/>
      <c r="CP18" s="19">
        <v>-5.0999999999999996</v>
      </c>
      <c r="CQ18" s="19">
        <v>-9.5</v>
      </c>
      <c r="CR18" s="19">
        <v>-2.8</v>
      </c>
      <c r="CS18" s="19">
        <v>0.1</v>
      </c>
      <c r="CT18" s="19">
        <v>0.9</v>
      </c>
      <c r="CU18" s="19"/>
      <c r="CV18" s="19">
        <v>-5.6</v>
      </c>
      <c r="CW18" s="19">
        <v>0</v>
      </c>
      <c r="CX18" s="19"/>
      <c r="CY18" s="19"/>
      <c r="CZ18" s="19">
        <v>0.1</v>
      </c>
      <c r="DA18" s="19">
        <v>0</v>
      </c>
      <c r="DB18" s="19">
        <v>0</v>
      </c>
      <c r="DC18" s="19">
        <v>0</v>
      </c>
      <c r="DD18" s="19"/>
      <c r="DE18" s="19"/>
      <c r="DF18" s="19">
        <v>0</v>
      </c>
      <c r="DG18" s="19">
        <v>0.7</v>
      </c>
      <c r="DH18" s="19">
        <v>0.2</v>
      </c>
      <c r="DI18" s="19">
        <v>-0.7</v>
      </c>
      <c r="DJ18" s="19">
        <v>0.1</v>
      </c>
      <c r="DK18" s="19"/>
      <c r="DL18" s="19"/>
      <c r="DM18" s="19">
        <v>0</v>
      </c>
      <c r="DN18" s="19">
        <v>0</v>
      </c>
      <c r="DO18" s="19">
        <v>0.2</v>
      </c>
      <c r="DP18" s="19">
        <v>4.5</v>
      </c>
      <c r="DQ18" s="19">
        <v>0</v>
      </c>
      <c r="DR18" s="19">
        <v>0</v>
      </c>
      <c r="DS18" s="19">
        <v>0.2</v>
      </c>
      <c r="DT18" s="19">
        <v>0.2</v>
      </c>
      <c r="DU18" s="19"/>
      <c r="DV18" s="19"/>
      <c r="DW18" s="19">
        <v>-2.6</v>
      </c>
      <c r="DX18" s="19">
        <v>0.5</v>
      </c>
      <c r="DY18" s="19">
        <v>0.6</v>
      </c>
      <c r="DZ18" s="19">
        <v>0.8</v>
      </c>
      <c r="EA18" s="19">
        <v>0.8</v>
      </c>
      <c r="EB18" s="19">
        <v>3.7</v>
      </c>
      <c r="EC18" s="19">
        <v>0</v>
      </c>
      <c r="ED18" s="19">
        <v>-3.8</v>
      </c>
      <c r="EE18" s="19">
        <v>-7.7</v>
      </c>
      <c r="EF18" s="19"/>
      <c r="EG18" s="19"/>
      <c r="EH18" s="19"/>
      <c r="EI18" s="19">
        <v>1.5</v>
      </c>
      <c r="EJ18" s="19">
        <v>0.2</v>
      </c>
      <c r="EK18" s="19">
        <v>1.1000000000000001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/>
      <c r="EX18" s="19">
        <v>0.6</v>
      </c>
      <c r="EY18" s="19"/>
      <c r="EZ18" s="19"/>
      <c r="FA18" s="19">
        <v>0</v>
      </c>
      <c r="FB18" s="19">
        <v>0.2</v>
      </c>
      <c r="FC18" s="19">
        <v>1.2</v>
      </c>
      <c r="FD18" s="19">
        <v>0.9</v>
      </c>
      <c r="FE18" s="19">
        <v>1.7</v>
      </c>
      <c r="FF18" s="19">
        <v>0.7</v>
      </c>
      <c r="FG18" s="19"/>
      <c r="FH18" s="19">
        <v>3.7</v>
      </c>
      <c r="FI18" s="19"/>
      <c r="FJ18" s="19"/>
      <c r="FK18" s="19">
        <v>3.7</v>
      </c>
      <c r="FL18" s="19"/>
      <c r="FM18" s="19">
        <v>-12.32155</v>
      </c>
      <c r="FN18" s="15"/>
      <c r="FO18" s="19">
        <v>0</v>
      </c>
      <c r="FP18" s="19">
        <v>1.22163</v>
      </c>
      <c r="FQ18" s="19">
        <v>0.34305000000000002</v>
      </c>
      <c r="FR18" s="19">
        <v>8.7379999999999999E-2</v>
      </c>
      <c r="FS18" s="19">
        <v>-1.2</v>
      </c>
      <c r="FT18" s="19">
        <v>0.2</v>
      </c>
      <c r="FU18" s="19">
        <v>0.65205999999999997</v>
      </c>
    </row>
    <row r="19" spans="1:177" ht="24" customHeight="1" x14ac:dyDescent="0.3">
      <c r="A19" s="13" t="s">
        <v>67</v>
      </c>
      <c r="B19" s="13" t="s">
        <v>816</v>
      </c>
      <c r="C19" s="14">
        <v>-9.1</v>
      </c>
      <c r="D19" s="14">
        <v>-9.6999999999999993</v>
      </c>
      <c r="E19" s="14">
        <v>11.6</v>
      </c>
      <c r="F19" s="14">
        <v>0</v>
      </c>
      <c r="G19" s="14">
        <v>0</v>
      </c>
      <c r="H19" s="14">
        <v>0</v>
      </c>
      <c r="I19" s="14">
        <v>2.2999999999999998</v>
      </c>
      <c r="J19" s="14"/>
      <c r="K19" s="14">
        <v>0</v>
      </c>
      <c r="L19" s="14">
        <v>-38.4</v>
      </c>
      <c r="M19" s="14">
        <v>0</v>
      </c>
      <c r="N19" s="14">
        <v>-11.5</v>
      </c>
      <c r="O19" s="14">
        <v>12.1</v>
      </c>
      <c r="P19" s="14">
        <v>18.8</v>
      </c>
      <c r="Q19" s="14">
        <v>30.7</v>
      </c>
      <c r="R19" s="14">
        <v>18.8</v>
      </c>
      <c r="S19" s="14"/>
      <c r="T19" s="14"/>
      <c r="U19" s="14"/>
      <c r="V19" s="14"/>
      <c r="W19" s="14">
        <v>-2.2000000000000002</v>
      </c>
      <c r="X19" s="14">
        <v>1.2</v>
      </c>
      <c r="Y19" s="14">
        <v>0.3</v>
      </c>
      <c r="Z19" s="14">
        <v>0</v>
      </c>
      <c r="AA19" s="14">
        <v>-2.9</v>
      </c>
      <c r="AB19" s="14">
        <v>10.3</v>
      </c>
      <c r="AC19" s="14"/>
      <c r="AD19" s="14"/>
      <c r="AE19" s="14"/>
      <c r="AF19" s="14"/>
      <c r="AG19" s="14">
        <v>-7.5</v>
      </c>
      <c r="AH19" s="14">
        <v>-6.2</v>
      </c>
      <c r="AI19" s="14"/>
      <c r="AJ19" s="14">
        <v>0</v>
      </c>
      <c r="AK19" s="14"/>
      <c r="AL19" s="14">
        <v>-1.2</v>
      </c>
      <c r="AM19" s="14">
        <v>-16.3</v>
      </c>
      <c r="AN19" s="14">
        <v>3.9</v>
      </c>
      <c r="AO19" s="14">
        <v>10.1</v>
      </c>
      <c r="AP19" s="14">
        <v>9.5</v>
      </c>
      <c r="AQ19" s="14">
        <v>-1</v>
      </c>
      <c r="AR19" s="14">
        <v>2.6</v>
      </c>
      <c r="AS19" s="14">
        <v>-0.5</v>
      </c>
      <c r="AT19" s="14">
        <v>6.3</v>
      </c>
      <c r="AU19" s="14">
        <v>-7.5</v>
      </c>
      <c r="AV19" s="14">
        <v>-48.5</v>
      </c>
      <c r="AW19" s="14">
        <v>4.8</v>
      </c>
      <c r="AX19" s="14">
        <v>0</v>
      </c>
      <c r="AY19" s="14">
        <v>0.8</v>
      </c>
      <c r="AZ19" s="14">
        <v>1</v>
      </c>
      <c r="BA19" s="14">
        <v>0</v>
      </c>
      <c r="BB19" s="14">
        <v>-1.4</v>
      </c>
      <c r="BC19" s="14"/>
      <c r="BD19" s="14"/>
      <c r="BE19" s="14">
        <v>-3.2</v>
      </c>
      <c r="BF19" s="14">
        <v>0</v>
      </c>
      <c r="BG19" s="14"/>
      <c r="BH19" s="14">
        <v>0</v>
      </c>
      <c r="BI19" s="14"/>
      <c r="BJ19" s="14"/>
      <c r="BK19" s="14"/>
      <c r="BL19" s="14">
        <v>-3.2864900000000001</v>
      </c>
      <c r="BM19" s="14">
        <v>-29.5</v>
      </c>
      <c r="BN19" s="14">
        <v>-16.8</v>
      </c>
      <c r="BO19" s="14">
        <v>-13.2</v>
      </c>
      <c r="BP19" s="14">
        <v>-21.2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-0.5</v>
      </c>
      <c r="BZ19" s="14">
        <v>8.3000000000000007</v>
      </c>
      <c r="CA19" s="14">
        <v>35.4</v>
      </c>
      <c r="CB19" s="14">
        <v>1.5</v>
      </c>
      <c r="CC19" s="14">
        <v>6.4</v>
      </c>
      <c r="CD19" s="14">
        <v>-0.1</v>
      </c>
      <c r="CE19" s="14">
        <v>0</v>
      </c>
      <c r="CF19" s="14"/>
      <c r="CG19" s="14"/>
      <c r="CH19" s="14">
        <v>12.7</v>
      </c>
      <c r="CI19" s="14">
        <v>8.9</v>
      </c>
      <c r="CJ19" s="14">
        <v>-27.6</v>
      </c>
      <c r="CK19" s="14">
        <v>0</v>
      </c>
      <c r="CL19" s="14"/>
      <c r="CM19" s="14"/>
      <c r="CN19" s="14"/>
      <c r="CO19" s="14"/>
      <c r="CP19" s="14">
        <v>-4.3</v>
      </c>
      <c r="CQ19" s="14">
        <v>-9.1</v>
      </c>
      <c r="CR19" s="14">
        <v>-2.7</v>
      </c>
      <c r="CS19" s="14">
        <v>0.1</v>
      </c>
      <c r="CT19" s="14">
        <v>0.9</v>
      </c>
      <c r="CU19" s="14"/>
      <c r="CV19" s="14">
        <v>-5.6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0.1</v>
      </c>
      <c r="DG19" s="14">
        <v>0.7</v>
      </c>
      <c r="DH19" s="14">
        <v>0.2</v>
      </c>
      <c r="DI19" s="14">
        <v>-0.9</v>
      </c>
      <c r="DJ19" s="14">
        <v>0.1</v>
      </c>
      <c r="DK19" s="14"/>
      <c r="DL19" s="14"/>
      <c r="DM19" s="14">
        <v>0</v>
      </c>
      <c r="DN19" s="14">
        <v>0</v>
      </c>
      <c r="DO19" s="14">
        <v>-0.2</v>
      </c>
      <c r="DP19" s="14">
        <v>4.8</v>
      </c>
      <c r="DQ19" s="14">
        <v>0</v>
      </c>
      <c r="DR19" s="14">
        <v>0.1</v>
      </c>
      <c r="DS19" s="14">
        <v>0.3</v>
      </c>
      <c r="DT19" s="14">
        <v>0.2</v>
      </c>
      <c r="DU19" s="14"/>
      <c r="DV19" s="14"/>
      <c r="DW19" s="14">
        <v>-2.6</v>
      </c>
      <c r="DX19" s="14">
        <v>0.6</v>
      </c>
      <c r="DY19" s="14">
        <v>0.6</v>
      </c>
      <c r="DZ19" s="14">
        <v>0.8</v>
      </c>
      <c r="EA19" s="14">
        <v>0.8</v>
      </c>
      <c r="EB19" s="14">
        <v>3.7</v>
      </c>
      <c r="EC19" s="14">
        <v>0</v>
      </c>
      <c r="ED19" s="14">
        <v>-5.8</v>
      </c>
      <c r="EE19" s="14">
        <v>-9.5</v>
      </c>
      <c r="EF19" s="14"/>
      <c r="EG19" s="14"/>
      <c r="EH19" s="14"/>
      <c r="EI19" s="14">
        <v>1.5</v>
      </c>
      <c r="EJ19" s="14">
        <v>0.2</v>
      </c>
      <c r="EK19" s="14">
        <v>1.1000000000000001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/>
      <c r="EX19" s="14">
        <v>0.6</v>
      </c>
      <c r="EY19" s="14"/>
      <c r="EZ19" s="14"/>
      <c r="FA19" s="14">
        <v>0</v>
      </c>
      <c r="FB19" s="14">
        <v>0.2</v>
      </c>
      <c r="FC19" s="14">
        <v>1.4</v>
      </c>
      <c r="FD19" s="14">
        <v>1.1000000000000001</v>
      </c>
      <c r="FE19" s="14">
        <v>1.5</v>
      </c>
      <c r="FF19" s="14">
        <v>0.6</v>
      </c>
      <c r="FG19" s="14"/>
      <c r="FH19" s="14">
        <v>3.1</v>
      </c>
      <c r="FI19" s="14"/>
      <c r="FJ19" s="14"/>
      <c r="FK19" s="14">
        <v>3.9</v>
      </c>
      <c r="FL19" s="14"/>
      <c r="FM19" s="14">
        <v>-72.086489999999998</v>
      </c>
      <c r="FN19" s="15"/>
      <c r="FO19" s="14">
        <v>0</v>
      </c>
      <c r="FP19" s="14">
        <v>1.1890400000000001</v>
      </c>
      <c r="FQ19" s="14">
        <v>0.34126000000000001</v>
      </c>
      <c r="FR19" s="14">
        <v>7.6240000000000002E-2</v>
      </c>
      <c r="FS19" s="14">
        <v>-1.2</v>
      </c>
      <c r="FT19" s="14">
        <v>0.2</v>
      </c>
      <c r="FU19" s="14">
        <v>0.60653999999999997</v>
      </c>
    </row>
    <row r="20" spans="1:177" ht="24" customHeight="1" x14ac:dyDescent="0.3">
      <c r="A20" s="16" t="s">
        <v>67</v>
      </c>
      <c r="B20" s="16" t="s">
        <v>817</v>
      </c>
      <c r="C20" s="17">
        <v>-9.8000000000000007</v>
      </c>
      <c r="D20" s="17">
        <v>-18</v>
      </c>
      <c r="E20" s="17">
        <v>9.1999999999999993</v>
      </c>
      <c r="F20" s="17">
        <v>0</v>
      </c>
      <c r="G20" s="17">
        <v>0</v>
      </c>
      <c r="H20" s="17">
        <v>0</v>
      </c>
      <c r="I20" s="17">
        <v>2.1</v>
      </c>
      <c r="J20" s="17"/>
      <c r="K20" s="17">
        <v>0</v>
      </c>
      <c r="L20" s="17">
        <v>-38.6</v>
      </c>
      <c r="M20" s="17">
        <v>0</v>
      </c>
      <c r="N20" s="17">
        <v>-14.7</v>
      </c>
      <c r="O20" s="17">
        <v>10.8</v>
      </c>
      <c r="P20" s="17">
        <v>18.8</v>
      </c>
      <c r="Q20" s="17">
        <v>30.9</v>
      </c>
      <c r="R20" s="17">
        <v>17.5</v>
      </c>
      <c r="S20" s="17"/>
      <c r="T20" s="17"/>
      <c r="U20" s="17"/>
      <c r="V20" s="17"/>
      <c r="W20" s="17">
        <v>-4.5</v>
      </c>
      <c r="X20" s="17">
        <v>0.9</v>
      </c>
      <c r="Y20" s="17">
        <v>-0.1</v>
      </c>
      <c r="Z20" s="17">
        <v>0</v>
      </c>
      <c r="AA20" s="17">
        <v>-3.1</v>
      </c>
      <c r="AB20" s="17">
        <v>10.7</v>
      </c>
      <c r="AC20" s="17"/>
      <c r="AD20" s="17"/>
      <c r="AE20" s="17"/>
      <c r="AF20" s="17"/>
      <c r="AG20" s="17">
        <v>-9</v>
      </c>
      <c r="AH20" s="17">
        <v>-3.1</v>
      </c>
      <c r="AI20" s="17"/>
      <c r="AJ20" s="17">
        <v>0</v>
      </c>
      <c r="AK20" s="17"/>
      <c r="AL20" s="17">
        <v>-1.2</v>
      </c>
      <c r="AM20" s="17">
        <v>-15.9</v>
      </c>
      <c r="AN20" s="17">
        <v>3.9</v>
      </c>
      <c r="AO20" s="17">
        <v>10.5</v>
      </c>
      <c r="AP20" s="17">
        <v>10.3</v>
      </c>
      <c r="AQ20" s="17">
        <v>-1</v>
      </c>
      <c r="AR20" s="17">
        <v>2.6</v>
      </c>
      <c r="AS20" s="17">
        <v>0.9</v>
      </c>
      <c r="AT20" s="17">
        <v>6.5</v>
      </c>
      <c r="AU20" s="17">
        <v>-7.3</v>
      </c>
      <c r="AV20" s="17">
        <v>-43.5</v>
      </c>
      <c r="AW20" s="17">
        <v>0.2</v>
      </c>
      <c r="AX20" s="17">
        <v>0</v>
      </c>
      <c r="AY20" s="17">
        <v>0.6</v>
      </c>
      <c r="AZ20" s="17">
        <v>1</v>
      </c>
      <c r="BA20" s="17">
        <v>0</v>
      </c>
      <c r="BB20" s="17">
        <v>-2.9</v>
      </c>
      <c r="BC20" s="17"/>
      <c r="BD20" s="17"/>
      <c r="BE20" s="17">
        <v>-3.2</v>
      </c>
      <c r="BF20" s="17">
        <v>0</v>
      </c>
      <c r="BG20" s="17"/>
      <c r="BH20" s="17">
        <v>0</v>
      </c>
      <c r="BI20" s="17"/>
      <c r="BJ20" s="17"/>
      <c r="BK20" s="17"/>
      <c r="BL20" s="17">
        <v>-2.50719</v>
      </c>
      <c r="BM20" s="17">
        <v>-30.2</v>
      </c>
      <c r="BN20" s="17">
        <v>-17.5</v>
      </c>
      <c r="BO20" s="17">
        <v>-13.7</v>
      </c>
      <c r="BP20" s="17">
        <v>-21.1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8</v>
      </c>
      <c r="CA20" s="17">
        <v>36.5</v>
      </c>
      <c r="CB20" s="17">
        <v>2.2000000000000002</v>
      </c>
      <c r="CC20" s="17">
        <v>6.4</v>
      </c>
      <c r="CD20" s="17">
        <v>0</v>
      </c>
      <c r="CE20" s="17">
        <v>0</v>
      </c>
      <c r="CF20" s="17"/>
      <c r="CG20" s="17"/>
      <c r="CH20" s="17">
        <v>13</v>
      </c>
      <c r="CI20" s="17">
        <v>9.3000000000000007</v>
      </c>
      <c r="CJ20" s="17">
        <v>-26.6</v>
      </c>
      <c r="CK20" s="17">
        <v>0</v>
      </c>
      <c r="CL20" s="17"/>
      <c r="CM20" s="17"/>
      <c r="CN20" s="17"/>
      <c r="CO20" s="17"/>
      <c r="CP20" s="17">
        <v>-3.8</v>
      </c>
      <c r="CQ20" s="17">
        <v>-8.6999999999999993</v>
      </c>
      <c r="CR20" s="17">
        <v>-2.8</v>
      </c>
      <c r="CS20" s="17">
        <v>-0.1</v>
      </c>
      <c r="CT20" s="17">
        <v>0.8</v>
      </c>
      <c r="CU20" s="17"/>
      <c r="CV20" s="17">
        <v>-5.6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-0.1</v>
      </c>
      <c r="DD20" s="17"/>
      <c r="DE20" s="17"/>
      <c r="DF20" s="17">
        <v>0.1</v>
      </c>
      <c r="DG20" s="17">
        <v>0.7</v>
      </c>
      <c r="DH20" s="17">
        <v>0.2</v>
      </c>
      <c r="DI20" s="17">
        <v>-0.8</v>
      </c>
      <c r="DJ20" s="17">
        <v>0.1</v>
      </c>
      <c r="DK20" s="17"/>
      <c r="DL20" s="17"/>
      <c r="DM20" s="17">
        <v>0</v>
      </c>
      <c r="DN20" s="17">
        <v>0.1</v>
      </c>
      <c r="DO20" s="17">
        <v>-0.2</v>
      </c>
      <c r="DP20" s="17">
        <v>5.0999999999999996</v>
      </c>
      <c r="DQ20" s="17">
        <v>0.2</v>
      </c>
      <c r="DR20" s="17">
        <v>0.1</v>
      </c>
      <c r="DS20" s="17">
        <v>0.3</v>
      </c>
      <c r="DT20" s="17">
        <v>0.2</v>
      </c>
      <c r="DU20" s="17"/>
      <c r="DV20" s="17"/>
      <c r="DW20" s="17">
        <v>-2.6</v>
      </c>
      <c r="DX20" s="17">
        <v>0.2</v>
      </c>
      <c r="DY20" s="17">
        <v>0.6</v>
      </c>
      <c r="DZ20" s="17">
        <v>0.8</v>
      </c>
      <c r="EA20" s="17">
        <v>0.8</v>
      </c>
      <c r="EB20" s="17">
        <v>3.7</v>
      </c>
      <c r="EC20" s="17">
        <v>0.4</v>
      </c>
      <c r="ED20" s="17">
        <v>-6</v>
      </c>
      <c r="EE20" s="17">
        <v>-11.4</v>
      </c>
      <c r="EF20" s="17"/>
      <c r="EG20" s="17"/>
      <c r="EH20" s="17"/>
      <c r="EI20" s="17">
        <v>1.5</v>
      </c>
      <c r="EJ20" s="17">
        <v>0.2</v>
      </c>
      <c r="EK20" s="17">
        <v>1.1000000000000001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/>
      <c r="EX20" s="17">
        <v>0.6</v>
      </c>
      <c r="EY20" s="17"/>
      <c r="EZ20" s="17"/>
      <c r="FA20" s="17">
        <v>0.3</v>
      </c>
      <c r="FB20" s="17">
        <v>0.2</v>
      </c>
      <c r="FC20" s="17">
        <v>1.4</v>
      </c>
      <c r="FD20" s="17">
        <v>1.1000000000000001</v>
      </c>
      <c r="FE20" s="17">
        <v>1.5</v>
      </c>
      <c r="FF20" s="17">
        <v>0.2</v>
      </c>
      <c r="FG20" s="17"/>
      <c r="FH20" s="17">
        <v>3.8</v>
      </c>
      <c r="FI20" s="17"/>
      <c r="FJ20" s="17"/>
      <c r="FK20" s="17">
        <v>4.2</v>
      </c>
      <c r="FL20" s="17"/>
      <c r="FM20" s="17">
        <v>-86.207189999999997</v>
      </c>
      <c r="FN20" s="15"/>
      <c r="FO20" s="17">
        <v>0</v>
      </c>
      <c r="FP20" s="17">
        <v>1.2051799999999999</v>
      </c>
      <c r="FQ20" s="17">
        <v>0.34066000000000002</v>
      </c>
      <c r="FR20" s="17">
        <v>0.11378000000000001</v>
      </c>
      <c r="FS20" s="17">
        <v>-1.1000000000000001</v>
      </c>
      <c r="FT20" s="17">
        <v>0.2</v>
      </c>
      <c r="FU20" s="17">
        <v>0.75961999999999996</v>
      </c>
    </row>
    <row r="21" spans="1:177" ht="24" customHeight="1" x14ac:dyDescent="0.3">
      <c r="A21" s="16" t="s">
        <v>67</v>
      </c>
      <c r="B21" s="16" t="s">
        <v>818</v>
      </c>
      <c r="C21" s="17">
        <v>-9.4</v>
      </c>
      <c r="D21" s="17">
        <v>-8.8000000000000007</v>
      </c>
      <c r="E21" s="17">
        <v>10.8</v>
      </c>
      <c r="F21" s="17">
        <v>0</v>
      </c>
      <c r="G21" s="17">
        <v>0</v>
      </c>
      <c r="H21" s="17">
        <v>0</v>
      </c>
      <c r="I21" s="17">
        <v>5</v>
      </c>
      <c r="J21" s="17"/>
      <c r="K21" s="17">
        <v>0</v>
      </c>
      <c r="L21" s="17">
        <v>-34.4</v>
      </c>
      <c r="M21" s="17">
        <v>0</v>
      </c>
      <c r="N21" s="17">
        <v>-8.1</v>
      </c>
      <c r="O21" s="17">
        <v>15</v>
      </c>
      <c r="P21" s="17">
        <v>22.2</v>
      </c>
      <c r="Q21" s="17">
        <v>32.700000000000003</v>
      </c>
      <c r="R21" s="17">
        <v>20.3</v>
      </c>
      <c r="S21" s="17"/>
      <c r="T21" s="17"/>
      <c r="U21" s="17"/>
      <c r="V21" s="17"/>
      <c r="W21" s="17">
        <v>-4.0999999999999996</v>
      </c>
      <c r="X21" s="17">
        <v>1.1000000000000001</v>
      </c>
      <c r="Y21" s="17">
        <v>-0.1</v>
      </c>
      <c r="Z21" s="17">
        <v>0</v>
      </c>
      <c r="AA21" s="17">
        <v>-3.1</v>
      </c>
      <c r="AB21" s="17">
        <v>11.3</v>
      </c>
      <c r="AC21" s="17"/>
      <c r="AD21" s="17"/>
      <c r="AE21" s="17"/>
      <c r="AF21" s="17"/>
      <c r="AG21" s="17">
        <v>-8.4</v>
      </c>
      <c r="AH21" s="17">
        <v>-1.1000000000000001</v>
      </c>
      <c r="AI21" s="17"/>
      <c r="AJ21" s="17">
        <v>0</v>
      </c>
      <c r="AK21" s="17"/>
      <c r="AL21" s="17">
        <v>-1.1000000000000001</v>
      </c>
      <c r="AM21" s="17">
        <v>-15.7</v>
      </c>
      <c r="AN21" s="17">
        <v>4.0999999999999996</v>
      </c>
      <c r="AO21" s="17">
        <v>9.9</v>
      </c>
      <c r="AP21" s="17">
        <v>9.9</v>
      </c>
      <c r="AQ21" s="17">
        <v>-0.3</v>
      </c>
      <c r="AR21" s="17">
        <v>2.6</v>
      </c>
      <c r="AS21" s="17">
        <v>2</v>
      </c>
      <c r="AT21" s="17">
        <v>9.8000000000000007</v>
      </c>
      <c r="AU21" s="17">
        <v>-3.9</v>
      </c>
      <c r="AV21" s="17">
        <v>-44.7</v>
      </c>
      <c r="AW21" s="17">
        <v>1.6</v>
      </c>
      <c r="AX21" s="17">
        <v>0</v>
      </c>
      <c r="AY21" s="17">
        <v>1.9</v>
      </c>
      <c r="AZ21" s="17">
        <v>1</v>
      </c>
      <c r="BA21" s="17">
        <v>0</v>
      </c>
      <c r="BB21" s="17">
        <v>0.6</v>
      </c>
      <c r="BC21" s="17"/>
      <c r="BD21" s="17"/>
      <c r="BE21" s="17">
        <v>-2.2000000000000002</v>
      </c>
      <c r="BF21" s="17">
        <v>0</v>
      </c>
      <c r="BG21" s="17"/>
      <c r="BH21" s="17">
        <v>0</v>
      </c>
      <c r="BI21" s="17"/>
      <c r="BJ21" s="17"/>
      <c r="BK21" s="17"/>
      <c r="BL21" s="17">
        <v>-2.4123800000000002</v>
      </c>
      <c r="BM21" s="17">
        <v>-25.9</v>
      </c>
      <c r="BN21" s="17">
        <v>-13.2</v>
      </c>
      <c r="BO21" s="17">
        <v>-9</v>
      </c>
      <c r="BP21" s="17">
        <v>-16.600000000000001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7.8</v>
      </c>
      <c r="CA21" s="17">
        <v>36.4</v>
      </c>
      <c r="CB21" s="17">
        <v>1.7</v>
      </c>
      <c r="CC21" s="17">
        <v>6.5</v>
      </c>
      <c r="CD21" s="17">
        <v>0.1</v>
      </c>
      <c r="CE21" s="17">
        <v>0</v>
      </c>
      <c r="CF21" s="17"/>
      <c r="CG21" s="17"/>
      <c r="CH21" s="17">
        <v>17.8</v>
      </c>
      <c r="CI21" s="17">
        <v>14</v>
      </c>
      <c r="CJ21" s="17">
        <v>-20.399999999999999</v>
      </c>
      <c r="CK21" s="17">
        <v>0</v>
      </c>
      <c r="CL21" s="17"/>
      <c r="CM21" s="17"/>
      <c r="CN21" s="17"/>
      <c r="CO21" s="17"/>
      <c r="CP21" s="17">
        <v>-1.1000000000000001</v>
      </c>
      <c r="CQ21" s="17">
        <v>-7.1</v>
      </c>
      <c r="CR21" s="17">
        <v>-2.5</v>
      </c>
      <c r="CS21" s="17">
        <v>0.3</v>
      </c>
      <c r="CT21" s="17">
        <v>0.8</v>
      </c>
      <c r="CU21" s="17"/>
      <c r="CV21" s="17">
        <v>-5.5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-0.2</v>
      </c>
      <c r="DD21" s="17"/>
      <c r="DE21" s="17"/>
      <c r="DF21" s="17">
        <v>0.2</v>
      </c>
      <c r="DG21" s="17">
        <v>0.7</v>
      </c>
      <c r="DH21" s="17">
        <v>0.1</v>
      </c>
      <c r="DI21" s="17">
        <v>-0.5</v>
      </c>
      <c r="DJ21" s="17">
        <v>0.1</v>
      </c>
      <c r="DK21" s="17"/>
      <c r="DL21" s="17"/>
      <c r="DM21" s="17">
        <v>0</v>
      </c>
      <c r="DN21" s="17">
        <v>0.1</v>
      </c>
      <c r="DO21" s="17">
        <v>-0.3</v>
      </c>
      <c r="DP21" s="17">
        <v>5.3</v>
      </c>
      <c r="DQ21" s="17">
        <v>0.2</v>
      </c>
      <c r="DR21" s="17">
        <v>0.1</v>
      </c>
      <c r="DS21" s="17">
        <v>0.3</v>
      </c>
      <c r="DT21" s="17">
        <v>0.2</v>
      </c>
      <c r="DU21" s="17"/>
      <c r="DV21" s="17"/>
      <c r="DW21" s="17">
        <v>-2.6</v>
      </c>
      <c r="DX21" s="17">
        <v>0.3</v>
      </c>
      <c r="DY21" s="17">
        <v>0.6</v>
      </c>
      <c r="DZ21" s="17">
        <v>0.8</v>
      </c>
      <c r="EA21" s="17">
        <v>0.8</v>
      </c>
      <c r="EB21" s="17">
        <v>3.7</v>
      </c>
      <c r="EC21" s="17">
        <v>0.4</v>
      </c>
      <c r="ED21" s="17">
        <v>-8.1999999999999993</v>
      </c>
      <c r="EE21" s="17">
        <v>-10.6</v>
      </c>
      <c r="EF21" s="17"/>
      <c r="EG21" s="17"/>
      <c r="EH21" s="17"/>
      <c r="EI21" s="17">
        <v>1.5</v>
      </c>
      <c r="EJ21" s="17">
        <v>0.2</v>
      </c>
      <c r="EK21" s="17">
        <v>1.1000000000000001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/>
      <c r="EX21" s="17">
        <v>0.7</v>
      </c>
      <c r="EY21" s="17"/>
      <c r="EZ21" s="17"/>
      <c r="FA21" s="17">
        <v>0.3</v>
      </c>
      <c r="FB21" s="17">
        <v>0.2</v>
      </c>
      <c r="FC21" s="17">
        <v>1.4</v>
      </c>
      <c r="FD21" s="17">
        <v>1.3</v>
      </c>
      <c r="FE21" s="17">
        <v>1.4</v>
      </c>
      <c r="FF21" s="17">
        <v>0.5</v>
      </c>
      <c r="FG21" s="17"/>
      <c r="FH21" s="17">
        <v>2.5</v>
      </c>
      <c r="FI21" s="17"/>
      <c r="FJ21" s="17"/>
      <c r="FK21" s="17">
        <v>3.8</v>
      </c>
      <c r="FL21" s="17"/>
      <c r="FM21" s="17">
        <v>4.5876200000000003</v>
      </c>
      <c r="FN21" s="15"/>
      <c r="FO21" s="17">
        <v>0</v>
      </c>
      <c r="FP21" s="17">
        <v>1.21906</v>
      </c>
      <c r="FQ21" s="17">
        <v>0.34553</v>
      </c>
      <c r="FR21" s="17">
        <v>6.6919999999999993E-2</v>
      </c>
      <c r="FS21" s="17">
        <v>-0.9</v>
      </c>
      <c r="FT21" s="17">
        <v>0.2</v>
      </c>
      <c r="FU21" s="17">
        <v>0.93150999999999995</v>
      </c>
    </row>
    <row r="22" spans="1:177" ht="24" customHeight="1" x14ac:dyDescent="0.3">
      <c r="A22" s="16" t="s">
        <v>67</v>
      </c>
      <c r="B22" s="16" t="s">
        <v>819</v>
      </c>
      <c r="C22" s="17">
        <v>-7.9</v>
      </c>
      <c r="D22" s="17">
        <v>13.9</v>
      </c>
      <c r="E22" s="17">
        <v>15.2</v>
      </c>
      <c r="F22" s="17">
        <v>0</v>
      </c>
      <c r="G22" s="17">
        <v>0</v>
      </c>
      <c r="H22" s="17">
        <v>-5.3</v>
      </c>
      <c r="I22" s="17">
        <v>12.2</v>
      </c>
      <c r="J22" s="17"/>
      <c r="K22" s="17">
        <v>0</v>
      </c>
      <c r="L22" s="17">
        <v>-29.6</v>
      </c>
      <c r="M22" s="17">
        <v>0</v>
      </c>
      <c r="N22" s="17">
        <v>-2.9</v>
      </c>
      <c r="O22" s="17">
        <v>22.1</v>
      </c>
      <c r="P22" s="17">
        <v>23.3</v>
      </c>
      <c r="Q22" s="17">
        <v>33.9</v>
      </c>
      <c r="R22" s="17">
        <v>59.8</v>
      </c>
      <c r="S22" s="17"/>
      <c r="T22" s="17"/>
      <c r="U22" s="17"/>
      <c r="V22" s="17"/>
      <c r="W22" s="17">
        <v>-2.4</v>
      </c>
      <c r="X22" s="17">
        <v>1.4</v>
      </c>
      <c r="Y22" s="17">
        <v>0.6</v>
      </c>
      <c r="Z22" s="17">
        <v>0</v>
      </c>
      <c r="AA22" s="17">
        <v>-3.1</v>
      </c>
      <c r="AB22" s="17">
        <v>11.6</v>
      </c>
      <c r="AC22" s="17"/>
      <c r="AD22" s="17"/>
      <c r="AE22" s="17"/>
      <c r="AF22" s="17"/>
      <c r="AG22" s="17">
        <v>-5.8</v>
      </c>
      <c r="AH22" s="17">
        <v>-2.1</v>
      </c>
      <c r="AI22" s="17"/>
      <c r="AJ22" s="17">
        <v>0</v>
      </c>
      <c r="AK22" s="17"/>
      <c r="AL22" s="17">
        <v>-1.1000000000000001</v>
      </c>
      <c r="AM22" s="17">
        <v>-16.8</v>
      </c>
      <c r="AN22" s="17">
        <v>3.6</v>
      </c>
      <c r="AO22" s="17">
        <v>9.9</v>
      </c>
      <c r="AP22" s="17">
        <v>10.1</v>
      </c>
      <c r="AQ22" s="17">
        <v>-1.1000000000000001</v>
      </c>
      <c r="AR22" s="17">
        <v>2.6</v>
      </c>
      <c r="AS22" s="17">
        <v>1.5</v>
      </c>
      <c r="AT22" s="17">
        <v>14</v>
      </c>
      <c r="AU22" s="17">
        <v>0.2</v>
      </c>
      <c r="AV22" s="17">
        <v>-41.5</v>
      </c>
      <c r="AW22" s="17">
        <v>1.9</v>
      </c>
      <c r="AX22" s="17">
        <v>0</v>
      </c>
      <c r="AY22" s="17">
        <v>2.1</v>
      </c>
      <c r="AZ22" s="17">
        <v>1</v>
      </c>
      <c r="BA22" s="17">
        <v>0</v>
      </c>
      <c r="BB22" s="17">
        <v>-0.8</v>
      </c>
      <c r="BC22" s="17"/>
      <c r="BD22" s="17"/>
      <c r="BE22" s="17">
        <v>-0.4</v>
      </c>
      <c r="BF22" s="17">
        <v>0</v>
      </c>
      <c r="BG22" s="17"/>
      <c r="BH22" s="17">
        <v>0</v>
      </c>
      <c r="BI22" s="17"/>
      <c r="BJ22" s="17"/>
      <c r="BK22" s="17"/>
      <c r="BL22" s="17">
        <v>-2.2136800000000001</v>
      </c>
      <c r="BM22" s="17">
        <v>-25.6</v>
      </c>
      <c r="BN22" s="17">
        <v>-12.9</v>
      </c>
      <c r="BO22" s="17">
        <v>-8.8000000000000007</v>
      </c>
      <c r="BP22" s="17">
        <v>-17.600000000000001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8.1999999999999993</v>
      </c>
      <c r="CA22" s="17">
        <v>35.6</v>
      </c>
      <c r="CB22" s="17">
        <v>1.7</v>
      </c>
      <c r="CC22" s="17">
        <v>6.4</v>
      </c>
      <c r="CD22" s="17">
        <v>0</v>
      </c>
      <c r="CE22" s="17">
        <v>0</v>
      </c>
      <c r="CF22" s="17"/>
      <c r="CG22" s="17"/>
      <c r="CH22" s="17">
        <v>21.7</v>
      </c>
      <c r="CI22" s="17">
        <v>18.100000000000001</v>
      </c>
      <c r="CJ22" s="17">
        <v>-14.5</v>
      </c>
      <c r="CK22" s="17">
        <v>0</v>
      </c>
      <c r="CL22" s="17"/>
      <c r="CM22" s="17"/>
      <c r="CN22" s="17"/>
      <c r="CO22" s="17"/>
      <c r="CP22" s="17">
        <v>1.2</v>
      </c>
      <c r="CQ22" s="17">
        <v>-5.8</v>
      </c>
      <c r="CR22" s="17">
        <v>-2.7</v>
      </c>
      <c r="CS22" s="17">
        <v>0.1</v>
      </c>
      <c r="CT22" s="17">
        <v>0.8</v>
      </c>
      <c r="CU22" s="17"/>
      <c r="CV22" s="17">
        <v>-5.5</v>
      </c>
      <c r="CW22" s="17">
        <v>0</v>
      </c>
      <c r="CX22" s="17"/>
      <c r="CY22" s="17"/>
      <c r="CZ22" s="17">
        <v>0</v>
      </c>
      <c r="DA22" s="17">
        <v>-0.1</v>
      </c>
      <c r="DB22" s="17">
        <v>0</v>
      </c>
      <c r="DC22" s="17">
        <v>2.6</v>
      </c>
      <c r="DD22" s="17"/>
      <c r="DE22" s="17"/>
      <c r="DF22" s="17">
        <v>0</v>
      </c>
      <c r="DG22" s="17">
        <v>0.7</v>
      </c>
      <c r="DH22" s="17">
        <v>0.2</v>
      </c>
      <c r="DI22" s="17">
        <v>0</v>
      </c>
      <c r="DJ22" s="17">
        <v>0.1</v>
      </c>
      <c r="DK22" s="17"/>
      <c r="DL22" s="17"/>
      <c r="DM22" s="17">
        <v>0</v>
      </c>
      <c r="DN22" s="17">
        <v>0.1</v>
      </c>
      <c r="DO22" s="17">
        <v>-0.2</v>
      </c>
      <c r="DP22" s="17">
        <v>5.6</v>
      </c>
      <c r="DQ22" s="17">
        <v>0.4</v>
      </c>
      <c r="DR22" s="17">
        <v>0</v>
      </c>
      <c r="DS22" s="17">
        <v>0.3</v>
      </c>
      <c r="DT22" s="17">
        <v>0.2</v>
      </c>
      <c r="DU22" s="17"/>
      <c r="DV22" s="17"/>
      <c r="DW22" s="17">
        <v>-2.6</v>
      </c>
      <c r="DX22" s="17">
        <v>0</v>
      </c>
      <c r="DY22" s="17">
        <v>0.7</v>
      </c>
      <c r="DZ22" s="17">
        <v>0.8</v>
      </c>
      <c r="EA22" s="17">
        <v>0.8</v>
      </c>
      <c r="EB22" s="17">
        <v>3.7</v>
      </c>
      <c r="EC22" s="17">
        <v>0.3</v>
      </c>
      <c r="ED22" s="17">
        <v>-4.7</v>
      </c>
      <c r="EE22" s="17">
        <v>-7.6</v>
      </c>
      <c r="EF22" s="17"/>
      <c r="EG22" s="17"/>
      <c r="EH22" s="17"/>
      <c r="EI22" s="17">
        <v>1.5</v>
      </c>
      <c r="EJ22" s="17">
        <v>0.2</v>
      </c>
      <c r="EK22" s="17">
        <v>1.1000000000000001</v>
      </c>
      <c r="EL22" s="17">
        <v>0.2</v>
      </c>
      <c r="EM22" s="17">
        <v>0.2</v>
      </c>
      <c r="EN22" s="17">
        <v>0.2</v>
      </c>
      <c r="EO22" s="17"/>
      <c r="EP22" s="17">
        <v>5.4</v>
      </c>
      <c r="EQ22" s="17">
        <v>0.4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/>
      <c r="EX22" s="17">
        <v>0.7</v>
      </c>
      <c r="EY22" s="17"/>
      <c r="EZ22" s="17"/>
      <c r="FA22" s="17">
        <v>0.4</v>
      </c>
      <c r="FB22" s="17">
        <v>0.2</v>
      </c>
      <c r="FC22" s="17">
        <v>1.6</v>
      </c>
      <c r="FD22" s="17">
        <v>1.3</v>
      </c>
      <c r="FE22" s="17">
        <v>1.2</v>
      </c>
      <c r="FF22" s="17">
        <v>0.3</v>
      </c>
      <c r="FG22" s="17"/>
      <c r="FH22" s="17">
        <v>3.6</v>
      </c>
      <c r="FI22" s="17"/>
      <c r="FJ22" s="17"/>
      <c r="FK22" s="17">
        <v>3.8</v>
      </c>
      <c r="FL22" s="17"/>
      <c r="FM22" s="17">
        <v>141.08632</v>
      </c>
      <c r="FN22" s="15"/>
      <c r="FO22" s="17">
        <v>0</v>
      </c>
      <c r="FP22" s="17">
        <v>1.2213099999999999</v>
      </c>
      <c r="FQ22" s="17">
        <v>0.34556999999999999</v>
      </c>
      <c r="FR22" s="17">
        <v>6.3549999999999995E-2</v>
      </c>
      <c r="FS22" s="17">
        <v>-0.6</v>
      </c>
      <c r="FT22" s="17">
        <v>0.2</v>
      </c>
      <c r="FU22" s="17">
        <v>1.2304299999999999</v>
      </c>
    </row>
    <row r="23" spans="1:177" ht="24" customHeight="1" x14ac:dyDescent="0.3">
      <c r="A23" s="16" t="s">
        <v>67</v>
      </c>
      <c r="B23" s="16" t="s">
        <v>820</v>
      </c>
      <c r="C23" s="17">
        <v>-7.1</v>
      </c>
      <c r="D23" s="17">
        <v>23.4</v>
      </c>
      <c r="E23" s="17">
        <v>16.3</v>
      </c>
      <c r="F23" s="17">
        <v>0</v>
      </c>
      <c r="G23" s="17">
        <v>0</v>
      </c>
      <c r="H23" s="17">
        <v>-5.0999999999999996</v>
      </c>
      <c r="I23" s="17">
        <v>6</v>
      </c>
      <c r="J23" s="17"/>
      <c r="K23" s="17">
        <v>0</v>
      </c>
      <c r="L23" s="17">
        <v>-23.2</v>
      </c>
      <c r="M23" s="17">
        <v>0</v>
      </c>
      <c r="N23" s="17">
        <v>5.3</v>
      </c>
      <c r="O23" s="17">
        <v>30.7</v>
      </c>
      <c r="P23" s="17">
        <v>26.2</v>
      </c>
      <c r="Q23" s="17">
        <v>35.799999999999997</v>
      </c>
      <c r="R23" s="17">
        <v>61.8</v>
      </c>
      <c r="S23" s="17"/>
      <c r="T23" s="17"/>
      <c r="U23" s="17"/>
      <c r="V23" s="17"/>
      <c r="W23" s="17">
        <v>-1.9</v>
      </c>
      <c r="X23" s="17">
        <v>1.9</v>
      </c>
      <c r="Y23" s="17">
        <v>0.7</v>
      </c>
      <c r="Z23" s="17">
        <v>0</v>
      </c>
      <c r="AA23" s="17">
        <v>-3.1</v>
      </c>
      <c r="AB23" s="17">
        <v>12.5</v>
      </c>
      <c r="AC23" s="17"/>
      <c r="AD23" s="17"/>
      <c r="AE23" s="17"/>
      <c r="AF23" s="17"/>
      <c r="AG23" s="17">
        <v>-3.6</v>
      </c>
      <c r="AH23" s="17">
        <v>1.5</v>
      </c>
      <c r="AI23" s="17"/>
      <c r="AJ23" s="17">
        <v>0</v>
      </c>
      <c r="AK23" s="17"/>
      <c r="AL23" s="17">
        <v>-1</v>
      </c>
      <c r="AM23" s="17">
        <v>-15.4</v>
      </c>
      <c r="AN23" s="17">
        <v>4.4000000000000004</v>
      </c>
      <c r="AO23" s="17">
        <v>10</v>
      </c>
      <c r="AP23" s="17">
        <v>10</v>
      </c>
      <c r="AQ23" s="17">
        <v>-1.5</v>
      </c>
      <c r="AR23" s="17">
        <v>2.6</v>
      </c>
      <c r="AS23" s="17">
        <v>0.9</v>
      </c>
      <c r="AT23" s="17">
        <v>17.8</v>
      </c>
      <c r="AU23" s="17">
        <v>4</v>
      </c>
      <c r="AV23" s="17">
        <v>-37.5</v>
      </c>
      <c r="AW23" s="17">
        <v>1.5</v>
      </c>
      <c r="AX23" s="17">
        <v>0</v>
      </c>
      <c r="AY23" s="17">
        <v>3.5</v>
      </c>
      <c r="AZ23" s="17">
        <v>1</v>
      </c>
      <c r="BA23" s="17">
        <v>0</v>
      </c>
      <c r="BB23" s="17">
        <v>1.9</v>
      </c>
      <c r="BC23" s="17"/>
      <c r="BD23" s="17"/>
      <c r="BE23" s="17">
        <v>0.7</v>
      </c>
      <c r="BF23" s="17">
        <v>0</v>
      </c>
      <c r="BG23" s="17"/>
      <c r="BH23" s="17">
        <v>0</v>
      </c>
      <c r="BI23" s="17"/>
      <c r="BJ23" s="17"/>
      <c r="BK23" s="17"/>
      <c r="BL23" s="17">
        <v>0.48957000000000001</v>
      </c>
      <c r="BM23" s="17">
        <v>-22.8</v>
      </c>
      <c r="BN23" s="17">
        <v>-9.9</v>
      </c>
      <c r="BO23" s="17">
        <v>-5.8</v>
      </c>
      <c r="BP23" s="17">
        <v>-14.3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8.5</v>
      </c>
      <c r="CA23" s="17">
        <v>23.3</v>
      </c>
      <c r="CB23" s="17">
        <v>2.1</v>
      </c>
      <c r="CC23" s="17">
        <v>4.5</v>
      </c>
      <c r="CD23" s="17">
        <v>0.1</v>
      </c>
      <c r="CE23" s="17">
        <v>0</v>
      </c>
      <c r="CF23" s="17"/>
      <c r="CG23" s="17"/>
      <c r="CH23" s="17">
        <v>27.3</v>
      </c>
      <c r="CI23" s="17">
        <v>23.5</v>
      </c>
      <c r="CJ23" s="17">
        <v>-6.7</v>
      </c>
      <c r="CK23" s="17">
        <v>0</v>
      </c>
      <c r="CL23" s="17"/>
      <c r="CM23" s="17"/>
      <c r="CN23" s="17"/>
      <c r="CO23" s="17"/>
      <c r="CP23" s="17">
        <v>5.4</v>
      </c>
      <c r="CQ23" s="17">
        <v>-3.3</v>
      </c>
      <c r="CR23" s="17">
        <v>-2.6</v>
      </c>
      <c r="CS23" s="17">
        <v>0.1</v>
      </c>
      <c r="CT23" s="17">
        <v>0.8</v>
      </c>
      <c r="CU23" s="17"/>
      <c r="CV23" s="17">
        <v>-5.5</v>
      </c>
      <c r="CW23" s="17">
        <v>0.2</v>
      </c>
      <c r="CX23" s="17"/>
      <c r="CY23" s="17"/>
      <c r="CZ23" s="17">
        <v>0.1</v>
      </c>
      <c r="DA23" s="17">
        <v>-0.1</v>
      </c>
      <c r="DB23" s="17">
        <v>0</v>
      </c>
      <c r="DC23" s="17">
        <v>-0.1</v>
      </c>
      <c r="DD23" s="17"/>
      <c r="DE23" s="17"/>
      <c r="DF23" s="17">
        <v>0</v>
      </c>
      <c r="DG23" s="17">
        <v>0.7</v>
      </c>
      <c r="DH23" s="17">
        <v>0.2</v>
      </c>
      <c r="DI23" s="17">
        <v>1.1000000000000001</v>
      </c>
      <c r="DJ23" s="17">
        <v>0.1</v>
      </c>
      <c r="DK23" s="17"/>
      <c r="DL23" s="17"/>
      <c r="DM23" s="17">
        <v>0</v>
      </c>
      <c r="DN23" s="17">
        <v>0.2</v>
      </c>
      <c r="DO23" s="17">
        <v>-0.4</v>
      </c>
      <c r="DP23" s="17">
        <v>5</v>
      </c>
      <c r="DQ23" s="17">
        <v>0.6</v>
      </c>
      <c r="DR23" s="17">
        <v>0</v>
      </c>
      <c r="DS23" s="17">
        <v>0.4</v>
      </c>
      <c r="DT23" s="17">
        <v>0.2</v>
      </c>
      <c r="DU23" s="17"/>
      <c r="DV23" s="17"/>
      <c r="DW23" s="17">
        <v>-2.7</v>
      </c>
      <c r="DX23" s="17">
        <v>0.2</v>
      </c>
      <c r="DY23" s="17">
        <v>0.6</v>
      </c>
      <c r="DZ23" s="17">
        <v>0.7</v>
      </c>
      <c r="EA23" s="17">
        <v>0.8</v>
      </c>
      <c r="EB23" s="17">
        <v>3.7</v>
      </c>
      <c r="EC23" s="17">
        <v>0.3</v>
      </c>
      <c r="ED23" s="17">
        <v>-3.7</v>
      </c>
      <c r="EE23" s="17">
        <v>-6.2</v>
      </c>
      <c r="EF23" s="17"/>
      <c r="EG23" s="17"/>
      <c r="EH23" s="17"/>
      <c r="EI23" s="17">
        <v>1.5</v>
      </c>
      <c r="EJ23" s="17">
        <v>0.2</v>
      </c>
      <c r="EK23" s="17">
        <v>1.1000000000000001</v>
      </c>
      <c r="EL23" s="17">
        <v>0.2</v>
      </c>
      <c r="EM23" s="17">
        <v>0.2</v>
      </c>
      <c r="EN23" s="17">
        <v>0.2</v>
      </c>
      <c r="EO23" s="17"/>
      <c r="EP23" s="17">
        <v>27</v>
      </c>
      <c r="EQ23" s="17">
        <v>1.4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2.2000000000000002</v>
      </c>
      <c r="EW23" s="17"/>
      <c r="EX23" s="17">
        <v>0.6</v>
      </c>
      <c r="EY23" s="17"/>
      <c r="EZ23" s="17"/>
      <c r="FA23" s="17">
        <v>1.4</v>
      </c>
      <c r="FB23" s="17">
        <v>0.2</v>
      </c>
      <c r="FC23" s="17">
        <v>1.8</v>
      </c>
      <c r="FD23" s="17">
        <v>1.5</v>
      </c>
      <c r="FE23" s="17">
        <v>1.1000000000000001</v>
      </c>
      <c r="FF23" s="17">
        <v>0.3</v>
      </c>
      <c r="FG23" s="17"/>
      <c r="FH23" s="17">
        <v>5.0999999999999996</v>
      </c>
      <c r="FI23" s="17"/>
      <c r="FJ23" s="17"/>
      <c r="FK23" s="17">
        <v>4.2</v>
      </c>
      <c r="FL23" s="17"/>
      <c r="FM23" s="17">
        <v>259.68957</v>
      </c>
      <c r="FN23" s="15"/>
      <c r="FO23" s="17">
        <v>0</v>
      </c>
      <c r="FP23" s="17">
        <v>1.2856799999999999</v>
      </c>
      <c r="FQ23" s="17">
        <v>0.34572000000000003</v>
      </c>
      <c r="FR23" s="17">
        <v>5.9200000000000003E-2</v>
      </c>
      <c r="FS23" s="17">
        <v>-0.4</v>
      </c>
      <c r="FT23" s="17">
        <v>0.2</v>
      </c>
      <c r="FU23" s="17">
        <v>1.4905999999999999</v>
      </c>
    </row>
    <row r="24" spans="1:177" ht="24" customHeight="1" x14ac:dyDescent="0.3">
      <c r="A24" s="16" t="s">
        <v>67</v>
      </c>
      <c r="B24" s="16" t="s">
        <v>821</v>
      </c>
      <c r="C24" s="17">
        <v>-8.4</v>
      </c>
      <c r="D24" s="17">
        <v>-2.6</v>
      </c>
      <c r="E24" s="17">
        <v>11.9</v>
      </c>
      <c r="F24" s="17">
        <v>0</v>
      </c>
      <c r="G24" s="17">
        <v>0</v>
      </c>
      <c r="H24" s="17">
        <v>-4.3</v>
      </c>
      <c r="I24" s="17">
        <v>13.6</v>
      </c>
      <c r="J24" s="17"/>
      <c r="K24" s="17">
        <v>0</v>
      </c>
      <c r="L24" s="17">
        <v>-26.9</v>
      </c>
      <c r="M24" s="17">
        <v>0</v>
      </c>
      <c r="N24" s="17">
        <v>0.5</v>
      </c>
      <c r="O24" s="17">
        <v>25.2</v>
      </c>
      <c r="P24" s="17">
        <v>24.8</v>
      </c>
      <c r="Q24" s="17">
        <v>35</v>
      </c>
      <c r="R24" s="17">
        <v>30.1</v>
      </c>
      <c r="S24" s="17"/>
      <c r="T24" s="17"/>
      <c r="U24" s="17"/>
      <c r="V24" s="17"/>
      <c r="W24" s="17">
        <v>-4.7</v>
      </c>
      <c r="X24" s="17">
        <v>0.7</v>
      </c>
      <c r="Y24" s="17">
        <v>-1</v>
      </c>
      <c r="Z24" s="17">
        <v>0</v>
      </c>
      <c r="AA24" s="17">
        <v>-3.1</v>
      </c>
      <c r="AB24" s="17">
        <v>12.2</v>
      </c>
      <c r="AC24" s="17"/>
      <c r="AD24" s="17"/>
      <c r="AE24" s="17"/>
      <c r="AF24" s="17"/>
      <c r="AG24" s="17">
        <v>-3.2</v>
      </c>
      <c r="AH24" s="17">
        <v>-2.6</v>
      </c>
      <c r="AI24" s="17"/>
      <c r="AJ24" s="17">
        <v>0</v>
      </c>
      <c r="AK24" s="17"/>
      <c r="AL24" s="17">
        <v>-1</v>
      </c>
      <c r="AM24" s="17">
        <v>-16.8</v>
      </c>
      <c r="AN24" s="17">
        <v>4</v>
      </c>
      <c r="AO24" s="17">
        <v>10.199999999999999</v>
      </c>
      <c r="AP24" s="17">
        <v>10.3</v>
      </c>
      <c r="AQ24" s="17">
        <v>-2.1</v>
      </c>
      <c r="AR24" s="17">
        <v>2.6</v>
      </c>
      <c r="AS24" s="17">
        <v>0.9</v>
      </c>
      <c r="AT24" s="17">
        <v>14.9</v>
      </c>
      <c r="AU24" s="17">
        <v>1.2</v>
      </c>
      <c r="AV24" s="17">
        <v>-45.2</v>
      </c>
      <c r="AW24" s="17">
        <v>2.4</v>
      </c>
      <c r="AX24" s="17">
        <v>0</v>
      </c>
      <c r="AY24" s="17">
        <v>3.5</v>
      </c>
      <c r="AZ24" s="17">
        <v>1</v>
      </c>
      <c r="BA24" s="17">
        <v>0</v>
      </c>
      <c r="BB24" s="17">
        <v>-0.2</v>
      </c>
      <c r="BC24" s="17"/>
      <c r="BD24" s="17"/>
      <c r="BE24" s="17">
        <v>0.4</v>
      </c>
      <c r="BF24" s="17">
        <v>0</v>
      </c>
      <c r="BG24" s="17"/>
      <c r="BH24" s="17">
        <v>-0.5</v>
      </c>
      <c r="BI24" s="17"/>
      <c r="BJ24" s="17"/>
      <c r="BK24" s="17"/>
      <c r="BL24" s="17">
        <v>-1.2600199999999999</v>
      </c>
      <c r="BM24" s="17">
        <v>-23.9</v>
      </c>
      <c r="BN24" s="17">
        <v>-11</v>
      </c>
      <c r="BO24" s="17">
        <v>-6.6</v>
      </c>
      <c r="BP24" s="17">
        <v>-13.5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14.9</v>
      </c>
      <c r="CA24" s="17">
        <v>23.2</v>
      </c>
      <c r="CB24" s="17">
        <v>2.2000000000000002</v>
      </c>
      <c r="CC24" s="17">
        <v>4.4000000000000004</v>
      </c>
      <c r="CD24" s="17">
        <v>0</v>
      </c>
      <c r="CE24" s="17">
        <v>0</v>
      </c>
      <c r="CF24" s="17"/>
      <c r="CG24" s="17"/>
      <c r="CH24" s="17">
        <v>24.4</v>
      </c>
      <c r="CI24" s="17">
        <v>20.8</v>
      </c>
      <c r="CJ24" s="17">
        <v>-9.9</v>
      </c>
      <c r="CK24" s="17">
        <v>0</v>
      </c>
      <c r="CL24" s="17"/>
      <c r="CM24" s="17"/>
      <c r="CN24" s="17"/>
      <c r="CO24" s="17"/>
      <c r="CP24" s="17">
        <v>2.9</v>
      </c>
      <c r="CQ24" s="17">
        <v>-4.8</v>
      </c>
      <c r="CR24" s="17">
        <v>-2.5</v>
      </c>
      <c r="CS24" s="17">
        <v>0.1</v>
      </c>
      <c r="CT24" s="17">
        <v>0.9</v>
      </c>
      <c r="CU24" s="17"/>
      <c r="CV24" s="17">
        <v>-5.6</v>
      </c>
      <c r="CW24" s="17">
        <v>0.6</v>
      </c>
      <c r="CX24" s="17"/>
      <c r="CY24" s="17"/>
      <c r="CZ24" s="17">
        <v>0</v>
      </c>
      <c r="DA24" s="17">
        <v>0</v>
      </c>
      <c r="DB24" s="17">
        <v>0</v>
      </c>
      <c r="DC24" s="17">
        <v>0.8</v>
      </c>
      <c r="DD24" s="17"/>
      <c r="DE24" s="17"/>
      <c r="DF24" s="17">
        <v>0</v>
      </c>
      <c r="DG24" s="17">
        <v>0.7</v>
      </c>
      <c r="DH24" s="17">
        <v>0.2</v>
      </c>
      <c r="DI24" s="17">
        <v>1</v>
      </c>
      <c r="DJ24" s="17">
        <v>0.1</v>
      </c>
      <c r="DK24" s="17"/>
      <c r="DL24" s="17"/>
      <c r="DM24" s="17">
        <v>0</v>
      </c>
      <c r="DN24" s="17">
        <v>0.1</v>
      </c>
      <c r="DO24" s="17">
        <v>-1.7</v>
      </c>
      <c r="DP24" s="17">
        <v>1.9</v>
      </c>
      <c r="DQ24" s="17">
        <v>0.3</v>
      </c>
      <c r="DR24" s="17">
        <v>0</v>
      </c>
      <c r="DS24" s="17">
        <v>0.2</v>
      </c>
      <c r="DT24" s="17">
        <v>0.2</v>
      </c>
      <c r="DU24" s="17"/>
      <c r="DV24" s="17"/>
      <c r="DW24" s="17">
        <v>-2.9</v>
      </c>
      <c r="DX24" s="17">
        <v>0.5</v>
      </c>
      <c r="DY24" s="17">
        <v>0.6</v>
      </c>
      <c r="DZ24" s="17">
        <v>0.8</v>
      </c>
      <c r="EA24" s="17">
        <v>0.8</v>
      </c>
      <c r="EB24" s="17">
        <v>3.7</v>
      </c>
      <c r="EC24" s="17">
        <v>0</v>
      </c>
      <c r="ED24" s="17">
        <v>-7.7</v>
      </c>
      <c r="EE24" s="17">
        <v>-10</v>
      </c>
      <c r="EF24" s="17"/>
      <c r="EG24" s="17"/>
      <c r="EH24" s="17"/>
      <c r="EI24" s="17">
        <v>1.5</v>
      </c>
      <c r="EJ24" s="17">
        <v>0.2</v>
      </c>
      <c r="EK24" s="17">
        <v>1.2</v>
      </c>
      <c r="EL24" s="17">
        <v>0.2</v>
      </c>
      <c r="EM24" s="17">
        <v>0.2</v>
      </c>
      <c r="EN24" s="17">
        <v>0.2</v>
      </c>
      <c r="EO24" s="17"/>
      <c r="EP24" s="17">
        <v>34.1</v>
      </c>
      <c r="EQ24" s="17">
        <v>0.2</v>
      </c>
      <c r="ER24" s="17">
        <v>2</v>
      </c>
      <c r="ES24" s="17">
        <v>-0.2</v>
      </c>
      <c r="ET24" s="17">
        <v>0</v>
      </c>
      <c r="EU24" s="17">
        <v>-1.7</v>
      </c>
      <c r="EV24" s="17">
        <v>-14.8</v>
      </c>
      <c r="EW24" s="17"/>
      <c r="EX24" s="17">
        <v>0.6</v>
      </c>
      <c r="EY24" s="17"/>
      <c r="EZ24" s="17"/>
      <c r="FA24" s="17">
        <v>0.3</v>
      </c>
      <c r="FB24" s="17">
        <v>0.2</v>
      </c>
      <c r="FC24" s="17">
        <v>1.8</v>
      </c>
      <c r="FD24" s="17">
        <v>1.6</v>
      </c>
      <c r="FE24" s="17">
        <v>1.1000000000000001</v>
      </c>
      <c r="FF24" s="17">
        <v>0.3</v>
      </c>
      <c r="FG24" s="17"/>
      <c r="FH24" s="17">
        <v>4.3</v>
      </c>
      <c r="FI24" s="17"/>
      <c r="FJ24" s="17"/>
      <c r="FK24" s="17">
        <v>4</v>
      </c>
      <c r="FL24" s="17"/>
      <c r="FM24" s="17">
        <v>124.43998000000001</v>
      </c>
      <c r="FN24" s="15"/>
      <c r="FO24" s="17">
        <v>0</v>
      </c>
      <c r="FP24" s="17">
        <v>1.27356</v>
      </c>
      <c r="FQ24" s="17">
        <v>0.34162999999999999</v>
      </c>
      <c r="FR24" s="17">
        <v>9.2369999999999994E-2</v>
      </c>
      <c r="FS24" s="17">
        <v>-0.3</v>
      </c>
      <c r="FT24" s="17">
        <v>0.2</v>
      </c>
      <c r="FU24" s="17">
        <v>1.6075600000000001</v>
      </c>
    </row>
    <row r="25" spans="1:177" ht="24" customHeight="1" x14ac:dyDescent="0.3">
      <c r="A25" s="16" t="s">
        <v>67</v>
      </c>
      <c r="B25" s="16" t="s">
        <v>822</v>
      </c>
      <c r="C25" s="17">
        <v>-6.4</v>
      </c>
      <c r="D25" s="17">
        <v>-3</v>
      </c>
      <c r="E25" s="17">
        <v>10.1</v>
      </c>
      <c r="F25" s="17">
        <v>0</v>
      </c>
      <c r="G25" s="17">
        <v>0</v>
      </c>
      <c r="H25" s="17">
        <v>-5.7</v>
      </c>
      <c r="I25" s="17">
        <v>9.5</v>
      </c>
      <c r="J25" s="17"/>
      <c r="K25" s="17">
        <v>0</v>
      </c>
      <c r="L25" s="17">
        <v>-22.3</v>
      </c>
      <c r="M25" s="17">
        <v>0</v>
      </c>
      <c r="N25" s="17">
        <v>5</v>
      </c>
      <c r="O25" s="17">
        <v>31.8</v>
      </c>
      <c r="P25" s="17">
        <v>27.9</v>
      </c>
      <c r="Q25" s="17">
        <v>36.4</v>
      </c>
      <c r="R25" s="17">
        <v>17.2</v>
      </c>
      <c r="S25" s="17"/>
      <c r="T25" s="17"/>
      <c r="U25" s="17"/>
      <c r="V25" s="17"/>
      <c r="W25" s="17">
        <v>-2.9</v>
      </c>
      <c r="X25" s="17">
        <v>1.1000000000000001</v>
      </c>
      <c r="Y25" s="17">
        <v>1.4</v>
      </c>
      <c r="Z25" s="17">
        <v>0</v>
      </c>
      <c r="AA25" s="17">
        <v>-3.1</v>
      </c>
      <c r="AB25" s="17">
        <v>14.9</v>
      </c>
      <c r="AC25" s="17"/>
      <c r="AD25" s="17"/>
      <c r="AE25" s="17"/>
      <c r="AF25" s="17"/>
      <c r="AG25" s="17">
        <v>-0.8</v>
      </c>
      <c r="AH25" s="17">
        <v>-1.4</v>
      </c>
      <c r="AI25" s="17"/>
      <c r="AJ25" s="17">
        <v>0</v>
      </c>
      <c r="AK25" s="17"/>
      <c r="AL25" s="17">
        <v>-1.4</v>
      </c>
      <c r="AM25" s="17">
        <v>-17</v>
      </c>
      <c r="AN25" s="17">
        <v>3.7</v>
      </c>
      <c r="AO25" s="17">
        <v>10.1</v>
      </c>
      <c r="AP25" s="17">
        <v>9.9</v>
      </c>
      <c r="AQ25" s="17">
        <v>-1.7</v>
      </c>
      <c r="AR25" s="17">
        <v>2.6</v>
      </c>
      <c r="AS25" s="17">
        <v>0.9</v>
      </c>
      <c r="AT25" s="17">
        <v>18.3</v>
      </c>
      <c r="AU25" s="17">
        <v>4.5</v>
      </c>
      <c r="AV25" s="17">
        <v>-42.2</v>
      </c>
      <c r="AW25" s="17">
        <v>3.8</v>
      </c>
      <c r="AX25" s="17">
        <v>0</v>
      </c>
      <c r="AY25" s="17">
        <v>2.4</v>
      </c>
      <c r="AZ25" s="17">
        <v>1</v>
      </c>
      <c r="BA25" s="17">
        <v>0.3</v>
      </c>
      <c r="BB25" s="17">
        <v>-0.3</v>
      </c>
      <c r="BC25" s="17"/>
      <c r="BD25" s="17"/>
      <c r="BE25" s="17">
        <v>-1.1000000000000001</v>
      </c>
      <c r="BF25" s="17">
        <v>0</v>
      </c>
      <c r="BG25" s="17"/>
      <c r="BH25" s="17">
        <v>1.8</v>
      </c>
      <c r="BI25" s="17"/>
      <c r="BJ25" s="17"/>
      <c r="BK25" s="17"/>
      <c r="BL25" s="17">
        <v>9.5015699999999992</v>
      </c>
      <c r="BM25" s="17">
        <v>-22</v>
      </c>
      <c r="BN25" s="17">
        <v>-9.1999999999999993</v>
      </c>
      <c r="BO25" s="17">
        <v>-4.8</v>
      </c>
      <c r="BP25" s="17">
        <v>-12.4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-0.5</v>
      </c>
      <c r="BZ25" s="17">
        <v>14.9</v>
      </c>
      <c r="CA25" s="17">
        <v>22.8</v>
      </c>
      <c r="CB25" s="17">
        <v>2.1</v>
      </c>
      <c r="CC25" s="17">
        <v>4.4000000000000004</v>
      </c>
      <c r="CD25" s="17">
        <v>0</v>
      </c>
      <c r="CE25" s="17">
        <v>0</v>
      </c>
      <c r="CF25" s="17"/>
      <c r="CG25" s="17"/>
      <c r="CH25" s="17">
        <v>22.5</v>
      </c>
      <c r="CI25" s="17">
        <v>18.899999999999999</v>
      </c>
      <c r="CJ25" s="17">
        <v>-13.5</v>
      </c>
      <c r="CK25" s="17">
        <v>0</v>
      </c>
      <c r="CL25" s="17"/>
      <c r="CM25" s="17"/>
      <c r="CN25" s="17"/>
      <c r="CO25" s="17"/>
      <c r="CP25" s="17">
        <v>3.7</v>
      </c>
      <c r="CQ25" s="17">
        <v>-4.2</v>
      </c>
      <c r="CR25" s="17">
        <v>-2.4</v>
      </c>
      <c r="CS25" s="17">
        <v>0.2</v>
      </c>
      <c r="CT25" s="17">
        <v>0.9</v>
      </c>
      <c r="CU25" s="17"/>
      <c r="CV25" s="17">
        <v>-5.6</v>
      </c>
      <c r="CW25" s="17">
        <v>3</v>
      </c>
      <c r="CX25" s="17"/>
      <c r="CY25" s="17"/>
      <c r="CZ25" s="17">
        <v>0.1</v>
      </c>
      <c r="DA25" s="17">
        <v>0</v>
      </c>
      <c r="DB25" s="17">
        <v>0</v>
      </c>
      <c r="DC25" s="17">
        <v>3.5</v>
      </c>
      <c r="DD25" s="17"/>
      <c r="DE25" s="17"/>
      <c r="DF25" s="17">
        <v>-0.1</v>
      </c>
      <c r="DG25" s="17">
        <v>0.7</v>
      </c>
      <c r="DH25" s="17">
        <v>0.2</v>
      </c>
      <c r="DI25" s="17">
        <v>1</v>
      </c>
      <c r="DJ25" s="17">
        <v>0</v>
      </c>
      <c r="DK25" s="17"/>
      <c r="DL25" s="17"/>
      <c r="DM25" s="17">
        <v>0.1</v>
      </c>
      <c r="DN25" s="17">
        <v>0.1</v>
      </c>
      <c r="DO25" s="17">
        <v>-3.1</v>
      </c>
      <c r="DP25" s="17">
        <v>-2.6</v>
      </c>
      <c r="DQ25" s="17">
        <v>0.2</v>
      </c>
      <c r="DR25" s="17">
        <v>0</v>
      </c>
      <c r="DS25" s="17">
        <v>0.3</v>
      </c>
      <c r="DT25" s="17">
        <v>0.2</v>
      </c>
      <c r="DU25" s="17"/>
      <c r="DV25" s="17"/>
      <c r="DW25" s="17">
        <v>-2.8</v>
      </c>
      <c r="DX25" s="17">
        <v>0.1</v>
      </c>
      <c r="DY25" s="17">
        <v>0.6</v>
      </c>
      <c r="DZ25" s="17">
        <v>0.8</v>
      </c>
      <c r="EA25" s="17">
        <v>0.8</v>
      </c>
      <c r="EB25" s="17">
        <v>3.7</v>
      </c>
      <c r="EC25" s="17">
        <v>0.5</v>
      </c>
      <c r="ED25" s="17">
        <v>-6.2</v>
      </c>
      <c r="EE25" s="17">
        <v>-8.1</v>
      </c>
      <c r="EF25" s="17"/>
      <c r="EG25" s="17"/>
      <c r="EH25" s="17"/>
      <c r="EI25" s="17">
        <v>1.4</v>
      </c>
      <c r="EJ25" s="17">
        <v>0.2</v>
      </c>
      <c r="EK25" s="17">
        <v>1.2</v>
      </c>
      <c r="EL25" s="17">
        <v>0.2</v>
      </c>
      <c r="EM25" s="17">
        <v>0.2</v>
      </c>
      <c r="EN25" s="17">
        <v>0.2</v>
      </c>
      <c r="EO25" s="17"/>
      <c r="EP25" s="17">
        <v>27.5</v>
      </c>
      <c r="EQ25" s="17">
        <v>0.1</v>
      </c>
      <c r="ER25" s="17">
        <v>0.3</v>
      </c>
      <c r="ES25" s="17">
        <v>-0.2</v>
      </c>
      <c r="ET25" s="17">
        <v>-14.6</v>
      </c>
      <c r="EU25" s="17">
        <v>-0.5</v>
      </c>
      <c r="EV25" s="17">
        <v>2.2999999999999998</v>
      </c>
      <c r="EW25" s="17"/>
      <c r="EX25" s="17">
        <v>0.6</v>
      </c>
      <c r="EY25" s="17"/>
      <c r="EZ25" s="17"/>
      <c r="FA25" s="17">
        <v>0.1</v>
      </c>
      <c r="FB25" s="17">
        <v>0.2</v>
      </c>
      <c r="FC25" s="17">
        <v>1.9</v>
      </c>
      <c r="FD25" s="17">
        <v>1.7</v>
      </c>
      <c r="FE25" s="17">
        <v>1</v>
      </c>
      <c r="FF25" s="17">
        <v>0.2</v>
      </c>
      <c r="FG25" s="17"/>
      <c r="FH25" s="17">
        <v>2.8</v>
      </c>
      <c r="FI25" s="17"/>
      <c r="FJ25" s="17"/>
      <c r="FK25" s="17">
        <v>4.0999999999999996</v>
      </c>
      <c r="FL25" s="17"/>
      <c r="FM25" s="17">
        <v>154.50156999999999</v>
      </c>
      <c r="FN25" s="15"/>
      <c r="FO25" s="17">
        <v>0</v>
      </c>
      <c r="FP25" s="17">
        <v>1.3162499999999999</v>
      </c>
      <c r="FQ25" s="17">
        <v>0.32197999999999999</v>
      </c>
      <c r="FR25" s="17">
        <v>0.10612000000000001</v>
      </c>
      <c r="FS25" s="17">
        <v>-0.2</v>
      </c>
      <c r="FT25" s="17">
        <v>0.4</v>
      </c>
      <c r="FU25" s="17">
        <v>1.94435</v>
      </c>
    </row>
    <row r="26" spans="1:177" ht="24" customHeight="1" x14ac:dyDescent="0.3">
      <c r="A26" s="18" t="s">
        <v>67</v>
      </c>
      <c r="B26" s="18" t="s">
        <v>823</v>
      </c>
      <c r="C26" s="19">
        <v>-7.8</v>
      </c>
      <c r="D26" s="19">
        <v>-16.7</v>
      </c>
      <c r="E26" s="19">
        <v>6.9</v>
      </c>
      <c r="F26" s="19">
        <v>0</v>
      </c>
      <c r="G26" s="19">
        <v>0</v>
      </c>
      <c r="H26" s="19">
        <v>-4.4000000000000004</v>
      </c>
      <c r="I26" s="19">
        <v>0.2</v>
      </c>
      <c r="J26" s="19"/>
      <c r="K26" s="19">
        <v>0</v>
      </c>
      <c r="L26" s="19">
        <v>-16.5</v>
      </c>
      <c r="M26" s="19">
        <v>0</v>
      </c>
      <c r="N26" s="19">
        <v>11.3</v>
      </c>
      <c r="O26" s="19">
        <v>37.200000000000003</v>
      </c>
      <c r="P26" s="19">
        <v>26.7</v>
      </c>
      <c r="Q26" s="19">
        <v>36.299999999999997</v>
      </c>
      <c r="R26" s="19">
        <v>13</v>
      </c>
      <c r="S26" s="19"/>
      <c r="T26" s="19"/>
      <c r="U26" s="19"/>
      <c r="V26" s="19"/>
      <c r="W26" s="19">
        <v>-8.6999999999999993</v>
      </c>
      <c r="X26" s="19">
        <v>1.2</v>
      </c>
      <c r="Y26" s="19">
        <v>1.4</v>
      </c>
      <c r="Z26" s="19">
        <v>0</v>
      </c>
      <c r="AA26" s="19">
        <v>-3.2</v>
      </c>
      <c r="AB26" s="19">
        <v>14.9</v>
      </c>
      <c r="AC26" s="19"/>
      <c r="AD26" s="19"/>
      <c r="AE26" s="19"/>
      <c r="AF26" s="19"/>
      <c r="AG26" s="19">
        <v>-1.8</v>
      </c>
      <c r="AH26" s="19">
        <v>-4</v>
      </c>
      <c r="AI26" s="19"/>
      <c r="AJ26" s="19">
        <v>0</v>
      </c>
      <c r="AK26" s="19"/>
      <c r="AL26" s="19">
        <v>-1.1000000000000001</v>
      </c>
      <c r="AM26" s="19">
        <v>-18</v>
      </c>
      <c r="AN26" s="19">
        <v>3.5</v>
      </c>
      <c r="AO26" s="19">
        <v>10.6</v>
      </c>
      <c r="AP26" s="19">
        <v>10.3</v>
      </c>
      <c r="AQ26" s="19">
        <v>-1.8</v>
      </c>
      <c r="AR26" s="19">
        <v>2.6</v>
      </c>
      <c r="AS26" s="19">
        <v>1.1000000000000001</v>
      </c>
      <c r="AT26" s="19">
        <v>17.899999999999999</v>
      </c>
      <c r="AU26" s="19">
        <v>9.1</v>
      </c>
      <c r="AV26" s="19">
        <v>-41.8</v>
      </c>
      <c r="AW26" s="19">
        <v>3.4</v>
      </c>
      <c r="AX26" s="19">
        <v>-1.7</v>
      </c>
      <c r="AY26" s="19">
        <v>2.7</v>
      </c>
      <c r="AZ26" s="19">
        <v>1</v>
      </c>
      <c r="BA26" s="19">
        <v>0.2</v>
      </c>
      <c r="BB26" s="19">
        <v>-0.8</v>
      </c>
      <c r="BC26" s="19"/>
      <c r="BD26" s="19"/>
      <c r="BE26" s="19">
        <v>-0.4</v>
      </c>
      <c r="BF26" s="19">
        <v>0</v>
      </c>
      <c r="BG26" s="19"/>
      <c r="BH26" s="19">
        <v>2.2000000000000002</v>
      </c>
      <c r="BI26" s="19"/>
      <c r="BJ26" s="19"/>
      <c r="BK26" s="19"/>
      <c r="BL26" s="19">
        <v>5.9307999999999996</v>
      </c>
      <c r="BM26" s="19">
        <v>-23.6</v>
      </c>
      <c r="BN26" s="19">
        <v>-10.8</v>
      </c>
      <c r="BO26" s="19">
        <v>-6.3</v>
      </c>
      <c r="BP26" s="19">
        <v>-15.9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15.1</v>
      </c>
      <c r="CA26" s="19">
        <v>23.2</v>
      </c>
      <c r="CB26" s="19">
        <v>2.6</v>
      </c>
      <c r="CC26" s="19">
        <v>4.4000000000000004</v>
      </c>
      <c r="CD26" s="19">
        <v>0.1</v>
      </c>
      <c r="CE26" s="19">
        <v>0</v>
      </c>
      <c r="CF26" s="19"/>
      <c r="CG26" s="19"/>
      <c r="CH26" s="19">
        <v>36.6</v>
      </c>
      <c r="CI26" s="19">
        <v>39.799999999999997</v>
      </c>
      <c r="CJ26" s="19">
        <v>-11</v>
      </c>
      <c r="CK26" s="19">
        <v>0</v>
      </c>
      <c r="CL26" s="19"/>
      <c r="CM26" s="19"/>
      <c r="CN26" s="19"/>
      <c r="CO26" s="19"/>
      <c r="CP26" s="19">
        <v>4.0999999999999996</v>
      </c>
      <c r="CQ26" s="19">
        <v>-3.9</v>
      </c>
      <c r="CR26" s="19">
        <v>-2.2999999999999998</v>
      </c>
      <c r="CS26" s="19">
        <v>0.3</v>
      </c>
      <c r="CT26" s="19">
        <v>0.7</v>
      </c>
      <c r="CU26" s="19"/>
      <c r="CV26" s="19">
        <v>-5.7</v>
      </c>
      <c r="CW26" s="19">
        <v>6</v>
      </c>
      <c r="CX26" s="19"/>
      <c r="CY26" s="19"/>
      <c r="CZ26" s="19">
        <v>0.1</v>
      </c>
      <c r="DA26" s="19">
        <v>-0.1</v>
      </c>
      <c r="DB26" s="19">
        <v>0</v>
      </c>
      <c r="DC26" s="19">
        <v>15</v>
      </c>
      <c r="DD26" s="19"/>
      <c r="DE26" s="19"/>
      <c r="DF26" s="19">
        <v>-0.1</v>
      </c>
      <c r="DG26" s="19">
        <v>0.7</v>
      </c>
      <c r="DH26" s="19">
        <v>0.2</v>
      </c>
      <c r="DI26" s="19">
        <v>0.8</v>
      </c>
      <c r="DJ26" s="19">
        <v>0.1</v>
      </c>
      <c r="DK26" s="19"/>
      <c r="DL26" s="19"/>
      <c r="DM26" s="19">
        <v>0.1</v>
      </c>
      <c r="DN26" s="19">
        <v>0.1</v>
      </c>
      <c r="DO26" s="19">
        <v>-3.6</v>
      </c>
      <c r="DP26" s="19">
        <v>-3.7</v>
      </c>
      <c r="DQ26" s="19">
        <v>0.3</v>
      </c>
      <c r="DR26" s="19">
        <v>0</v>
      </c>
      <c r="DS26" s="19">
        <v>0.4</v>
      </c>
      <c r="DT26" s="19">
        <v>0.2</v>
      </c>
      <c r="DU26" s="19"/>
      <c r="DV26" s="19"/>
      <c r="DW26" s="19">
        <v>-2.7</v>
      </c>
      <c r="DX26" s="19">
        <v>0.2</v>
      </c>
      <c r="DY26" s="19">
        <v>0.6</v>
      </c>
      <c r="DZ26" s="19">
        <v>0.8</v>
      </c>
      <c r="EA26" s="19">
        <v>0.8</v>
      </c>
      <c r="EB26" s="19">
        <v>3.7</v>
      </c>
      <c r="EC26" s="19">
        <v>1.5</v>
      </c>
      <c r="ED26" s="19">
        <v>-8.9</v>
      </c>
      <c r="EE26" s="19">
        <v>-10.1</v>
      </c>
      <c r="EF26" s="19"/>
      <c r="EG26" s="19"/>
      <c r="EH26" s="19"/>
      <c r="EI26" s="19">
        <v>1.4</v>
      </c>
      <c r="EJ26" s="19">
        <v>0.2</v>
      </c>
      <c r="EK26" s="19">
        <v>1.2</v>
      </c>
      <c r="EL26" s="19">
        <v>0.2</v>
      </c>
      <c r="EM26" s="19">
        <v>0.2</v>
      </c>
      <c r="EN26" s="19">
        <v>0.2</v>
      </c>
      <c r="EO26" s="19"/>
      <c r="EP26" s="19">
        <v>32.5</v>
      </c>
      <c r="EQ26" s="19">
        <v>-0.1</v>
      </c>
      <c r="ER26" s="19">
        <v>-1.7</v>
      </c>
      <c r="ES26" s="19">
        <v>-0.2</v>
      </c>
      <c r="ET26" s="19">
        <v>-16.8</v>
      </c>
      <c r="EU26" s="19">
        <v>-0.5</v>
      </c>
      <c r="EV26" s="19">
        <v>-3.9</v>
      </c>
      <c r="EW26" s="19"/>
      <c r="EX26" s="19">
        <v>0.6</v>
      </c>
      <c r="EY26" s="19"/>
      <c r="EZ26" s="19"/>
      <c r="FA26" s="19">
        <v>0</v>
      </c>
      <c r="FB26" s="19">
        <v>1.2</v>
      </c>
      <c r="FC26" s="19">
        <v>2</v>
      </c>
      <c r="FD26" s="19">
        <v>1.7</v>
      </c>
      <c r="FE26" s="19">
        <v>1</v>
      </c>
      <c r="FF26" s="19">
        <v>0.6</v>
      </c>
      <c r="FG26" s="19"/>
      <c r="FH26" s="19">
        <v>2.7</v>
      </c>
      <c r="FI26" s="19"/>
      <c r="FJ26" s="19"/>
      <c r="FK26" s="19">
        <v>4.0999999999999996</v>
      </c>
      <c r="FL26" s="19"/>
      <c r="FM26" s="19">
        <v>166.9308</v>
      </c>
      <c r="FN26" s="15"/>
      <c r="FO26" s="19">
        <v>0</v>
      </c>
      <c r="FP26" s="19">
        <v>1.3934</v>
      </c>
      <c r="FQ26" s="19">
        <v>0.32208999999999999</v>
      </c>
      <c r="FR26" s="19">
        <v>0.22156000000000001</v>
      </c>
      <c r="FS26" s="19">
        <v>0.1</v>
      </c>
      <c r="FT26" s="19">
        <v>0</v>
      </c>
      <c r="FU26" s="19">
        <v>2.0370499999999998</v>
      </c>
    </row>
    <row r="27" spans="1:177" ht="24" customHeight="1" x14ac:dyDescent="0.3">
      <c r="A27" s="13" t="s">
        <v>67</v>
      </c>
      <c r="B27" s="13" t="s">
        <v>824</v>
      </c>
      <c r="C27" s="14">
        <v>-5.6</v>
      </c>
      <c r="D27" s="14">
        <v>7.1</v>
      </c>
      <c r="E27" s="14">
        <v>12.6</v>
      </c>
      <c r="F27" s="14">
        <v>0</v>
      </c>
      <c r="G27" s="14">
        <v>0</v>
      </c>
      <c r="H27" s="14">
        <v>-3.4</v>
      </c>
      <c r="I27" s="14">
        <v>19.5</v>
      </c>
      <c r="J27" s="14"/>
      <c r="K27" s="14">
        <v>0</v>
      </c>
      <c r="L27" s="14">
        <v>-8.9</v>
      </c>
      <c r="M27" s="14">
        <v>0</v>
      </c>
      <c r="N27" s="14">
        <v>21.3</v>
      </c>
      <c r="O27" s="14">
        <v>48.5</v>
      </c>
      <c r="P27" s="14">
        <v>34.299999999999997</v>
      </c>
      <c r="Q27" s="14">
        <v>41</v>
      </c>
      <c r="R27" s="14">
        <v>46.8</v>
      </c>
      <c r="S27" s="14"/>
      <c r="T27" s="14"/>
      <c r="U27" s="14"/>
      <c r="V27" s="14"/>
      <c r="W27" s="14">
        <v>0.8</v>
      </c>
      <c r="X27" s="14">
        <v>1.8</v>
      </c>
      <c r="Y27" s="14">
        <v>0.6</v>
      </c>
      <c r="Z27" s="14">
        <v>0</v>
      </c>
      <c r="AA27" s="14">
        <v>-3.3</v>
      </c>
      <c r="AB27" s="14">
        <v>21.1</v>
      </c>
      <c r="AC27" s="14"/>
      <c r="AD27" s="14"/>
      <c r="AE27" s="14"/>
      <c r="AF27" s="14"/>
      <c r="AG27" s="14">
        <v>-0.5</v>
      </c>
      <c r="AH27" s="14">
        <v>3.7</v>
      </c>
      <c r="AI27" s="14"/>
      <c r="AJ27" s="14">
        <v>0</v>
      </c>
      <c r="AK27" s="14"/>
      <c r="AL27" s="14">
        <v>-0.8</v>
      </c>
      <c r="AM27" s="14">
        <v>-6.4</v>
      </c>
      <c r="AN27" s="14">
        <v>6.1</v>
      </c>
      <c r="AO27" s="14">
        <v>11.1</v>
      </c>
      <c r="AP27" s="14">
        <v>8.8000000000000007</v>
      </c>
      <c r="AQ27" s="14">
        <v>-1.6</v>
      </c>
      <c r="AR27" s="14">
        <v>2.6</v>
      </c>
      <c r="AS27" s="14">
        <v>1.3</v>
      </c>
      <c r="AT27" s="14">
        <v>30.1</v>
      </c>
      <c r="AU27" s="14">
        <v>21.2</v>
      </c>
      <c r="AV27" s="14">
        <v>-39.6</v>
      </c>
      <c r="AW27" s="14">
        <v>9.1</v>
      </c>
      <c r="AX27" s="14">
        <v>-0.6</v>
      </c>
      <c r="AY27" s="14">
        <v>3.8</v>
      </c>
      <c r="AZ27" s="14">
        <v>1</v>
      </c>
      <c r="BA27" s="14">
        <v>0.3</v>
      </c>
      <c r="BB27" s="14">
        <v>-0.1</v>
      </c>
      <c r="BC27" s="14"/>
      <c r="BD27" s="14"/>
      <c r="BE27" s="14">
        <v>0</v>
      </c>
      <c r="BF27" s="14">
        <v>0</v>
      </c>
      <c r="BG27" s="14"/>
      <c r="BH27" s="14">
        <v>3.1</v>
      </c>
      <c r="BI27" s="14"/>
      <c r="BJ27" s="14"/>
      <c r="BK27" s="14"/>
      <c r="BL27" s="14">
        <v>5.4666600000000001</v>
      </c>
      <c r="BM27" s="14">
        <v>-13.9</v>
      </c>
      <c r="BN27" s="14">
        <v>-0.9</v>
      </c>
      <c r="BO27" s="14">
        <v>0</v>
      </c>
      <c r="BP27" s="14">
        <v>-5.7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-0.2</v>
      </c>
      <c r="BZ27" s="14">
        <v>33.299999999999997</v>
      </c>
      <c r="CA27" s="14">
        <v>32.9</v>
      </c>
      <c r="CB27" s="14">
        <v>7.6</v>
      </c>
      <c r="CC27" s="14">
        <v>9.6999999999999993</v>
      </c>
      <c r="CD27" s="14">
        <v>4.3</v>
      </c>
      <c r="CE27" s="14">
        <v>0</v>
      </c>
      <c r="CF27" s="14"/>
      <c r="CG27" s="14"/>
      <c r="CH27" s="14">
        <v>54.3</v>
      </c>
      <c r="CI27" s="14">
        <v>57.5</v>
      </c>
      <c r="CJ27" s="14">
        <v>5.7</v>
      </c>
      <c r="CK27" s="14">
        <v>0</v>
      </c>
      <c r="CL27" s="14"/>
      <c r="CM27" s="14"/>
      <c r="CN27" s="14"/>
      <c r="CO27" s="14"/>
      <c r="CP27" s="14">
        <v>14.1</v>
      </c>
      <c r="CQ27" s="14">
        <v>1.9</v>
      </c>
      <c r="CR27" s="14">
        <v>-2.4</v>
      </c>
      <c r="CS27" s="14">
        <v>0.5</v>
      </c>
      <c r="CT27" s="14">
        <v>0.9</v>
      </c>
      <c r="CU27" s="14"/>
      <c r="CV27" s="14">
        <v>-5.5</v>
      </c>
      <c r="CW27" s="14">
        <v>6.1</v>
      </c>
      <c r="CX27" s="14"/>
      <c r="CY27" s="14"/>
      <c r="CZ27" s="14">
        <v>0</v>
      </c>
      <c r="DA27" s="14">
        <v>-0.1</v>
      </c>
      <c r="DB27" s="14">
        <v>0</v>
      </c>
      <c r="DC27" s="14">
        <v>19.899999999999999</v>
      </c>
      <c r="DD27" s="14"/>
      <c r="DE27" s="14"/>
      <c r="DF27" s="14">
        <v>-0.1</v>
      </c>
      <c r="DG27" s="14">
        <v>0.9</v>
      </c>
      <c r="DH27" s="14">
        <v>0.2</v>
      </c>
      <c r="DI27" s="14">
        <v>1.3</v>
      </c>
      <c r="DJ27" s="14">
        <v>0.1</v>
      </c>
      <c r="DK27" s="14"/>
      <c r="DL27" s="14"/>
      <c r="DM27" s="14">
        <v>0.2</v>
      </c>
      <c r="DN27" s="14">
        <v>0</v>
      </c>
      <c r="DO27" s="14">
        <v>-3</v>
      </c>
      <c r="DP27" s="14">
        <v>-1.6</v>
      </c>
      <c r="DQ27" s="14">
        <v>0.1</v>
      </c>
      <c r="DR27" s="14">
        <v>0</v>
      </c>
      <c r="DS27" s="14">
        <v>0.1</v>
      </c>
      <c r="DT27" s="14">
        <v>0.2</v>
      </c>
      <c r="DU27" s="14"/>
      <c r="DV27" s="14"/>
      <c r="DW27" s="14">
        <v>-2.2999999999999998</v>
      </c>
      <c r="DX27" s="14">
        <v>0.1</v>
      </c>
      <c r="DY27" s="14">
        <v>0.6</v>
      </c>
      <c r="DZ27" s="14">
        <v>0.8</v>
      </c>
      <c r="EA27" s="14">
        <v>0.8</v>
      </c>
      <c r="EB27" s="14">
        <v>3.7</v>
      </c>
      <c r="EC27" s="14">
        <v>1.9</v>
      </c>
      <c r="ED27" s="14">
        <v>-6</v>
      </c>
      <c r="EE27" s="14">
        <v>-6.9</v>
      </c>
      <c r="EF27" s="14"/>
      <c r="EG27" s="14"/>
      <c r="EH27" s="14"/>
      <c r="EI27" s="14">
        <v>1.4</v>
      </c>
      <c r="EJ27" s="14">
        <v>0.2</v>
      </c>
      <c r="EK27" s="14">
        <v>1.2</v>
      </c>
      <c r="EL27" s="14">
        <v>0.2</v>
      </c>
      <c r="EM27" s="14">
        <v>0.2</v>
      </c>
      <c r="EN27" s="14">
        <v>0.2</v>
      </c>
      <c r="EO27" s="14"/>
      <c r="EP27" s="14">
        <v>29.8</v>
      </c>
      <c r="EQ27" s="14">
        <v>-0.4</v>
      </c>
      <c r="ER27" s="14">
        <v>-1.8</v>
      </c>
      <c r="ES27" s="14">
        <v>-0.2</v>
      </c>
      <c r="ET27" s="14">
        <v>-14.7</v>
      </c>
      <c r="EU27" s="14">
        <v>-0.3</v>
      </c>
      <c r="EV27" s="14">
        <v>12</v>
      </c>
      <c r="EW27" s="14"/>
      <c r="EX27" s="14">
        <v>0.6</v>
      </c>
      <c r="EY27" s="14"/>
      <c r="EZ27" s="14"/>
      <c r="FA27" s="14">
        <v>-0.2</v>
      </c>
      <c r="FB27" s="14">
        <v>1.2</v>
      </c>
      <c r="FC27" s="14">
        <v>2</v>
      </c>
      <c r="FD27" s="14">
        <v>1.8</v>
      </c>
      <c r="FE27" s="14">
        <v>1</v>
      </c>
      <c r="FF27" s="14">
        <v>0.3</v>
      </c>
      <c r="FG27" s="14"/>
      <c r="FH27" s="14">
        <v>5.4</v>
      </c>
      <c r="FI27" s="14"/>
      <c r="FJ27" s="14"/>
      <c r="FK27" s="14">
        <v>4.0999999999999996</v>
      </c>
      <c r="FL27" s="14"/>
      <c r="FM27" s="14">
        <v>547.36666000000002</v>
      </c>
      <c r="FN27" s="15"/>
      <c r="FO27" s="14">
        <v>0.249</v>
      </c>
      <c r="FP27" s="14">
        <v>1.3395600000000001</v>
      </c>
      <c r="FQ27" s="14">
        <v>0.31134000000000001</v>
      </c>
      <c r="FR27" s="14">
        <v>0.24728</v>
      </c>
      <c r="FS27" s="14">
        <v>0.4</v>
      </c>
      <c r="FT27" s="14">
        <v>0</v>
      </c>
      <c r="FU27" s="14">
        <v>2.54718</v>
      </c>
    </row>
    <row r="28" spans="1:177" ht="24" customHeight="1" x14ac:dyDescent="0.3">
      <c r="A28" s="16" t="s">
        <v>67</v>
      </c>
      <c r="B28" s="16" t="s">
        <v>825</v>
      </c>
      <c r="C28" s="17">
        <v>-4.5</v>
      </c>
      <c r="D28" s="17">
        <v>8.3000000000000007</v>
      </c>
      <c r="E28" s="17">
        <v>12.3</v>
      </c>
      <c r="F28" s="17">
        <v>0</v>
      </c>
      <c r="G28" s="17">
        <v>0</v>
      </c>
      <c r="H28" s="17">
        <v>-4.4000000000000004</v>
      </c>
      <c r="I28" s="17">
        <v>6.5</v>
      </c>
      <c r="J28" s="17"/>
      <c r="K28" s="17">
        <v>0</v>
      </c>
      <c r="L28" s="17">
        <v>5</v>
      </c>
      <c r="M28" s="17">
        <v>0</v>
      </c>
      <c r="N28" s="17">
        <v>13.5</v>
      </c>
      <c r="O28" s="17">
        <v>69.2</v>
      </c>
      <c r="P28" s="17">
        <v>19</v>
      </c>
      <c r="Q28" s="17">
        <v>30.9</v>
      </c>
      <c r="R28" s="17">
        <v>38.200000000000003</v>
      </c>
      <c r="S28" s="17"/>
      <c r="T28" s="17"/>
      <c r="U28" s="17"/>
      <c r="V28" s="17"/>
      <c r="W28" s="17">
        <v>2.5</v>
      </c>
      <c r="X28" s="17">
        <v>2.2000000000000002</v>
      </c>
      <c r="Y28" s="17">
        <v>1.5</v>
      </c>
      <c r="Z28" s="17">
        <v>0</v>
      </c>
      <c r="AA28" s="17">
        <v>-3.3</v>
      </c>
      <c r="AB28" s="17">
        <v>23.8</v>
      </c>
      <c r="AC28" s="17"/>
      <c r="AD28" s="17"/>
      <c r="AE28" s="17"/>
      <c r="AF28" s="17"/>
      <c r="AG28" s="17">
        <v>2.4</v>
      </c>
      <c r="AH28" s="17">
        <v>1.1000000000000001</v>
      </c>
      <c r="AI28" s="17"/>
      <c r="AJ28" s="17">
        <v>0</v>
      </c>
      <c r="AK28" s="17"/>
      <c r="AL28" s="17">
        <v>-1.5</v>
      </c>
      <c r="AM28" s="17">
        <v>-5.0999999999999996</v>
      </c>
      <c r="AN28" s="17">
        <v>6.9</v>
      </c>
      <c r="AO28" s="17">
        <v>12.1</v>
      </c>
      <c r="AP28" s="17">
        <v>10.3</v>
      </c>
      <c r="AQ28" s="17">
        <v>-0.6</v>
      </c>
      <c r="AR28" s="17">
        <v>2.6</v>
      </c>
      <c r="AS28" s="17">
        <v>0.2</v>
      </c>
      <c r="AT28" s="17">
        <v>24.7</v>
      </c>
      <c r="AU28" s="17">
        <v>15.8</v>
      </c>
      <c r="AV28" s="17">
        <v>-45.4</v>
      </c>
      <c r="AW28" s="17">
        <v>8.1999999999999993</v>
      </c>
      <c r="AX28" s="17">
        <v>0.6</v>
      </c>
      <c r="AY28" s="17">
        <v>4.3</v>
      </c>
      <c r="AZ28" s="17">
        <v>1</v>
      </c>
      <c r="BA28" s="17">
        <v>0.2</v>
      </c>
      <c r="BB28" s="17">
        <v>0.2</v>
      </c>
      <c r="BC28" s="17"/>
      <c r="BD28" s="17"/>
      <c r="BE28" s="17">
        <v>0</v>
      </c>
      <c r="BF28" s="17">
        <v>0</v>
      </c>
      <c r="BG28" s="17"/>
      <c r="BH28" s="17">
        <v>2.2999999999999998</v>
      </c>
      <c r="BI28" s="17"/>
      <c r="BJ28" s="17"/>
      <c r="BK28" s="17"/>
      <c r="BL28" s="17">
        <v>3.5677699999999999</v>
      </c>
      <c r="BM28" s="17">
        <v>0</v>
      </c>
      <c r="BN28" s="17">
        <v>0</v>
      </c>
      <c r="BO28" s="17">
        <v>0</v>
      </c>
      <c r="BP28" s="17">
        <v>19.8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-0.2</v>
      </c>
      <c r="BZ28" s="17">
        <v>34.5</v>
      </c>
      <c r="CA28" s="17">
        <v>34.9</v>
      </c>
      <c r="CB28" s="17">
        <v>8.9</v>
      </c>
      <c r="CC28" s="17">
        <v>9.6</v>
      </c>
      <c r="CD28" s="17">
        <v>5.7</v>
      </c>
      <c r="CE28" s="17">
        <v>0</v>
      </c>
      <c r="CF28" s="17"/>
      <c r="CG28" s="17"/>
      <c r="CH28" s="17">
        <v>55.8</v>
      </c>
      <c r="CI28" s="17">
        <v>66</v>
      </c>
      <c r="CJ28" s="17">
        <v>7.6</v>
      </c>
      <c r="CK28" s="17">
        <v>0</v>
      </c>
      <c r="CL28" s="17"/>
      <c r="CM28" s="17"/>
      <c r="CN28" s="17"/>
      <c r="CO28" s="17"/>
      <c r="CP28" s="17">
        <v>13.8</v>
      </c>
      <c r="CQ28" s="17">
        <v>1.7</v>
      </c>
      <c r="CR28" s="17">
        <v>-2.5</v>
      </c>
      <c r="CS28" s="17">
        <v>0.3</v>
      </c>
      <c r="CT28" s="17">
        <v>0.9</v>
      </c>
      <c r="CU28" s="17"/>
      <c r="CV28" s="17">
        <v>-5.5</v>
      </c>
      <c r="CW28" s="17">
        <v>6.2</v>
      </c>
      <c r="CX28" s="17"/>
      <c r="CY28" s="17"/>
      <c r="CZ28" s="17">
        <v>0.1</v>
      </c>
      <c r="DA28" s="17">
        <v>0</v>
      </c>
      <c r="DB28" s="17">
        <v>0</v>
      </c>
      <c r="DC28" s="17">
        <v>21.5</v>
      </c>
      <c r="DD28" s="17"/>
      <c r="DE28" s="17"/>
      <c r="DF28" s="17">
        <v>0</v>
      </c>
      <c r="DG28" s="17">
        <v>1</v>
      </c>
      <c r="DH28" s="17">
        <v>0.1</v>
      </c>
      <c r="DI28" s="17">
        <v>0.8</v>
      </c>
      <c r="DJ28" s="17">
        <v>0.1</v>
      </c>
      <c r="DK28" s="17"/>
      <c r="DL28" s="17"/>
      <c r="DM28" s="17">
        <v>0.3</v>
      </c>
      <c r="DN28" s="17">
        <v>0.2</v>
      </c>
      <c r="DO28" s="17">
        <v>-2.6</v>
      </c>
      <c r="DP28" s="17">
        <v>-0.8</v>
      </c>
      <c r="DQ28" s="17">
        <v>-0.2</v>
      </c>
      <c r="DR28" s="17">
        <v>0.1</v>
      </c>
      <c r="DS28" s="17">
        <v>0</v>
      </c>
      <c r="DT28" s="17">
        <v>0.2</v>
      </c>
      <c r="DU28" s="17"/>
      <c r="DV28" s="17"/>
      <c r="DW28" s="17">
        <v>-2.2999999999999998</v>
      </c>
      <c r="DX28" s="17">
        <v>0</v>
      </c>
      <c r="DY28" s="17">
        <v>0.6</v>
      </c>
      <c r="DZ28" s="17">
        <v>0.7</v>
      </c>
      <c r="EA28" s="17">
        <v>0.8</v>
      </c>
      <c r="EB28" s="17">
        <v>3.7</v>
      </c>
      <c r="EC28" s="17">
        <v>1.9</v>
      </c>
      <c r="ED28" s="17">
        <v>-9.1999999999999993</v>
      </c>
      <c r="EE28" s="17">
        <v>-10.199999999999999</v>
      </c>
      <c r="EF28" s="17"/>
      <c r="EG28" s="17"/>
      <c r="EH28" s="17"/>
      <c r="EI28" s="17">
        <v>1.4</v>
      </c>
      <c r="EJ28" s="17">
        <v>0.2</v>
      </c>
      <c r="EK28" s="17">
        <v>1.2</v>
      </c>
      <c r="EL28" s="17">
        <v>0.2</v>
      </c>
      <c r="EM28" s="17">
        <v>0.2</v>
      </c>
      <c r="EN28" s="17">
        <v>0.2</v>
      </c>
      <c r="EO28" s="17"/>
      <c r="EP28" s="17">
        <v>28.7</v>
      </c>
      <c r="EQ28" s="17">
        <v>-0.7</v>
      </c>
      <c r="ER28" s="17">
        <v>-1.9</v>
      </c>
      <c r="ES28" s="17">
        <v>-0.2</v>
      </c>
      <c r="ET28" s="17">
        <v>-14.3</v>
      </c>
      <c r="EU28" s="17">
        <v>-0.2</v>
      </c>
      <c r="EV28" s="17">
        <v>19.899999999999999</v>
      </c>
      <c r="EW28" s="17"/>
      <c r="EX28" s="17">
        <v>0.6</v>
      </c>
      <c r="EY28" s="17"/>
      <c r="EZ28" s="17"/>
      <c r="FA28" s="17">
        <v>-0.4</v>
      </c>
      <c r="FB28" s="17">
        <v>1.2</v>
      </c>
      <c r="FC28" s="17">
        <v>2</v>
      </c>
      <c r="FD28" s="17">
        <v>1.7</v>
      </c>
      <c r="FE28" s="17">
        <v>1.1000000000000001</v>
      </c>
      <c r="FF28" s="17">
        <v>0.6</v>
      </c>
      <c r="FG28" s="17"/>
      <c r="FH28" s="17">
        <v>5.6</v>
      </c>
      <c r="FI28" s="17"/>
      <c r="FJ28" s="17"/>
      <c r="FK28" s="17">
        <v>4.0999999999999996</v>
      </c>
      <c r="FL28" s="17"/>
      <c r="FM28" s="17">
        <v>580.06777</v>
      </c>
      <c r="FN28" s="15"/>
      <c r="FO28" s="17">
        <v>-0.28499999999999998</v>
      </c>
      <c r="FP28" s="17">
        <v>1.29057</v>
      </c>
      <c r="FQ28" s="17">
        <v>0.29619000000000001</v>
      </c>
      <c r="FR28" s="17">
        <v>0.25775999999999999</v>
      </c>
      <c r="FS28" s="17">
        <v>0.1</v>
      </c>
      <c r="FT28" s="17">
        <v>0</v>
      </c>
      <c r="FU28" s="17">
        <v>1.6595200000000001</v>
      </c>
    </row>
    <row r="29" spans="1:177" ht="24" customHeight="1" x14ac:dyDescent="0.3">
      <c r="A29" s="16" t="s">
        <v>67</v>
      </c>
      <c r="B29" s="16" t="s">
        <v>826</v>
      </c>
      <c r="C29" s="17">
        <v>-5.0999999999999996</v>
      </c>
      <c r="D29" s="17">
        <v>44.4</v>
      </c>
      <c r="E29" s="17">
        <v>20.100000000000001</v>
      </c>
      <c r="F29" s="17">
        <v>0</v>
      </c>
      <c r="G29" s="17">
        <v>0</v>
      </c>
      <c r="H29" s="17">
        <v>-6.1</v>
      </c>
      <c r="I29" s="17">
        <v>19.100000000000001</v>
      </c>
      <c r="J29" s="17"/>
      <c r="K29" s="17">
        <v>0</v>
      </c>
      <c r="L29" s="17">
        <v>12.9</v>
      </c>
      <c r="M29" s="17">
        <v>0</v>
      </c>
      <c r="N29" s="17">
        <v>23.1</v>
      </c>
      <c r="O29" s="17">
        <v>80</v>
      </c>
      <c r="P29" s="17">
        <v>26</v>
      </c>
      <c r="Q29" s="17">
        <v>35.4</v>
      </c>
      <c r="R29" s="17">
        <v>51.4</v>
      </c>
      <c r="S29" s="17"/>
      <c r="T29" s="17"/>
      <c r="U29" s="17"/>
      <c r="V29" s="17"/>
      <c r="W29" s="17">
        <v>-1.1000000000000001</v>
      </c>
      <c r="X29" s="17">
        <v>2.2999999999999998</v>
      </c>
      <c r="Y29" s="17">
        <v>1.4</v>
      </c>
      <c r="Z29" s="17">
        <v>0</v>
      </c>
      <c r="AA29" s="17">
        <v>-3.2</v>
      </c>
      <c r="AB29" s="17">
        <v>25.7</v>
      </c>
      <c r="AC29" s="17"/>
      <c r="AD29" s="17"/>
      <c r="AE29" s="17"/>
      <c r="AF29" s="17"/>
      <c r="AG29" s="17">
        <v>3.3</v>
      </c>
      <c r="AH29" s="17">
        <v>7.2</v>
      </c>
      <c r="AI29" s="17"/>
      <c r="AJ29" s="17">
        <v>0</v>
      </c>
      <c r="AK29" s="17"/>
      <c r="AL29" s="17">
        <v>-1.2</v>
      </c>
      <c r="AM29" s="17">
        <v>-2.6</v>
      </c>
      <c r="AN29" s="17">
        <v>7.8</v>
      </c>
      <c r="AO29" s="17">
        <v>11.9</v>
      </c>
      <c r="AP29" s="17">
        <v>9.9</v>
      </c>
      <c r="AQ29" s="17">
        <v>0.9</v>
      </c>
      <c r="AR29" s="17">
        <v>2.6</v>
      </c>
      <c r="AS29" s="17">
        <v>0.6</v>
      </c>
      <c r="AT29" s="17">
        <v>37.700000000000003</v>
      </c>
      <c r="AU29" s="17">
        <v>28.7</v>
      </c>
      <c r="AV29" s="17">
        <v>-41.8</v>
      </c>
      <c r="AW29" s="17">
        <v>8</v>
      </c>
      <c r="AX29" s="17">
        <v>-1.6</v>
      </c>
      <c r="AY29" s="17">
        <v>4.2</v>
      </c>
      <c r="AZ29" s="17">
        <v>1</v>
      </c>
      <c r="BA29" s="17">
        <v>0.3</v>
      </c>
      <c r="BB29" s="17">
        <v>-0.6</v>
      </c>
      <c r="BC29" s="17"/>
      <c r="BD29" s="17"/>
      <c r="BE29" s="17">
        <v>0</v>
      </c>
      <c r="BF29" s="17">
        <v>0</v>
      </c>
      <c r="BG29" s="17"/>
      <c r="BH29" s="17">
        <v>1.4</v>
      </c>
      <c r="BI29" s="17"/>
      <c r="BJ29" s="17"/>
      <c r="BK29" s="17"/>
      <c r="BL29" s="17">
        <v>6.7481</v>
      </c>
      <c r="BM29" s="17">
        <v>0</v>
      </c>
      <c r="BN29" s="17">
        <v>0</v>
      </c>
      <c r="BO29" s="17">
        <v>0</v>
      </c>
      <c r="BP29" s="17">
        <v>27.2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-0.1</v>
      </c>
      <c r="BZ29" s="17">
        <v>38.4</v>
      </c>
      <c r="CA29" s="17">
        <v>35.299999999999997</v>
      </c>
      <c r="CB29" s="17">
        <v>9.1999999999999993</v>
      </c>
      <c r="CC29" s="17">
        <v>13.6</v>
      </c>
      <c r="CD29" s="17">
        <v>7.2</v>
      </c>
      <c r="CE29" s="17">
        <v>0</v>
      </c>
      <c r="CF29" s="17"/>
      <c r="CG29" s="17"/>
      <c r="CH29" s="17">
        <v>51</v>
      </c>
      <c r="CI29" s="17">
        <v>61</v>
      </c>
      <c r="CJ29" s="17">
        <v>0.6</v>
      </c>
      <c r="CK29" s="17">
        <v>0</v>
      </c>
      <c r="CL29" s="17"/>
      <c r="CM29" s="17"/>
      <c r="CN29" s="17"/>
      <c r="CO29" s="17"/>
      <c r="CP29" s="17">
        <v>23.9</v>
      </c>
      <c r="CQ29" s="17">
        <v>7.6</v>
      </c>
      <c r="CR29" s="17">
        <v>-2.4</v>
      </c>
      <c r="CS29" s="17">
        <v>0.3</v>
      </c>
      <c r="CT29" s="17">
        <v>0.8</v>
      </c>
      <c r="CU29" s="17"/>
      <c r="CV29" s="17">
        <v>-5.5</v>
      </c>
      <c r="CW29" s="17">
        <v>6.5</v>
      </c>
      <c r="CX29" s="17"/>
      <c r="CY29" s="17"/>
      <c r="CZ29" s="17">
        <v>0</v>
      </c>
      <c r="DA29" s="17">
        <v>-0.1</v>
      </c>
      <c r="DB29" s="17">
        <v>-0.8</v>
      </c>
      <c r="DC29" s="17">
        <v>23.4</v>
      </c>
      <c r="DD29" s="17"/>
      <c r="DE29" s="17"/>
      <c r="DF29" s="17">
        <v>-0.1</v>
      </c>
      <c r="DG29" s="17">
        <v>1</v>
      </c>
      <c r="DH29" s="17">
        <v>0.2</v>
      </c>
      <c r="DI29" s="17">
        <v>0.6</v>
      </c>
      <c r="DJ29" s="17">
        <v>0.1</v>
      </c>
      <c r="DK29" s="17"/>
      <c r="DL29" s="17"/>
      <c r="DM29" s="17">
        <v>0.7</v>
      </c>
      <c r="DN29" s="17">
        <v>0.5</v>
      </c>
      <c r="DO29" s="17">
        <v>-2.2000000000000002</v>
      </c>
      <c r="DP29" s="17">
        <v>-0.1</v>
      </c>
      <c r="DQ29" s="17">
        <v>-1.4</v>
      </c>
      <c r="DR29" s="17">
        <v>0</v>
      </c>
      <c r="DS29" s="17">
        <v>0</v>
      </c>
      <c r="DT29" s="17">
        <v>0.2</v>
      </c>
      <c r="DU29" s="17"/>
      <c r="DV29" s="17"/>
      <c r="DW29" s="17">
        <v>-1.9</v>
      </c>
      <c r="DX29" s="17">
        <v>0.5</v>
      </c>
      <c r="DY29" s="17">
        <v>0.6</v>
      </c>
      <c r="DZ29" s="17">
        <v>0.8</v>
      </c>
      <c r="EA29" s="17">
        <v>0.8</v>
      </c>
      <c r="EB29" s="17">
        <v>3.7</v>
      </c>
      <c r="EC29" s="17">
        <v>1.9</v>
      </c>
      <c r="ED29" s="17">
        <v>-6.4</v>
      </c>
      <c r="EE29" s="17">
        <v>-7.7</v>
      </c>
      <c r="EF29" s="17"/>
      <c r="EG29" s="17"/>
      <c r="EH29" s="17"/>
      <c r="EI29" s="17">
        <v>1.4</v>
      </c>
      <c r="EJ29" s="17">
        <v>0.2</v>
      </c>
      <c r="EK29" s="17">
        <v>1.2</v>
      </c>
      <c r="EL29" s="17">
        <v>0.2</v>
      </c>
      <c r="EM29" s="17">
        <v>0.2</v>
      </c>
      <c r="EN29" s="17">
        <v>0.2</v>
      </c>
      <c r="EO29" s="17"/>
      <c r="EP29" s="17">
        <v>26.8</v>
      </c>
      <c r="EQ29" s="17">
        <v>-0.9</v>
      </c>
      <c r="ER29" s="17">
        <v>-1.8</v>
      </c>
      <c r="ES29" s="17">
        <v>-0.2</v>
      </c>
      <c r="ET29" s="17">
        <v>-13.6</v>
      </c>
      <c r="EU29" s="17">
        <v>-0.2</v>
      </c>
      <c r="EV29" s="17">
        <v>17.5</v>
      </c>
      <c r="EW29" s="17"/>
      <c r="EX29" s="17">
        <v>0.6</v>
      </c>
      <c r="EY29" s="17"/>
      <c r="EZ29" s="17"/>
      <c r="FA29" s="17">
        <v>-0.6</v>
      </c>
      <c r="FB29" s="17">
        <v>1.2</v>
      </c>
      <c r="FC29" s="17">
        <v>1.8</v>
      </c>
      <c r="FD29" s="17">
        <v>1.7</v>
      </c>
      <c r="FE29" s="17">
        <v>1.4</v>
      </c>
      <c r="FF29" s="17">
        <v>0.4</v>
      </c>
      <c r="FG29" s="17"/>
      <c r="FH29" s="17">
        <v>5.5</v>
      </c>
      <c r="FI29" s="17"/>
      <c r="FJ29" s="17"/>
      <c r="FK29" s="17">
        <v>4.3</v>
      </c>
      <c r="FL29" s="17"/>
      <c r="FM29" s="17">
        <v>746.94809999999995</v>
      </c>
      <c r="FN29" s="15"/>
      <c r="FO29" s="17">
        <v>-0.34899999999999998</v>
      </c>
      <c r="FP29" s="17">
        <v>1.32806</v>
      </c>
      <c r="FQ29" s="17">
        <v>0.29263</v>
      </c>
      <c r="FR29" s="17">
        <v>0.29060999999999998</v>
      </c>
      <c r="FS29" s="17">
        <v>0.2</v>
      </c>
      <c r="FT29" s="17">
        <v>0</v>
      </c>
      <c r="FU29" s="17">
        <v>1.7623</v>
      </c>
    </row>
    <row r="30" spans="1:177" ht="24" customHeight="1" x14ac:dyDescent="0.3">
      <c r="A30" s="16" t="s">
        <v>67</v>
      </c>
      <c r="B30" s="16" t="s">
        <v>827</v>
      </c>
      <c r="C30" s="17">
        <v>-4.2</v>
      </c>
      <c r="D30" s="17">
        <v>43.8</v>
      </c>
      <c r="E30" s="17">
        <v>19.7</v>
      </c>
      <c r="F30" s="17">
        <v>0</v>
      </c>
      <c r="G30" s="17">
        <v>0</v>
      </c>
      <c r="H30" s="17">
        <v>-5.7</v>
      </c>
      <c r="I30" s="17">
        <v>15.6</v>
      </c>
      <c r="J30" s="17"/>
      <c r="K30" s="17">
        <v>0</v>
      </c>
      <c r="L30" s="17">
        <v>11.5</v>
      </c>
      <c r="M30" s="17">
        <v>0</v>
      </c>
      <c r="N30" s="17">
        <v>22.1</v>
      </c>
      <c r="O30" s="17">
        <v>77.599999999999994</v>
      </c>
      <c r="P30" s="17">
        <v>24.6</v>
      </c>
      <c r="Q30" s="17">
        <v>34.200000000000003</v>
      </c>
      <c r="R30" s="17">
        <v>47.9</v>
      </c>
      <c r="S30" s="17"/>
      <c r="T30" s="17"/>
      <c r="U30" s="17"/>
      <c r="V30" s="17"/>
      <c r="W30" s="17">
        <v>-1.4</v>
      </c>
      <c r="X30" s="17">
        <v>1.8</v>
      </c>
      <c r="Y30" s="17">
        <v>0.1</v>
      </c>
      <c r="Z30" s="17">
        <v>0</v>
      </c>
      <c r="AA30" s="17">
        <v>-3.2</v>
      </c>
      <c r="AB30" s="17">
        <v>26.7</v>
      </c>
      <c r="AC30" s="17"/>
      <c r="AD30" s="17"/>
      <c r="AE30" s="17"/>
      <c r="AF30" s="17"/>
      <c r="AG30" s="17">
        <v>5.8</v>
      </c>
      <c r="AH30" s="17">
        <v>8</v>
      </c>
      <c r="AI30" s="17"/>
      <c r="AJ30" s="17">
        <v>0</v>
      </c>
      <c r="AK30" s="17"/>
      <c r="AL30" s="17">
        <v>-1.1000000000000001</v>
      </c>
      <c r="AM30" s="17">
        <v>-1.7</v>
      </c>
      <c r="AN30" s="17">
        <v>8</v>
      </c>
      <c r="AO30" s="17">
        <v>11.2</v>
      </c>
      <c r="AP30" s="17">
        <v>9.8000000000000007</v>
      </c>
      <c r="AQ30" s="17">
        <v>-0.5</v>
      </c>
      <c r="AR30" s="17">
        <v>2.6</v>
      </c>
      <c r="AS30" s="17">
        <v>1.9</v>
      </c>
      <c r="AT30" s="17">
        <v>35.6</v>
      </c>
      <c r="AU30" s="17">
        <v>26.6</v>
      </c>
      <c r="AV30" s="17">
        <v>-43.9</v>
      </c>
      <c r="AW30" s="17">
        <v>11.8</v>
      </c>
      <c r="AX30" s="17">
        <v>0.5</v>
      </c>
      <c r="AY30" s="17">
        <v>-0.7</v>
      </c>
      <c r="AZ30" s="17">
        <v>1</v>
      </c>
      <c r="BA30" s="17">
        <v>0.1</v>
      </c>
      <c r="BB30" s="17">
        <v>3.9</v>
      </c>
      <c r="BC30" s="17"/>
      <c r="BD30" s="17"/>
      <c r="BE30" s="17">
        <v>0</v>
      </c>
      <c r="BF30" s="17">
        <v>0</v>
      </c>
      <c r="BG30" s="17"/>
      <c r="BH30" s="17">
        <v>2.7</v>
      </c>
      <c r="BI30" s="17"/>
      <c r="BJ30" s="17"/>
      <c r="BK30" s="17"/>
      <c r="BL30" s="17">
        <v>4.5815000000000001</v>
      </c>
      <c r="BM30" s="17">
        <v>0</v>
      </c>
      <c r="BN30" s="17">
        <v>0</v>
      </c>
      <c r="BO30" s="17">
        <v>0</v>
      </c>
      <c r="BP30" s="17">
        <v>23.7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-0.5</v>
      </c>
      <c r="BZ30" s="17">
        <v>37.6</v>
      </c>
      <c r="CA30" s="17">
        <v>35.299999999999997</v>
      </c>
      <c r="CB30" s="17">
        <v>9.6999999999999993</v>
      </c>
      <c r="CC30" s="17">
        <v>13.6</v>
      </c>
      <c r="CD30" s="17">
        <v>7.9</v>
      </c>
      <c r="CE30" s="17">
        <v>0</v>
      </c>
      <c r="CF30" s="17"/>
      <c r="CG30" s="17"/>
      <c r="CH30" s="17">
        <v>51.2</v>
      </c>
      <c r="CI30" s="17">
        <v>61.2</v>
      </c>
      <c r="CJ30" s="17">
        <v>-0.2</v>
      </c>
      <c r="CK30" s="17">
        <v>0</v>
      </c>
      <c r="CL30" s="17"/>
      <c r="CM30" s="17"/>
      <c r="CN30" s="17"/>
      <c r="CO30" s="17"/>
      <c r="CP30" s="17">
        <v>25.1</v>
      </c>
      <c r="CQ30" s="17">
        <v>8.3000000000000007</v>
      </c>
      <c r="CR30" s="17">
        <v>-2.7</v>
      </c>
      <c r="CS30" s="17">
        <v>0.4</v>
      </c>
      <c r="CT30" s="17">
        <v>0.9</v>
      </c>
      <c r="CU30" s="17"/>
      <c r="CV30" s="17">
        <v>-5.5</v>
      </c>
      <c r="CW30" s="17">
        <v>6.7</v>
      </c>
      <c r="CX30" s="17"/>
      <c r="CY30" s="17"/>
      <c r="CZ30" s="17">
        <v>0.1</v>
      </c>
      <c r="DA30" s="17">
        <v>-0.1</v>
      </c>
      <c r="DB30" s="17">
        <v>-0.9</v>
      </c>
      <c r="DC30" s="17">
        <v>23.3</v>
      </c>
      <c r="DD30" s="17"/>
      <c r="DE30" s="17"/>
      <c r="DF30" s="17">
        <v>-0.1</v>
      </c>
      <c r="DG30" s="17">
        <v>1</v>
      </c>
      <c r="DH30" s="17">
        <v>0.1</v>
      </c>
      <c r="DI30" s="17">
        <v>1.4</v>
      </c>
      <c r="DJ30" s="17">
        <v>0.1</v>
      </c>
      <c r="DK30" s="17"/>
      <c r="DL30" s="17"/>
      <c r="DM30" s="17">
        <v>0.8</v>
      </c>
      <c r="DN30" s="17">
        <v>0.5</v>
      </c>
      <c r="DO30" s="17">
        <v>-2.6</v>
      </c>
      <c r="DP30" s="17">
        <v>-0.6</v>
      </c>
      <c r="DQ30" s="17">
        <v>-2.4</v>
      </c>
      <c r="DR30" s="17">
        <v>0.1</v>
      </c>
      <c r="DS30" s="17">
        <v>0</v>
      </c>
      <c r="DT30" s="17">
        <v>0.2</v>
      </c>
      <c r="DU30" s="17"/>
      <c r="DV30" s="17"/>
      <c r="DW30" s="17">
        <v>-1.8</v>
      </c>
      <c r="DX30" s="17">
        <v>0.6</v>
      </c>
      <c r="DY30" s="17">
        <v>0.6</v>
      </c>
      <c r="DZ30" s="17">
        <v>0.8</v>
      </c>
      <c r="EA30" s="17">
        <v>0.8</v>
      </c>
      <c r="EB30" s="17">
        <v>3.7</v>
      </c>
      <c r="EC30" s="17">
        <v>1.8</v>
      </c>
      <c r="ED30" s="17">
        <v>-7.7</v>
      </c>
      <c r="EE30" s="17">
        <v>-9.6</v>
      </c>
      <c r="EF30" s="17"/>
      <c r="EG30" s="17"/>
      <c r="EH30" s="17"/>
      <c r="EI30" s="17">
        <v>1.4</v>
      </c>
      <c r="EJ30" s="17">
        <v>0.2</v>
      </c>
      <c r="EK30" s="17">
        <v>1.2</v>
      </c>
      <c r="EL30" s="17">
        <v>0.2</v>
      </c>
      <c r="EM30" s="17">
        <v>0.2</v>
      </c>
      <c r="EN30" s="17">
        <v>0.2</v>
      </c>
      <c r="EO30" s="17"/>
      <c r="EP30" s="17">
        <v>28</v>
      </c>
      <c r="EQ30" s="17">
        <v>-1.1000000000000001</v>
      </c>
      <c r="ER30" s="17">
        <v>-1.7</v>
      </c>
      <c r="ES30" s="17">
        <v>-0.2</v>
      </c>
      <c r="ET30" s="17">
        <v>0</v>
      </c>
      <c r="EU30" s="17">
        <v>-1.4</v>
      </c>
      <c r="EV30" s="17">
        <v>21</v>
      </c>
      <c r="EW30" s="17"/>
      <c r="EX30" s="17">
        <v>0.6</v>
      </c>
      <c r="EY30" s="17"/>
      <c r="EZ30" s="17"/>
      <c r="FA30" s="17">
        <v>-0.8</v>
      </c>
      <c r="FB30" s="17">
        <v>1.2</v>
      </c>
      <c r="FC30" s="17">
        <v>1.6</v>
      </c>
      <c r="FD30" s="17">
        <v>1.3</v>
      </c>
      <c r="FE30" s="17">
        <v>1.7</v>
      </c>
      <c r="FF30" s="17">
        <v>0.6</v>
      </c>
      <c r="FG30" s="17"/>
      <c r="FH30" s="17">
        <v>3.8</v>
      </c>
      <c r="FI30" s="17"/>
      <c r="FJ30" s="17"/>
      <c r="FK30" s="17">
        <v>4.3</v>
      </c>
      <c r="FL30" s="17"/>
      <c r="FM30" s="17">
        <v>742.38149999999996</v>
      </c>
      <c r="FN30" s="15"/>
      <c r="FO30" s="17">
        <v>-9.6000000000000002E-2</v>
      </c>
      <c r="FP30" s="17">
        <v>1.3180700000000001</v>
      </c>
      <c r="FQ30" s="17">
        <v>0.29402</v>
      </c>
      <c r="FR30" s="17">
        <v>0.26079999999999998</v>
      </c>
      <c r="FS30" s="17">
        <v>0.4</v>
      </c>
      <c r="FT30" s="17">
        <v>0</v>
      </c>
      <c r="FU30" s="17">
        <v>2.1768900000000002</v>
      </c>
    </row>
    <row r="31" spans="1:177" ht="24" customHeight="1" x14ac:dyDescent="0.3">
      <c r="A31" s="16" t="s">
        <v>67</v>
      </c>
      <c r="B31" s="16" t="s">
        <v>828</v>
      </c>
      <c r="C31" s="17">
        <v>-8.1999999999999993</v>
      </c>
      <c r="D31" s="17">
        <v>52.9</v>
      </c>
      <c r="E31" s="17">
        <v>22.6</v>
      </c>
      <c r="F31" s="17">
        <v>0</v>
      </c>
      <c r="G31" s="17">
        <v>0</v>
      </c>
      <c r="H31" s="17">
        <v>-3.9</v>
      </c>
      <c r="I31" s="17">
        <v>21.5</v>
      </c>
      <c r="J31" s="17"/>
      <c r="K31" s="17">
        <v>0</v>
      </c>
      <c r="L31" s="17">
        <v>15.4</v>
      </c>
      <c r="M31" s="17">
        <v>0</v>
      </c>
      <c r="N31" s="17">
        <v>26.6</v>
      </c>
      <c r="O31" s="17">
        <v>83.4</v>
      </c>
      <c r="P31" s="17">
        <v>25.1</v>
      </c>
      <c r="Q31" s="17">
        <v>34.5</v>
      </c>
      <c r="R31" s="17">
        <v>51.1</v>
      </c>
      <c r="S31" s="17"/>
      <c r="T31" s="17"/>
      <c r="U31" s="17"/>
      <c r="V31" s="17"/>
      <c r="W31" s="17">
        <v>-2.1</v>
      </c>
      <c r="X31" s="17">
        <v>1</v>
      </c>
      <c r="Y31" s="17">
        <v>0.3</v>
      </c>
      <c r="Z31" s="17">
        <v>0</v>
      </c>
      <c r="AA31" s="17">
        <v>-3.2</v>
      </c>
      <c r="AB31" s="17">
        <v>26.4</v>
      </c>
      <c r="AC31" s="17"/>
      <c r="AD31" s="17"/>
      <c r="AE31" s="17"/>
      <c r="AF31" s="17"/>
      <c r="AG31" s="17">
        <v>4.2</v>
      </c>
      <c r="AH31" s="17">
        <v>7.8</v>
      </c>
      <c r="AI31" s="17"/>
      <c r="AJ31" s="17">
        <v>0</v>
      </c>
      <c r="AK31" s="17"/>
      <c r="AL31" s="17">
        <v>-1</v>
      </c>
      <c r="AM31" s="17">
        <v>-2.8</v>
      </c>
      <c r="AN31" s="17">
        <v>8.1999999999999993</v>
      </c>
      <c r="AO31" s="17">
        <v>25.8</v>
      </c>
      <c r="AP31" s="17">
        <v>9.8000000000000007</v>
      </c>
      <c r="AQ31" s="17">
        <v>-0.2</v>
      </c>
      <c r="AR31" s="17">
        <v>2.6</v>
      </c>
      <c r="AS31" s="17">
        <v>0.6</v>
      </c>
      <c r="AT31" s="17">
        <v>38.1</v>
      </c>
      <c r="AU31" s="17">
        <v>28.9</v>
      </c>
      <c r="AV31" s="17">
        <v>-41.9</v>
      </c>
      <c r="AW31" s="17">
        <v>9.1</v>
      </c>
      <c r="AX31" s="17">
        <v>0.1</v>
      </c>
      <c r="AY31" s="17">
        <v>-0.7</v>
      </c>
      <c r="AZ31" s="17">
        <v>1</v>
      </c>
      <c r="BA31" s="17">
        <v>0.2</v>
      </c>
      <c r="BB31" s="17">
        <v>0.4</v>
      </c>
      <c r="BC31" s="17"/>
      <c r="BD31" s="17"/>
      <c r="BE31" s="17">
        <v>0</v>
      </c>
      <c r="BF31" s="17">
        <v>0</v>
      </c>
      <c r="BG31" s="17"/>
      <c r="BH31" s="17">
        <v>4.2</v>
      </c>
      <c r="BI31" s="17"/>
      <c r="BJ31" s="17"/>
      <c r="BK31" s="17"/>
      <c r="BL31" s="17">
        <v>5.5537999999999998</v>
      </c>
      <c r="BM31" s="17">
        <v>0</v>
      </c>
      <c r="BN31" s="17">
        <v>0</v>
      </c>
      <c r="BO31" s="17">
        <v>0</v>
      </c>
      <c r="BP31" s="17">
        <v>22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-0.2</v>
      </c>
      <c r="BZ31" s="17">
        <v>58</v>
      </c>
      <c r="CA31" s="17">
        <v>34.799999999999997</v>
      </c>
      <c r="CB31" s="17">
        <v>10</v>
      </c>
      <c r="CC31" s="17">
        <v>13.6</v>
      </c>
      <c r="CD31" s="17">
        <v>8</v>
      </c>
      <c r="CE31" s="17">
        <v>0</v>
      </c>
      <c r="CF31" s="17"/>
      <c r="CG31" s="17"/>
      <c r="CH31" s="17">
        <v>53.4</v>
      </c>
      <c r="CI31" s="17">
        <v>63.5</v>
      </c>
      <c r="CJ31" s="17">
        <v>3.7</v>
      </c>
      <c r="CK31" s="17">
        <v>0</v>
      </c>
      <c r="CL31" s="17"/>
      <c r="CM31" s="17"/>
      <c r="CN31" s="17"/>
      <c r="CO31" s="17"/>
      <c r="CP31" s="17">
        <v>23.9</v>
      </c>
      <c r="CQ31" s="17">
        <v>7.4</v>
      </c>
      <c r="CR31" s="17">
        <v>-2.7</v>
      </c>
      <c r="CS31" s="17">
        <v>0.3</v>
      </c>
      <c r="CT31" s="17">
        <v>0.9</v>
      </c>
      <c r="CU31" s="17"/>
      <c r="CV31" s="17">
        <v>-5.4</v>
      </c>
      <c r="CW31" s="17">
        <v>6.3</v>
      </c>
      <c r="CX31" s="17"/>
      <c r="CY31" s="17"/>
      <c r="CZ31" s="17">
        <v>0</v>
      </c>
      <c r="DA31" s="17">
        <v>-0.1</v>
      </c>
      <c r="DB31" s="17">
        <v>-0.8</v>
      </c>
      <c r="DC31" s="17">
        <v>22.1</v>
      </c>
      <c r="DD31" s="17"/>
      <c r="DE31" s="17"/>
      <c r="DF31" s="17">
        <v>-0.1</v>
      </c>
      <c r="DG31" s="17">
        <v>0.8</v>
      </c>
      <c r="DH31" s="17">
        <v>0.2</v>
      </c>
      <c r="DI31" s="17">
        <v>0.6</v>
      </c>
      <c r="DJ31" s="17">
        <v>0.1</v>
      </c>
      <c r="DK31" s="17"/>
      <c r="DL31" s="17"/>
      <c r="DM31" s="17">
        <v>0.7</v>
      </c>
      <c r="DN31" s="17">
        <v>0.5</v>
      </c>
      <c r="DO31" s="17">
        <v>-3.1</v>
      </c>
      <c r="DP31" s="17">
        <v>-1.5</v>
      </c>
      <c r="DQ31" s="17">
        <v>-2.4</v>
      </c>
      <c r="DR31" s="17">
        <v>0</v>
      </c>
      <c r="DS31" s="17">
        <v>0</v>
      </c>
      <c r="DT31" s="17">
        <v>0.2</v>
      </c>
      <c r="DU31" s="17"/>
      <c r="DV31" s="17"/>
      <c r="DW31" s="17">
        <v>-1.8</v>
      </c>
      <c r="DX31" s="17">
        <v>0.4</v>
      </c>
      <c r="DY31" s="17">
        <v>0.6</v>
      </c>
      <c r="DZ31" s="17">
        <v>0.8</v>
      </c>
      <c r="EA31" s="17">
        <v>0.8</v>
      </c>
      <c r="EB31" s="17">
        <v>3.7</v>
      </c>
      <c r="EC31" s="17">
        <v>1.8</v>
      </c>
      <c r="ED31" s="17">
        <v>-5.3</v>
      </c>
      <c r="EE31" s="17">
        <v>-5.4</v>
      </c>
      <c r="EF31" s="17"/>
      <c r="EG31" s="17"/>
      <c r="EH31" s="17"/>
      <c r="EI31" s="17">
        <v>1.4</v>
      </c>
      <c r="EJ31" s="17">
        <v>0.2</v>
      </c>
      <c r="EK31" s="17">
        <v>1.2</v>
      </c>
      <c r="EL31" s="17">
        <v>0.2</v>
      </c>
      <c r="EM31" s="17">
        <v>0.2</v>
      </c>
      <c r="EN31" s="17">
        <v>0.2</v>
      </c>
      <c r="EO31" s="17"/>
      <c r="EP31" s="17">
        <v>27.4</v>
      </c>
      <c r="EQ31" s="17">
        <v>-1.3</v>
      </c>
      <c r="ER31" s="17">
        <v>-1.7</v>
      </c>
      <c r="ES31" s="17">
        <v>-0.2</v>
      </c>
      <c r="ET31" s="17">
        <v>0</v>
      </c>
      <c r="EU31" s="17">
        <v>0</v>
      </c>
      <c r="EV31" s="17">
        <v>9.4</v>
      </c>
      <c r="EW31" s="17"/>
      <c r="EX31" s="17">
        <v>0.6</v>
      </c>
      <c r="EY31" s="17"/>
      <c r="EZ31" s="17"/>
      <c r="FA31" s="17">
        <v>-1</v>
      </c>
      <c r="FB31" s="17">
        <v>1.2</v>
      </c>
      <c r="FC31" s="17">
        <v>1.8</v>
      </c>
      <c r="FD31" s="17">
        <v>1.5</v>
      </c>
      <c r="FE31" s="17">
        <v>1.7</v>
      </c>
      <c r="FF31" s="17">
        <v>0.1</v>
      </c>
      <c r="FG31" s="17"/>
      <c r="FH31" s="17">
        <v>3.6</v>
      </c>
      <c r="FI31" s="17"/>
      <c r="FJ31" s="17"/>
      <c r="FK31" s="17">
        <v>4.2</v>
      </c>
      <c r="FL31" s="17"/>
      <c r="FM31" s="17">
        <v>804.35379999999998</v>
      </c>
      <c r="FN31" s="15"/>
      <c r="FO31" s="17">
        <v>-8.7999999999999995E-2</v>
      </c>
      <c r="FP31" s="17">
        <v>1.3241799999999999</v>
      </c>
      <c r="FQ31" s="17">
        <v>0.28977999999999998</v>
      </c>
      <c r="FR31" s="17">
        <v>0.21457000000000001</v>
      </c>
      <c r="FS31" s="17">
        <v>0.7</v>
      </c>
      <c r="FT31" s="17">
        <v>0</v>
      </c>
      <c r="FU31" s="17">
        <v>2.4405299999999999</v>
      </c>
    </row>
    <row r="32" spans="1:177" ht="24" customHeight="1" x14ac:dyDescent="0.3">
      <c r="A32" s="16" t="s">
        <v>67</v>
      </c>
      <c r="B32" s="16" t="s">
        <v>829</v>
      </c>
      <c r="C32" s="17">
        <v>-8.4</v>
      </c>
      <c r="D32" s="17">
        <v>53.6</v>
      </c>
      <c r="E32" s="17">
        <v>22.3</v>
      </c>
      <c r="F32" s="17">
        <v>0</v>
      </c>
      <c r="G32" s="17">
        <v>0</v>
      </c>
      <c r="H32" s="17">
        <v>-3.5</v>
      </c>
      <c r="I32" s="17">
        <v>12.8</v>
      </c>
      <c r="J32" s="17"/>
      <c r="K32" s="17">
        <v>0</v>
      </c>
      <c r="L32" s="17">
        <v>10.5</v>
      </c>
      <c r="M32" s="17">
        <v>0</v>
      </c>
      <c r="N32" s="17">
        <v>21.2</v>
      </c>
      <c r="O32" s="17">
        <v>76.8</v>
      </c>
      <c r="P32" s="17">
        <v>18.8</v>
      </c>
      <c r="Q32" s="17">
        <v>30.5</v>
      </c>
      <c r="R32" s="17">
        <v>47.3</v>
      </c>
      <c r="S32" s="17"/>
      <c r="T32" s="17"/>
      <c r="U32" s="17"/>
      <c r="V32" s="17"/>
      <c r="W32" s="17">
        <v>0.7</v>
      </c>
      <c r="X32" s="17">
        <v>1.4</v>
      </c>
      <c r="Y32" s="17">
        <v>0.9</v>
      </c>
      <c r="Z32" s="17">
        <v>0</v>
      </c>
      <c r="AA32" s="17">
        <v>-3.3</v>
      </c>
      <c r="AB32" s="17">
        <v>28.1</v>
      </c>
      <c r="AC32" s="17"/>
      <c r="AD32" s="17"/>
      <c r="AE32" s="17"/>
      <c r="AF32" s="17"/>
      <c r="AG32" s="17">
        <v>4.2</v>
      </c>
      <c r="AH32" s="17">
        <v>8.6999999999999993</v>
      </c>
      <c r="AI32" s="17"/>
      <c r="AJ32" s="17">
        <v>0</v>
      </c>
      <c r="AK32" s="17"/>
      <c r="AL32" s="17">
        <v>-0.9</v>
      </c>
      <c r="AM32" s="17">
        <v>-1.5</v>
      </c>
      <c r="AN32" s="17">
        <v>7.8</v>
      </c>
      <c r="AO32" s="17">
        <v>25.6</v>
      </c>
      <c r="AP32" s="17">
        <v>9.8000000000000007</v>
      </c>
      <c r="AQ32" s="17">
        <v>-0.7</v>
      </c>
      <c r="AR32" s="17">
        <v>2.6</v>
      </c>
      <c r="AS32" s="17">
        <v>1.2</v>
      </c>
      <c r="AT32" s="17">
        <v>35.1</v>
      </c>
      <c r="AU32" s="17">
        <v>26.1</v>
      </c>
      <c r="AV32" s="17">
        <v>-44.5</v>
      </c>
      <c r="AW32" s="17">
        <v>10.3</v>
      </c>
      <c r="AX32" s="17">
        <v>0.7</v>
      </c>
      <c r="AY32" s="17">
        <v>-0.6</v>
      </c>
      <c r="AZ32" s="17">
        <v>1</v>
      </c>
      <c r="BA32" s="17">
        <v>0.2</v>
      </c>
      <c r="BB32" s="17">
        <v>0.3</v>
      </c>
      <c r="BC32" s="17"/>
      <c r="BD32" s="17"/>
      <c r="BE32" s="17">
        <v>0</v>
      </c>
      <c r="BF32" s="17">
        <v>0</v>
      </c>
      <c r="BG32" s="17"/>
      <c r="BH32" s="17">
        <v>4.9000000000000004</v>
      </c>
      <c r="BI32" s="17"/>
      <c r="BJ32" s="17"/>
      <c r="BK32" s="17"/>
      <c r="BL32" s="17">
        <v>5.9000199999999996</v>
      </c>
      <c r="BM32" s="17">
        <v>0</v>
      </c>
      <c r="BN32" s="17">
        <v>0</v>
      </c>
      <c r="BO32" s="17">
        <v>0</v>
      </c>
      <c r="BP32" s="17">
        <v>43.2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56.7</v>
      </c>
      <c r="CA32" s="17">
        <v>46.2</v>
      </c>
      <c r="CB32" s="17">
        <v>9.9</v>
      </c>
      <c r="CC32" s="17">
        <v>13.8</v>
      </c>
      <c r="CD32" s="17">
        <v>7.9</v>
      </c>
      <c r="CE32" s="17">
        <v>0</v>
      </c>
      <c r="CF32" s="17"/>
      <c r="CG32" s="17"/>
      <c r="CH32" s="17">
        <v>47.7</v>
      </c>
      <c r="CI32" s="17">
        <v>57.7</v>
      </c>
      <c r="CJ32" s="17">
        <v>-3.6</v>
      </c>
      <c r="CK32" s="17">
        <v>0</v>
      </c>
      <c r="CL32" s="17"/>
      <c r="CM32" s="17"/>
      <c r="CN32" s="17"/>
      <c r="CO32" s="17"/>
      <c r="CP32" s="17">
        <v>24.1</v>
      </c>
      <c r="CQ32" s="17">
        <v>7.7</v>
      </c>
      <c r="CR32" s="17">
        <v>-2.9</v>
      </c>
      <c r="CS32" s="17">
        <v>0.3</v>
      </c>
      <c r="CT32" s="17">
        <v>0.9</v>
      </c>
      <c r="CU32" s="17"/>
      <c r="CV32" s="17">
        <v>-5.4</v>
      </c>
      <c r="CW32" s="17">
        <v>6.5</v>
      </c>
      <c r="CX32" s="17"/>
      <c r="CY32" s="17"/>
      <c r="CZ32" s="17">
        <v>0.1</v>
      </c>
      <c r="DA32" s="17">
        <v>0</v>
      </c>
      <c r="DB32" s="17">
        <v>-0.8</v>
      </c>
      <c r="DC32" s="17">
        <v>21.3</v>
      </c>
      <c r="DD32" s="17"/>
      <c r="DE32" s="17"/>
      <c r="DF32" s="17">
        <v>0</v>
      </c>
      <c r="DG32" s="17">
        <v>0.8</v>
      </c>
      <c r="DH32" s="17">
        <v>0.1</v>
      </c>
      <c r="DI32" s="17">
        <v>0.6</v>
      </c>
      <c r="DJ32" s="17">
        <v>0.1</v>
      </c>
      <c r="DK32" s="17"/>
      <c r="DL32" s="17"/>
      <c r="DM32" s="17">
        <v>0.7</v>
      </c>
      <c r="DN32" s="17">
        <v>0.4</v>
      </c>
      <c r="DO32" s="17">
        <v>-3.1</v>
      </c>
      <c r="DP32" s="17">
        <v>-2.7</v>
      </c>
      <c r="DQ32" s="17">
        <v>-2.4</v>
      </c>
      <c r="DR32" s="17">
        <v>0</v>
      </c>
      <c r="DS32" s="17">
        <v>0</v>
      </c>
      <c r="DT32" s="17">
        <v>0.2</v>
      </c>
      <c r="DU32" s="17"/>
      <c r="DV32" s="17"/>
      <c r="DW32" s="17">
        <v>-1.9</v>
      </c>
      <c r="DX32" s="17">
        <v>0.2</v>
      </c>
      <c r="DY32" s="17">
        <v>0.6</v>
      </c>
      <c r="DZ32" s="17">
        <v>0.9</v>
      </c>
      <c r="EA32" s="17">
        <v>0.8</v>
      </c>
      <c r="EB32" s="17">
        <v>3.7</v>
      </c>
      <c r="EC32" s="17">
        <v>1.8</v>
      </c>
      <c r="ED32" s="17">
        <v>-3.8</v>
      </c>
      <c r="EE32" s="17">
        <v>-4.2</v>
      </c>
      <c r="EF32" s="17"/>
      <c r="EG32" s="17"/>
      <c r="EH32" s="17"/>
      <c r="EI32" s="17">
        <v>1.4</v>
      </c>
      <c r="EJ32" s="17">
        <v>0.2</v>
      </c>
      <c r="EK32" s="17">
        <v>1.2</v>
      </c>
      <c r="EL32" s="17">
        <v>0.2</v>
      </c>
      <c r="EM32" s="17">
        <v>0.2</v>
      </c>
      <c r="EN32" s="17">
        <v>0.2</v>
      </c>
      <c r="EO32" s="17"/>
      <c r="EP32" s="17">
        <v>29</v>
      </c>
      <c r="EQ32" s="17">
        <v>-1.4</v>
      </c>
      <c r="ER32" s="17">
        <v>-1.5</v>
      </c>
      <c r="ES32" s="17">
        <v>-0.2</v>
      </c>
      <c r="ET32" s="17">
        <v>-14.4</v>
      </c>
      <c r="EU32" s="17">
        <v>-0.5</v>
      </c>
      <c r="EV32" s="17">
        <v>13.1</v>
      </c>
      <c r="EW32" s="17"/>
      <c r="EX32" s="17">
        <v>0.6</v>
      </c>
      <c r="EY32" s="17"/>
      <c r="EZ32" s="17"/>
      <c r="FA32" s="17">
        <v>-1.2</v>
      </c>
      <c r="FB32" s="17">
        <v>1.2</v>
      </c>
      <c r="FC32" s="17">
        <v>1.8</v>
      </c>
      <c r="FD32" s="17">
        <v>1.5</v>
      </c>
      <c r="FE32" s="17">
        <v>1.7</v>
      </c>
      <c r="FF32" s="17">
        <v>0.7</v>
      </c>
      <c r="FG32" s="17"/>
      <c r="FH32" s="17">
        <v>3.9</v>
      </c>
      <c r="FI32" s="17"/>
      <c r="FJ32" s="17"/>
      <c r="FK32" s="17">
        <v>4.2</v>
      </c>
      <c r="FL32" s="17"/>
      <c r="FM32" s="17">
        <v>771.60001999999997</v>
      </c>
      <c r="FN32" s="15"/>
      <c r="FO32" s="17">
        <v>0.155</v>
      </c>
      <c r="FP32" s="17">
        <v>1.3139000000000001</v>
      </c>
      <c r="FQ32" s="17">
        <v>0.27948000000000001</v>
      </c>
      <c r="FR32" s="17">
        <v>0.16675999999999999</v>
      </c>
      <c r="FS32" s="17">
        <v>0.8</v>
      </c>
      <c r="FT32" s="17">
        <v>0</v>
      </c>
      <c r="FU32" s="17">
        <v>2.7151399999999999</v>
      </c>
    </row>
    <row r="33" spans="1:177" ht="24" customHeight="1" x14ac:dyDescent="0.3">
      <c r="A33" s="16" t="s">
        <v>67</v>
      </c>
      <c r="B33" s="16" t="s">
        <v>830</v>
      </c>
      <c r="C33" s="17">
        <v>-8.6999999999999993</v>
      </c>
      <c r="D33" s="17">
        <v>69.3</v>
      </c>
      <c r="E33" s="17">
        <v>19.8</v>
      </c>
      <c r="F33" s="17">
        <v>0</v>
      </c>
      <c r="G33" s="17">
        <v>0</v>
      </c>
      <c r="H33" s="17">
        <v>-2.9</v>
      </c>
      <c r="I33" s="17">
        <v>26.7</v>
      </c>
      <c r="J33" s="17"/>
      <c r="K33" s="17">
        <v>0</v>
      </c>
      <c r="L33" s="17">
        <v>8.4</v>
      </c>
      <c r="M33" s="17">
        <v>0</v>
      </c>
      <c r="N33" s="17">
        <v>18.2</v>
      </c>
      <c r="O33" s="17">
        <v>75.400000000000006</v>
      </c>
      <c r="P33" s="17">
        <v>8.6999999999999993</v>
      </c>
      <c r="Q33" s="17">
        <v>23.8</v>
      </c>
      <c r="R33" s="17">
        <v>61.9</v>
      </c>
      <c r="S33" s="17"/>
      <c r="T33" s="17"/>
      <c r="U33" s="17"/>
      <c r="V33" s="17"/>
      <c r="W33" s="17">
        <v>-0.2</v>
      </c>
      <c r="X33" s="17">
        <v>1.5</v>
      </c>
      <c r="Y33" s="17">
        <v>0.9</v>
      </c>
      <c r="Z33" s="17">
        <v>0</v>
      </c>
      <c r="AA33" s="17">
        <v>-3.3</v>
      </c>
      <c r="AB33" s="17">
        <v>27.7</v>
      </c>
      <c r="AC33" s="17"/>
      <c r="AD33" s="17"/>
      <c r="AE33" s="17"/>
      <c r="AF33" s="17"/>
      <c r="AG33" s="17">
        <v>5.0999999999999996</v>
      </c>
      <c r="AH33" s="17">
        <v>8.1</v>
      </c>
      <c r="AI33" s="17"/>
      <c r="AJ33" s="17">
        <v>0</v>
      </c>
      <c r="AK33" s="17"/>
      <c r="AL33" s="17">
        <v>-0.9</v>
      </c>
      <c r="AM33" s="17">
        <v>-0.1</v>
      </c>
      <c r="AN33" s="17">
        <v>7.3</v>
      </c>
      <c r="AO33" s="17">
        <v>25.5</v>
      </c>
      <c r="AP33" s="17">
        <v>10</v>
      </c>
      <c r="AQ33" s="17">
        <v>0</v>
      </c>
      <c r="AR33" s="17">
        <v>2.6</v>
      </c>
      <c r="AS33" s="17">
        <v>0.9</v>
      </c>
      <c r="AT33" s="17">
        <v>35.299999999999997</v>
      </c>
      <c r="AU33" s="17">
        <v>26.3</v>
      </c>
      <c r="AV33" s="17">
        <v>-44.4</v>
      </c>
      <c r="AW33" s="17">
        <v>10.4</v>
      </c>
      <c r="AX33" s="17">
        <v>0.5</v>
      </c>
      <c r="AY33" s="17">
        <v>0.1</v>
      </c>
      <c r="AZ33" s="17">
        <v>1</v>
      </c>
      <c r="BA33" s="17">
        <v>0.2</v>
      </c>
      <c r="BB33" s="17">
        <v>-0.1</v>
      </c>
      <c r="BC33" s="17"/>
      <c r="BD33" s="17"/>
      <c r="BE33" s="17">
        <v>0</v>
      </c>
      <c r="BF33" s="17">
        <v>6</v>
      </c>
      <c r="BG33" s="17"/>
      <c r="BH33" s="17">
        <v>3.3</v>
      </c>
      <c r="BI33" s="17"/>
      <c r="BJ33" s="17"/>
      <c r="BK33" s="17"/>
      <c r="BL33" s="17">
        <v>8.4333100000000005</v>
      </c>
      <c r="BM33" s="17">
        <v>0</v>
      </c>
      <c r="BN33" s="17">
        <v>0</v>
      </c>
      <c r="BO33" s="17">
        <v>0</v>
      </c>
      <c r="BP33" s="17">
        <v>57.6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-0.2</v>
      </c>
      <c r="BZ33" s="17">
        <v>58.8</v>
      </c>
      <c r="CA33" s="17">
        <v>46</v>
      </c>
      <c r="CB33" s="17">
        <v>10.3</v>
      </c>
      <c r="CC33" s="17">
        <v>13.6</v>
      </c>
      <c r="CD33" s="17">
        <v>7.8</v>
      </c>
      <c r="CE33" s="17">
        <v>0</v>
      </c>
      <c r="CF33" s="17"/>
      <c r="CG33" s="17"/>
      <c r="CH33" s="17">
        <v>50.9</v>
      </c>
      <c r="CI33" s="17">
        <v>61</v>
      </c>
      <c r="CJ33" s="17">
        <v>0.4</v>
      </c>
      <c r="CK33" s="17">
        <v>0</v>
      </c>
      <c r="CL33" s="17"/>
      <c r="CM33" s="17"/>
      <c r="CN33" s="17"/>
      <c r="CO33" s="17"/>
      <c r="CP33" s="17">
        <v>24.2</v>
      </c>
      <c r="CQ33" s="17">
        <v>7.8</v>
      </c>
      <c r="CR33" s="17">
        <v>-2.7</v>
      </c>
      <c r="CS33" s="17">
        <v>0.5</v>
      </c>
      <c r="CT33" s="17">
        <v>0.9</v>
      </c>
      <c r="CU33" s="17"/>
      <c r="CV33" s="17">
        <v>-5.2</v>
      </c>
      <c r="CW33" s="17">
        <v>6.6</v>
      </c>
      <c r="CX33" s="17"/>
      <c r="CY33" s="17"/>
      <c r="CZ33" s="17">
        <v>0</v>
      </c>
      <c r="DA33" s="17">
        <v>0</v>
      </c>
      <c r="DB33" s="17">
        <v>-0.8</v>
      </c>
      <c r="DC33" s="17">
        <v>21.6</v>
      </c>
      <c r="DD33" s="17"/>
      <c r="DE33" s="17"/>
      <c r="DF33" s="17">
        <v>0.1</v>
      </c>
      <c r="DG33" s="17">
        <v>0.8</v>
      </c>
      <c r="DH33" s="17">
        <v>0.1</v>
      </c>
      <c r="DI33" s="17">
        <v>0.4</v>
      </c>
      <c r="DJ33" s="17">
        <v>0.1</v>
      </c>
      <c r="DK33" s="17"/>
      <c r="DL33" s="17"/>
      <c r="DM33" s="17">
        <v>0.7</v>
      </c>
      <c r="DN33" s="17">
        <v>0.4</v>
      </c>
      <c r="DO33" s="17">
        <v>-3</v>
      </c>
      <c r="DP33" s="17">
        <v>-2.7</v>
      </c>
      <c r="DQ33" s="17">
        <v>-2.4</v>
      </c>
      <c r="DR33" s="17">
        <v>0.2</v>
      </c>
      <c r="DS33" s="17">
        <v>0</v>
      </c>
      <c r="DT33" s="17">
        <v>0.2</v>
      </c>
      <c r="DU33" s="17"/>
      <c r="DV33" s="17"/>
      <c r="DW33" s="17">
        <v>-2</v>
      </c>
      <c r="DX33" s="17">
        <v>0</v>
      </c>
      <c r="DY33" s="17">
        <v>0.6</v>
      </c>
      <c r="DZ33" s="17">
        <v>0.8</v>
      </c>
      <c r="EA33" s="17">
        <v>0.8</v>
      </c>
      <c r="EB33" s="17">
        <v>3.7</v>
      </c>
      <c r="EC33" s="17">
        <v>1.8</v>
      </c>
      <c r="ED33" s="17">
        <v>-6.1</v>
      </c>
      <c r="EE33" s="17">
        <v>-7.9</v>
      </c>
      <c r="EF33" s="17"/>
      <c r="EG33" s="17"/>
      <c r="EH33" s="17"/>
      <c r="EI33" s="17">
        <v>1.4</v>
      </c>
      <c r="EJ33" s="17">
        <v>0.2</v>
      </c>
      <c r="EK33" s="17">
        <v>1.2</v>
      </c>
      <c r="EL33" s="17">
        <v>0.2</v>
      </c>
      <c r="EM33" s="17">
        <v>0.2</v>
      </c>
      <c r="EN33" s="17">
        <v>0.2</v>
      </c>
      <c r="EO33" s="17"/>
      <c r="EP33" s="17">
        <v>28.3</v>
      </c>
      <c r="EQ33" s="17">
        <v>-1.5</v>
      </c>
      <c r="ER33" s="17">
        <v>-1.6</v>
      </c>
      <c r="ES33" s="17">
        <v>-0.2</v>
      </c>
      <c r="ET33" s="17">
        <v>-14</v>
      </c>
      <c r="EU33" s="17">
        <v>-2.1</v>
      </c>
      <c r="EV33" s="17">
        <v>14.8</v>
      </c>
      <c r="EW33" s="17"/>
      <c r="EX33" s="17">
        <v>0.6</v>
      </c>
      <c r="EY33" s="17"/>
      <c r="EZ33" s="17"/>
      <c r="FA33" s="17">
        <v>-1.2</v>
      </c>
      <c r="FB33" s="17">
        <v>1.2</v>
      </c>
      <c r="FC33" s="17">
        <v>1.8</v>
      </c>
      <c r="FD33" s="17">
        <v>1.5</v>
      </c>
      <c r="FE33" s="17">
        <v>1.7</v>
      </c>
      <c r="FF33" s="17">
        <v>0.5</v>
      </c>
      <c r="FG33" s="17"/>
      <c r="FH33" s="17">
        <v>2.6</v>
      </c>
      <c r="FI33" s="17"/>
      <c r="FJ33" s="17"/>
      <c r="FK33" s="17">
        <v>4.2</v>
      </c>
      <c r="FL33" s="17"/>
      <c r="FM33" s="17">
        <v>818.43331000000001</v>
      </c>
      <c r="FN33" s="15"/>
      <c r="FO33" s="17">
        <v>0.30499999999999999</v>
      </c>
      <c r="FP33" s="17">
        <v>1.3120799999999999</v>
      </c>
      <c r="FQ33" s="17">
        <v>0.26196999999999998</v>
      </c>
      <c r="FR33" s="17">
        <v>0.20951</v>
      </c>
      <c r="FS33" s="17">
        <v>0.9</v>
      </c>
      <c r="FT33" s="17">
        <v>0</v>
      </c>
      <c r="FU33" s="17">
        <v>2.9885600000000001</v>
      </c>
    </row>
    <row r="34" spans="1:177" ht="24" customHeight="1" x14ac:dyDescent="0.3">
      <c r="A34" s="18" t="s">
        <v>67</v>
      </c>
      <c r="B34" s="18" t="s">
        <v>831</v>
      </c>
      <c r="C34" s="19">
        <v>-4.5</v>
      </c>
      <c r="D34" s="19">
        <v>85.4</v>
      </c>
      <c r="E34" s="19">
        <v>34.299999999999997</v>
      </c>
      <c r="F34" s="19">
        <v>0</v>
      </c>
      <c r="G34" s="19">
        <v>0</v>
      </c>
      <c r="H34" s="19">
        <v>-3.5</v>
      </c>
      <c r="I34" s="19">
        <v>20</v>
      </c>
      <c r="J34" s="19"/>
      <c r="K34" s="19">
        <v>0</v>
      </c>
      <c r="L34" s="19">
        <v>9.6999999999999993</v>
      </c>
      <c r="M34" s="19">
        <v>0</v>
      </c>
      <c r="N34" s="19">
        <v>19.399999999999999</v>
      </c>
      <c r="O34" s="19">
        <v>76.5</v>
      </c>
      <c r="P34" s="19">
        <v>8.3000000000000007</v>
      </c>
      <c r="Q34" s="19">
        <v>23.3</v>
      </c>
      <c r="R34" s="19">
        <v>52</v>
      </c>
      <c r="S34" s="19"/>
      <c r="T34" s="19"/>
      <c r="U34" s="19"/>
      <c r="V34" s="19"/>
      <c r="W34" s="19">
        <v>-1.2</v>
      </c>
      <c r="X34" s="19">
        <v>1.5</v>
      </c>
      <c r="Y34" s="19">
        <v>1</v>
      </c>
      <c r="Z34" s="19">
        <v>0</v>
      </c>
      <c r="AA34" s="19">
        <v>-3.2</v>
      </c>
      <c r="AB34" s="19">
        <v>28.7</v>
      </c>
      <c r="AC34" s="19"/>
      <c r="AD34" s="19"/>
      <c r="AE34" s="19"/>
      <c r="AF34" s="19"/>
      <c r="AG34" s="19">
        <v>6.7</v>
      </c>
      <c r="AH34" s="19">
        <v>11.4</v>
      </c>
      <c r="AI34" s="19"/>
      <c r="AJ34" s="19">
        <v>0</v>
      </c>
      <c r="AK34" s="19"/>
      <c r="AL34" s="19">
        <v>-1</v>
      </c>
      <c r="AM34" s="19">
        <v>-2.7</v>
      </c>
      <c r="AN34" s="19">
        <v>6.9</v>
      </c>
      <c r="AO34" s="19">
        <v>25.5</v>
      </c>
      <c r="AP34" s="19">
        <v>10</v>
      </c>
      <c r="AQ34" s="19">
        <v>0.8</v>
      </c>
      <c r="AR34" s="19">
        <v>2.6</v>
      </c>
      <c r="AS34" s="19">
        <v>1.6</v>
      </c>
      <c r="AT34" s="19">
        <v>32.799999999999997</v>
      </c>
      <c r="AU34" s="19">
        <v>23.8</v>
      </c>
      <c r="AV34" s="19">
        <v>-41.8</v>
      </c>
      <c r="AW34" s="19">
        <v>9.6999999999999993</v>
      </c>
      <c r="AX34" s="19">
        <v>-0.3</v>
      </c>
      <c r="AY34" s="19">
        <v>-0.2</v>
      </c>
      <c r="AZ34" s="19">
        <v>1</v>
      </c>
      <c r="BA34" s="19">
        <v>0.2</v>
      </c>
      <c r="BB34" s="19">
        <v>-0.4</v>
      </c>
      <c r="BC34" s="19"/>
      <c r="BD34" s="19"/>
      <c r="BE34" s="19">
        <v>0</v>
      </c>
      <c r="BF34" s="19">
        <v>5.6</v>
      </c>
      <c r="BG34" s="19"/>
      <c r="BH34" s="19">
        <v>3.2</v>
      </c>
      <c r="BI34" s="19"/>
      <c r="BJ34" s="19"/>
      <c r="BK34" s="19"/>
      <c r="BL34" s="19">
        <v>4.9053899999999997</v>
      </c>
      <c r="BM34" s="19">
        <v>0</v>
      </c>
      <c r="BN34" s="19">
        <v>0</v>
      </c>
      <c r="BO34" s="19">
        <v>0</v>
      </c>
      <c r="BP34" s="19">
        <v>58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73.2</v>
      </c>
      <c r="CA34" s="19">
        <v>50.3</v>
      </c>
      <c r="CB34" s="19">
        <v>9.9</v>
      </c>
      <c r="CC34" s="19">
        <v>13.6</v>
      </c>
      <c r="CD34" s="19">
        <v>7.9</v>
      </c>
      <c r="CE34" s="19">
        <v>0</v>
      </c>
      <c r="CF34" s="19"/>
      <c r="CG34" s="19"/>
      <c r="CH34" s="19">
        <v>42.7</v>
      </c>
      <c r="CI34" s="19">
        <v>59.3</v>
      </c>
      <c r="CJ34" s="19">
        <v>-1.7</v>
      </c>
      <c r="CK34" s="19">
        <v>0</v>
      </c>
      <c r="CL34" s="19"/>
      <c r="CM34" s="19"/>
      <c r="CN34" s="19"/>
      <c r="CO34" s="19"/>
      <c r="CP34" s="19">
        <v>20.6</v>
      </c>
      <c r="CQ34" s="19">
        <v>5.7</v>
      </c>
      <c r="CR34" s="19">
        <v>-3</v>
      </c>
      <c r="CS34" s="19">
        <v>0.3</v>
      </c>
      <c r="CT34" s="19">
        <v>0.7</v>
      </c>
      <c r="CU34" s="19"/>
      <c r="CV34" s="19">
        <v>-5.2</v>
      </c>
      <c r="CW34" s="19">
        <v>6.2</v>
      </c>
      <c r="CX34" s="19"/>
      <c r="CY34" s="19"/>
      <c r="CZ34" s="19">
        <v>0.1</v>
      </c>
      <c r="DA34" s="19">
        <v>0.1</v>
      </c>
      <c r="DB34" s="19">
        <v>-0.8</v>
      </c>
      <c r="DC34" s="19">
        <v>22.6</v>
      </c>
      <c r="DD34" s="19"/>
      <c r="DE34" s="19"/>
      <c r="DF34" s="19">
        <v>0</v>
      </c>
      <c r="DG34" s="19">
        <v>0.7</v>
      </c>
      <c r="DH34" s="19">
        <v>0.1</v>
      </c>
      <c r="DI34" s="19">
        <v>0</v>
      </c>
      <c r="DJ34" s="19">
        <v>0.1</v>
      </c>
      <c r="DK34" s="19"/>
      <c r="DL34" s="19"/>
      <c r="DM34" s="19">
        <v>0.7</v>
      </c>
      <c r="DN34" s="19">
        <v>0.4</v>
      </c>
      <c r="DO34" s="19">
        <v>-3.3</v>
      </c>
      <c r="DP34" s="19">
        <v>-3.1</v>
      </c>
      <c r="DQ34" s="19">
        <v>-2.4</v>
      </c>
      <c r="DR34" s="19">
        <v>0.1</v>
      </c>
      <c r="DS34" s="19">
        <v>0</v>
      </c>
      <c r="DT34" s="19">
        <v>0.2</v>
      </c>
      <c r="DU34" s="19"/>
      <c r="DV34" s="19"/>
      <c r="DW34" s="19">
        <v>-1.9</v>
      </c>
      <c r="DX34" s="19">
        <v>0</v>
      </c>
      <c r="DY34" s="19">
        <v>0.5</v>
      </c>
      <c r="DZ34" s="19">
        <v>0.7</v>
      </c>
      <c r="EA34" s="19">
        <v>0.8</v>
      </c>
      <c r="EB34" s="19">
        <v>3.7</v>
      </c>
      <c r="EC34" s="19">
        <v>1.9</v>
      </c>
      <c r="ED34" s="19">
        <v>-4.9000000000000004</v>
      </c>
      <c r="EE34" s="19">
        <v>-5.9</v>
      </c>
      <c r="EF34" s="19"/>
      <c r="EG34" s="19"/>
      <c r="EH34" s="19"/>
      <c r="EI34" s="19">
        <v>1.4</v>
      </c>
      <c r="EJ34" s="19">
        <v>0.2</v>
      </c>
      <c r="EK34" s="19">
        <v>1.2</v>
      </c>
      <c r="EL34" s="19">
        <v>0.2</v>
      </c>
      <c r="EM34" s="19">
        <v>0.2</v>
      </c>
      <c r="EN34" s="19">
        <v>0.2</v>
      </c>
      <c r="EO34" s="19"/>
      <c r="EP34" s="19">
        <v>27.8</v>
      </c>
      <c r="EQ34" s="19">
        <v>-1.6</v>
      </c>
      <c r="ER34" s="19">
        <v>-1.6</v>
      </c>
      <c r="ES34" s="19">
        <v>-0.2</v>
      </c>
      <c r="ET34" s="19">
        <v>-13.7</v>
      </c>
      <c r="EU34" s="19">
        <v>-6.6</v>
      </c>
      <c r="EV34" s="19">
        <v>17.600000000000001</v>
      </c>
      <c r="EW34" s="19"/>
      <c r="EX34" s="19">
        <v>0.6</v>
      </c>
      <c r="EY34" s="19"/>
      <c r="EZ34" s="19"/>
      <c r="FA34" s="19">
        <v>-1.3</v>
      </c>
      <c r="FB34" s="19">
        <v>1.6</v>
      </c>
      <c r="FC34" s="19">
        <v>1.8</v>
      </c>
      <c r="FD34" s="19">
        <v>1.5</v>
      </c>
      <c r="FE34" s="19">
        <v>1.7</v>
      </c>
      <c r="FF34" s="19">
        <v>0.1</v>
      </c>
      <c r="FG34" s="19"/>
      <c r="FH34" s="19">
        <v>2.9</v>
      </c>
      <c r="FI34" s="19"/>
      <c r="FJ34" s="19"/>
      <c r="FK34" s="19">
        <v>4.3</v>
      </c>
      <c r="FL34" s="19"/>
      <c r="FM34" s="19">
        <v>834.80538999999999</v>
      </c>
      <c r="FN34" s="15"/>
      <c r="FO34" s="19">
        <v>0.124</v>
      </c>
      <c r="FP34" s="19">
        <v>1.26614</v>
      </c>
      <c r="FQ34" s="19">
        <v>0.24742</v>
      </c>
      <c r="FR34" s="19">
        <v>0.17635000000000001</v>
      </c>
      <c r="FS34" s="19">
        <v>0.9</v>
      </c>
      <c r="FT34" s="19">
        <v>0</v>
      </c>
      <c r="FU34" s="19">
        <v>2.7139099999999998</v>
      </c>
    </row>
    <row r="35" spans="1:177" ht="24" customHeight="1" x14ac:dyDescent="0.3">
      <c r="A35" s="13" t="s">
        <v>67</v>
      </c>
      <c r="B35" s="13" t="s">
        <v>832</v>
      </c>
      <c r="C35" s="14">
        <v>-5.5</v>
      </c>
      <c r="D35" s="14">
        <v>82.4</v>
      </c>
      <c r="E35" s="14">
        <v>33.4</v>
      </c>
      <c r="F35" s="14">
        <v>0</v>
      </c>
      <c r="G35" s="14">
        <v>0</v>
      </c>
      <c r="H35" s="14">
        <v>-5.3</v>
      </c>
      <c r="I35" s="14">
        <v>7.7</v>
      </c>
      <c r="J35" s="14"/>
      <c r="K35" s="14">
        <v>0</v>
      </c>
      <c r="L35" s="14">
        <v>6.9</v>
      </c>
      <c r="M35" s="14">
        <v>0</v>
      </c>
      <c r="N35" s="14">
        <v>16</v>
      </c>
      <c r="O35" s="14">
        <v>72.099999999999994</v>
      </c>
      <c r="P35" s="14">
        <v>5.6</v>
      </c>
      <c r="Q35" s="14">
        <v>22</v>
      </c>
      <c r="R35" s="14">
        <v>49.5</v>
      </c>
      <c r="S35" s="14"/>
      <c r="T35" s="14"/>
      <c r="U35" s="14"/>
      <c r="V35" s="14"/>
      <c r="W35" s="14">
        <v>-3.1</v>
      </c>
      <c r="X35" s="14">
        <v>1.6</v>
      </c>
      <c r="Y35" s="14">
        <v>1.2</v>
      </c>
      <c r="Z35" s="14">
        <v>0</v>
      </c>
      <c r="AA35" s="14">
        <v>-3.3</v>
      </c>
      <c r="AB35" s="14">
        <v>26.8</v>
      </c>
      <c r="AC35" s="14"/>
      <c r="AD35" s="14"/>
      <c r="AE35" s="14"/>
      <c r="AF35" s="14"/>
      <c r="AG35" s="14">
        <v>4.4000000000000004</v>
      </c>
      <c r="AH35" s="14">
        <v>4.5</v>
      </c>
      <c r="AI35" s="14"/>
      <c r="AJ35" s="14">
        <v>0</v>
      </c>
      <c r="AK35" s="14"/>
      <c r="AL35" s="14">
        <v>-1.2</v>
      </c>
      <c r="AM35" s="14">
        <v>-6</v>
      </c>
      <c r="AN35" s="14">
        <v>6.2</v>
      </c>
      <c r="AO35" s="14">
        <v>26</v>
      </c>
      <c r="AP35" s="14">
        <v>10.3</v>
      </c>
      <c r="AQ35" s="14">
        <v>-0.3</v>
      </c>
      <c r="AR35" s="14">
        <v>2.6</v>
      </c>
      <c r="AS35" s="14">
        <v>0.9</v>
      </c>
      <c r="AT35" s="14">
        <v>29.8</v>
      </c>
      <c r="AU35" s="14">
        <v>20.7</v>
      </c>
      <c r="AV35" s="14">
        <v>-45.1</v>
      </c>
      <c r="AW35" s="14">
        <v>7.1</v>
      </c>
      <c r="AX35" s="14">
        <v>-1.3</v>
      </c>
      <c r="AY35" s="14">
        <v>-2.4</v>
      </c>
      <c r="AZ35" s="14">
        <v>1</v>
      </c>
      <c r="BA35" s="14">
        <v>0.3</v>
      </c>
      <c r="BB35" s="14">
        <v>-2.1</v>
      </c>
      <c r="BC35" s="14"/>
      <c r="BD35" s="14"/>
      <c r="BE35" s="14">
        <v>0</v>
      </c>
      <c r="BF35" s="14">
        <v>1.5</v>
      </c>
      <c r="BG35" s="14"/>
      <c r="BH35" s="14">
        <v>1.4</v>
      </c>
      <c r="BI35" s="14"/>
      <c r="BJ35" s="14"/>
      <c r="BK35" s="14"/>
      <c r="BL35" s="14">
        <v>4.15883</v>
      </c>
      <c r="BM35" s="14">
        <v>0</v>
      </c>
      <c r="BN35" s="14">
        <v>0</v>
      </c>
      <c r="BO35" s="14">
        <v>0</v>
      </c>
      <c r="BP35" s="14">
        <v>54.9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-0.6</v>
      </c>
      <c r="BZ35" s="14">
        <v>71.5</v>
      </c>
      <c r="CA35" s="14">
        <v>50.2</v>
      </c>
      <c r="CB35" s="14">
        <v>10.199999999999999</v>
      </c>
      <c r="CC35" s="14">
        <v>13.6</v>
      </c>
      <c r="CD35" s="14">
        <v>7.8</v>
      </c>
      <c r="CE35" s="14">
        <v>0</v>
      </c>
      <c r="CF35" s="14"/>
      <c r="CG35" s="14"/>
      <c r="CH35" s="14">
        <v>37.1</v>
      </c>
      <c r="CI35" s="14">
        <v>53.6</v>
      </c>
      <c r="CJ35" s="14">
        <v>-9.6999999999999993</v>
      </c>
      <c r="CK35" s="14">
        <v>0</v>
      </c>
      <c r="CL35" s="14"/>
      <c r="CM35" s="14"/>
      <c r="CN35" s="14"/>
      <c r="CO35" s="14"/>
      <c r="CP35" s="14">
        <v>17.399999999999999</v>
      </c>
      <c r="CQ35" s="14">
        <v>3.9</v>
      </c>
      <c r="CR35" s="14">
        <v>-3</v>
      </c>
      <c r="CS35" s="14">
        <v>0.2</v>
      </c>
      <c r="CT35" s="14">
        <v>0.6</v>
      </c>
      <c r="CU35" s="14"/>
      <c r="CV35" s="14">
        <v>-4.9000000000000004</v>
      </c>
      <c r="CW35" s="14">
        <v>7.2</v>
      </c>
      <c r="CX35" s="14"/>
      <c r="CY35" s="14"/>
      <c r="CZ35" s="14">
        <v>0.1</v>
      </c>
      <c r="DA35" s="14">
        <v>0</v>
      </c>
      <c r="DB35" s="14">
        <v>-0.9</v>
      </c>
      <c r="DC35" s="14">
        <v>22.8</v>
      </c>
      <c r="DD35" s="14"/>
      <c r="DE35" s="14"/>
      <c r="DF35" s="14">
        <v>-0.1</v>
      </c>
      <c r="DG35" s="14">
        <v>0.6</v>
      </c>
      <c r="DH35" s="14">
        <v>0.2</v>
      </c>
      <c r="DI35" s="14">
        <v>0.3</v>
      </c>
      <c r="DJ35" s="14">
        <v>0.1</v>
      </c>
      <c r="DK35" s="14"/>
      <c r="DL35" s="14"/>
      <c r="DM35" s="14">
        <v>0.7</v>
      </c>
      <c r="DN35" s="14">
        <v>0.4</v>
      </c>
      <c r="DO35" s="14">
        <v>-3.8</v>
      </c>
      <c r="DP35" s="14">
        <v>-4.0999999999999996</v>
      </c>
      <c r="DQ35" s="14">
        <v>-2.4</v>
      </c>
      <c r="DR35" s="14">
        <v>-0.5</v>
      </c>
      <c r="DS35" s="14">
        <v>0</v>
      </c>
      <c r="DT35" s="14">
        <v>0.2</v>
      </c>
      <c r="DU35" s="14"/>
      <c r="DV35" s="14"/>
      <c r="DW35" s="14">
        <v>-1.9</v>
      </c>
      <c r="DX35" s="14">
        <v>0</v>
      </c>
      <c r="DY35" s="14">
        <v>0.5</v>
      </c>
      <c r="DZ35" s="14">
        <v>0.7</v>
      </c>
      <c r="EA35" s="14">
        <v>0.8</v>
      </c>
      <c r="EB35" s="14">
        <v>3.7</v>
      </c>
      <c r="EC35" s="14">
        <v>1.8</v>
      </c>
      <c r="ED35" s="14">
        <v>-2.8</v>
      </c>
      <c r="EE35" s="14">
        <v>-4.3</v>
      </c>
      <c r="EF35" s="14"/>
      <c r="EG35" s="14"/>
      <c r="EH35" s="14"/>
      <c r="EI35" s="14">
        <v>1.5</v>
      </c>
      <c r="EJ35" s="14">
        <v>0.2</v>
      </c>
      <c r="EK35" s="14">
        <v>1.2</v>
      </c>
      <c r="EL35" s="14">
        <v>0.2</v>
      </c>
      <c r="EM35" s="14">
        <v>0.2</v>
      </c>
      <c r="EN35" s="14">
        <v>0.2</v>
      </c>
      <c r="EO35" s="14"/>
      <c r="EP35" s="14">
        <v>27.3</v>
      </c>
      <c r="EQ35" s="14">
        <v>-1.6</v>
      </c>
      <c r="ER35" s="14">
        <v>-1.8</v>
      </c>
      <c r="ES35" s="14">
        <v>-0.2</v>
      </c>
      <c r="ET35" s="14">
        <v>-12.9</v>
      </c>
      <c r="EU35" s="14">
        <v>-9.1</v>
      </c>
      <c r="EV35" s="14">
        <v>18.399999999999999</v>
      </c>
      <c r="EW35" s="14"/>
      <c r="EX35" s="14">
        <v>0.6</v>
      </c>
      <c r="EY35" s="14"/>
      <c r="EZ35" s="14"/>
      <c r="FA35" s="14">
        <v>-1.2</v>
      </c>
      <c r="FB35" s="14">
        <v>1.6</v>
      </c>
      <c r="FC35" s="14">
        <v>1.4</v>
      </c>
      <c r="FD35" s="14">
        <v>1.1000000000000001</v>
      </c>
      <c r="FE35" s="14">
        <v>1.5</v>
      </c>
      <c r="FF35" s="14">
        <v>0.4</v>
      </c>
      <c r="FG35" s="14"/>
      <c r="FH35" s="14">
        <v>2.5</v>
      </c>
      <c r="FI35" s="14"/>
      <c r="FJ35" s="14"/>
      <c r="FK35" s="14">
        <v>4.3</v>
      </c>
      <c r="FL35" s="14"/>
      <c r="FM35" s="14">
        <v>728.35883000000001</v>
      </c>
      <c r="FN35" s="15"/>
      <c r="FO35" s="14">
        <v>-0.46100000000000002</v>
      </c>
      <c r="FP35" s="14">
        <v>1.26431</v>
      </c>
      <c r="FQ35" s="14">
        <v>0.24689</v>
      </c>
      <c r="FR35" s="14">
        <v>0.11574</v>
      </c>
      <c r="FS35" s="14">
        <v>0.1</v>
      </c>
      <c r="FT35" s="14">
        <v>0</v>
      </c>
      <c r="FU35" s="14">
        <v>1.2659400000000001</v>
      </c>
    </row>
    <row r="36" spans="1:177" ht="24" customHeight="1" x14ac:dyDescent="0.3">
      <c r="A36" s="16" t="s">
        <v>67</v>
      </c>
      <c r="B36" s="16" t="s">
        <v>833</v>
      </c>
      <c r="C36" s="17">
        <v>-5.9</v>
      </c>
      <c r="D36" s="17">
        <v>61.6</v>
      </c>
      <c r="E36" s="17">
        <v>29.9</v>
      </c>
      <c r="F36" s="17">
        <v>0</v>
      </c>
      <c r="G36" s="17">
        <v>0</v>
      </c>
      <c r="H36" s="17">
        <v>-9</v>
      </c>
      <c r="I36" s="17">
        <v>2.4</v>
      </c>
      <c r="J36" s="17"/>
      <c r="K36" s="17">
        <v>0</v>
      </c>
      <c r="L36" s="17">
        <v>1</v>
      </c>
      <c r="M36" s="17">
        <v>0</v>
      </c>
      <c r="N36" s="17">
        <v>9.4</v>
      </c>
      <c r="O36" s="17">
        <v>64.400000000000006</v>
      </c>
      <c r="P36" s="17">
        <v>4.4000000000000004</v>
      </c>
      <c r="Q36" s="17">
        <v>20.8</v>
      </c>
      <c r="R36" s="17">
        <v>20.8</v>
      </c>
      <c r="S36" s="17"/>
      <c r="T36" s="17"/>
      <c r="U36" s="17"/>
      <c r="V36" s="17"/>
      <c r="W36" s="17">
        <v>-8.6</v>
      </c>
      <c r="X36" s="17">
        <v>1.4</v>
      </c>
      <c r="Y36" s="17">
        <v>1</v>
      </c>
      <c r="Z36" s="17">
        <v>0</v>
      </c>
      <c r="AA36" s="17">
        <v>-3.2</v>
      </c>
      <c r="AB36" s="17">
        <v>21.6</v>
      </c>
      <c r="AC36" s="17"/>
      <c r="AD36" s="17"/>
      <c r="AE36" s="17"/>
      <c r="AF36" s="17"/>
      <c r="AG36" s="17">
        <v>2.8</v>
      </c>
      <c r="AH36" s="17">
        <v>-4</v>
      </c>
      <c r="AI36" s="17"/>
      <c r="AJ36" s="17">
        <v>0</v>
      </c>
      <c r="AK36" s="17"/>
      <c r="AL36" s="17">
        <v>-1.3</v>
      </c>
      <c r="AM36" s="17">
        <v>-11.2</v>
      </c>
      <c r="AN36" s="17">
        <v>5.7</v>
      </c>
      <c r="AO36" s="17">
        <v>25.6</v>
      </c>
      <c r="AP36" s="17">
        <v>9.8000000000000007</v>
      </c>
      <c r="AQ36" s="17">
        <v>-0.4</v>
      </c>
      <c r="AR36" s="17">
        <v>2.6</v>
      </c>
      <c r="AS36" s="17">
        <v>1.6</v>
      </c>
      <c r="AT36" s="17">
        <v>25.2</v>
      </c>
      <c r="AU36" s="17">
        <v>16.2</v>
      </c>
      <c r="AV36" s="17">
        <v>-44.6</v>
      </c>
      <c r="AW36" s="17">
        <v>8.4</v>
      </c>
      <c r="AX36" s="17">
        <v>-0.8</v>
      </c>
      <c r="AY36" s="17">
        <v>-3.4</v>
      </c>
      <c r="AZ36" s="17">
        <v>1</v>
      </c>
      <c r="BA36" s="17">
        <v>0.3</v>
      </c>
      <c r="BB36" s="17">
        <v>-0.6</v>
      </c>
      <c r="BC36" s="17"/>
      <c r="BD36" s="17"/>
      <c r="BE36" s="17">
        <v>0</v>
      </c>
      <c r="BF36" s="17">
        <v>0.4</v>
      </c>
      <c r="BG36" s="17"/>
      <c r="BH36" s="17">
        <v>1.1000000000000001</v>
      </c>
      <c r="BI36" s="17"/>
      <c r="BJ36" s="17"/>
      <c r="BK36" s="17"/>
      <c r="BL36" s="17">
        <v>-4.8419999999999998E-2</v>
      </c>
      <c r="BM36" s="17">
        <v>0</v>
      </c>
      <c r="BN36" s="17">
        <v>0</v>
      </c>
      <c r="BO36" s="17">
        <v>0</v>
      </c>
      <c r="BP36" s="17">
        <v>56.6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-0.5</v>
      </c>
      <c r="BZ36" s="17">
        <v>72.3</v>
      </c>
      <c r="CA36" s="17">
        <v>50.5</v>
      </c>
      <c r="CB36" s="17">
        <v>9.9</v>
      </c>
      <c r="CC36" s="17">
        <v>13.6</v>
      </c>
      <c r="CD36" s="17">
        <v>7.8</v>
      </c>
      <c r="CE36" s="17">
        <v>0</v>
      </c>
      <c r="CF36" s="17"/>
      <c r="CG36" s="17"/>
      <c r="CH36" s="17">
        <v>30.7</v>
      </c>
      <c r="CI36" s="17">
        <v>46.9</v>
      </c>
      <c r="CJ36" s="17">
        <v>-19.3</v>
      </c>
      <c r="CK36" s="17">
        <v>0</v>
      </c>
      <c r="CL36" s="17"/>
      <c r="CM36" s="17"/>
      <c r="CN36" s="17"/>
      <c r="CO36" s="17"/>
      <c r="CP36" s="17">
        <v>16.3</v>
      </c>
      <c r="CQ36" s="17">
        <v>3.2</v>
      </c>
      <c r="CR36" s="17">
        <v>-3</v>
      </c>
      <c r="CS36" s="17">
        <v>0.1</v>
      </c>
      <c r="CT36" s="17">
        <v>0.9</v>
      </c>
      <c r="CU36" s="17"/>
      <c r="CV36" s="17">
        <v>-4.5999999999999996</v>
      </c>
      <c r="CW36" s="17">
        <v>7.1</v>
      </c>
      <c r="CX36" s="17"/>
      <c r="CY36" s="17"/>
      <c r="CZ36" s="17">
        <v>0.1</v>
      </c>
      <c r="DA36" s="17">
        <v>0</v>
      </c>
      <c r="DB36" s="17">
        <v>-0.7</v>
      </c>
      <c r="DC36" s="17">
        <v>22.6</v>
      </c>
      <c r="DD36" s="17"/>
      <c r="DE36" s="17"/>
      <c r="DF36" s="17">
        <v>-0.1</v>
      </c>
      <c r="DG36" s="17">
        <v>0.6</v>
      </c>
      <c r="DH36" s="17">
        <v>0.1</v>
      </c>
      <c r="DI36" s="17">
        <v>-0.6</v>
      </c>
      <c r="DJ36" s="17">
        <v>0.2</v>
      </c>
      <c r="DK36" s="17"/>
      <c r="DL36" s="17"/>
      <c r="DM36" s="17">
        <v>0.7</v>
      </c>
      <c r="DN36" s="17">
        <v>0.4</v>
      </c>
      <c r="DO36" s="17">
        <v>-4</v>
      </c>
      <c r="DP36" s="17">
        <v>-4.5999999999999996</v>
      </c>
      <c r="DQ36" s="17">
        <v>-2.4</v>
      </c>
      <c r="DR36" s="17">
        <v>-0.3</v>
      </c>
      <c r="DS36" s="17">
        <v>0</v>
      </c>
      <c r="DT36" s="17">
        <v>0.2</v>
      </c>
      <c r="DU36" s="17"/>
      <c r="DV36" s="17"/>
      <c r="DW36" s="17">
        <v>-1.9</v>
      </c>
      <c r="DX36" s="17">
        <v>0</v>
      </c>
      <c r="DY36" s="17">
        <v>0.6</v>
      </c>
      <c r="DZ36" s="17">
        <v>0.7</v>
      </c>
      <c r="EA36" s="17">
        <v>0.8</v>
      </c>
      <c r="EB36" s="17">
        <v>3.7</v>
      </c>
      <c r="EC36" s="17">
        <v>1.8</v>
      </c>
      <c r="ED36" s="17">
        <v>-5.5</v>
      </c>
      <c r="EE36" s="17">
        <v>-7.8</v>
      </c>
      <c r="EF36" s="17"/>
      <c r="EG36" s="17"/>
      <c r="EH36" s="17"/>
      <c r="EI36" s="17">
        <v>1.5</v>
      </c>
      <c r="EJ36" s="17">
        <v>0.2</v>
      </c>
      <c r="EK36" s="17">
        <v>1.2</v>
      </c>
      <c r="EL36" s="17">
        <v>0.2</v>
      </c>
      <c r="EM36" s="17">
        <v>0.2</v>
      </c>
      <c r="EN36" s="17">
        <v>0.2</v>
      </c>
      <c r="EO36" s="17"/>
      <c r="EP36" s="17">
        <v>28.5</v>
      </c>
      <c r="EQ36" s="17">
        <v>-1.4</v>
      </c>
      <c r="ER36" s="17">
        <v>-1.8</v>
      </c>
      <c r="ES36" s="17">
        <v>-0.2</v>
      </c>
      <c r="ET36" s="17">
        <v>-12.7</v>
      </c>
      <c r="EU36" s="17">
        <v>-10.9</v>
      </c>
      <c r="EV36" s="17">
        <v>13.8</v>
      </c>
      <c r="EW36" s="17"/>
      <c r="EX36" s="17">
        <v>0.6</v>
      </c>
      <c r="EY36" s="17"/>
      <c r="EZ36" s="17"/>
      <c r="FA36" s="17">
        <v>-1</v>
      </c>
      <c r="FB36" s="17">
        <v>0.4</v>
      </c>
      <c r="FC36" s="17">
        <v>1.6</v>
      </c>
      <c r="FD36" s="17">
        <v>1.3</v>
      </c>
      <c r="FE36" s="17">
        <v>1.5</v>
      </c>
      <c r="FF36" s="17">
        <v>0.4</v>
      </c>
      <c r="FG36" s="17"/>
      <c r="FH36" s="17">
        <v>2.2999999999999998</v>
      </c>
      <c r="FI36" s="17"/>
      <c r="FJ36" s="17"/>
      <c r="FK36" s="17">
        <v>4.3</v>
      </c>
      <c r="FL36" s="17"/>
      <c r="FM36" s="17">
        <v>569.65157999999997</v>
      </c>
      <c r="FN36" s="15"/>
      <c r="FO36" s="17">
        <v>-0.114</v>
      </c>
      <c r="FP36" s="17">
        <v>1.2623800000000001</v>
      </c>
      <c r="FQ36" s="17">
        <v>0.24321000000000001</v>
      </c>
      <c r="FR36" s="17">
        <v>0.11681999999999999</v>
      </c>
      <c r="FS36" s="17">
        <v>0</v>
      </c>
      <c r="FT36" s="17">
        <v>0</v>
      </c>
      <c r="FU36" s="17">
        <v>1.50841</v>
      </c>
    </row>
    <row r="37" spans="1:177" ht="24" customHeight="1" x14ac:dyDescent="0.3">
      <c r="A37" s="16" t="s">
        <v>67</v>
      </c>
      <c r="B37" s="16" t="s">
        <v>834</v>
      </c>
      <c r="C37" s="17">
        <v>-5.5</v>
      </c>
      <c r="D37" s="17">
        <v>59</v>
      </c>
      <c r="E37" s="17">
        <v>28.8</v>
      </c>
      <c r="F37" s="17">
        <v>0</v>
      </c>
      <c r="G37" s="17">
        <v>0</v>
      </c>
      <c r="H37" s="17">
        <v>-9.1999999999999993</v>
      </c>
      <c r="I37" s="17">
        <v>5.7</v>
      </c>
      <c r="J37" s="17"/>
      <c r="K37" s="17">
        <v>1.6</v>
      </c>
      <c r="L37" s="17">
        <v>-0.6</v>
      </c>
      <c r="M37" s="17">
        <v>0</v>
      </c>
      <c r="N37" s="17">
        <v>8.6</v>
      </c>
      <c r="O37" s="17">
        <v>63.9</v>
      </c>
      <c r="P37" s="17">
        <v>4.4000000000000004</v>
      </c>
      <c r="Q37" s="17">
        <v>20.8</v>
      </c>
      <c r="R37" s="17">
        <v>13</v>
      </c>
      <c r="S37" s="17"/>
      <c r="T37" s="17"/>
      <c r="U37" s="17"/>
      <c r="V37" s="17"/>
      <c r="W37" s="17">
        <v>-7</v>
      </c>
      <c r="X37" s="17">
        <v>1.2</v>
      </c>
      <c r="Y37" s="17">
        <v>0.6</v>
      </c>
      <c r="Z37" s="17">
        <v>0</v>
      </c>
      <c r="AA37" s="17">
        <v>-3.2</v>
      </c>
      <c r="AB37" s="17">
        <v>21.4</v>
      </c>
      <c r="AC37" s="17"/>
      <c r="AD37" s="17"/>
      <c r="AE37" s="17"/>
      <c r="AF37" s="17"/>
      <c r="AG37" s="17">
        <v>3.1</v>
      </c>
      <c r="AH37" s="17">
        <v>-4.9000000000000004</v>
      </c>
      <c r="AI37" s="17"/>
      <c r="AJ37" s="17">
        <v>0</v>
      </c>
      <c r="AK37" s="17"/>
      <c r="AL37" s="17">
        <v>-1.3</v>
      </c>
      <c r="AM37" s="17">
        <v>-6</v>
      </c>
      <c r="AN37" s="17">
        <v>6.8</v>
      </c>
      <c r="AO37" s="17">
        <v>14.1</v>
      </c>
      <c r="AP37" s="17">
        <v>10.3</v>
      </c>
      <c r="AQ37" s="17">
        <v>0</v>
      </c>
      <c r="AR37" s="17">
        <v>2.6</v>
      </c>
      <c r="AS37" s="17">
        <v>1.2</v>
      </c>
      <c r="AT37" s="17">
        <v>24.7</v>
      </c>
      <c r="AU37" s="17">
        <v>15.8</v>
      </c>
      <c r="AV37" s="17">
        <v>-44.8</v>
      </c>
      <c r="AW37" s="17">
        <v>8.1999999999999993</v>
      </c>
      <c r="AX37" s="17">
        <v>-1.7</v>
      </c>
      <c r="AY37" s="17">
        <v>-3.7</v>
      </c>
      <c r="AZ37" s="17">
        <v>1</v>
      </c>
      <c r="BA37" s="17">
        <v>0.2</v>
      </c>
      <c r="BB37" s="17">
        <v>-0.5</v>
      </c>
      <c r="BC37" s="17"/>
      <c r="BD37" s="17"/>
      <c r="BE37" s="17">
        <v>0</v>
      </c>
      <c r="BF37" s="17">
        <v>0.6</v>
      </c>
      <c r="BG37" s="17"/>
      <c r="BH37" s="17">
        <v>1.1000000000000001</v>
      </c>
      <c r="BI37" s="17"/>
      <c r="BJ37" s="17"/>
      <c r="BK37" s="17"/>
      <c r="BL37" s="17">
        <v>1.2073100000000001</v>
      </c>
      <c r="BM37" s="17">
        <v>0</v>
      </c>
      <c r="BN37" s="17">
        <v>0</v>
      </c>
      <c r="BO37" s="17">
        <v>0</v>
      </c>
      <c r="BP37" s="17">
        <v>55.2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-0.5</v>
      </c>
      <c r="BZ37" s="17">
        <v>53.2</v>
      </c>
      <c r="CA37" s="17">
        <v>50.7</v>
      </c>
      <c r="CB37" s="17">
        <v>9.1</v>
      </c>
      <c r="CC37" s="17">
        <v>13.6</v>
      </c>
      <c r="CD37" s="17">
        <v>6</v>
      </c>
      <c r="CE37" s="17">
        <v>0</v>
      </c>
      <c r="CF37" s="17"/>
      <c r="CG37" s="17"/>
      <c r="CH37" s="17">
        <v>30.3</v>
      </c>
      <c r="CI37" s="17">
        <v>53.2</v>
      </c>
      <c r="CJ37" s="17">
        <v>-19.7</v>
      </c>
      <c r="CK37" s="17">
        <v>0</v>
      </c>
      <c r="CL37" s="17"/>
      <c r="CM37" s="17"/>
      <c r="CN37" s="17"/>
      <c r="CO37" s="17"/>
      <c r="CP37" s="17">
        <v>13.1</v>
      </c>
      <c r="CQ37" s="17">
        <v>1.4</v>
      </c>
      <c r="CR37" s="17">
        <v>-2.9</v>
      </c>
      <c r="CS37" s="17">
        <v>0.4</v>
      </c>
      <c r="CT37" s="17">
        <v>0.8</v>
      </c>
      <c r="CU37" s="17"/>
      <c r="CV37" s="17">
        <v>-4.3</v>
      </c>
      <c r="CW37" s="17">
        <v>6.8</v>
      </c>
      <c r="CX37" s="17"/>
      <c r="CY37" s="17"/>
      <c r="CZ37" s="17">
        <v>0</v>
      </c>
      <c r="DA37" s="17">
        <v>-0.1</v>
      </c>
      <c r="DB37" s="17">
        <v>0</v>
      </c>
      <c r="DC37" s="17">
        <v>22.7</v>
      </c>
      <c r="DD37" s="17"/>
      <c r="DE37" s="17"/>
      <c r="DF37" s="17">
        <v>0</v>
      </c>
      <c r="DG37" s="17">
        <v>0.7</v>
      </c>
      <c r="DH37" s="17">
        <v>0.1</v>
      </c>
      <c r="DI37" s="17">
        <v>-0.6</v>
      </c>
      <c r="DJ37" s="17">
        <v>0.2</v>
      </c>
      <c r="DK37" s="17"/>
      <c r="DL37" s="17"/>
      <c r="DM37" s="17">
        <v>0.7</v>
      </c>
      <c r="DN37" s="17">
        <v>0.4</v>
      </c>
      <c r="DO37" s="17">
        <v>-4.3</v>
      </c>
      <c r="DP37" s="17">
        <v>-5.7</v>
      </c>
      <c r="DQ37" s="17">
        <v>-2.5</v>
      </c>
      <c r="DR37" s="17">
        <v>0</v>
      </c>
      <c r="DS37" s="17">
        <v>0</v>
      </c>
      <c r="DT37" s="17">
        <v>0.2</v>
      </c>
      <c r="DU37" s="17"/>
      <c r="DV37" s="17"/>
      <c r="DW37" s="17">
        <v>-1.8</v>
      </c>
      <c r="DX37" s="17">
        <v>0</v>
      </c>
      <c r="DY37" s="17">
        <v>1</v>
      </c>
      <c r="DZ37" s="17">
        <v>0.7</v>
      </c>
      <c r="EA37" s="17">
        <v>0.8</v>
      </c>
      <c r="EB37" s="17">
        <v>3.7</v>
      </c>
      <c r="EC37" s="17">
        <v>1.9</v>
      </c>
      <c r="ED37" s="17">
        <v>-6.3</v>
      </c>
      <c r="EE37" s="17">
        <v>-7</v>
      </c>
      <c r="EF37" s="17"/>
      <c r="EG37" s="17"/>
      <c r="EH37" s="17"/>
      <c r="EI37" s="17">
        <v>1.5</v>
      </c>
      <c r="EJ37" s="17">
        <v>0.1</v>
      </c>
      <c r="EK37" s="17">
        <v>1.2</v>
      </c>
      <c r="EL37" s="17">
        <v>0.2</v>
      </c>
      <c r="EM37" s="17">
        <v>0.2</v>
      </c>
      <c r="EN37" s="17">
        <v>0.2</v>
      </c>
      <c r="EO37" s="17"/>
      <c r="EP37" s="17">
        <v>26.6</v>
      </c>
      <c r="EQ37" s="17">
        <v>-1.2</v>
      </c>
      <c r="ER37" s="17">
        <v>-2</v>
      </c>
      <c r="ES37" s="17">
        <v>-0.2</v>
      </c>
      <c r="ET37" s="17">
        <v>-11.8</v>
      </c>
      <c r="EU37" s="17">
        <v>-10</v>
      </c>
      <c r="EV37" s="17">
        <v>12.1</v>
      </c>
      <c r="EW37" s="17"/>
      <c r="EX37" s="17">
        <v>0.6</v>
      </c>
      <c r="EY37" s="17"/>
      <c r="EZ37" s="17"/>
      <c r="FA37" s="17">
        <v>-1</v>
      </c>
      <c r="FB37" s="17">
        <v>0.4</v>
      </c>
      <c r="FC37" s="17">
        <v>1.4</v>
      </c>
      <c r="FD37" s="17">
        <v>1.1000000000000001</v>
      </c>
      <c r="FE37" s="17">
        <v>1.7</v>
      </c>
      <c r="FF37" s="17">
        <v>0.5</v>
      </c>
      <c r="FG37" s="17"/>
      <c r="FH37" s="17">
        <v>1</v>
      </c>
      <c r="FI37" s="17"/>
      <c r="FJ37" s="17"/>
      <c r="FK37" s="17">
        <v>4.3</v>
      </c>
      <c r="FL37" s="17"/>
      <c r="FM37" s="17">
        <v>529.60730999999998</v>
      </c>
      <c r="FN37" s="15"/>
      <c r="FO37" s="17">
        <v>-0.22700000000000001</v>
      </c>
      <c r="FP37" s="17">
        <v>1.27389</v>
      </c>
      <c r="FQ37" s="17">
        <v>0.24609</v>
      </c>
      <c r="FR37" s="17">
        <v>0.16571</v>
      </c>
      <c r="FS37" s="17">
        <v>0</v>
      </c>
      <c r="FT37" s="17">
        <v>0</v>
      </c>
      <c r="FU37" s="17">
        <v>1.45869</v>
      </c>
    </row>
    <row r="38" spans="1:177" ht="24" customHeight="1" x14ac:dyDescent="0.3">
      <c r="A38" s="16" t="s">
        <v>67</v>
      </c>
      <c r="B38" s="16" t="s">
        <v>835</v>
      </c>
      <c r="C38" s="17">
        <v>-4.9000000000000004</v>
      </c>
      <c r="D38" s="17">
        <v>62.5</v>
      </c>
      <c r="E38" s="17">
        <v>29.6</v>
      </c>
      <c r="F38" s="17">
        <v>0</v>
      </c>
      <c r="G38" s="17">
        <v>0</v>
      </c>
      <c r="H38" s="17">
        <v>-9.1999999999999993</v>
      </c>
      <c r="I38" s="17">
        <v>15.8</v>
      </c>
      <c r="J38" s="17"/>
      <c r="K38" s="17">
        <v>6.8</v>
      </c>
      <c r="L38" s="17">
        <v>1.2</v>
      </c>
      <c r="M38" s="17">
        <v>0</v>
      </c>
      <c r="N38" s="17">
        <v>10.4</v>
      </c>
      <c r="O38" s="17">
        <v>66.2</v>
      </c>
      <c r="P38" s="17">
        <v>3.7</v>
      </c>
      <c r="Q38" s="17">
        <v>20.7</v>
      </c>
      <c r="R38" s="17">
        <v>14.9</v>
      </c>
      <c r="S38" s="17"/>
      <c r="T38" s="17"/>
      <c r="U38" s="17"/>
      <c r="V38" s="17"/>
      <c r="W38" s="17">
        <v>-5.7</v>
      </c>
      <c r="X38" s="17">
        <v>1.7</v>
      </c>
      <c r="Y38" s="17">
        <v>1.3</v>
      </c>
      <c r="Z38" s="17">
        <v>0</v>
      </c>
      <c r="AA38" s="17">
        <v>-3.2</v>
      </c>
      <c r="AB38" s="17">
        <v>23.4</v>
      </c>
      <c r="AC38" s="17"/>
      <c r="AD38" s="17"/>
      <c r="AE38" s="17"/>
      <c r="AF38" s="17"/>
      <c r="AG38" s="17">
        <v>3.9</v>
      </c>
      <c r="AH38" s="17">
        <v>-5.2</v>
      </c>
      <c r="AI38" s="17"/>
      <c r="AJ38" s="17">
        <v>-2.1</v>
      </c>
      <c r="AK38" s="17"/>
      <c r="AL38" s="17">
        <v>-1.8</v>
      </c>
      <c r="AM38" s="17">
        <v>-8</v>
      </c>
      <c r="AN38" s="17">
        <v>6.7</v>
      </c>
      <c r="AO38" s="17">
        <v>13.7</v>
      </c>
      <c r="AP38" s="17">
        <v>9.8000000000000007</v>
      </c>
      <c r="AQ38" s="17">
        <v>-0.1</v>
      </c>
      <c r="AR38" s="17">
        <v>2.6</v>
      </c>
      <c r="AS38" s="17">
        <v>1</v>
      </c>
      <c r="AT38" s="17">
        <v>26.3</v>
      </c>
      <c r="AU38" s="17">
        <v>17.2</v>
      </c>
      <c r="AV38" s="17">
        <v>-43.9</v>
      </c>
      <c r="AW38" s="17">
        <v>9.8000000000000007</v>
      </c>
      <c r="AX38" s="17">
        <v>-0.3</v>
      </c>
      <c r="AY38" s="17">
        <v>-3.1</v>
      </c>
      <c r="AZ38" s="17">
        <v>1</v>
      </c>
      <c r="BA38" s="17">
        <v>0.3</v>
      </c>
      <c r="BB38" s="17">
        <v>0.1</v>
      </c>
      <c r="BC38" s="17"/>
      <c r="BD38" s="17"/>
      <c r="BE38" s="17">
        <v>0</v>
      </c>
      <c r="BF38" s="17">
        <v>0</v>
      </c>
      <c r="BG38" s="17"/>
      <c r="BH38" s="17">
        <v>2.5</v>
      </c>
      <c r="BI38" s="17"/>
      <c r="BJ38" s="17"/>
      <c r="BK38" s="17"/>
      <c r="BL38" s="17">
        <v>1.77278</v>
      </c>
      <c r="BM38" s="17">
        <v>0</v>
      </c>
      <c r="BN38" s="17">
        <v>0</v>
      </c>
      <c r="BO38" s="17">
        <v>0</v>
      </c>
      <c r="BP38" s="17">
        <v>53.1</v>
      </c>
      <c r="BQ38" s="17">
        <v>0</v>
      </c>
      <c r="BR38" s="17"/>
      <c r="BS38" s="17"/>
      <c r="BT38" s="17"/>
      <c r="BU38" s="17"/>
      <c r="BV38" s="17">
        <v>-1.7</v>
      </c>
      <c r="BW38" s="17"/>
      <c r="BX38" s="17"/>
      <c r="BY38" s="17">
        <v>-0.2</v>
      </c>
      <c r="BZ38" s="17">
        <v>52.2</v>
      </c>
      <c r="CA38" s="17">
        <v>50.4</v>
      </c>
      <c r="CB38" s="17">
        <v>8.6999999999999993</v>
      </c>
      <c r="CC38" s="17">
        <v>13.6</v>
      </c>
      <c r="CD38" s="17">
        <v>6.1</v>
      </c>
      <c r="CE38" s="17">
        <v>0</v>
      </c>
      <c r="CF38" s="17"/>
      <c r="CG38" s="17"/>
      <c r="CH38" s="17">
        <v>32.9</v>
      </c>
      <c r="CI38" s="17">
        <v>55.9</v>
      </c>
      <c r="CJ38" s="17">
        <v>-16.399999999999999</v>
      </c>
      <c r="CK38" s="17">
        <v>0</v>
      </c>
      <c r="CL38" s="17"/>
      <c r="CM38" s="17"/>
      <c r="CN38" s="17"/>
      <c r="CO38" s="17"/>
      <c r="CP38" s="17">
        <v>12.3</v>
      </c>
      <c r="CQ38" s="17">
        <v>0.9</v>
      </c>
      <c r="CR38" s="17">
        <v>-3.1</v>
      </c>
      <c r="CS38" s="17">
        <v>0.5</v>
      </c>
      <c r="CT38" s="17">
        <v>0.9</v>
      </c>
      <c r="CU38" s="17"/>
      <c r="CV38" s="17">
        <v>-4.4000000000000004</v>
      </c>
      <c r="CW38" s="17">
        <v>6.9</v>
      </c>
      <c r="CX38" s="17"/>
      <c r="CY38" s="17"/>
      <c r="CZ38" s="17">
        <v>0.1</v>
      </c>
      <c r="DA38" s="17">
        <v>0</v>
      </c>
      <c r="DB38" s="17">
        <v>0</v>
      </c>
      <c r="DC38" s="17">
        <v>24.2</v>
      </c>
      <c r="DD38" s="17"/>
      <c r="DE38" s="17"/>
      <c r="DF38" s="17">
        <v>0</v>
      </c>
      <c r="DG38" s="17">
        <v>0.7</v>
      </c>
      <c r="DH38" s="17">
        <v>0.1</v>
      </c>
      <c r="DI38" s="17">
        <v>0.3</v>
      </c>
      <c r="DJ38" s="17">
        <v>0.2</v>
      </c>
      <c r="DK38" s="17"/>
      <c r="DL38" s="17"/>
      <c r="DM38" s="17">
        <v>0.7</v>
      </c>
      <c r="DN38" s="17">
        <v>0.5</v>
      </c>
      <c r="DO38" s="17">
        <v>-4.0999999999999996</v>
      </c>
      <c r="DP38" s="17">
        <v>-5.3</v>
      </c>
      <c r="DQ38" s="17">
        <v>-2.5</v>
      </c>
      <c r="DR38" s="17">
        <v>0</v>
      </c>
      <c r="DS38" s="17">
        <v>0</v>
      </c>
      <c r="DT38" s="17">
        <v>0.2</v>
      </c>
      <c r="DU38" s="17"/>
      <c r="DV38" s="17"/>
      <c r="DW38" s="17">
        <v>-1.9</v>
      </c>
      <c r="DX38" s="17">
        <v>0</v>
      </c>
      <c r="DY38" s="17">
        <v>0.6</v>
      </c>
      <c r="DZ38" s="17">
        <v>0.9</v>
      </c>
      <c r="EA38" s="17">
        <v>0.8</v>
      </c>
      <c r="EB38" s="17">
        <v>3.7</v>
      </c>
      <c r="EC38" s="17">
        <v>1.9</v>
      </c>
      <c r="ED38" s="17">
        <v>-6.4</v>
      </c>
      <c r="EE38" s="17">
        <v>-7</v>
      </c>
      <c r="EF38" s="17"/>
      <c r="EG38" s="17"/>
      <c r="EH38" s="17"/>
      <c r="EI38" s="17">
        <v>1.5</v>
      </c>
      <c r="EJ38" s="17">
        <v>0.2</v>
      </c>
      <c r="EK38" s="17">
        <v>1.2</v>
      </c>
      <c r="EL38" s="17">
        <v>0.2</v>
      </c>
      <c r="EM38" s="17">
        <v>0.2</v>
      </c>
      <c r="EN38" s="17">
        <v>0.2</v>
      </c>
      <c r="EO38" s="17"/>
      <c r="EP38" s="17">
        <v>26</v>
      </c>
      <c r="EQ38" s="17">
        <v>-1</v>
      </c>
      <c r="ER38" s="17">
        <v>-2</v>
      </c>
      <c r="ES38" s="17">
        <v>-0.2</v>
      </c>
      <c r="ET38" s="17">
        <v>-11.1</v>
      </c>
      <c r="EU38" s="17">
        <v>-9.3000000000000007</v>
      </c>
      <c r="EV38" s="17">
        <v>23.4</v>
      </c>
      <c r="EW38" s="17"/>
      <c r="EX38" s="17">
        <v>0.6</v>
      </c>
      <c r="EY38" s="17"/>
      <c r="EZ38" s="17"/>
      <c r="FA38" s="17">
        <v>-0.8</v>
      </c>
      <c r="FB38" s="17">
        <v>0.4</v>
      </c>
      <c r="FC38" s="17">
        <v>1.6</v>
      </c>
      <c r="FD38" s="17">
        <v>1.2</v>
      </c>
      <c r="FE38" s="17">
        <v>1.5</v>
      </c>
      <c r="FF38" s="17">
        <v>0.1</v>
      </c>
      <c r="FG38" s="17"/>
      <c r="FH38" s="17">
        <v>2.8</v>
      </c>
      <c r="FI38" s="17"/>
      <c r="FJ38" s="17"/>
      <c r="FK38" s="17">
        <v>4.0999999999999996</v>
      </c>
      <c r="FL38" s="17"/>
      <c r="FM38" s="17">
        <v>584.47277999999994</v>
      </c>
      <c r="FN38" s="15"/>
      <c r="FO38" s="17">
        <v>-2.8000000000000001E-2</v>
      </c>
      <c r="FP38" s="17">
        <v>1.24264</v>
      </c>
      <c r="FQ38" s="17">
        <v>0.26041999999999998</v>
      </c>
      <c r="FR38" s="17">
        <v>0.14138000000000001</v>
      </c>
      <c r="FS38" s="17">
        <v>0</v>
      </c>
      <c r="FT38" s="17">
        <v>0</v>
      </c>
      <c r="FU38" s="17">
        <v>1.6164400000000001</v>
      </c>
    </row>
    <row r="39" spans="1:177" ht="24" customHeight="1" x14ac:dyDescent="0.3">
      <c r="A39" s="16" t="s">
        <v>67</v>
      </c>
      <c r="B39" s="16" t="s">
        <v>836</v>
      </c>
      <c r="C39" s="17">
        <v>-4.4000000000000004</v>
      </c>
      <c r="D39" s="17">
        <v>60.1</v>
      </c>
      <c r="E39" s="17">
        <v>29.1</v>
      </c>
      <c r="F39" s="17">
        <v>1.7</v>
      </c>
      <c r="G39" s="17">
        <v>1.8</v>
      </c>
      <c r="H39" s="17">
        <v>-8</v>
      </c>
      <c r="I39" s="17">
        <v>18.100000000000001</v>
      </c>
      <c r="J39" s="17"/>
      <c r="K39" s="17">
        <v>6.6</v>
      </c>
      <c r="L39" s="17">
        <v>3.3</v>
      </c>
      <c r="M39" s="17">
        <v>0</v>
      </c>
      <c r="N39" s="17">
        <v>12.7</v>
      </c>
      <c r="O39" s="17">
        <v>68.900000000000006</v>
      </c>
      <c r="P39" s="17">
        <v>7.4</v>
      </c>
      <c r="Q39" s="17">
        <v>22.8</v>
      </c>
      <c r="R39" s="17">
        <v>16</v>
      </c>
      <c r="S39" s="17"/>
      <c r="T39" s="17"/>
      <c r="U39" s="17"/>
      <c r="V39" s="17"/>
      <c r="W39" s="17">
        <v>-4.5999999999999996</v>
      </c>
      <c r="X39" s="17">
        <v>1.5</v>
      </c>
      <c r="Y39" s="17">
        <v>0.9</v>
      </c>
      <c r="Z39" s="17">
        <v>0</v>
      </c>
      <c r="AA39" s="17">
        <v>-3.2</v>
      </c>
      <c r="AB39" s="17">
        <v>26.4</v>
      </c>
      <c r="AC39" s="17"/>
      <c r="AD39" s="17"/>
      <c r="AE39" s="17"/>
      <c r="AF39" s="17"/>
      <c r="AG39" s="17">
        <v>6</v>
      </c>
      <c r="AH39" s="17">
        <v>-5</v>
      </c>
      <c r="AI39" s="17"/>
      <c r="AJ39" s="17">
        <v>0.2</v>
      </c>
      <c r="AK39" s="17"/>
      <c r="AL39" s="17">
        <v>-1.7</v>
      </c>
      <c r="AM39" s="17">
        <v>-6.6</v>
      </c>
      <c r="AN39" s="17">
        <v>7.4</v>
      </c>
      <c r="AO39" s="17">
        <v>14.1</v>
      </c>
      <c r="AP39" s="17">
        <v>9.8000000000000007</v>
      </c>
      <c r="AQ39" s="17">
        <v>0.9</v>
      </c>
      <c r="AR39" s="17">
        <v>2.6</v>
      </c>
      <c r="AS39" s="17">
        <v>1</v>
      </c>
      <c r="AT39" s="17">
        <v>29.4</v>
      </c>
      <c r="AU39" s="17">
        <v>20.3</v>
      </c>
      <c r="AV39" s="17">
        <v>-40.5</v>
      </c>
      <c r="AW39" s="17">
        <v>10</v>
      </c>
      <c r="AX39" s="17">
        <v>0.2</v>
      </c>
      <c r="AY39" s="17">
        <v>-2.4</v>
      </c>
      <c r="AZ39" s="17">
        <v>1</v>
      </c>
      <c r="BA39" s="17">
        <v>0.3</v>
      </c>
      <c r="BB39" s="17">
        <v>-0.6</v>
      </c>
      <c r="BC39" s="17"/>
      <c r="BD39" s="17"/>
      <c r="BE39" s="17">
        <v>0</v>
      </c>
      <c r="BF39" s="17">
        <v>0</v>
      </c>
      <c r="BG39" s="17"/>
      <c r="BH39" s="17">
        <v>1.6</v>
      </c>
      <c r="BI39" s="17"/>
      <c r="BJ39" s="17"/>
      <c r="BK39" s="17"/>
      <c r="BL39" s="17">
        <v>2.68214</v>
      </c>
      <c r="BM39" s="17">
        <v>0</v>
      </c>
      <c r="BN39" s="17">
        <v>0</v>
      </c>
      <c r="BO39" s="17">
        <v>0</v>
      </c>
      <c r="BP39" s="17">
        <v>60.7</v>
      </c>
      <c r="BQ39" s="17">
        <v>0</v>
      </c>
      <c r="BR39" s="17"/>
      <c r="BS39" s="17"/>
      <c r="BT39" s="17"/>
      <c r="BU39" s="17"/>
      <c r="BV39" s="17">
        <v>0.2</v>
      </c>
      <c r="BW39" s="17"/>
      <c r="BX39" s="17"/>
      <c r="BY39" s="17">
        <v>-0.1</v>
      </c>
      <c r="BZ39" s="17">
        <v>50.2</v>
      </c>
      <c r="CA39" s="17">
        <v>50.7</v>
      </c>
      <c r="CB39" s="17">
        <v>7.5</v>
      </c>
      <c r="CC39" s="17">
        <v>16</v>
      </c>
      <c r="CD39" s="17">
        <v>6.1</v>
      </c>
      <c r="CE39" s="17">
        <v>0</v>
      </c>
      <c r="CF39" s="17"/>
      <c r="CG39" s="17"/>
      <c r="CH39" s="17">
        <v>39.200000000000003</v>
      </c>
      <c r="CI39" s="17">
        <v>62.2</v>
      </c>
      <c r="CJ39" s="17">
        <v>-7.1</v>
      </c>
      <c r="CK39" s="17">
        <v>0</v>
      </c>
      <c r="CL39" s="17"/>
      <c r="CM39" s="17"/>
      <c r="CN39" s="17"/>
      <c r="CO39" s="17"/>
      <c r="CP39" s="17">
        <v>16.899999999999999</v>
      </c>
      <c r="CQ39" s="17">
        <v>3.6</v>
      </c>
      <c r="CR39" s="17">
        <v>-3</v>
      </c>
      <c r="CS39" s="17">
        <v>0.5</v>
      </c>
      <c r="CT39" s="17">
        <v>0.8</v>
      </c>
      <c r="CU39" s="17"/>
      <c r="CV39" s="17">
        <v>-4.9000000000000004</v>
      </c>
      <c r="CW39" s="17">
        <v>6.7</v>
      </c>
      <c r="CX39" s="17"/>
      <c r="CY39" s="17"/>
      <c r="CZ39" s="17">
        <v>0</v>
      </c>
      <c r="DA39" s="17">
        <v>0</v>
      </c>
      <c r="DB39" s="17">
        <v>0</v>
      </c>
      <c r="DC39" s="17">
        <v>23.2</v>
      </c>
      <c r="DD39" s="17"/>
      <c r="DE39" s="17"/>
      <c r="DF39" s="17">
        <v>0.1</v>
      </c>
      <c r="DG39" s="17">
        <v>0.8</v>
      </c>
      <c r="DH39" s="17">
        <v>0.1</v>
      </c>
      <c r="DI39" s="17">
        <v>0.8</v>
      </c>
      <c r="DJ39" s="17">
        <v>0.2</v>
      </c>
      <c r="DK39" s="17"/>
      <c r="DL39" s="17"/>
      <c r="DM39" s="17">
        <v>0.7</v>
      </c>
      <c r="DN39" s="17">
        <v>0.5</v>
      </c>
      <c r="DO39" s="17">
        <v>-3.7</v>
      </c>
      <c r="DP39" s="17">
        <v>-4.2</v>
      </c>
      <c r="DQ39" s="17">
        <v>-2.4</v>
      </c>
      <c r="DR39" s="17">
        <v>0.1</v>
      </c>
      <c r="DS39" s="17">
        <v>0</v>
      </c>
      <c r="DT39" s="17">
        <v>0.2</v>
      </c>
      <c r="DU39" s="17"/>
      <c r="DV39" s="17"/>
      <c r="DW39" s="17">
        <v>-1.8</v>
      </c>
      <c r="DX39" s="17">
        <v>0</v>
      </c>
      <c r="DY39" s="17">
        <v>0.5</v>
      </c>
      <c r="DZ39" s="17">
        <v>0.7</v>
      </c>
      <c r="EA39" s="17">
        <v>0.8</v>
      </c>
      <c r="EB39" s="17">
        <v>3.7</v>
      </c>
      <c r="EC39" s="17">
        <v>1.9</v>
      </c>
      <c r="ED39" s="17">
        <v>-9.5</v>
      </c>
      <c r="EE39" s="17">
        <v>-11</v>
      </c>
      <c r="EF39" s="17"/>
      <c r="EG39" s="17"/>
      <c r="EH39" s="17"/>
      <c r="EI39" s="17">
        <v>1.5</v>
      </c>
      <c r="EJ39" s="17">
        <v>0.2</v>
      </c>
      <c r="EK39" s="17">
        <v>1.1000000000000001</v>
      </c>
      <c r="EL39" s="17">
        <v>0.2</v>
      </c>
      <c r="EM39" s="17">
        <v>0.2</v>
      </c>
      <c r="EN39" s="17">
        <v>0.2</v>
      </c>
      <c r="EO39" s="17"/>
      <c r="EP39" s="17">
        <v>27.2</v>
      </c>
      <c r="EQ39" s="17">
        <v>-0.7</v>
      </c>
      <c r="ER39" s="17">
        <v>-1.9</v>
      </c>
      <c r="ES39" s="17">
        <v>-0.2</v>
      </c>
      <c r="ET39" s="17">
        <v>-10.6</v>
      </c>
      <c r="EU39" s="17">
        <v>-9.9</v>
      </c>
      <c r="EV39" s="17">
        <v>21.1</v>
      </c>
      <c r="EW39" s="17"/>
      <c r="EX39" s="17">
        <v>0.6</v>
      </c>
      <c r="EY39" s="17"/>
      <c r="EZ39" s="17"/>
      <c r="FA39" s="17">
        <v>-0.5</v>
      </c>
      <c r="FB39" s="17">
        <v>0.4</v>
      </c>
      <c r="FC39" s="17">
        <v>1.8</v>
      </c>
      <c r="FD39" s="17">
        <v>1.5</v>
      </c>
      <c r="FE39" s="17">
        <v>1.2</v>
      </c>
      <c r="FF39" s="17">
        <v>0.7</v>
      </c>
      <c r="FG39" s="17"/>
      <c r="FH39" s="17">
        <v>3.3</v>
      </c>
      <c r="FI39" s="17"/>
      <c r="FJ39" s="17"/>
      <c r="FK39" s="17">
        <v>4.2</v>
      </c>
      <c r="FL39" s="17"/>
      <c r="FM39" s="17">
        <v>657.28214000000003</v>
      </c>
      <c r="FN39" s="15"/>
      <c r="FO39" s="17">
        <v>0.219</v>
      </c>
      <c r="FP39" s="17">
        <v>1.2499800000000001</v>
      </c>
      <c r="FQ39" s="17">
        <v>0.28383999999999998</v>
      </c>
      <c r="FR39" s="17">
        <v>0.13306999999999999</v>
      </c>
      <c r="FS39" s="17">
        <v>0.2</v>
      </c>
      <c r="FT39" s="17">
        <v>0</v>
      </c>
      <c r="FU39" s="17">
        <v>2.08589</v>
      </c>
    </row>
    <row r="40" spans="1:177" ht="24" customHeight="1" x14ac:dyDescent="0.3">
      <c r="A40" s="16" t="s">
        <v>67</v>
      </c>
      <c r="B40" s="16" t="s">
        <v>837</v>
      </c>
      <c r="C40" s="17">
        <v>-4.4000000000000004</v>
      </c>
      <c r="D40" s="17">
        <v>67.599999999999994</v>
      </c>
      <c r="E40" s="17">
        <v>30.8</v>
      </c>
      <c r="F40" s="17">
        <v>1.7</v>
      </c>
      <c r="G40" s="17">
        <v>1.8</v>
      </c>
      <c r="H40" s="17">
        <v>-2.5</v>
      </c>
      <c r="I40" s="17">
        <v>20.8</v>
      </c>
      <c r="J40" s="17"/>
      <c r="K40" s="17">
        <v>2.1</v>
      </c>
      <c r="L40" s="17">
        <v>6.9</v>
      </c>
      <c r="M40" s="17">
        <v>0</v>
      </c>
      <c r="N40" s="17">
        <v>16.100000000000001</v>
      </c>
      <c r="O40" s="17">
        <v>72.900000000000006</v>
      </c>
      <c r="P40" s="17">
        <v>8.9</v>
      </c>
      <c r="Q40" s="17">
        <v>23.8</v>
      </c>
      <c r="R40" s="17">
        <v>20.7</v>
      </c>
      <c r="S40" s="17"/>
      <c r="T40" s="17"/>
      <c r="U40" s="17"/>
      <c r="V40" s="17"/>
      <c r="W40" s="17">
        <v>-3.7</v>
      </c>
      <c r="X40" s="17">
        <v>1.6</v>
      </c>
      <c r="Y40" s="17">
        <v>1.1000000000000001</v>
      </c>
      <c r="Z40" s="17">
        <v>0</v>
      </c>
      <c r="AA40" s="17">
        <v>-3.2</v>
      </c>
      <c r="AB40" s="17">
        <v>27.9</v>
      </c>
      <c r="AC40" s="17"/>
      <c r="AD40" s="17"/>
      <c r="AE40" s="17"/>
      <c r="AF40" s="17"/>
      <c r="AG40" s="17">
        <v>8.5</v>
      </c>
      <c r="AH40" s="17">
        <v>-3.3</v>
      </c>
      <c r="AI40" s="17"/>
      <c r="AJ40" s="17">
        <v>0.7</v>
      </c>
      <c r="AK40" s="17"/>
      <c r="AL40" s="17">
        <v>-1.7</v>
      </c>
      <c r="AM40" s="17">
        <v>-6.4</v>
      </c>
      <c r="AN40" s="17">
        <v>7</v>
      </c>
      <c r="AO40" s="17">
        <v>13.9</v>
      </c>
      <c r="AP40" s="17">
        <v>9.9</v>
      </c>
      <c r="AQ40" s="17">
        <v>0.7</v>
      </c>
      <c r="AR40" s="17">
        <v>2.6</v>
      </c>
      <c r="AS40" s="17">
        <v>0.7</v>
      </c>
      <c r="AT40" s="17">
        <v>31.7</v>
      </c>
      <c r="AU40" s="17">
        <v>22.6</v>
      </c>
      <c r="AV40" s="17">
        <v>-42.8</v>
      </c>
      <c r="AW40" s="17">
        <v>9.5</v>
      </c>
      <c r="AX40" s="17">
        <v>0</v>
      </c>
      <c r="AY40" s="17">
        <v>-2.1</v>
      </c>
      <c r="AZ40" s="17">
        <v>1</v>
      </c>
      <c r="BA40" s="17">
        <v>0.3</v>
      </c>
      <c r="BB40" s="17">
        <v>0.3</v>
      </c>
      <c r="BC40" s="17"/>
      <c r="BD40" s="17"/>
      <c r="BE40" s="17">
        <v>0</v>
      </c>
      <c r="BF40" s="17">
        <v>0</v>
      </c>
      <c r="BG40" s="17"/>
      <c r="BH40" s="17">
        <v>1.3</v>
      </c>
      <c r="BI40" s="17"/>
      <c r="BJ40" s="17"/>
      <c r="BK40" s="17"/>
      <c r="BL40" s="17">
        <v>4.2380599999999999</v>
      </c>
      <c r="BM40" s="17">
        <v>0</v>
      </c>
      <c r="BN40" s="17">
        <v>0</v>
      </c>
      <c r="BO40" s="17">
        <v>0</v>
      </c>
      <c r="BP40" s="17">
        <v>63.1</v>
      </c>
      <c r="BQ40" s="17">
        <v>0</v>
      </c>
      <c r="BR40" s="17"/>
      <c r="BS40" s="17"/>
      <c r="BT40" s="17"/>
      <c r="BU40" s="17"/>
      <c r="BV40" s="17">
        <v>-0.8</v>
      </c>
      <c r="BW40" s="17"/>
      <c r="BX40" s="17"/>
      <c r="BY40" s="17">
        <v>-0.2</v>
      </c>
      <c r="BZ40" s="17">
        <v>38.9</v>
      </c>
      <c r="CA40" s="17">
        <v>36.5</v>
      </c>
      <c r="CB40" s="17">
        <v>8.3000000000000007</v>
      </c>
      <c r="CC40" s="17">
        <v>13.6</v>
      </c>
      <c r="CD40" s="17">
        <v>6.2</v>
      </c>
      <c r="CE40" s="17">
        <v>0</v>
      </c>
      <c r="CF40" s="17"/>
      <c r="CG40" s="17"/>
      <c r="CH40" s="17">
        <v>41.3</v>
      </c>
      <c r="CI40" s="17">
        <v>64.400000000000006</v>
      </c>
      <c r="CJ40" s="17">
        <v>-3.7</v>
      </c>
      <c r="CK40" s="17">
        <v>0</v>
      </c>
      <c r="CL40" s="17"/>
      <c r="CM40" s="17"/>
      <c r="CN40" s="17"/>
      <c r="CO40" s="17"/>
      <c r="CP40" s="17">
        <v>18.100000000000001</v>
      </c>
      <c r="CQ40" s="17">
        <v>4.3</v>
      </c>
      <c r="CR40" s="17">
        <v>-2.7</v>
      </c>
      <c r="CS40" s="17">
        <v>0.1</v>
      </c>
      <c r="CT40" s="17">
        <v>0.7</v>
      </c>
      <c r="CU40" s="17"/>
      <c r="CV40" s="17">
        <v>-4.5999999999999996</v>
      </c>
      <c r="CW40" s="17">
        <v>6.6</v>
      </c>
      <c r="CX40" s="17"/>
      <c r="CY40" s="17"/>
      <c r="CZ40" s="17">
        <v>0.1</v>
      </c>
      <c r="DA40" s="17">
        <v>0</v>
      </c>
      <c r="DB40" s="17">
        <v>0</v>
      </c>
      <c r="DC40" s="17">
        <v>23.3</v>
      </c>
      <c r="DD40" s="17"/>
      <c r="DE40" s="17"/>
      <c r="DF40" s="17">
        <v>0.1</v>
      </c>
      <c r="DG40" s="17">
        <v>0.7</v>
      </c>
      <c r="DH40" s="17">
        <v>0.1</v>
      </c>
      <c r="DI40" s="17">
        <v>0.8</v>
      </c>
      <c r="DJ40" s="17">
        <v>0.2</v>
      </c>
      <c r="DK40" s="17"/>
      <c r="DL40" s="17"/>
      <c r="DM40" s="17">
        <v>0.6</v>
      </c>
      <c r="DN40" s="17">
        <v>0.5</v>
      </c>
      <c r="DO40" s="17">
        <v>-3.6</v>
      </c>
      <c r="DP40" s="17">
        <v>-4.3</v>
      </c>
      <c r="DQ40" s="17">
        <v>-2.2000000000000002</v>
      </c>
      <c r="DR40" s="17">
        <v>0.3</v>
      </c>
      <c r="DS40" s="17">
        <v>0</v>
      </c>
      <c r="DT40" s="17">
        <v>0.2</v>
      </c>
      <c r="DU40" s="17"/>
      <c r="DV40" s="17"/>
      <c r="DW40" s="17">
        <v>-1.6</v>
      </c>
      <c r="DX40" s="17">
        <v>0</v>
      </c>
      <c r="DY40" s="17">
        <v>1</v>
      </c>
      <c r="DZ40" s="17">
        <v>0.9</v>
      </c>
      <c r="EA40" s="17">
        <v>0.8</v>
      </c>
      <c r="EB40" s="17">
        <v>3.7</v>
      </c>
      <c r="EC40" s="17">
        <v>1.9</v>
      </c>
      <c r="ED40" s="17">
        <v>-6.3</v>
      </c>
      <c r="EE40" s="17">
        <v>-7.2</v>
      </c>
      <c r="EF40" s="17"/>
      <c r="EG40" s="17"/>
      <c r="EH40" s="17"/>
      <c r="EI40" s="17">
        <v>1.5</v>
      </c>
      <c r="EJ40" s="17">
        <v>0.2</v>
      </c>
      <c r="EK40" s="17">
        <v>1.1000000000000001</v>
      </c>
      <c r="EL40" s="17">
        <v>0.2</v>
      </c>
      <c r="EM40" s="17">
        <v>0.2</v>
      </c>
      <c r="EN40" s="17">
        <v>0.2</v>
      </c>
      <c r="EO40" s="17"/>
      <c r="EP40" s="17">
        <v>25.9</v>
      </c>
      <c r="EQ40" s="17">
        <v>-0.5</v>
      </c>
      <c r="ER40" s="17">
        <v>-2</v>
      </c>
      <c r="ES40" s="17">
        <v>-0.2</v>
      </c>
      <c r="ET40" s="17">
        <v>-8.1999999999999993</v>
      </c>
      <c r="EU40" s="17">
        <v>-9.5</v>
      </c>
      <c r="EV40" s="17">
        <v>23.8</v>
      </c>
      <c r="EW40" s="17"/>
      <c r="EX40" s="17">
        <v>0.6</v>
      </c>
      <c r="EY40" s="17"/>
      <c r="EZ40" s="17"/>
      <c r="FA40" s="17">
        <v>-0.3</v>
      </c>
      <c r="FB40" s="17">
        <v>0.4</v>
      </c>
      <c r="FC40" s="17">
        <v>2.2000000000000002</v>
      </c>
      <c r="FD40" s="17">
        <v>1.8</v>
      </c>
      <c r="FE40" s="17">
        <v>1.1000000000000001</v>
      </c>
      <c r="FF40" s="17">
        <v>0.6</v>
      </c>
      <c r="FG40" s="17"/>
      <c r="FH40" s="17">
        <v>3</v>
      </c>
      <c r="FI40" s="17"/>
      <c r="FJ40" s="17"/>
      <c r="FK40" s="17">
        <v>4.0999999999999996</v>
      </c>
      <c r="FL40" s="17"/>
      <c r="FM40" s="17">
        <v>695.83806000000004</v>
      </c>
      <c r="FN40" s="15"/>
      <c r="FO40" s="17">
        <v>0.22600000000000001</v>
      </c>
      <c r="FP40" s="17">
        <v>1.25268</v>
      </c>
      <c r="FQ40" s="17">
        <v>0.28199999999999997</v>
      </c>
      <c r="FR40" s="17">
        <v>0.21446000000000001</v>
      </c>
      <c r="FS40" s="17">
        <v>0.2</v>
      </c>
      <c r="FT40" s="17">
        <v>0</v>
      </c>
      <c r="FU40" s="17">
        <v>2.1751399999999999</v>
      </c>
    </row>
    <row r="41" spans="1:177" ht="24" customHeight="1" x14ac:dyDescent="0.3">
      <c r="A41" s="16" t="s">
        <v>67</v>
      </c>
      <c r="B41" s="16" t="s">
        <v>838</v>
      </c>
      <c r="C41" s="17">
        <v>-3</v>
      </c>
      <c r="D41" s="17">
        <v>86.3</v>
      </c>
      <c r="E41" s="17">
        <v>34.9</v>
      </c>
      <c r="F41" s="17">
        <v>1.7</v>
      </c>
      <c r="G41" s="17">
        <v>1.7</v>
      </c>
      <c r="H41" s="17">
        <v>-2.8</v>
      </c>
      <c r="I41" s="17">
        <v>22.1</v>
      </c>
      <c r="J41" s="17"/>
      <c r="K41" s="17">
        <v>2.2999999999999998</v>
      </c>
      <c r="L41" s="17">
        <v>9.9</v>
      </c>
      <c r="M41" s="17">
        <v>0</v>
      </c>
      <c r="N41" s="17">
        <v>19.5</v>
      </c>
      <c r="O41" s="17">
        <v>76</v>
      </c>
      <c r="P41" s="17">
        <v>10.6</v>
      </c>
      <c r="Q41" s="17">
        <v>25.1</v>
      </c>
      <c r="R41" s="17">
        <v>54.9</v>
      </c>
      <c r="S41" s="17"/>
      <c r="T41" s="17"/>
      <c r="U41" s="17"/>
      <c r="V41" s="17"/>
      <c r="W41" s="17">
        <v>-2</v>
      </c>
      <c r="X41" s="17">
        <v>1.6</v>
      </c>
      <c r="Y41" s="17">
        <v>1</v>
      </c>
      <c r="Z41" s="17">
        <v>0</v>
      </c>
      <c r="AA41" s="17">
        <v>-3.3</v>
      </c>
      <c r="AB41" s="17">
        <v>25.8</v>
      </c>
      <c r="AC41" s="17"/>
      <c r="AD41" s="17"/>
      <c r="AE41" s="17"/>
      <c r="AF41" s="17"/>
      <c r="AG41" s="17">
        <v>12.2</v>
      </c>
      <c r="AH41" s="17">
        <v>2.1</v>
      </c>
      <c r="AI41" s="17"/>
      <c r="AJ41" s="17">
        <v>1.5</v>
      </c>
      <c r="AK41" s="17"/>
      <c r="AL41" s="17">
        <v>-1.6</v>
      </c>
      <c r="AM41" s="17">
        <v>-3.5</v>
      </c>
      <c r="AN41" s="17">
        <v>7.1</v>
      </c>
      <c r="AO41" s="17">
        <v>14.2</v>
      </c>
      <c r="AP41" s="17">
        <v>9.8000000000000007</v>
      </c>
      <c r="AQ41" s="17">
        <v>1</v>
      </c>
      <c r="AR41" s="17">
        <v>2.6</v>
      </c>
      <c r="AS41" s="17">
        <v>1.2</v>
      </c>
      <c r="AT41" s="17">
        <v>35.9</v>
      </c>
      <c r="AU41" s="17">
        <v>26.7</v>
      </c>
      <c r="AV41" s="17">
        <v>-39.4</v>
      </c>
      <c r="AW41" s="17">
        <v>11.3</v>
      </c>
      <c r="AX41" s="17">
        <v>0</v>
      </c>
      <c r="AY41" s="17">
        <v>-2.1</v>
      </c>
      <c r="AZ41" s="17">
        <v>1</v>
      </c>
      <c r="BA41" s="17">
        <v>0.2</v>
      </c>
      <c r="BB41" s="17">
        <v>0.5</v>
      </c>
      <c r="BC41" s="17"/>
      <c r="BD41" s="17"/>
      <c r="BE41" s="17">
        <v>0</v>
      </c>
      <c r="BF41" s="17">
        <v>0</v>
      </c>
      <c r="BG41" s="17"/>
      <c r="BH41" s="17">
        <v>1.7</v>
      </c>
      <c r="BI41" s="17"/>
      <c r="BJ41" s="17"/>
      <c r="BK41" s="17"/>
      <c r="BL41" s="17">
        <v>4.7035499999999999</v>
      </c>
      <c r="BM41" s="17">
        <v>0</v>
      </c>
      <c r="BN41" s="17">
        <v>0</v>
      </c>
      <c r="BO41" s="17">
        <v>0</v>
      </c>
      <c r="BP41" s="17">
        <v>63.6</v>
      </c>
      <c r="BQ41" s="17">
        <v>0</v>
      </c>
      <c r="BR41" s="17"/>
      <c r="BS41" s="17"/>
      <c r="BT41" s="17"/>
      <c r="BU41" s="17"/>
      <c r="BV41" s="17">
        <v>0.8</v>
      </c>
      <c r="BW41" s="17"/>
      <c r="BX41" s="17"/>
      <c r="BY41" s="17">
        <v>-0.1</v>
      </c>
      <c r="BZ41" s="17">
        <v>20.7</v>
      </c>
      <c r="CA41" s="17">
        <v>35.9</v>
      </c>
      <c r="CB41" s="17">
        <v>9.6999999999999993</v>
      </c>
      <c r="CC41" s="17">
        <v>13.6</v>
      </c>
      <c r="CD41" s="17">
        <v>6</v>
      </c>
      <c r="CE41" s="17">
        <v>0</v>
      </c>
      <c r="CF41" s="17"/>
      <c r="CG41" s="17"/>
      <c r="CH41" s="17">
        <v>45.9</v>
      </c>
      <c r="CI41" s="17">
        <v>68.900000000000006</v>
      </c>
      <c r="CJ41" s="17">
        <v>2.7</v>
      </c>
      <c r="CK41" s="17">
        <v>0</v>
      </c>
      <c r="CL41" s="17"/>
      <c r="CM41" s="17"/>
      <c r="CN41" s="17"/>
      <c r="CO41" s="17"/>
      <c r="CP41" s="17">
        <v>23</v>
      </c>
      <c r="CQ41" s="17">
        <v>7.2</v>
      </c>
      <c r="CR41" s="17">
        <v>-2.6</v>
      </c>
      <c r="CS41" s="17">
        <v>0.1</v>
      </c>
      <c r="CT41" s="17">
        <v>0.6</v>
      </c>
      <c r="CU41" s="17"/>
      <c r="CV41" s="17">
        <v>-4.3</v>
      </c>
      <c r="CW41" s="17">
        <v>5.9</v>
      </c>
      <c r="CX41" s="17"/>
      <c r="CY41" s="17"/>
      <c r="CZ41" s="17">
        <v>0</v>
      </c>
      <c r="DA41" s="17">
        <v>0</v>
      </c>
      <c r="DB41" s="17">
        <v>0</v>
      </c>
      <c r="DC41" s="17">
        <v>23.3</v>
      </c>
      <c r="DD41" s="17"/>
      <c r="DE41" s="17"/>
      <c r="DF41" s="17">
        <v>-0.1</v>
      </c>
      <c r="DG41" s="17">
        <v>0.8</v>
      </c>
      <c r="DH41" s="17">
        <v>0.2</v>
      </c>
      <c r="DI41" s="17">
        <v>-0.9</v>
      </c>
      <c r="DJ41" s="17">
        <v>0.2</v>
      </c>
      <c r="DK41" s="17"/>
      <c r="DL41" s="17"/>
      <c r="DM41" s="17">
        <v>0.6</v>
      </c>
      <c r="DN41" s="17">
        <v>0.4</v>
      </c>
      <c r="DO41" s="17">
        <v>-3.7</v>
      </c>
      <c r="DP41" s="17">
        <v>-4.3</v>
      </c>
      <c r="DQ41" s="17">
        <v>-1.7</v>
      </c>
      <c r="DR41" s="17">
        <v>0.1</v>
      </c>
      <c r="DS41" s="17">
        <v>0</v>
      </c>
      <c r="DT41" s="17">
        <v>0.2</v>
      </c>
      <c r="DU41" s="17"/>
      <c r="DV41" s="17"/>
      <c r="DW41" s="17">
        <v>-1.7</v>
      </c>
      <c r="DX41" s="17">
        <v>0.4</v>
      </c>
      <c r="DY41" s="17">
        <v>0.6</v>
      </c>
      <c r="DZ41" s="17">
        <v>0.8</v>
      </c>
      <c r="EA41" s="17">
        <v>0.8</v>
      </c>
      <c r="EB41" s="17">
        <v>3.7</v>
      </c>
      <c r="EC41" s="17">
        <v>1.7</v>
      </c>
      <c r="ED41" s="17">
        <v>-3.4</v>
      </c>
      <c r="EE41" s="17">
        <v>-4.3</v>
      </c>
      <c r="EF41" s="17"/>
      <c r="EG41" s="17"/>
      <c r="EH41" s="17"/>
      <c r="EI41" s="17">
        <v>1.5</v>
      </c>
      <c r="EJ41" s="17">
        <v>0.2</v>
      </c>
      <c r="EK41" s="17">
        <v>1.1000000000000001</v>
      </c>
      <c r="EL41" s="17">
        <v>0.2</v>
      </c>
      <c r="EM41" s="17">
        <v>0.2</v>
      </c>
      <c r="EN41" s="17">
        <v>0.2</v>
      </c>
      <c r="EO41" s="17"/>
      <c r="EP41" s="17">
        <v>25.5</v>
      </c>
      <c r="EQ41" s="17">
        <v>-0.2</v>
      </c>
      <c r="ER41" s="17">
        <v>-1.6</v>
      </c>
      <c r="ES41" s="17">
        <v>-0.1</v>
      </c>
      <c r="ET41" s="17">
        <v>-3.4</v>
      </c>
      <c r="EU41" s="17">
        <v>-7.5</v>
      </c>
      <c r="EV41" s="17">
        <v>26.9</v>
      </c>
      <c r="EW41" s="17"/>
      <c r="EX41" s="17">
        <v>0.6</v>
      </c>
      <c r="EY41" s="17"/>
      <c r="EZ41" s="17"/>
      <c r="FA41" s="17">
        <v>-0.1</v>
      </c>
      <c r="FB41" s="17">
        <v>0.4</v>
      </c>
      <c r="FC41" s="17">
        <v>2.2000000000000002</v>
      </c>
      <c r="FD41" s="17">
        <v>1.8</v>
      </c>
      <c r="FE41" s="17">
        <v>1.5</v>
      </c>
      <c r="FF41" s="17">
        <v>0.7</v>
      </c>
      <c r="FG41" s="17"/>
      <c r="FH41" s="17">
        <v>4.7</v>
      </c>
      <c r="FI41" s="17"/>
      <c r="FJ41" s="17"/>
      <c r="FK41" s="17">
        <v>4.3</v>
      </c>
      <c r="FL41" s="17"/>
      <c r="FM41" s="17">
        <v>819.80354999999997</v>
      </c>
      <c r="FN41" s="15"/>
      <c r="FO41" s="17">
        <v>0.124</v>
      </c>
      <c r="FP41" s="17">
        <v>1.2563299999999999</v>
      </c>
      <c r="FQ41" s="17">
        <v>0.28136</v>
      </c>
      <c r="FR41" s="17">
        <v>0.21024000000000001</v>
      </c>
      <c r="FS41" s="17">
        <v>0.2</v>
      </c>
      <c r="FT41" s="17">
        <v>0</v>
      </c>
      <c r="FU41" s="17">
        <v>2.07193</v>
      </c>
    </row>
    <row r="42" spans="1:177" ht="24" customHeight="1" x14ac:dyDescent="0.3">
      <c r="A42" s="18" t="s">
        <v>67</v>
      </c>
      <c r="B42" s="18" t="s">
        <v>839</v>
      </c>
      <c r="C42" s="19">
        <v>-2.9</v>
      </c>
      <c r="D42" s="19">
        <v>90.1</v>
      </c>
      <c r="E42" s="19">
        <v>34.9</v>
      </c>
      <c r="F42" s="19">
        <v>1.7</v>
      </c>
      <c r="G42" s="19">
        <v>1.7</v>
      </c>
      <c r="H42" s="19">
        <v>-2.4</v>
      </c>
      <c r="I42" s="19">
        <v>20</v>
      </c>
      <c r="J42" s="19"/>
      <c r="K42" s="19">
        <v>2.2999999999999998</v>
      </c>
      <c r="L42" s="19">
        <v>10.5</v>
      </c>
      <c r="M42" s="19">
        <v>0</v>
      </c>
      <c r="N42" s="19">
        <v>20.9</v>
      </c>
      <c r="O42" s="19">
        <v>77.5</v>
      </c>
      <c r="P42" s="19">
        <v>10.5</v>
      </c>
      <c r="Q42" s="19">
        <v>25.4</v>
      </c>
      <c r="R42" s="19">
        <v>57</v>
      </c>
      <c r="S42" s="19"/>
      <c r="T42" s="19"/>
      <c r="U42" s="19"/>
      <c r="V42" s="19"/>
      <c r="W42" s="19">
        <v>1.6</v>
      </c>
      <c r="X42" s="19">
        <v>1.8</v>
      </c>
      <c r="Y42" s="19">
        <v>1.4</v>
      </c>
      <c r="Z42" s="19">
        <v>0</v>
      </c>
      <c r="AA42" s="19">
        <v>-3.3</v>
      </c>
      <c r="AB42" s="19">
        <v>26.1</v>
      </c>
      <c r="AC42" s="19"/>
      <c r="AD42" s="19"/>
      <c r="AE42" s="19"/>
      <c r="AF42" s="19"/>
      <c r="AG42" s="19">
        <v>10.9</v>
      </c>
      <c r="AH42" s="19">
        <v>0.8</v>
      </c>
      <c r="AI42" s="19"/>
      <c r="AJ42" s="19">
        <v>-4.5</v>
      </c>
      <c r="AK42" s="19"/>
      <c r="AL42" s="19">
        <v>-1.6</v>
      </c>
      <c r="AM42" s="19">
        <v>-3.8</v>
      </c>
      <c r="AN42" s="19">
        <v>7.6</v>
      </c>
      <c r="AO42" s="19">
        <v>14.8</v>
      </c>
      <c r="AP42" s="19">
        <v>10.199999999999999</v>
      </c>
      <c r="AQ42" s="19">
        <v>0.8</v>
      </c>
      <c r="AR42" s="19">
        <v>2.6</v>
      </c>
      <c r="AS42" s="19">
        <v>0.5</v>
      </c>
      <c r="AT42" s="19">
        <v>36.6</v>
      </c>
      <c r="AU42" s="19">
        <v>27.2</v>
      </c>
      <c r="AV42" s="19">
        <v>-38.700000000000003</v>
      </c>
      <c r="AW42" s="19">
        <v>10.1</v>
      </c>
      <c r="AX42" s="19">
        <v>0</v>
      </c>
      <c r="AY42" s="19">
        <v>-2.4</v>
      </c>
      <c r="AZ42" s="19">
        <v>1</v>
      </c>
      <c r="BA42" s="19">
        <v>0.2</v>
      </c>
      <c r="BB42" s="19">
        <v>-2.6</v>
      </c>
      <c r="BC42" s="19"/>
      <c r="BD42" s="19"/>
      <c r="BE42" s="19">
        <v>0</v>
      </c>
      <c r="BF42" s="19">
        <v>0</v>
      </c>
      <c r="BG42" s="19"/>
      <c r="BH42" s="19">
        <v>1.3</v>
      </c>
      <c r="BI42" s="19"/>
      <c r="BJ42" s="19"/>
      <c r="BK42" s="19"/>
      <c r="BL42" s="19">
        <v>6.0824699999999998</v>
      </c>
      <c r="BM42" s="19">
        <v>0</v>
      </c>
      <c r="BN42" s="19">
        <v>0</v>
      </c>
      <c r="BO42" s="19">
        <v>0</v>
      </c>
      <c r="BP42" s="19">
        <v>62.8</v>
      </c>
      <c r="BQ42" s="19">
        <v>7.5</v>
      </c>
      <c r="BR42" s="19"/>
      <c r="BS42" s="19"/>
      <c r="BT42" s="19"/>
      <c r="BU42" s="19"/>
      <c r="BV42" s="19">
        <v>-1.9</v>
      </c>
      <c r="BW42" s="19"/>
      <c r="BX42" s="19"/>
      <c r="BY42" s="19">
        <v>0</v>
      </c>
      <c r="BZ42" s="19">
        <v>20.8</v>
      </c>
      <c r="CA42" s="19">
        <v>35.9</v>
      </c>
      <c r="CB42" s="19">
        <v>9.9</v>
      </c>
      <c r="CC42" s="19">
        <v>13.4</v>
      </c>
      <c r="CD42" s="19">
        <v>6</v>
      </c>
      <c r="CE42" s="19">
        <v>0</v>
      </c>
      <c r="CF42" s="19"/>
      <c r="CG42" s="19"/>
      <c r="CH42" s="19">
        <v>44.6</v>
      </c>
      <c r="CI42" s="19">
        <v>68.099999999999994</v>
      </c>
      <c r="CJ42" s="19">
        <v>1.1000000000000001</v>
      </c>
      <c r="CK42" s="19">
        <v>0</v>
      </c>
      <c r="CL42" s="19"/>
      <c r="CM42" s="19"/>
      <c r="CN42" s="19"/>
      <c r="CO42" s="19"/>
      <c r="CP42" s="19">
        <v>21.6</v>
      </c>
      <c r="CQ42" s="19">
        <v>6.3</v>
      </c>
      <c r="CR42" s="19">
        <v>-2.7</v>
      </c>
      <c r="CS42" s="19">
        <v>0.1</v>
      </c>
      <c r="CT42" s="19">
        <v>0.6</v>
      </c>
      <c r="CU42" s="19"/>
      <c r="CV42" s="19">
        <v>-4.4000000000000004</v>
      </c>
      <c r="CW42" s="19">
        <v>2.7</v>
      </c>
      <c r="CX42" s="19"/>
      <c r="CY42" s="19"/>
      <c r="CZ42" s="19">
        <v>0</v>
      </c>
      <c r="DA42" s="19">
        <v>0</v>
      </c>
      <c r="DB42" s="19">
        <v>0</v>
      </c>
      <c r="DC42" s="19">
        <v>19.2</v>
      </c>
      <c r="DD42" s="19"/>
      <c r="DE42" s="19"/>
      <c r="DF42" s="19">
        <v>-0.3</v>
      </c>
      <c r="DG42" s="19">
        <v>0.8</v>
      </c>
      <c r="DH42" s="19">
        <v>0.1</v>
      </c>
      <c r="DI42" s="19">
        <v>-0.8</v>
      </c>
      <c r="DJ42" s="19">
        <v>0.1</v>
      </c>
      <c r="DK42" s="19"/>
      <c r="DL42" s="19"/>
      <c r="DM42" s="19">
        <v>0.6</v>
      </c>
      <c r="DN42" s="19">
        <v>0.4</v>
      </c>
      <c r="DO42" s="19">
        <v>-3.7</v>
      </c>
      <c r="DP42" s="19">
        <v>-4.5999999999999996</v>
      </c>
      <c r="DQ42" s="19">
        <v>-0.8</v>
      </c>
      <c r="DR42" s="19">
        <v>0.1</v>
      </c>
      <c r="DS42" s="19">
        <v>0</v>
      </c>
      <c r="DT42" s="19">
        <v>0.2</v>
      </c>
      <c r="DU42" s="19"/>
      <c r="DV42" s="19"/>
      <c r="DW42" s="19">
        <v>-1.7</v>
      </c>
      <c r="DX42" s="19">
        <v>0.5</v>
      </c>
      <c r="DY42" s="19">
        <v>0.6</v>
      </c>
      <c r="DZ42" s="19">
        <v>0.8</v>
      </c>
      <c r="EA42" s="19">
        <v>0.8</v>
      </c>
      <c r="EB42" s="19">
        <v>3.7</v>
      </c>
      <c r="EC42" s="19">
        <v>0.7</v>
      </c>
      <c r="ED42" s="19">
        <v>-2.1</v>
      </c>
      <c r="EE42" s="19">
        <v>-2.5</v>
      </c>
      <c r="EF42" s="19"/>
      <c r="EG42" s="19"/>
      <c r="EH42" s="19"/>
      <c r="EI42" s="19">
        <v>1.5</v>
      </c>
      <c r="EJ42" s="19">
        <v>0.2</v>
      </c>
      <c r="EK42" s="19">
        <v>1.1000000000000001</v>
      </c>
      <c r="EL42" s="19">
        <v>0.2</v>
      </c>
      <c r="EM42" s="19">
        <v>0.2</v>
      </c>
      <c r="EN42" s="19">
        <v>0.2</v>
      </c>
      <c r="EO42" s="19"/>
      <c r="EP42" s="19">
        <v>24.1</v>
      </c>
      <c r="EQ42" s="19">
        <v>0</v>
      </c>
      <c r="ER42" s="19">
        <v>0.7</v>
      </c>
      <c r="ES42" s="19">
        <v>-0.2</v>
      </c>
      <c r="ET42" s="19">
        <v>-0.2</v>
      </c>
      <c r="EU42" s="19">
        <v>-5.0999999999999996</v>
      </c>
      <c r="EV42" s="19">
        <v>26.4</v>
      </c>
      <c r="EW42" s="19"/>
      <c r="EX42" s="19">
        <v>0.6</v>
      </c>
      <c r="EY42" s="19"/>
      <c r="EZ42" s="19"/>
      <c r="FA42" s="19">
        <v>0.1</v>
      </c>
      <c r="FB42" s="19">
        <v>0.4</v>
      </c>
      <c r="FC42" s="19">
        <v>2.2000000000000002</v>
      </c>
      <c r="FD42" s="19">
        <v>1.7</v>
      </c>
      <c r="FE42" s="19">
        <v>1.4</v>
      </c>
      <c r="FF42" s="19">
        <v>0.6</v>
      </c>
      <c r="FG42" s="19"/>
      <c r="FH42" s="19">
        <v>3</v>
      </c>
      <c r="FI42" s="19"/>
      <c r="FJ42" s="19"/>
      <c r="FK42" s="19">
        <v>4.2</v>
      </c>
      <c r="FL42" s="19"/>
      <c r="FM42" s="19">
        <v>819.68246999999997</v>
      </c>
      <c r="FN42" s="15"/>
      <c r="FO42" s="19">
        <v>4.5999999999999999E-2</v>
      </c>
      <c r="FP42" s="19">
        <v>1.2599199999999999</v>
      </c>
      <c r="FQ42" s="19">
        <v>0.28608</v>
      </c>
      <c r="FR42" s="19">
        <v>0.20716999999999999</v>
      </c>
      <c r="FS42" s="19">
        <v>0.2</v>
      </c>
      <c r="FT42" s="19">
        <v>0</v>
      </c>
      <c r="FU42" s="19">
        <v>1.9991699999999999</v>
      </c>
    </row>
    <row r="43" spans="1:177" ht="24" customHeight="1" x14ac:dyDescent="0.3">
      <c r="A43" s="13" t="s">
        <v>67</v>
      </c>
      <c r="B43" s="13" t="s">
        <v>840</v>
      </c>
      <c r="C43" s="14">
        <v>-1.5</v>
      </c>
      <c r="D43" s="14">
        <v>87.1</v>
      </c>
      <c r="E43" s="14">
        <v>34.4</v>
      </c>
      <c r="F43" s="14">
        <v>1.5</v>
      </c>
      <c r="G43" s="14">
        <v>1.6</v>
      </c>
      <c r="H43" s="14">
        <v>-2.2999999999999998</v>
      </c>
      <c r="I43" s="14">
        <v>17.3</v>
      </c>
      <c r="J43" s="14"/>
      <c r="K43" s="14">
        <v>1.1000000000000001</v>
      </c>
      <c r="L43" s="14">
        <v>3.3</v>
      </c>
      <c r="M43" s="14">
        <v>0</v>
      </c>
      <c r="N43" s="14">
        <v>12</v>
      </c>
      <c r="O43" s="14">
        <v>68.7</v>
      </c>
      <c r="P43" s="14">
        <v>9</v>
      </c>
      <c r="Q43" s="14">
        <v>24.1</v>
      </c>
      <c r="R43" s="14">
        <v>58.5</v>
      </c>
      <c r="S43" s="14"/>
      <c r="T43" s="14"/>
      <c r="U43" s="14"/>
      <c r="V43" s="14"/>
      <c r="W43" s="14">
        <v>6</v>
      </c>
      <c r="X43" s="14">
        <v>2</v>
      </c>
      <c r="Y43" s="14">
        <v>1.8</v>
      </c>
      <c r="Z43" s="14">
        <v>0</v>
      </c>
      <c r="AA43" s="14">
        <v>-3.2</v>
      </c>
      <c r="AB43" s="14">
        <v>28.3</v>
      </c>
      <c r="AC43" s="14"/>
      <c r="AD43" s="14"/>
      <c r="AE43" s="14"/>
      <c r="AF43" s="14"/>
      <c r="AG43" s="14">
        <v>10.4</v>
      </c>
      <c r="AH43" s="14">
        <v>3.8</v>
      </c>
      <c r="AI43" s="14"/>
      <c r="AJ43" s="14">
        <v>-6.4</v>
      </c>
      <c r="AK43" s="14"/>
      <c r="AL43" s="14">
        <v>-1.8</v>
      </c>
      <c r="AM43" s="14">
        <v>-4.7</v>
      </c>
      <c r="AN43" s="14">
        <v>6.5</v>
      </c>
      <c r="AO43" s="14">
        <v>14.9</v>
      </c>
      <c r="AP43" s="14">
        <v>10.4</v>
      </c>
      <c r="AQ43" s="14">
        <v>0.4</v>
      </c>
      <c r="AR43" s="14">
        <v>2.6</v>
      </c>
      <c r="AS43" s="14">
        <v>0.6</v>
      </c>
      <c r="AT43" s="14">
        <v>33.799999999999997</v>
      </c>
      <c r="AU43" s="14">
        <v>24.7</v>
      </c>
      <c r="AV43" s="14">
        <v>-41.4</v>
      </c>
      <c r="AW43" s="14">
        <v>11.3</v>
      </c>
      <c r="AX43" s="14">
        <v>-0.1</v>
      </c>
      <c r="AY43" s="14">
        <v>-2.2999999999999998</v>
      </c>
      <c r="AZ43" s="14">
        <v>1</v>
      </c>
      <c r="BA43" s="14">
        <v>0.2</v>
      </c>
      <c r="BB43" s="14">
        <v>0.1</v>
      </c>
      <c r="BC43" s="14"/>
      <c r="BD43" s="14"/>
      <c r="BE43" s="14">
        <v>0</v>
      </c>
      <c r="BF43" s="14">
        <v>0</v>
      </c>
      <c r="BG43" s="14"/>
      <c r="BH43" s="14">
        <v>0.7</v>
      </c>
      <c r="BI43" s="14"/>
      <c r="BJ43" s="14"/>
      <c r="BK43" s="14"/>
      <c r="BL43" s="14">
        <v>5.2114900000000004</v>
      </c>
      <c r="BM43" s="14">
        <v>0</v>
      </c>
      <c r="BN43" s="14">
        <v>0</v>
      </c>
      <c r="BO43" s="14">
        <v>0</v>
      </c>
      <c r="BP43" s="14">
        <v>61.4</v>
      </c>
      <c r="BQ43" s="14">
        <v>8.9</v>
      </c>
      <c r="BR43" s="14"/>
      <c r="BS43" s="14"/>
      <c r="BT43" s="14"/>
      <c r="BU43" s="14"/>
      <c r="BV43" s="14">
        <v>-2.1</v>
      </c>
      <c r="BW43" s="14"/>
      <c r="BX43" s="14"/>
      <c r="BY43" s="14">
        <v>-0.1</v>
      </c>
      <c r="BZ43" s="14">
        <v>21</v>
      </c>
      <c r="CA43" s="14">
        <v>46.4</v>
      </c>
      <c r="CB43" s="14">
        <v>10</v>
      </c>
      <c r="CC43" s="14">
        <v>13.4</v>
      </c>
      <c r="CD43" s="14">
        <v>6</v>
      </c>
      <c r="CE43" s="14">
        <v>0</v>
      </c>
      <c r="CF43" s="14"/>
      <c r="CG43" s="14"/>
      <c r="CH43" s="14">
        <v>41.6</v>
      </c>
      <c r="CI43" s="14">
        <v>64.900000000000006</v>
      </c>
      <c r="CJ43" s="14">
        <v>-3.3</v>
      </c>
      <c r="CK43" s="14">
        <v>-19</v>
      </c>
      <c r="CL43" s="14"/>
      <c r="CM43" s="14"/>
      <c r="CN43" s="14"/>
      <c r="CO43" s="14"/>
      <c r="CP43" s="14">
        <v>19.2</v>
      </c>
      <c r="CQ43" s="14">
        <v>4.9000000000000004</v>
      </c>
      <c r="CR43" s="14">
        <v>-3</v>
      </c>
      <c r="CS43" s="14">
        <v>0.3</v>
      </c>
      <c r="CT43" s="14">
        <v>0.6</v>
      </c>
      <c r="CU43" s="14"/>
      <c r="CV43" s="14">
        <v>-4.3</v>
      </c>
      <c r="CW43" s="14">
        <v>4.5</v>
      </c>
      <c r="CX43" s="14"/>
      <c r="CY43" s="14"/>
      <c r="CZ43" s="14">
        <v>0.1</v>
      </c>
      <c r="DA43" s="14">
        <v>0</v>
      </c>
      <c r="DB43" s="14">
        <v>0</v>
      </c>
      <c r="DC43" s="14">
        <v>16.899999999999999</v>
      </c>
      <c r="DD43" s="14"/>
      <c r="DE43" s="14"/>
      <c r="DF43" s="14">
        <v>-0.1</v>
      </c>
      <c r="DG43" s="14">
        <v>0.7</v>
      </c>
      <c r="DH43" s="14">
        <v>0.1</v>
      </c>
      <c r="DI43" s="14">
        <v>-0.6</v>
      </c>
      <c r="DJ43" s="14">
        <v>0</v>
      </c>
      <c r="DK43" s="14"/>
      <c r="DL43" s="14"/>
      <c r="DM43" s="14">
        <v>0.3</v>
      </c>
      <c r="DN43" s="14">
        <v>0.2</v>
      </c>
      <c r="DO43" s="14">
        <v>-3.3</v>
      </c>
      <c r="DP43" s="14">
        <v>-3.8</v>
      </c>
      <c r="DQ43" s="14">
        <v>0.1</v>
      </c>
      <c r="DR43" s="14">
        <v>0.3</v>
      </c>
      <c r="DS43" s="14">
        <v>0</v>
      </c>
      <c r="DT43" s="14">
        <v>0.2</v>
      </c>
      <c r="DU43" s="14"/>
      <c r="DV43" s="14"/>
      <c r="DW43" s="14">
        <v>-1.7</v>
      </c>
      <c r="DX43" s="14">
        <v>0.3</v>
      </c>
      <c r="DY43" s="14">
        <v>0.6</v>
      </c>
      <c r="DZ43" s="14">
        <v>0.8</v>
      </c>
      <c r="EA43" s="14">
        <v>0.8</v>
      </c>
      <c r="EB43" s="14">
        <v>3.7</v>
      </c>
      <c r="EC43" s="14">
        <v>0.1</v>
      </c>
      <c r="ED43" s="14">
        <v>-4.2</v>
      </c>
      <c r="EE43" s="14">
        <v>-5.2</v>
      </c>
      <c r="EF43" s="14"/>
      <c r="EG43" s="14"/>
      <c r="EH43" s="14"/>
      <c r="EI43" s="14">
        <v>1.5</v>
      </c>
      <c r="EJ43" s="14">
        <v>0.2</v>
      </c>
      <c r="EK43" s="14">
        <v>1</v>
      </c>
      <c r="EL43" s="14">
        <v>0.2</v>
      </c>
      <c r="EM43" s="14">
        <v>0.2</v>
      </c>
      <c r="EN43" s="14">
        <v>0.2</v>
      </c>
      <c r="EO43" s="14"/>
      <c r="EP43" s="14">
        <v>19.2</v>
      </c>
      <c r="EQ43" s="14">
        <v>0.1</v>
      </c>
      <c r="ER43" s="14">
        <v>2</v>
      </c>
      <c r="ES43" s="14">
        <v>-0.2</v>
      </c>
      <c r="ET43" s="14">
        <v>3.6</v>
      </c>
      <c r="EU43" s="14">
        <v>-1.9</v>
      </c>
      <c r="EV43" s="14">
        <v>16.899999999999999</v>
      </c>
      <c r="EW43" s="14"/>
      <c r="EX43" s="14">
        <v>0.6</v>
      </c>
      <c r="EY43" s="14"/>
      <c r="EZ43" s="14"/>
      <c r="FA43" s="14">
        <v>0.2</v>
      </c>
      <c r="FB43" s="14">
        <v>0.4</v>
      </c>
      <c r="FC43" s="14">
        <v>1.8</v>
      </c>
      <c r="FD43" s="14">
        <v>1.5</v>
      </c>
      <c r="FE43" s="14">
        <v>1.3</v>
      </c>
      <c r="FF43" s="14">
        <v>0.1</v>
      </c>
      <c r="FG43" s="14"/>
      <c r="FH43" s="14">
        <v>3.6</v>
      </c>
      <c r="FI43" s="14"/>
      <c r="FJ43" s="14"/>
      <c r="FK43" s="14">
        <v>4.2</v>
      </c>
      <c r="FL43" s="14"/>
      <c r="FM43" s="14">
        <v>753.91148999999996</v>
      </c>
      <c r="FN43" s="15"/>
      <c r="FO43" s="14">
        <v>-0.28100000000000003</v>
      </c>
      <c r="FP43" s="14">
        <v>1.2482500000000001</v>
      </c>
      <c r="FQ43" s="14">
        <v>0.29249999999999998</v>
      </c>
      <c r="FR43" s="14">
        <v>0.25935000000000002</v>
      </c>
      <c r="FS43" s="14">
        <v>0</v>
      </c>
      <c r="FT43" s="14">
        <v>0</v>
      </c>
      <c r="FU43" s="14">
        <v>1.5190999999999999</v>
      </c>
    </row>
    <row r="44" spans="1:177" ht="24" customHeight="1" x14ac:dyDescent="0.3">
      <c r="A44" s="16" t="s">
        <v>67</v>
      </c>
      <c r="B44" s="16" t="s">
        <v>841</v>
      </c>
      <c r="C44" s="17">
        <v>-6.9</v>
      </c>
      <c r="D44" s="17">
        <v>71.5</v>
      </c>
      <c r="E44" s="17">
        <v>31.2</v>
      </c>
      <c r="F44" s="17">
        <v>1.2</v>
      </c>
      <c r="G44" s="17">
        <v>1.1000000000000001</v>
      </c>
      <c r="H44" s="17">
        <v>-3.9</v>
      </c>
      <c r="I44" s="17">
        <v>1.2</v>
      </c>
      <c r="J44" s="17"/>
      <c r="K44" s="17">
        <v>0.5</v>
      </c>
      <c r="L44" s="17">
        <v>-2.2999999999999998</v>
      </c>
      <c r="M44" s="17">
        <v>0</v>
      </c>
      <c r="N44" s="17">
        <v>6.7</v>
      </c>
      <c r="O44" s="17">
        <v>62.1</v>
      </c>
      <c r="P44" s="17">
        <v>6.7</v>
      </c>
      <c r="Q44" s="17">
        <v>22.3</v>
      </c>
      <c r="R44" s="17">
        <v>51.3</v>
      </c>
      <c r="S44" s="17"/>
      <c r="T44" s="17"/>
      <c r="U44" s="17"/>
      <c r="V44" s="17"/>
      <c r="W44" s="17">
        <v>2.4</v>
      </c>
      <c r="X44" s="17">
        <v>1.2</v>
      </c>
      <c r="Y44" s="17">
        <v>0.3</v>
      </c>
      <c r="Z44" s="17">
        <v>2</v>
      </c>
      <c r="AA44" s="17">
        <v>-3.3</v>
      </c>
      <c r="AB44" s="17">
        <v>25.7</v>
      </c>
      <c r="AC44" s="17"/>
      <c r="AD44" s="17"/>
      <c r="AE44" s="17"/>
      <c r="AF44" s="17"/>
      <c r="AG44" s="17">
        <v>6.7</v>
      </c>
      <c r="AH44" s="17">
        <v>10.3</v>
      </c>
      <c r="AI44" s="17"/>
      <c r="AJ44" s="17">
        <v>-11.7</v>
      </c>
      <c r="AK44" s="17"/>
      <c r="AL44" s="17">
        <v>-1.8</v>
      </c>
      <c r="AM44" s="17">
        <v>-7.4</v>
      </c>
      <c r="AN44" s="17">
        <v>6.9</v>
      </c>
      <c r="AO44" s="17">
        <v>27.2</v>
      </c>
      <c r="AP44" s="17">
        <v>10.1</v>
      </c>
      <c r="AQ44" s="17">
        <v>-0.5</v>
      </c>
      <c r="AR44" s="17">
        <v>2.6</v>
      </c>
      <c r="AS44" s="17">
        <v>1.5</v>
      </c>
      <c r="AT44" s="17">
        <v>28.3</v>
      </c>
      <c r="AU44" s="17">
        <v>19.100000000000001</v>
      </c>
      <c r="AV44" s="17">
        <v>-46.3</v>
      </c>
      <c r="AW44" s="17">
        <v>8.9</v>
      </c>
      <c r="AX44" s="17">
        <v>-0.7</v>
      </c>
      <c r="AY44" s="17">
        <v>-3.2</v>
      </c>
      <c r="AZ44" s="17">
        <v>1</v>
      </c>
      <c r="BA44" s="17">
        <v>0.2</v>
      </c>
      <c r="BB44" s="17">
        <v>-1.8</v>
      </c>
      <c r="BC44" s="17"/>
      <c r="BD44" s="17"/>
      <c r="BE44" s="17">
        <v>0</v>
      </c>
      <c r="BF44" s="17">
        <v>0</v>
      </c>
      <c r="BG44" s="17"/>
      <c r="BH44" s="17">
        <v>-0.5</v>
      </c>
      <c r="BI44" s="17"/>
      <c r="BJ44" s="17"/>
      <c r="BK44" s="17"/>
      <c r="BL44" s="17">
        <v>2.1588599999999998</v>
      </c>
      <c r="BM44" s="17">
        <v>0</v>
      </c>
      <c r="BN44" s="17">
        <v>0</v>
      </c>
      <c r="BO44" s="17">
        <v>0</v>
      </c>
      <c r="BP44" s="17">
        <v>59.5</v>
      </c>
      <c r="BQ44" s="17">
        <v>7.7</v>
      </c>
      <c r="BR44" s="17"/>
      <c r="BS44" s="17"/>
      <c r="BT44" s="17"/>
      <c r="BU44" s="17"/>
      <c r="BV44" s="17">
        <v>-2.8</v>
      </c>
      <c r="BW44" s="17"/>
      <c r="BX44" s="17"/>
      <c r="BY44" s="17">
        <v>-0.2</v>
      </c>
      <c r="BZ44" s="17">
        <v>43.2</v>
      </c>
      <c r="CA44" s="17">
        <v>32.9</v>
      </c>
      <c r="CB44" s="17">
        <v>13.7</v>
      </c>
      <c r="CC44" s="17">
        <v>15.5</v>
      </c>
      <c r="CD44" s="17">
        <v>6.1</v>
      </c>
      <c r="CE44" s="17">
        <v>0</v>
      </c>
      <c r="CF44" s="17"/>
      <c r="CG44" s="17"/>
      <c r="CH44" s="17">
        <v>34.6</v>
      </c>
      <c r="CI44" s="17">
        <v>57.6</v>
      </c>
      <c r="CJ44" s="17">
        <v>-13.2</v>
      </c>
      <c r="CK44" s="17">
        <v>-23.9</v>
      </c>
      <c r="CL44" s="17"/>
      <c r="CM44" s="17"/>
      <c r="CN44" s="17"/>
      <c r="CO44" s="17"/>
      <c r="CP44" s="17">
        <v>17.3</v>
      </c>
      <c r="CQ44" s="17">
        <v>3.8</v>
      </c>
      <c r="CR44" s="17">
        <v>-2.9</v>
      </c>
      <c r="CS44" s="17">
        <v>0.2</v>
      </c>
      <c r="CT44" s="17">
        <v>0.6</v>
      </c>
      <c r="CU44" s="17"/>
      <c r="CV44" s="17">
        <v>-4.7</v>
      </c>
      <c r="CW44" s="17">
        <v>5.5</v>
      </c>
      <c r="CX44" s="17"/>
      <c r="CY44" s="17"/>
      <c r="CZ44" s="17">
        <v>0.1</v>
      </c>
      <c r="DA44" s="17">
        <v>0</v>
      </c>
      <c r="DB44" s="17">
        <v>0</v>
      </c>
      <c r="DC44" s="17">
        <v>16.3</v>
      </c>
      <c r="DD44" s="17"/>
      <c r="DE44" s="17"/>
      <c r="DF44" s="17">
        <v>-0.1</v>
      </c>
      <c r="DG44" s="17">
        <v>0.7</v>
      </c>
      <c r="DH44" s="17">
        <v>0.2</v>
      </c>
      <c r="DI44" s="17">
        <v>0.4</v>
      </c>
      <c r="DJ44" s="17">
        <v>0.1</v>
      </c>
      <c r="DK44" s="17"/>
      <c r="DL44" s="17"/>
      <c r="DM44" s="17">
        <v>0.1</v>
      </c>
      <c r="DN44" s="17">
        <v>0.1</v>
      </c>
      <c r="DO44" s="17">
        <v>-2.2999999999999998</v>
      </c>
      <c r="DP44" s="17">
        <v>-6.1</v>
      </c>
      <c r="DQ44" s="17">
        <v>0.5</v>
      </c>
      <c r="DR44" s="17">
        <v>0</v>
      </c>
      <c r="DS44" s="17">
        <v>0</v>
      </c>
      <c r="DT44" s="17">
        <v>0.2</v>
      </c>
      <c r="DU44" s="17"/>
      <c r="DV44" s="17"/>
      <c r="DW44" s="17">
        <v>-1.6</v>
      </c>
      <c r="DX44" s="17">
        <v>0.1</v>
      </c>
      <c r="DY44" s="17">
        <v>0.5</v>
      </c>
      <c r="DZ44" s="17">
        <v>0.6</v>
      </c>
      <c r="EA44" s="17">
        <v>0.8</v>
      </c>
      <c r="EB44" s="17">
        <v>3.7</v>
      </c>
      <c r="EC44" s="17">
        <v>0</v>
      </c>
      <c r="ED44" s="17">
        <v>-7.7</v>
      </c>
      <c r="EE44" s="17">
        <v>-8.5</v>
      </c>
      <c r="EF44" s="17"/>
      <c r="EG44" s="17"/>
      <c r="EH44" s="17"/>
      <c r="EI44" s="17">
        <v>1.5</v>
      </c>
      <c r="EJ44" s="17">
        <v>0.2</v>
      </c>
      <c r="EK44" s="17">
        <v>1</v>
      </c>
      <c r="EL44" s="17">
        <v>0.2</v>
      </c>
      <c r="EM44" s="17">
        <v>0.2</v>
      </c>
      <c r="EN44" s="17">
        <v>0.2</v>
      </c>
      <c r="EO44" s="17"/>
      <c r="EP44" s="17">
        <v>16.5</v>
      </c>
      <c r="EQ44" s="17">
        <v>0.2</v>
      </c>
      <c r="ER44" s="17">
        <v>2.1</v>
      </c>
      <c r="ES44" s="17">
        <v>-0.2</v>
      </c>
      <c r="ET44" s="17">
        <v>7</v>
      </c>
      <c r="EU44" s="17">
        <v>0.5</v>
      </c>
      <c r="EV44" s="17">
        <v>2.9</v>
      </c>
      <c r="EW44" s="17"/>
      <c r="EX44" s="17">
        <v>0.6</v>
      </c>
      <c r="EY44" s="17"/>
      <c r="EZ44" s="17"/>
      <c r="FA44" s="17">
        <v>0.3</v>
      </c>
      <c r="FB44" s="17">
        <v>0.5</v>
      </c>
      <c r="FC44" s="17">
        <v>1.8</v>
      </c>
      <c r="FD44" s="17">
        <v>1.4</v>
      </c>
      <c r="FE44" s="17">
        <v>0.4</v>
      </c>
      <c r="FF44" s="17">
        <v>0.4</v>
      </c>
      <c r="FG44" s="17"/>
      <c r="FH44" s="17">
        <v>3.6</v>
      </c>
      <c r="FI44" s="17"/>
      <c r="FJ44" s="17"/>
      <c r="FK44" s="17">
        <v>4.2</v>
      </c>
      <c r="FL44" s="17"/>
      <c r="FM44" s="17">
        <v>616.15886</v>
      </c>
      <c r="FN44" s="15"/>
      <c r="FO44" s="17">
        <v>-0.505</v>
      </c>
      <c r="FP44" s="17">
        <v>1.2539400000000001</v>
      </c>
      <c r="FQ44" s="17">
        <v>0.26271</v>
      </c>
      <c r="FR44" s="17">
        <v>0.33418999999999999</v>
      </c>
      <c r="FS44" s="17">
        <v>-0.3</v>
      </c>
      <c r="FT44" s="17">
        <v>0</v>
      </c>
      <c r="FU44" s="17">
        <v>1.0458400000000001</v>
      </c>
    </row>
    <row r="45" spans="1:177" ht="24" customHeight="1" x14ac:dyDescent="0.3">
      <c r="A45" s="16" t="s">
        <v>67</v>
      </c>
      <c r="B45" s="16" t="s">
        <v>842</v>
      </c>
      <c r="C45" s="17">
        <v>-5.5</v>
      </c>
      <c r="D45" s="17">
        <v>55.2</v>
      </c>
      <c r="E45" s="17">
        <v>27.7</v>
      </c>
      <c r="F45" s="17">
        <v>2.5</v>
      </c>
      <c r="G45" s="17">
        <v>2.5</v>
      </c>
      <c r="H45" s="17">
        <v>-13.6</v>
      </c>
      <c r="I45" s="17">
        <v>1.5</v>
      </c>
      <c r="J45" s="17"/>
      <c r="K45" s="17">
        <v>0</v>
      </c>
      <c r="L45" s="17">
        <v>-2.2999999999999998</v>
      </c>
      <c r="M45" s="17">
        <v>0</v>
      </c>
      <c r="N45" s="17">
        <v>6.6</v>
      </c>
      <c r="O45" s="17">
        <v>62.6</v>
      </c>
      <c r="P45" s="17">
        <v>7</v>
      </c>
      <c r="Q45" s="17">
        <v>22.5</v>
      </c>
      <c r="R45" s="17">
        <v>56.9</v>
      </c>
      <c r="S45" s="17"/>
      <c r="T45" s="17"/>
      <c r="U45" s="17"/>
      <c r="V45" s="17"/>
      <c r="W45" s="17">
        <v>6.2</v>
      </c>
      <c r="X45" s="17">
        <v>1.5</v>
      </c>
      <c r="Y45" s="17">
        <v>0.8</v>
      </c>
      <c r="Z45" s="17">
        <v>2.1</v>
      </c>
      <c r="AA45" s="17">
        <v>-3.2</v>
      </c>
      <c r="AB45" s="17">
        <v>25.4</v>
      </c>
      <c r="AC45" s="17"/>
      <c r="AD45" s="17"/>
      <c r="AE45" s="17"/>
      <c r="AF45" s="17"/>
      <c r="AG45" s="17">
        <v>10</v>
      </c>
      <c r="AH45" s="17">
        <v>6</v>
      </c>
      <c r="AI45" s="17"/>
      <c r="AJ45" s="17">
        <v>-8.9</v>
      </c>
      <c r="AK45" s="17"/>
      <c r="AL45" s="17">
        <v>-1.8</v>
      </c>
      <c r="AM45" s="17">
        <v>-10.1</v>
      </c>
      <c r="AN45" s="17">
        <v>5.0999999999999996</v>
      </c>
      <c r="AO45" s="17">
        <v>25.6</v>
      </c>
      <c r="AP45" s="17">
        <v>10</v>
      </c>
      <c r="AQ45" s="17">
        <v>-0.5</v>
      </c>
      <c r="AR45" s="17">
        <v>2.6</v>
      </c>
      <c r="AS45" s="17">
        <v>0.6</v>
      </c>
      <c r="AT45" s="17">
        <v>27.5</v>
      </c>
      <c r="AU45" s="17">
        <v>18.399999999999999</v>
      </c>
      <c r="AV45" s="17">
        <v>-42.5</v>
      </c>
      <c r="AW45" s="17">
        <v>8.6999999999999993</v>
      </c>
      <c r="AX45" s="17">
        <v>-1.4</v>
      </c>
      <c r="AY45" s="17">
        <v>-2.2999999999999998</v>
      </c>
      <c r="AZ45" s="17">
        <v>1</v>
      </c>
      <c r="BA45" s="17">
        <v>0.2</v>
      </c>
      <c r="BB45" s="17">
        <v>4.4000000000000004</v>
      </c>
      <c r="BC45" s="17"/>
      <c r="BD45" s="17"/>
      <c r="BE45" s="17">
        <v>0</v>
      </c>
      <c r="BF45" s="17">
        <v>0</v>
      </c>
      <c r="BG45" s="17"/>
      <c r="BH45" s="17">
        <v>-1.8</v>
      </c>
      <c r="BI45" s="17"/>
      <c r="BJ45" s="17"/>
      <c r="BK45" s="17"/>
      <c r="BL45" s="17">
        <v>1.3442499999999999</v>
      </c>
      <c r="BM45" s="17">
        <v>0</v>
      </c>
      <c r="BN45" s="17">
        <v>0</v>
      </c>
      <c r="BO45" s="17">
        <v>0</v>
      </c>
      <c r="BP45" s="17">
        <v>60.8</v>
      </c>
      <c r="BQ45" s="17">
        <v>7.8</v>
      </c>
      <c r="BR45" s="17"/>
      <c r="BS45" s="17"/>
      <c r="BT45" s="17"/>
      <c r="BU45" s="17"/>
      <c r="BV45" s="17">
        <v>-3.3</v>
      </c>
      <c r="BW45" s="17"/>
      <c r="BX45" s="17"/>
      <c r="BY45" s="17">
        <v>-0.4</v>
      </c>
      <c r="BZ45" s="17">
        <v>36.5</v>
      </c>
      <c r="CA45" s="17">
        <v>23.8</v>
      </c>
      <c r="CB45" s="17">
        <v>13.9</v>
      </c>
      <c r="CC45" s="17">
        <v>13.5</v>
      </c>
      <c r="CD45" s="17">
        <v>6.1</v>
      </c>
      <c r="CE45" s="17">
        <v>0</v>
      </c>
      <c r="CF45" s="17"/>
      <c r="CG45" s="17"/>
      <c r="CH45" s="17">
        <v>30.6</v>
      </c>
      <c r="CI45" s="17">
        <v>53.5</v>
      </c>
      <c r="CJ45" s="17">
        <v>-18.2</v>
      </c>
      <c r="CK45" s="17">
        <v>-27</v>
      </c>
      <c r="CL45" s="17"/>
      <c r="CM45" s="17"/>
      <c r="CN45" s="17"/>
      <c r="CO45" s="17"/>
      <c r="CP45" s="17">
        <v>14.3</v>
      </c>
      <c r="CQ45" s="17">
        <v>2</v>
      </c>
      <c r="CR45" s="17">
        <v>-3</v>
      </c>
      <c r="CS45" s="17">
        <v>0.1</v>
      </c>
      <c r="CT45" s="17">
        <v>0.6</v>
      </c>
      <c r="CU45" s="17"/>
      <c r="CV45" s="17">
        <v>-4.4000000000000004</v>
      </c>
      <c r="CW45" s="17">
        <v>0</v>
      </c>
      <c r="CX45" s="17"/>
      <c r="CY45" s="17"/>
      <c r="CZ45" s="17">
        <v>0</v>
      </c>
      <c r="DA45" s="17">
        <v>0</v>
      </c>
      <c r="DB45" s="17">
        <v>0</v>
      </c>
      <c r="DC45" s="17">
        <v>12.2</v>
      </c>
      <c r="DD45" s="17"/>
      <c r="DE45" s="17"/>
      <c r="DF45" s="17">
        <v>-0.2</v>
      </c>
      <c r="DG45" s="17">
        <v>0.6</v>
      </c>
      <c r="DH45" s="17">
        <v>0.2</v>
      </c>
      <c r="DI45" s="17">
        <v>0.3</v>
      </c>
      <c r="DJ45" s="17">
        <v>0.1</v>
      </c>
      <c r="DK45" s="17"/>
      <c r="DL45" s="17"/>
      <c r="DM45" s="17">
        <v>0</v>
      </c>
      <c r="DN45" s="17">
        <v>0.3</v>
      </c>
      <c r="DO45" s="17">
        <v>-2.2000000000000002</v>
      </c>
      <c r="DP45" s="17">
        <v>-5.9</v>
      </c>
      <c r="DQ45" s="17">
        <v>0.2</v>
      </c>
      <c r="DR45" s="17">
        <v>-0.1</v>
      </c>
      <c r="DS45" s="17">
        <v>0</v>
      </c>
      <c r="DT45" s="17">
        <v>0.2</v>
      </c>
      <c r="DU45" s="17"/>
      <c r="DV45" s="17"/>
      <c r="DW45" s="17">
        <v>-1.6</v>
      </c>
      <c r="DX45" s="17">
        <v>0.1</v>
      </c>
      <c r="DY45" s="17">
        <v>0.6</v>
      </c>
      <c r="DZ45" s="17">
        <v>0.7</v>
      </c>
      <c r="EA45" s="17">
        <v>0.8</v>
      </c>
      <c r="EB45" s="17">
        <v>3.7</v>
      </c>
      <c r="EC45" s="17">
        <v>0.3</v>
      </c>
      <c r="ED45" s="17">
        <v>-4.8</v>
      </c>
      <c r="EE45" s="17">
        <v>-5.9</v>
      </c>
      <c r="EF45" s="17"/>
      <c r="EG45" s="17"/>
      <c r="EH45" s="17"/>
      <c r="EI45" s="17">
        <v>1.5</v>
      </c>
      <c r="EJ45" s="17">
        <v>0.1</v>
      </c>
      <c r="EK45" s="17">
        <v>1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0.4</v>
      </c>
      <c r="ER45" s="17">
        <v>0</v>
      </c>
      <c r="ES45" s="17">
        <v>-0.2</v>
      </c>
      <c r="ET45" s="17">
        <v>9.6999999999999993</v>
      </c>
      <c r="EU45" s="17">
        <v>3.7</v>
      </c>
      <c r="EV45" s="17">
        <v>0</v>
      </c>
      <c r="EW45" s="17"/>
      <c r="EX45" s="17">
        <v>0.6</v>
      </c>
      <c r="EY45" s="17"/>
      <c r="EZ45" s="17"/>
      <c r="FA45" s="17">
        <v>0.4</v>
      </c>
      <c r="FB45" s="17">
        <v>0.4</v>
      </c>
      <c r="FC45" s="17">
        <v>1.4</v>
      </c>
      <c r="FD45" s="17">
        <v>1.1000000000000001</v>
      </c>
      <c r="FE45" s="17">
        <v>1.5</v>
      </c>
      <c r="FF45" s="17">
        <v>0.7</v>
      </c>
      <c r="FG45" s="17"/>
      <c r="FH45" s="17">
        <v>4</v>
      </c>
      <c r="FI45" s="17"/>
      <c r="FJ45" s="17"/>
      <c r="FK45" s="17">
        <v>4.3</v>
      </c>
      <c r="FL45" s="17"/>
      <c r="FM45" s="17">
        <v>546.54425000000003</v>
      </c>
      <c r="FN45" s="15"/>
      <c r="FO45" s="17">
        <v>-1.026</v>
      </c>
      <c r="FP45" s="17">
        <v>1.26511</v>
      </c>
      <c r="FQ45" s="17">
        <v>0.28948000000000002</v>
      </c>
      <c r="FR45" s="17">
        <v>0.21693999999999999</v>
      </c>
      <c r="FS45" s="17">
        <v>-0.9</v>
      </c>
      <c r="FT45" s="17">
        <v>0</v>
      </c>
      <c r="FU45" s="17">
        <v>-0.15447</v>
      </c>
    </row>
    <row r="46" spans="1:177" ht="24" customHeight="1" x14ac:dyDescent="0.3">
      <c r="A46" s="16" t="s">
        <v>67</v>
      </c>
      <c r="B46" s="16" t="s">
        <v>843</v>
      </c>
      <c r="C46" s="17">
        <v>-3.5</v>
      </c>
      <c r="D46" s="17">
        <v>38.9</v>
      </c>
      <c r="E46" s="17">
        <v>24.1</v>
      </c>
      <c r="F46" s="17">
        <v>1.6</v>
      </c>
      <c r="G46" s="17">
        <v>1.8</v>
      </c>
      <c r="H46" s="17">
        <v>-15</v>
      </c>
      <c r="I46" s="17">
        <v>-1</v>
      </c>
      <c r="J46" s="17"/>
      <c r="K46" s="17">
        <v>0</v>
      </c>
      <c r="L46" s="17">
        <v>-15.1</v>
      </c>
      <c r="M46" s="17">
        <v>0</v>
      </c>
      <c r="N46" s="17">
        <v>-7.2</v>
      </c>
      <c r="O46" s="17">
        <v>47.2</v>
      </c>
      <c r="P46" s="17">
        <v>0.9</v>
      </c>
      <c r="Q46" s="17">
        <v>18.100000000000001</v>
      </c>
      <c r="R46" s="17">
        <v>48.4</v>
      </c>
      <c r="S46" s="17"/>
      <c r="T46" s="17"/>
      <c r="U46" s="17"/>
      <c r="V46" s="17"/>
      <c r="W46" s="17">
        <v>4.4000000000000004</v>
      </c>
      <c r="X46" s="17">
        <v>1.3</v>
      </c>
      <c r="Y46" s="17">
        <v>0.6</v>
      </c>
      <c r="Z46" s="17">
        <v>2.1</v>
      </c>
      <c r="AA46" s="17">
        <v>-3.2</v>
      </c>
      <c r="AB46" s="17">
        <v>18.2</v>
      </c>
      <c r="AC46" s="17"/>
      <c r="AD46" s="17"/>
      <c r="AE46" s="17"/>
      <c r="AF46" s="17"/>
      <c r="AG46" s="17">
        <v>9.1</v>
      </c>
      <c r="AH46" s="17">
        <v>2.7</v>
      </c>
      <c r="AI46" s="17"/>
      <c r="AJ46" s="17">
        <v>-17</v>
      </c>
      <c r="AK46" s="17"/>
      <c r="AL46" s="17">
        <v>-1.4</v>
      </c>
      <c r="AM46" s="17">
        <v>-12.9</v>
      </c>
      <c r="AN46" s="17">
        <v>4.8</v>
      </c>
      <c r="AO46" s="17">
        <v>25.8</v>
      </c>
      <c r="AP46" s="17">
        <v>9.8000000000000007</v>
      </c>
      <c r="AQ46" s="17">
        <v>-1.7</v>
      </c>
      <c r="AR46" s="17">
        <v>2.6</v>
      </c>
      <c r="AS46" s="17">
        <v>1.2</v>
      </c>
      <c r="AT46" s="17">
        <v>20.8</v>
      </c>
      <c r="AU46" s="17">
        <v>11.8</v>
      </c>
      <c r="AV46" s="17">
        <v>-44.3</v>
      </c>
      <c r="AW46" s="17">
        <v>8.9</v>
      </c>
      <c r="AX46" s="17">
        <v>-2.1</v>
      </c>
      <c r="AY46" s="17">
        <v>-2.2000000000000002</v>
      </c>
      <c r="AZ46" s="17">
        <v>1</v>
      </c>
      <c r="BA46" s="17">
        <v>0.3</v>
      </c>
      <c r="BB46" s="17">
        <v>-0.6</v>
      </c>
      <c r="BC46" s="17"/>
      <c r="BD46" s="17"/>
      <c r="BE46" s="17">
        <v>-0.4</v>
      </c>
      <c r="BF46" s="17">
        <v>0</v>
      </c>
      <c r="BG46" s="17"/>
      <c r="BH46" s="17">
        <v>-3.3</v>
      </c>
      <c r="BI46" s="17"/>
      <c r="BJ46" s="17"/>
      <c r="BK46" s="17"/>
      <c r="BL46" s="17">
        <v>-4.3725300000000002</v>
      </c>
      <c r="BM46" s="17">
        <v>0</v>
      </c>
      <c r="BN46" s="17">
        <v>0</v>
      </c>
      <c r="BO46" s="17">
        <v>0</v>
      </c>
      <c r="BP46" s="17">
        <v>53.4</v>
      </c>
      <c r="BQ46" s="17">
        <v>4.9000000000000004</v>
      </c>
      <c r="BR46" s="17"/>
      <c r="BS46" s="17"/>
      <c r="BT46" s="17"/>
      <c r="BU46" s="17"/>
      <c r="BV46" s="17">
        <v>-4.0999999999999996</v>
      </c>
      <c r="BW46" s="17"/>
      <c r="BX46" s="17"/>
      <c r="BY46" s="17">
        <v>-0.6</v>
      </c>
      <c r="BZ46" s="17">
        <v>48.4</v>
      </c>
      <c r="CA46" s="17">
        <v>23.5</v>
      </c>
      <c r="CB46" s="17">
        <v>13.8</v>
      </c>
      <c r="CC46" s="17">
        <v>14.4</v>
      </c>
      <c r="CD46" s="17">
        <v>6</v>
      </c>
      <c r="CE46" s="17">
        <v>0</v>
      </c>
      <c r="CF46" s="17"/>
      <c r="CG46" s="17"/>
      <c r="CH46" s="17">
        <v>21</v>
      </c>
      <c r="CI46" s="17">
        <v>43.6</v>
      </c>
      <c r="CJ46" s="17">
        <v>-32.299999999999997</v>
      </c>
      <c r="CK46" s="17">
        <v>-43.9</v>
      </c>
      <c r="CL46" s="17"/>
      <c r="CM46" s="17"/>
      <c r="CN46" s="17"/>
      <c r="CO46" s="17"/>
      <c r="CP46" s="17">
        <v>11.6</v>
      </c>
      <c r="CQ46" s="17">
        <v>0.5</v>
      </c>
      <c r="CR46" s="17">
        <v>-3</v>
      </c>
      <c r="CS46" s="17">
        <v>-0.1</v>
      </c>
      <c r="CT46" s="17">
        <v>0.6</v>
      </c>
      <c r="CU46" s="17"/>
      <c r="CV46" s="17">
        <v>-4</v>
      </c>
      <c r="CW46" s="17">
        <v>0</v>
      </c>
      <c r="CX46" s="17"/>
      <c r="CY46" s="17"/>
      <c r="CZ46" s="17">
        <v>0</v>
      </c>
      <c r="DA46" s="17">
        <v>0</v>
      </c>
      <c r="DB46" s="17">
        <v>0</v>
      </c>
      <c r="DC46" s="17">
        <v>12.3</v>
      </c>
      <c r="DD46" s="17"/>
      <c r="DE46" s="17"/>
      <c r="DF46" s="17">
        <v>-0.1</v>
      </c>
      <c r="DG46" s="17">
        <v>0.6</v>
      </c>
      <c r="DH46" s="17">
        <v>0.2</v>
      </c>
      <c r="DI46" s="17">
        <v>-0.3</v>
      </c>
      <c r="DJ46" s="17">
        <v>0.1</v>
      </c>
      <c r="DK46" s="17"/>
      <c r="DL46" s="17"/>
      <c r="DM46" s="17">
        <v>0</v>
      </c>
      <c r="DN46" s="17">
        <v>0.1</v>
      </c>
      <c r="DO46" s="17">
        <v>-2.9</v>
      </c>
      <c r="DP46" s="17">
        <v>-5.3</v>
      </c>
      <c r="DQ46" s="17">
        <v>0.2</v>
      </c>
      <c r="DR46" s="17">
        <v>-0.1</v>
      </c>
      <c r="DS46" s="17">
        <v>0</v>
      </c>
      <c r="DT46" s="17">
        <v>0.2</v>
      </c>
      <c r="DU46" s="17"/>
      <c r="DV46" s="17"/>
      <c r="DW46" s="17">
        <v>-1.7</v>
      </c>
      <c r="DX46" s="17">
        <v>0</v>
      </c>
      <c r="DY46" s="17">
        <v>0.5</v>
      </c>
      <c r="DZ46" s="17">
        <v>0.6</v>
      </c>
      <c r="EA46" s="17">
        <v>0.8</v>
      </c>
      <c r="EB46" s="17">
        <v>3.7</v>
      </c>
      <c r="EC46" s="17">
        <v>0.3</v>
      </c>
      <c r="ED46" s="17">
        <v>-10.199999999999999</v>
      </c>
      <c r="EE46" s="17">
        <v>-11.4</v>
      </c>
      <c r="EF46" s="17"/>
      <c r="EG46" s="17"/>
      <c r="EH46" s="17"/>
      <c r="EI46" s="17">
        <v>1.5</v>
      </c>
      <c r="EJ46" s="17">
        <v>0.2</v>
      </c>
      <c r="EK46" s="17">
        <v>1.1000000000000001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8.4</v>
      </c>
      <c r="EU46" s="17">
        <v>2.8</v>
      </c>
      <c r="EV46" s="17">
        <v>0</v>
      </c>
      <c r="EW46" s="17"/>
      <c r="EX46" s="17">
        <v>0.6</v>
      </c>
      <c r="EY46" s="17"/>
      <c r="EZ46" s="17"/>
      <c r="FA46" s="17">
        <v>0.3</v>
      </c>
      <c r="FB46" s="17">
        <v>0.4</v>
      </c>
      <c r="FC46" s="17">
        <v>1.6</v>
      </c>
      <c r="FD46" s="17">
        <v>1.3</v>
      </c>
      <c r="FE46" s="17">
        <v>1.4</v>
      </c>
      <c r="FF46" s="17">
        <v>0.5</v>
      </c>
      <c r="FG46" s="17"/>
      <c r="FH46" s="17">
        <v>1</v>
      </c>
      <c r="FI46" s="17"/>
      <c r="FJ46" s="17"/>
      <c r="FK46" s="17">
        <v>3.9</v>
      </c>
      <c r="FL46" s="17"/>
      <c r="FM46" s="17">
        <v>338.12747000000002</v>
      </c>
      <c r="FN46" s="15"/>
      <c r="FO46" s="17">
        <v>-1.2270000000000001</v>
      </c>
      <c r="FP46" s="17">
        <v>1.2634799999999999</v>
      </c>
      <c r="FQ46" s="17">
        <v>0</v>
      </c>
      <c r="FR46" s="17">
        <v>0.24615999999999999</v>
      </c>
      <c r="FS46" s="17">
        <v>-1.4</v>
      </c>
      <c r="FT46" s="17">
        <v>0.2</v>
      </c>
      <c r="FU46" s="17">
        <v>-0.91735999999999995</v>
      </c>
    </row>
    <row r="47" spans="1:177" ht="24" customHeight="1" x14ac:dyDescent="0.3">
      <c r="A47" s="16" t="s">
        <v>67</v>
      </c>
      <c r="B47" s="16" t="s">
        <v>844</v>
      </c>
      <c r="C47" s="17">
        <v>-3.9</v>
      </c>
      <c r="D47" s="17">
        <v>11.5</v>
      </c>
      <c r="E47" s="17">
        <v>13.1</v>
      </c>
      <c r="F47" s="17">
        <v>1.9</v>
      </c>
      <c r="G47" s="17">
        <v>1.9</v>
      </c>
      <c r="H47" s="17">
        <v>-7.7</v>
      </c>
      <c r="I47" s="17">
        <v>7.7</v>
      </c>
      <c r="J47" s="17"/>
      <c r="K47" s="17">
        <v>0</v>
      </c>
      <c r="L47" s="17">
        <v>-14.3</v>
      </c>
      <c r="M47" s="17">
        <v>0</v>
      </c>
      <c r="N47" s="17">
        <v>-6.2</v>
      </c>
      <c r="O47" s="17">
        <v>47.4</v>
      </c>
      <c r="P47" s="17">
        <v>5.9</v>
      </c>
      <c r="Q47" s="17">
        <v>22</v>
      </c>
      <c r="R47" s="17">
        <v>63.9</v>
      </c>
      <c r="S47" s="17"/>
      <c r="T47" s="17"/>
      <c r="U47" s="17"/>
      <c r="V47" s="17"/>
      <c r="W47" s="17">
        <v>7.3</v>
      </c>
      <c r="X47" s="17">
        <v>1.7</v>
      </c>
      <c r="Y47" s="17">
        <v>1.3</v>
      </c>
      <c r="Z47" s="17">
        <v>2.6</v>
      </c>
      <c r="AA47" s="17">
        <v>-3.3</v>
      </c>
      <c r="AB47" s="17">
        <v>15.6</v>
      </c>
      <c r="AC47" s="17"/>
      <c r="AD47" s="17"/>
      <c r="AE47" s="17"/>
      <c r="AF47" s="17"/>
      <c r="AG47" s="17">
        <v>7.4</v>
      </c>
      <c r="AH47" s="17">
        <v>-3.3</v>
      </c>
      <c r="AI47" s="17"/>
      <c r="AJ47" s="17">
        <v>-3.5</v>
      </c>
      <c r="AK47" s="17"/>
      <c r="AL47" s="17">
        <v>-1.2</v>
      </c>
      <c r="AM47" s="17">
        <v>-19</v>
      </c>
      <c r="AN47" s="17">
        <v>3.9</v>
      </c>
      <c r="AO47" s="17">
        <v>26.4</v>
      </c>
      <c r="AP47" s="17">
        <v>10</v>
      </c>
      <c r="AQ47" s="17">
        <v>-2</v>
      </c>
      <c r="AR47" s="17">
        <v>2.6</v>
      </c>
      <c r="AS47" s="17">
        <v>1.2</v>
      </c>
      <c r="AT47" s="17">
        <v>24.2</v>
      </c>
      <c r="AU47" s="17">
        <v>15.1</v>
      </c>
      <c r="AV47" s="17">
        <v>-41.1</v>
      </c>
      <c r="AW47" s="17">
        <v>7.2</v>
      </c>
      <c r="AX47" s="17">
        <v>-1</v>
      </c>
      <c r="AY47" s="17">
        <v>2.9</v>
      </c>
      <c r="AZ47" s="17">
        <v>1</v>
      </c>
      <c r="BA47" s="17">
        <v>0.3</v>
      </c>
      <c r="BB47" s="17">
        <v>0.8</v>
      </c>
      <c r="BC47" s="17"/>
      <c r="BD47" s="17"/>
      <c r="BE47" s="17">
        <v>0.7</v>
      </c>
      <c r="BF47" s="17">
        <v>0</v>
      </c>
      <c r="BG47" s="17"/>
      <c r="BH47" s="17">
        <v>-0.2</v>
      </c>
      <c r="BI47" s="17"/>
      <c r="BJ47" s="17"/>
      <c r="BK47" s="17"/>
      <c r="BL47" s="17">
        <v>-11.84103</v>
      </c>
      <c r="BM47" s="17">
        <v>0</v>
      </c>
      <c r="BN47" s="17">
        <v>0</v>
      </c>
      <c r="BO47" s="17">
        <v>0</v>
      </c>
      <c r="BP47" s="17">
        <v>47.8</v>
      </c>
      <c r="BQ47" s="17">
        <v>7.5</v>
      </c>
      <c r="BR47" s="17"/>
      <c r="BS47" s="17"/>
      <c r="BT47" s="17"/>
      <c r="BU47" s="17"/>
      <c r="BV47" s="17">
        <v>0.9</v>
      </c>
      <c r="BW47" s="17"/>
      <c r="BX47" s="17"/>
      <c r="BY47" s="17">
        <v>-0.5</v>
      </c>
      <c r="BZ47" s="17">
        <v>47.6</v>
      </c>
      <c r="CA47" s="17">
        <v>23.9</v>
      </c>
      <c r="CB47" s="17">
        <v>12.3</v>
      </c>
      <c r="CC47" s="17">
        <v>13.4</v>
      </c>
      <c r="CD47" s="17">
        <v>6</v>
      </c>
      <c r="CE47" s="17">
        <v>0</v>
      </c>
      <c r="CF47" s="17"/>
      <c r="CG47" s="17"/>
      <c r="CH47" s="17">
        <v>22.1</v>
      </c>
      <c r="CI47" s="17">
        <v>44.8</v>
      </c>
      <c r="CJ47" s="17">
        <v>-30.6</v>
      </c>
      <c r="CK47" s="17">
        <v>-42.8</v>
      </c>
      <c r="CL47" s="17"/>
      <c r="CM47" s="17"/>
      <c r="CN47" s="17"/>
      <c r="CO47" s="17"/>
      <c r="CP47" s="17">
        <v>9.5</v>
      </c>
      <c r="CQ47" s="17">
        <v>-0.8</v>
      </c>
      <c r="CR47" s="17">
        <v>-3</v>
      </c>
      <c r="CS47" s="17">
        <v>0.1</v>
      </c>
      <c r="CT47" s="17">
        <v>0.6</v>
      </c>
      <c r="CU47" s="17"/>
      <c r="CV47" s="17">
        <v>-4.0999999999999996</v>
      </c>
      <c r="CW47" s="17">
        <v>0</v>
      </c>
      <c r="CX47" s="17"/>
      <c r="CY47" s="17"/>
      <c r="CZ47" s="17">
        <v>0.1</v>
      </c>
      <c r="DA47" s="17">
        <v>0</v>
      </c>
      <c r="DB47" s="17">
        <v>0</v>
      </c>
      <c r="DC47" s="17">
        <v>12.3</v>
      </c>
      <c r="DD47" s="17"/>
      <c r="DE47" s="17"/>
      <c r="DF47" s="17">
        <v>-0.2</v>
      </c>
      <c r="DG47" s="17">
        <v>0.6</v>
      </c>
      <c r="DH47" s="17">
        <v>0.2</v>
      </c>
      <c r="DI47" s="17">
        <v>1.4</v>
      </c>
      <c r="DJ47" s="17">
        <v>0.2</v>
      </c>
      <c r="DK47" s="17"/>
      <c r="DL47" s="17"/>
      <c r="DM47" s="17">
        <v>0</v>
      </c>
      <c r="DN47" s="17">
        <v>0.1</v>
      </c>
      <c r="DO47" s="17">
        <v>-4.0999999999999996</v>
      </c>
      <c r="DP47" s="17">
        <v>-5.5</v>
      </c>
      <c r="DQ47" s="17">
        <v>0.2</v>
      </c>
      <c r="DR47" s="17">
        <v>0</v>
      </c>
      <c r="DS47" s="17">
        <v>0.2</v>
      </c>
      <c r="DT47" s="17">
        <v>0.2</v>
      </c>
      <c r="DU47" s="17"/>
      <c r="DV47" s="17"/>
      <c r="DW47" s="17">
        <v>-1.6</v>
      </c>
      <c r="DX47" s="17">
        <v>0</v>
      </c>
      <c r="DY47" s="17">
        <v>0.6</v>
      </c>
      <c r="DZ47" s="17">
        <v>0.7</v>
      </c>
      <c r="EA47" s="17">
        <v>0.8</v>
      </c>
      <c r="EB47" s="17">
        <v>3.7</v>
      </c>
      <c r="EC47" s="17">
        <v>0.3</v>
      </c>
      <c r="ED47" s="17">
        <v>-7.8</v>
      </c>
      <c r="EE47" s="17">
        <v>-8.8000000000000007</v>
      </c>
      <c r="EF47" s="17"/>
      <c r="EG47" s="17"/>
      <c r="EH47" s="17"/>
      <c r="EI47" s="17">
        <v>1.5</v>
      </c>
      <c r="EJ47" s="17">
        <v>0.2</v>
      </c>
      <c r="EK47" s="17">
        <v>1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10</v>
      </c>
      <c r="EU47" s="17">
        <v>3.3</v>
      </c>
      <c r="EV47" s="17">
        <v>0</v>
      </c>
      <c r="EW47" s="17"/>
      <c r="EX47" s="17">
        <v>0.6</v>
      </c>
      <c r="EY47" s="17"/>
      <c r="EZ47" s="17"/>
      <c r="FA47" s="17">
        <v>0.3</v>
      </c>
      <c r="FB47" s="17">
        <v>0.4</v>
      </c>
      <c r="FC47" s="17">
        <v>1.4</v>
      </c>
      <c r="FD47" s="17">
        <v>1.1000000000000001</v>
      </c>
      <c r="FE47" s="17">
        <v>1.4</v>
      </c>
      <c r="FF47" s="17">
        <v>0.2</v>
      </c>
      <c r="FG47" s="17"/>
      <c r="FH47" s="17">
        <v>4</v>
      </c>
      <c r="FI47" s="17"/>
      <c r="FJ47" s="17"/>
      <c r="FK47" s="17">
        <v>4.0999999999999996</v>
      </c>
      <c r="FL47" s="17"/>
      <c r="FM47" s="17">
        <v>367.45897000000002</v>
      </c>
      <c r="FN47" s="15"/>
      <c r="FO47" s="17">
        <v>0.109</v>
      </c>
      <c r="FP47" s="17">
        <v>1.2702</v>
      </c>
      <c r="FQ47" s="17">
        <v>0.28732999999999997</v>
      </c>
      <c r="FR47" s="17">
        <v>0.25451000000000001</v>
      </c>
      <c r="FS47" s="17">
        <v>-0.6</v>
      </c>
      <c r="FT47" s="17">
        <v>0.3</v>
      </c>
      <c r="FU47" s="17">
        <v>1.62104</v>
      </c>
    </row>
    <row r="48" spans="1:177" ht="24" customHeight="1" x14ac:dyDescent="0.3">
      <c r="A48" s="16" t="s">
        <v>67</v>
      </c>
      <c r="B48" s="16" t="s">
        <v>845</v>
      </c>
      <c r="C48" s="17">
        <v>-4.3</v>
      </c>
      <c r="D48" s="17">
        <v>4.9000000000000004</v>
      </c>
      <c r="E48" s="17">
        <v>13.1</v>
      </c>
      <c r="F48" s="17">
        <v>1.8</v>
      </c>
      <c r="G48" s="17">
        <v>1.8</v>
      </c>
      <c r="H48" s="17">
        <v>-6.3</v>
      </c>
      <c r="I48" s="17">
        <v>5.0999999999999996</v>
      </c>
      <c r="J48" s="17"/>
      <c r="K48" s="17">
        <v>0</v>
      </c>
      <c r="L48" s="17">
        <v>-11.4</v>
      </c>
      <c r="M48" s="17">
        <v>0</v>
      </c>
      <c r="N48" s="17">
        <v>-3</v>
      </c>
      <c r="O48" s="17">
        <v>51.8</v>
      </c>
      <c r="P48" s="17">
        <v>-2.9</v>
      </c>
      <c r="Q48" s="17">
        <v>10.3</v>
      </c>
      <c r="R48" s="17">
        <v>59.8</v>
      </c>
      <c r="S48" s="17"/>
      <c r="T48" s="17"/>
      <c r="U48" s="17"/>
      <c r="V48" s="17"/>
      <c r="W48" s="17">
        <v>4.9000000000000004</v>
      </c>
      <c r="X48" s="17">
        <v>1.2</v>
      </c>
      <c r="Y48" s="17">
        <v>0.3</v>
      </c>
      <c r="Z48" s="17">
        <v>2.2000000000000002</v>
      </c>
      <c r="AA48" s="17">
        <v>-3.3</v>
      </c>
      <c r="AB48" s="17">
        <v>14.7</v>
      </c>
      <c r="AC48" s="17"/>
      <c r="AD48" s="17"/>
      <c r="AE48" s="17"/>
      <c r="AF48" s="17"/>
      <c r="AG48" s="17">
        <v>5.8</v>
      </c>
      <c r="AH48" s="17">
        <v>-2.2999999999999998</v>
      </c>
      <c r="AI48" s="17"/>
      <c r="AJ48" s="17">
        <v>-2.4</v>
      </c>
      <c r="AK48" s="17"/>
      <c r="AL48" s="17">
        <v>-1.2</v>
      </c>
      <c r="AM48" s="17">
        <v>-24.4</v>
      </c>
      <c r="AN48" s="17">
        <v>3.6</v>
      </c>
      <c r="AO48" s="17">
        <v>25.6</v>
      </c>
      <c r="AP48" s="17">
        <v>9.6</v>
      </c>
      <c r="AQ48" s="17">
        <v>-1.6</v>
      </c>
      <c r="AR48" s="17">
        <v>2.6</v>
      </c>
      <c r="AS48" s="17">
        <v>1</v>
      </c>
      <c r="AT48" s="17">
        <v>30.9</v>
      </c>
      <c r="AU48" s="17">
        <v>21.8</v>
      </c>
      <c r="AV48" s="17">
        <v>-34.700000000000003</v>
      </c>
      <c r="AW48" s="17">
        <v>6.5</v>
      </c>
      <c r="AX48" s="17">
        <v>-1.4</v>
      </c>
      <c r="AY48" s="17">
        <v>3.5</v>
      </c>
      <c r="AZ48" s="17">
        <v>1</v>
      </c>
      <c r="BA48" s="17">
        <v>0.3</v>
      </c>
      <c r="BB48" s="17">
        <v>-0.4</v>
      </c>
      <c r="BC48" s="17"/>
      <c r="BD48" s="17"/>
      <c r="BE48" s="17">
        <v>2.2000000000000002</v>
      </c>
      <c r="BF48" s="17">
        <v>0</v>
      </c>
      <c r="BG48" s="17"/>
      <c r="BH48" s="17">
        <v>0.4</v>
      </c>
      <c r="BI48" s="17"/>
      <c r="BJ48" s="17"/>
      <c r="BK48" s="17"/>
      <c r="BL48" s="17">
        <v>-1.9540999999999999</v>
      </c>
      <c r="BM48" s="17">
        <v>0</v>
      </c>
      <c r="BN48" s="17">
        <v>0</v>
      </c>
      <c r="BO48" s="17">
        <v>0</v>
      </c>
      <c r="BP48" s="17">
        <v>30.7</v>
      </c>
      <c r="BQ48" s="17">
        <v>15.6</v>
      </c>
      <c r="BR48" s="17"/>
      <c r="BS48" s="17"/>
      <c r="BT48" s="17"/>
      <c r="BU48" s="17"/>
      <c r="BV48" s="17">
        <v>0.8</v>
      </c>
      <c r="BW48" s="17"/>
      <c r="BX48" s="17"/>
      <c r="BY48" s="17">
        <v>-0.6</v>
      </c>
      <c r="BZ48" s="17">
        <v>33.6</v>
      </c>
      <c r="CA48" s="17">
        <v>14.2</v>
      </c>
      <c r="CB48" s="17">
        <v>5.8</v>
      </c>
      <c r="CC48" s="17">
        <v>10.199999999999999</v>
      </c>
      <c r="CD48" s="17">
        <v>3.9</v>
      </c>
      <c r="CE48" s="17">
        <v>0</v>
      </c>
      <c r="CF48" s="17"/>
      <c r="CG48" s="17"/>
      <c r="CH48" s="17">
        <v>10.3</v>
      </c>
      <c r="CI48" s="17">
        <v>12.7</v>
      </c>
      <c r="CJ48" s="17">
        <v>-20.8</v>
      </c>
      <c r="CK48" s="17">
        <v>-41.5</v>
      </c>
      <c r="CL48" s="17"/>
      <c r="CM48" s="17"/>
      <c r="CN48" s="17"/>
      <c r="CO48" s="17"/>
      <c r="CP48" s="17">
        <v>15.8</v>
      </c>
      <c r="CQ48" s="17">
        <v>2.9</v>
      </c>
      <c r="CR48" s="17">
        <v>-3</v>
      </c>
      <c r="CS48" s="17">
        <v>0</v>
      </c>
      <c r="CT48" s="17">
        <v>0.6</v>
      </c>
      <c r="CU48" s="17"/>
      <c r="CV48" s="17">
        <v>-3.9</v>
      </c>
      <c r="CW48" s="17">
        <v>0</v>
      </c>
      <c r="CX48" s="17"/>
      <c r="CY48" s="17"/>
      <c r="CZ48" s="17">
        <v>0.1</v>
      </c>
      <c r="DA48" s="17">
        <v>0</v>
      </c>
      <c r="DB48" s="17">
        <v>0</v>
      </c>
      <c r="DC48" s="17">
        <v>12.1</v>
      </c>
      <c r="DD48" s="17"/>
      <c r="DE48" s="17"/>
      <c r="DF48" s="17">
        <v>0</v>
      </c>
      <c r="DG48" s="17">
        <v>0.5</v>
      </c>
      <c r="DH48" s="17">
        <v>0.2</v>
      </c>
      <c r="DI48" s="17">
        <v>0.8</v>
      </c>
      <c r="DJ48" s="17">
        <v>0.2</v>
      </c>
      <c r="DK48" s="17"/>
      <c r="DL48" s="17"/>
      <c r="DM48" s="17">
        <v>0</v>
      </c>
      <c r="DN48" s="17">
        <v>0.1</v>
      </c>
      <c r="DO48" s="17">
        <v>-3.4</v>
      </c>
      <c r="DP48" s="17">
        <v>-8.6999999999999993</v>
      </c>
      <c r="DQ48" s="17">
        <v>0.2</v>
      </c>
      <c r="DR48" s="17">
        <v>0</v>
      </c>
      <c r="DS48" s="17">
        <v>0.4</v>
      </c>
      <c r="DT48" s="17">
        <v>0.2</v>
      </c>
      <c r="DU48" s="17"/>
      <c r="DV48" s="17"/>
      <c r="DW48" s="17">
        <v>-1.8</v>
      </c>
      <c r="DX48" s="17">
        <v>0</v>
      </c>
      <c r="DY48" s="17">
        <v>0.6</v>
      </c>
      <c r="DZ48" s="17">
        <v>0.7</v>
      </c>
      <c r="EA48" s="17">
        <v>0.8</v>
      </c>
      <c r="EB48" s="17">
        <v>3.7</v>
      </c>
      <c r="EC48" s="17">
        <v>0.3</v>
      </c>
      <c r="ED48" s="17">
        <v>-10.6</v>
      </c>
      <c r="EE48" s="17">
        <v>-11.6</v>
      </c>
      <c r="EF48" s="17"/>
      <c r="EG48" s="17"/>
      <c r="EH48" s="17"/>
      <c r="EI48" s="17">
        <v>1.5</v>
      </c>
      <c r="EJ48" s="17">
        <v>0.2</v>
      </c>
      <c r="EK48" s="17">
        <v>1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8.9</v>
      </c>
      <c r="EU48" s="17">
        <v>0.9</v>
      </c>
      <c r="EV48" s="17">
        <v>0</v>
      </c>
      <c r="EW48" s="17"/>
      <c r="EX48" s="17">
        <v>0.6</v>
      </c>
      <c r="EY48" s="17"/>
      <c r="EZ48" s="17"/>
      <c r="FA48" s="17">
        <v>0.3</v>
      </c>
      <c r="FB48" s="17">
        <v>0.4</v>
      </c>
      <c r="FC48" s="17">
        <v>1.4</v>
      </c>
      <c r="FD48" s="17">
        <v>1.1000000000000001</v>
      </c>
      <c r="FE48" s="17">
        <v>1.4</v>
      </c>
      <c r="FF48" s="17">
        <v>0.5</v>
      </c>
      <c r="FG48" s="17"/>
      <c r="FH48" s="17">
        <v>4.0999999999999996</v>
      </c>
      <c r="FI48" s="17"/>
      <c r="FJ48" s="17"/>
      <c r="FK48" s="17">
        <v>4.0999999999999996</v>
      </c>
      <c r="FL48" s="17"/>
      <c r="FM48" s="17">
        <v>284.34589999999997</v>
      </c>
      <c r="FN48" s="15"/>
      <c r="FO48" s="17">
        <v>-1.1905399999999999</v>
      </c>
      <c r="FP48" s="17">
        <v>1.2778799999999999</v>
      </c>
      <c r="FQ48" s="17">
        <v>0.34099000000000002</v>
      </c>
      <c r="FR48" s="17">
        <v>0.24068000000000001</v>
      </c>
      <c r="FS48" s="17">
        <v>-0.6</v>
      </c>
      <c r="FT48" s="17">
        <v>0.2</v>
      </c>
      <c r="FU48" s="17">
        <v>0.26901000000000003</v>
      </c>
    </row>
    <row r="49" spans="1:177" ht="24" customHeight="1" x14ac:dyDescent="0.3">
      <c r="A49" s="16" t="s">
        <v>67</v>
      </c>
      <c r="B49" s="16" t="s">
        <v>846</v>
      </c>
      <c r="C49" s="17">
        <v>-4.0999999999999996</v>
      </c>
      <c r="D49" s="17">
        <v>3.1</v>
      </c>
      <c r="E49" s="17">
        <v>13.1</v>
      </c>
      <c r="F49" s="17">
        <v>1.4</v>
      </c>
      <c r="G49" s="17">
        <v>1.4</v>
      </c>
      <c r="H49" s="17">
        <v>-6.7</v>
      </c>
      <c r="I49" s="17">
        <v>4.7</v>
      </c>
      <c r="J49" s="17"/>
      <c r="K49" s="17">
        <v>0</v>
      </c>
      <c r="L49" s="17">
        <v>-8</v>
      </c>
      <c r="M49" s="17">
        <v>0</v>
      </c>
      <c r="N49" s="17">
        <v>-0.9</v>
      </c>
      <c r="O49" s="17">
        <v>23.3</v>
      </c>
      <c r="P49" s="17">
        <v>-4.7</v>
      </c>
      <c r="Q49" s="17">
        <v>19.899999999999999</v>
      </c>
      <c r="R49" s="17">
        <v>44.6</v>
      </c>
      <c r="S49" s="17"/>
      <c r="T49" s="17"/>
      <c r="U49" s="17"/>
      <c r="V49" s="17"/>
      <c r="W49" s="17">
        <v>3.4</v>
      </c>
      <c r="X49" s="17">
        <v>0.9</v>
      </c>
      <c r="Y49" s="17">
        <v>-0.4</v>
      </c>
      <c r="Z49" s="17">
        <v>0</v>
      </c>
      <c r="AA49" s="17">
        <v>-3.2</v>
      </c>
      <c r="AB49" s="17">
        <v>15.8</v>
      </c>
      <c r="AC49" s="17"/>
      <c r="AD49" s="17"/>
      <c r="AE49" s="17"/>
      <c r="AF49" s="17"/>
      <c r="AG49" s="17">
        <v>4.4000000000000004</v>
      </c>
      <c r="AH49" s="17">
        <v>10.199999999999999</v>
      </c>
      <c r="AI49" s="17"/>
      <c r="AJ49" s="17">
        <v>-5.6</v>
      </c>
      <c r="AK49" s="17"/>
      <c r="AL49" s="17">
        <v>-1.2</v>
      </c>
      <c r="AM49" s="17">
        <v>-15.9</v>
      </c>
      <c r="AN49" s="17">
        <v>4</v>
      </c>
      <c r="AO49" s="17">
        <v>25.2</v>
      </c>
      <c r="AP49" s="17">
        <v>9.8000000000000007</v>
      </c>
      <c r="AQ49" s="17">
        <v>-1.7</v>
      </c>
      <c r="AR49" s="17">
        <v>2.6</v>
      </c>
      <c r="AS49" s="17">
        <v>1.6</v>
      </c>
      <c r="AT49" s="17">
        <v>33.1</v>
      </c>
      <c r="AU49" s="17">
        <v>24</v>
      </c>
      <c r="AV49" s="17">
        <v>-41.9</v>
      </c>
      <c r="AW49" s="17">
        <v>4.5999999999999996</v>
      </c>
      <c r="AX49" s="17">
        <v>-1.2</v>
      </c>
      <c r="AY49" s="17">
        <v>3.2</v>
      </c>
      <c r="AZ49" s="17">
        <v>1</v>
      </c>
      <c r="BA49" s="17">
        <v>0.3</v>
      </c>
      <c r="BB49" s="17">
        <v>1.5</v>
      </c>
      <c r="BC49" s="17"/>
      <c r="BD49" s="17"/>
      <c r="BE49" s="17">
        <v>2.2000000000000002</v>
      </c>
      <c r="BF49" s="17">
        <v>0</v>
      </c>
      <c r="BG49" s="17"/>
      <c r="BH49" s="17">
        <v>0.2</v>
      </c>
      <c r="BI49" s="17"/>
      <c r="BJ49" s="17"/>
      <c r="BK49" s="17"/>
      <c r="BL49" s="17">
        <v>-0.33429999999999999</v>
      </c>
      <c r="BM49" s="17">
        <v>-12.7</v>
      </c>
      <c r="BN49" s="17">
        <v>-13.7</v>
      </c>
      <c r="BO49" s="17">
        <v>0</v>
      </c>
      <c r="BP49" s="17">
        <v>-1.9</v>
      </c>
      <c r="BQ49" s="17">
        <v>0</v>
      </c>
      <c r="BR49" s="17"/>
      <c r="BS49" s="17"/>
      <c r="BT49" s="17"/>
      <c r="BU49" s="17"/>
      <c r="BV49" s="17">
        <v>0.4</v>
      </c>
      <c r="BW49" s="17"/>
      <c r="BX49" s="17"/>
      <c r="BY49" s="17">
        <v>-0.4</v>
      </c>
      <c r="BZ49" s="17">
        <v>33.4</v>
      </c>
      <c r="CA49" s="17">
        <v>14.5</v>
      </c>
      <c r="CB49" s="17">
        <v>5.6</v>
      </c>
      <c r="CC49" s="17">
        <v>11.3</v>
      </c>
      <c r="CD49" s="17">
        <v>3.7</v>
      </c>
      <c r="CE49" s="17">
        <v>0</v>
      </c>
      <c r="CF49" s="17"/>
      <c r="CG49" s="17"/>
      <c r="CH49" s="17">
        <v>10.199999999999999</v>
      </c>
      <c r="CI49" s="17">
        <v>12.7</v>
      </c>
      <c r="CJ49" s="17">
        <v>-21.4</v>
      </c>
      <c r="CK49" s="17">
        <v>-27.7</v>
      </c>
      <c r="CL49" s="17"/>
      <c r="CM49" s="17"/>
      <c r="CN49" s="17"/>
      <c r="CO49" s="17"/>
      <c r="CP49" s="17">
        <v>19.600000000000001</v>
      </c>
      <c r="CQ49" s="17">
        <v>5.0999999999999996</v>
      </c>
      <c r="CR49" s="17">
        <v>-3</v>
      </c>
      <c r="CS49" s="17">
        <v>0.1</v>
      </c>
      <c r="CT49" s="17">
        <v>1.8</v>
      </c>
      <c r="CU49" s="17"/>
      <c r="CV49" s="17">
        <v>-4.0999999999999996</v>
      </c>
      <c r="CW49" s="17">
        <v>0</v>
      </c>
      <c r="CX49" s="17"/>
      <c r="CY49" s="17"/>
      <c r="CZ49" s="17">
        <v>0</v>
      </c>
      <c r="DA49" s="17">
        <v>0</v>
      </c>
      <c r="DB49" s="17">
        <v>-0.9</v>
      </c>
      <c r="DC49" s="17">
        <v>9.8000000000000007</v>
      </c>
      <c r="DD49" s="17"/>
      <c r="DE49" s="17"/>
      <c r="DF49" s="17">
        <v>0.1</v>
      </c>
      <c r="DG49" s="17">
        <v>0.6</v>
      </c>
      <c r="DH49" s="17">
        <v>0.1</v>
      </c>
      <c r="DI49" s="17">
        <v>0.8</v>
      </c>
      <c r="DJ49" s="17">
        <v>0.2</v>
      </c>
      <c r="DK49" s="17"/>
      <c r="DL49" s="17"/>
      <c r="DM49" s="17">
        <v>0</v>
      </c>
      <c r="DN49" s="17">
        <v>0</v>
      </c>
      <c r="DO49" s="17">
        <v>-3.8</v>
      </c>
      <c r="DP49" s="17">
        <v>-9.9</v>
      </c>
      <c r="DQ49" s="17">
        <v>0.2</v>
      </c>
      <c r="DR49" s="17">
        <v>0</v>
      </c>
      <c r="DS49" s="17">
        <v>0.4</v>
      </c>
      <c r="DT49" s="17">
        <v>0.2</v>
      </c>
      <c r="DU49" s="17"/>
      <c r="DV49" s="17"/>
      <c r="DW49" s="17">
        <v>-1.9</v>
      </c>
      <c r="DX49" s="17">
        <v>0</v>
      </c>
      <c r="DY49" s="17">
        <v>0.6</v>
      </c>
      <c r="DZ49" s="17">
        <v>0.6</v>
      </c>
      <c r="EA49" s="17">
        <v>0.8</v>
      </c>
      <c r="EB49" s="17">
        <v>3.7</v>
      </c>
      <c r="EC49" s="17">
        <v>0.3</v>
      </c>
      <c r="ED49" s="17">
        <v>-9.5</v>
      </c>
      <c r="EE49" s="17">
        <v>-10.3</v>
      </c>
      <c r="EF49" s="17"/>
      <c r="EG49" s="17"/>
      <c r="EH49" s="17"/>
      <c r="EI49" s="17">
        <v>1.5</v>
      </c>
      <c r="EJ49" s="17">
        <v>0.2</v>
      </c>
      <c r="EK49" s="17">
        <v>1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4.5999999999999996</v>
      </c>
      <c r="EU49" s="17">
        <v>-2.1</v>
      </c>
      <c r="EV49" s="17">
        <v>0</v>
      </c>
      <c r="EW49" s="17"/>
      <c r="EX49" s="17">
        <v>0.6</v>
      </c>
      <c r="EY49" s="17"/>
      <c r="EZ49" s="17"/>
      <c r="FA49" s="17">
        <v>0.3</v>
      </c>
      <c r="FB49" s="17">
        <v>0.4</v>
      </c>
      <c r="FC49" s="17">
        <v>1.4</v>
      </c>
      <c r="FD49" s="17">
        <v>1.1000000000000001</v>
      </c>
      <c r="FE49" s="17">
        <v>1.3</v>
      </c>
      <c r="FF49" s="17">
        <v>0.3</v>
      </c>
      <c r="FG49" s="17"/>
      <c r="FH49" s="17">
        <v>5</v>
      </c>
      <c r="FI49" s="17"/>
      <c r="FJ49" s="17"/>
      <c r="FK49" s="17">
        <v>3.7</v>
      </c>
      <c r="FL49" s="17"/>
      <c r="FM49" s="17">
        <v>199.26570000000001</v>
      </c>
      <c r="FN49" s="15"/>
      <c r="FO49" s="17">
        <v>-1.1631800000000001</v>
      </c>
      <c r="FP49" s="17">
        <v>1.27546</v>
      </c>
      <c r="FQ49" s="17">
        <v>0.34921999999999997</v>
      </c>
      <c r="FR49" s="17">
        <v>0.22935</v>
      </c>
      <c r="FS49" s="17">
        <v>-0.6</v>
      </c>
      <c r="FT49" s="17">
        <v>0.2</v>
      </c>
      <c r="FU49" s="17">
        <v>0.29085</v>
      </c>
    </row>
    <row r="50" spans="1:177" ht="24" customHeight="1" x14ac:dyDescent="0.3">
      <c r="A50" s="18" t="s">
        <v>67</v>
      </c>
      <c r="B50" s="18" t="s">
        <v>847</v>
      </c>
      <c r="C50" s="19">
        <v>-2.9</v>
      </c>
      <c r="D50" s="19">
        <v>15.9</v>
      </c>
      <c r="E50" s="19">
        <v>15.4</v>
      </c>
      <c r="F50" s="19">
        <v>1.5</v>
      </c>
      <c r="G50" s="19">
        <v>1.4</v>
      </c>
      <c r="H50" s="19">
        <v>-7.5</v>
      </c>
      <c r="I50" s="19">
        <v>2.5</v>
      </c>
      <c r="J50" s="19"/>
      <c r="K50" s="19">
        <v>0</v>
      </c>
      <c r="L50" s="19">
        <v>-9.1</v>
      </c>
      <c r="M50" s="19">
        <v>0</v>
      </c>
      <c r="N50" s="19">
        <v>-2.4</v>
      </c>
      <c r="O50" s="19">
        <v>21.1</v>
      </c>
      <c r="P50" s="19">
        <v>-5.2</v>
      </c>
      <c r="Q50" s="19">
        <v>19.7</v>
      </c>
      <c r="R50" s="19">
        <v>70.400000000000006</v>
      </c>
      <c r="S50" s="19"/>
      <c r="T50" s="19"/>
      <c r="U50" s="19"/>
      <c r="V50" s="19"/>
      <c r="W50" s="19">
        <v>7.3</v>
      </c>
      <c r="X50" s="19">
        <v>1.2</v>
      </c>
      <c r="Y50" s="19">
        <v>0.4</v>
      </c>
      <c r="Z50" s="19">
        <v>0</v>
      </c>
      <c r="AA50" s="19">
        <v>-3.3</v>
      </c>
      <c r="AB50" s="19">
        <v>17.8</v>
      </c>
      <c r="AC50" s="19"/>
      <c r="AD50" s="19"/>
      <c r="AE50" s="19"/>
      <c r="AF50" s="19"/>
      <c r="AG50" s="19">
        <v>4.4000000000000004</v>
      </c>
      <c r="AH50" s="19">
        <v>10.4</v>
      </c>
      <c r="AI50" s="19"/>
      <c r="AJ50" s="19">
        <v>-9.1999999999999993</v>
      </c>
      <c r="AK50" s="19"/>
      <c r="AL50" s="19">
        <v>-1.3</v>
      </c>
      <c r="AM50" s="19">
        <v>-16.100000000000001</v>
      </c>
      <c r="AN50" s="19">
        <v>4.5999999999999996</v>
      </c>
      <c r="AO50" s="19">
        <v>26.5</v>
      </c>
      <c r="AP50" s="19">
        <v>9.9</v>
      </c>
      <c r="AQ50" s="19">
        <v>-1.4</v>
      </c>
      <c r="AR50" s="19">
        <v>2.6</v>
      </c>
      <c r="AS50" s="19">
        <v>1.1000000000000001</v>
      </c>
      <c r="AT50" s="19">
        <v>32.799999999999997</v>
      </c>
      <c r="AU50" s="19">
        <v>23.7</v>
      </c>
      <c r="AV50" s="19">
        <v>-42.2</v>
      </c>
      <c r="AW50" s="19">
        <v>6.3</v>
      </c>
      <c r="AX50" s="19">
        <v>-1</v>
      </c>
      <c r="AY50" s="19">
        <v>3.6</v>
      </c>
      <c r="AZ50" s="19">
        <v>1</v>
      </c>
      <c r="BA50" s="19">
        <v>0.3</v>
      </c>
      <c r="BB50" s="19">
        <v>0.3</v>
      </c>
      <c r="BC50" s="19"/>
      <c r="BD50" s="19"/>
      <c r="BE50" s="19">
        <v>2.2000000000000002</v>
      </c>
      <c r="BF50" s="19">
        <v>0.2</v>
      </c>
      <c r="BG50" s="19"/>
      <c r="BH50" s="19">
        <v>-0.2</v>
      </c>
      <c r="BI50" s="19"/>
      <c r="BJ50" s="19"/>
      <c r="BK50" s="19"/>
      <c r="BL50" s="19">
        <v>-1.0053099999999999</v>
      </c>
      <c r="BM50" s="19">
        <v>-13.2</v>
      </c>
      <c r="BN50" s="19">
        <v>-14.4</v>
      </c>
      <c r="BO50" s="19">
        <v>0</v>
      </c>
      <c r="BP50" s="19">
        <v>-2.2999999999999998</v>
      </c>
      <c r="BQ50" s="19">
        <v>0</v>
      </c>
      <c r="BR50" s="19"/>
      <c r="BS50" s="19"/>
      <c r="BT50" s="19"/>
      <c r="BU50" s="19"/>
      <c r="BV50" s="19">
        <v>-0.8</v>
      </c>
      <c r="BW50" s="19"/>
      <c r="BX50" s="19"/>
      <c r="BY50" s="19">
        <v>-0.2</v>
      </c>
      <c r="BZ50" s="19">
        <v>34.799999999999997</v>
      </c>
      <c r="CA50" s="19">
        <v>14.5</v>
      </c>
      <c r="CB50" s="19">
        <v>5.7</v>
      </c>
      <c r="CC50" s="19">
        <v>10.3</v>
      </c>
      <c r="CD50" s="19">
        <v>3.9</v>
      </c>
      <c r="CE50" s="19">
        <v>0</v>
      </c>
      <c r="CF50" s="19"/>
      <c r="CG50" s="19"/>
      <c r="CH50" s="19">
        <v>9.6999999999999993</v>
      </c>
      <c r="CI50" s="19">
        <v>12</v>
      </c>
      <c r="CJ50" s="19">
        <v>-22.8</v>
      </c>
      <c r="CK50" s="19">
        <v>-28.5</v>
      </c>
      <c r="CL50" s="19"/>
      <c r="CM50" s="19"/>
      <c r="CN50" s="19"/>
      <c r="CO50" s="19"/>
      <c r="CP50" s="19">
        <v>20</v>
      </c>
      <c r="CQ50" s="19">
        <v>5.4</v>
      </c>
      <c r="CR50" s="19">
        <v>-3</v>
      </c>
      <c r="CS50" s="19">
        <v>0.3</v>
      </c>
      <c r="CT50" s="19">
        <v>0.9</v>
      </c>
      <c r="CU50" s="19"/>
      <c r="CV50" s="19">
        <v>-4.0999999999999996</v>
      </c>
      <c r="CW50" s="19">
        <v>0</v>
      </c>
      <c r="CX50" s="19"/>
      <c r="CY50" s="19"/>
      <c r="CZ50" s="19">
        <v>0.1</v>
      </c>
      <c r="DA50" s="19">
        <v>0</v>
      </c>
      <c r="DB50" s="19">
        <v>-0.9</v>
      </c>
      <c r="DC50" s="19">
        <v>0</v>
      </c>
      <c r="DD50" s="19"/>
      <c r="DE50" s="19"/>
      <c r="DF50" s="19">
        <v>0</v>
      </c>
      <c r="DG50" s="19">
        <v>0.6</v>
      </c>
      <c r="DH50" s="19">
        <v>0.2</v>
      </c>
      <c r="DI50" s="19">
        <v>0.8</v>
      </c>
      <c r="DJ50" s="19">
        <v>0.2</v>
      </c>
      <c r="DK50" s="19"/>
      <c r="DL50" s="19"/>
      <c r="DM50" s="19">
        <v>0</v>
      </c>
      <c r="DN50" s="19">
        <v>0</v>
      </c>
      <c r="DO50" s="19">
        <v>-3.1</v>
      </c>
      <c r="DP50" s="19">
        <v>-8.3000000000000007</v>
      </c>
      <c r="DQ50" s="19">
        <v>0</v>
      </c>
      <c r="DR50" s="19">
        <v>0</v>
      </c>
      <c r="DS50" s="19">
        <v>0.3</v>
      </c>
      <c r="DT50" s="19">
        <v>0.2</v>
      </c>
      <c r="DU50" s="19"/>
      <c r="DV50" s="19"/>
      <c r="DW50" s="19">
        <v>-2</v>
      </c>
      <c r="DX50" s="19">
        <v>0</v>
      </c>
      <c r="DY50" s="19">
        <v>0.6</v>
      </c>
      <c r="DZ50" s="19">
        <v>0.7</v>
      </c>
      <c r="EA50" s="19">
        <v>0.8</v>
      </c>
      <c r="EB50" s="19">
        <v>3.7</v>
      </c>
      <c r="EC50" s="19">
        <v>0</v>
      </c>
      <c r="ED50" s="19">
        <v>-8.4</v>
      </c>
      <c r="EE50" s="19">
        <v>-9.1</v>
      </c>
      <c r="EF50" s="19"/>
      <c r="EG50" s="19"/>
      <c r="EH50" s="19"/>
      <c r="EI50" s="19">
        <v>1.5</v>
      </c>
      <c r="EJ50" s="19">
        <v>0.2</v>
      </c>
      <c r="EK50" s="19">
        <v>1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1.3</v>
      </c>
      <c r="EU50" s="19">
        <v>-0.6</v>
      </c>
      <c r="EV50" s="19">
        <v>0</v>
      </c>
      <c r="EW50" s="19"/>
      <c r="EX50" s="19">
        <v>0.6</v>
      </c>
      <c r="EY50" s="19"/>
      <c r="EZ50" s="19"/>
      <c r="FA50" s="19">
        <v>0</v>
      </c>
      <c r="FB50" s="19">
        <v>0.4</v>
      </c>
      <c r="FC50" s="19">
        <v>1.3</v>
      </c>
      <c r="FD50" s="19">
        <v>1.1000000000000001</v>
      </c>
      <c r="FE50" s="19">
        <v>1</v>
      </c>
      <c r="FF50" s="19">
        <v>0.4</v>
      </c>
      <c r="FG50" s="19"/>
      <c r="FH50" s="19">
        <v>5.3</v>
      </c>
      <c r="FI50" s="19"/>
      <c r="FJ50" s="19"/>
      <c r="FK50" s="19">
        <v>3.7</v>
      </c>
      <c r="FL50" s="19"/>
      <c r="FM50" s="19">
        <v>223.89469</v>
      </c>
      <c r="FN50" s="15"/>
      <c r="FO50" s="19">
        <v>-1.9432700000000001</v>
      </c>
      <c r="FP50" s="19">
        <v>1.28162</v>
      </c>
      <c r="FQ50" s="19">
        <v>0.35014000000000001</v>
      </c>
      <c r="FR50" s="19">
        <v>0.26933000000000001</v>
      </c>
      <c r="FS50" s="19">
        <v>-0.8</v>
      </c>
      <c r="FT50" s="19">
        <v>0.2</v>
      </c>
      <c r="FU50" s="19">
        <v>-0.64217999999999997</v>
      </c>
    </row>
    <row r="51" spans="1:177" ht="24" customHeight="1" x14ac:dyDescent="0.3">
      <c r="A51" s="13" t="s">
        <v>67</v>
      </c>
      <c r="B51" s="13" t="s">
        <v>848</v>
      </c>
      <c r="C51" s="14">
        <v>-4</v>
      </c>
      <c r="D51" s="14">
        <v>18.899999999999999</v>
      </c>
      <c r="E51" s="14">
        <v>15.3</v>
      </c>
      <c r="F51" s="14">
        <v>1.4</v>
      </c>
      <c r="G51" s="14">
        <v>1.4</v>
      </c>
      <c r="H51" s="14">
        <v>-8.1999999999999993</v>
      </c>
      <c r="I51" s="14">
        <v>1.7</v>
      </c>
      <c r="J51" s="14"/>
      <c r="K51" s="14">
        <v>0</v>
      </c>
      <c r="L51" s="14">
        <v>-9.1999999999999993</v>
      </c>
      <c r="M51" s="14">
        <v>0</v>
      </c>
      <c r="N51" s="14">
        <v>-2.5</v>
      </c>
      <c r="O51" s="14">
        <v>20.8</v>
      </c>
      <c r="P51" s="14">
        <v>-12</v>
      </c>
      <c r="Q51" s="14">
        <v>15.1</v>
      </c>
      <c r="R51" s="14">
        <v>72.3</v>
      </c>
      <c r="S51" s="14"/>
      <c r="T51" s="14"/>
      <c r="U51" s="14"/>
      <c r="V51" s="14"/>
      <c r="W51" s="14">
        <v>5.7</v>
      </c>
      <c r="X51" s="14">
        <v>1.2</v>
      </c>
      <c r="Y51" s="14">
        <v>0.4</v>
      </c>
      <c r="Z51" s="14">
        <v>0</v>
      </c>
      <c r="AA51" s="14">
        <v>-3.3</v>
      </c>
      <c r="AB51" s="14">
        <v>17.3</v>
      </c>
      <c r="AC51" s="14"/>
      <c r="AD51" s="14"/>
      <c r="AE51" s="14"/>
      <c r="AF51" s="14"/>
      <c r="AG51" s="14">
        <v>2.6</v>
      </c>
      <c r="AH51" s="14">
        <v>17.399999999999999</v>
      </c>
      <c r="AI51" s="14"/>
      <c r="AJ51" s="14">
        <v>-11.1</v>
      </c>
      <c r="AK51" s="14"/>
      <c r="AL51" s="14">
        <v>-1.3</v>
      </c>
      <c r="AM51" s="14">
        <v>-14.1</v>
      </c>
      <c r="AN51" s="14">
        <v>5.7</v>
      </c>
      <c r="AO51" s="14">
        <v>25.2</v>
      </c>
      <c r="AP51" s="14">
        <v>10</v>
      </c>
      <c r="AQ51" s="14">
        <v>-0.3</v>
      </c>
      <c r="AR51" s="14">
        <v>2.6</v>
      </c>
      <c r="AS51" s="14">
        <v>1.1000000000000001</v>
      </c>
      <c r="AT51" s="14">
        <v>31.2</v>
      </c>
      <c r="AU51" s="14">
        <v>22.2</v>
      </c>
      <c r="AV51" s="14">
        <v>-43.5</v>
      </c>
      <c r="AW51" s="14">
        <v>3.8</v>
      </c>
      <c r="AX51" s="14">
        <v>-1.5</v>
      </c>
      <c r="AY51" s="14">
        <v>3.1</v>
      </c>
      <c r="AZ51" s="14">
        <v>1</v>
      </c>
      <c r="BA51" s="14">
        <v>0.3</v>
      </c>
      <c r="BB51" s="14">
        <v>-0.5</v>
      </c>
      <c r="BC51" s="14"/>
      <c r="BD51" s="14"/>
      <c r="BE51" s="14">
        <v>1.8</v>
      </c>
      <c r="BF51" s="14">
        <v>1.5</v>
      </c>
      <c r="BG51" s="14"/>
      <c r="BH51" s="14">
        <v>0</v>
      </c>
      <c r="BI51" s="14"/>
      <c r="BJ51" s="14"/>
      <c r="BK51" s="14"/>
      <c r="BL51" s="14">
        <v>1.55423</v>
      </c>
      <c r="BM51" s="14">
        <v>0</v>
      </c>
      <c r="BN51" s="14">
        <v>0</v>
      </c>
      <c r="BO51" s="14">
        <v>0</v>
      </c>
      <c r="BP51" s="14">
        <v>20.6</v>
      </c>
      <c r="BQ51" s="14">
        <v>0</v>
      </c>
      <c r="BR51" s="14"/>
      <c r="BS51" s="14"/>
      <c r="BT51" s="14"/>
      <c r="BU51" s="14"/>
      <c r="BV51" s="14">
        <v>-3.3</v>
      </c>
      <c r="BW51" s="14"/>
      <c r="BX51" s="14"/>
      <c r="BY51" s="14">
        <v>-0.2</v>
      </c>
      <c r="BZ51" s="14">
        <v>36</v>
      </c>
      <c r="CA51" s="14">
        <v>14.4</v>
      </c>
      <c r="CB51" s="14">
        <v>6</v>
      </c>
      <c r="CC51" s="14">
        <v>10.199999999999999</v>
      </c>
      <c r="CD51" s="14">
        <v>3.9</v>
      </c>
      <c r="CE51" s="14">
        <v>0</v>
      </c>
      <c r="CF51" s="14"/>
      <c r="CG51" s="14"/>
      <c r="CH51" s="14">
        <v>9.6</v>
      </c>
      <c r="CI51" s="14">
        <v>12</v>
      </c>
      <c r="CJ51" s="14">
        <v>-22.6</v>
      </c>
      <c r="CK51" s="14">
        <v>-29.8</v>
      </c>
      <c r="CL51" s="14"/>
      <c r="CM51" s="14"/>
      <c r="CN51" s="14"/>
      <c r="CO51" s="14"/>
      <c r="CP51" s="14">
        <v>21</v>
      </c>
      <c r="CQ51" s="14">
        <v>5.9</v>
      </c>
      <c r="CR51" s="14">
        <v>-2.8</v>
      </c>
      <c r="CS51" s="14">
        <v>0.4</v>
      </c>
      <c r="CT51" s="14">
        <v>0.8</v>
      </c>
      <c r="CU51" s="14"/>
      <c r="CV51" s="14">
        <v>-4</v>
      </c>
      <c r="CW51" s="14">
        <v>0</v>
      </c>
      <c r="CX51" s="14"/>
      <c r="CY51" s="14"/>
      <c r="CZ51" s="14">
        <v>0</v>
      </c>
      <c r="DA51" s="14">
        <v>0</v>
      </c>
      <c r="DB51" s="14">
        <v>-0.9</v>
      </c>
      <c r="DC51" s="14">
        <v>0</v>
      </c>
      <c r="DD51" s="14"/>
      <c r="DE51" s="14"/>
      <c r="DF51" s="14">
        <v>0</v>
      </c>
      <c r="DG51" s="14">
        <v>0.7</v>
      </c>
      <c r="DH51" s="14">
        <v>0.1</v>
      </c>
      <c r="DI51" s="14">
        <v>0.5</v>
      </c>
      <c r="DJ51" s="14">
        <v>0.2</v>
      </c>
      <c r="DK51" s="14"/>
      <c r="DL51" s="14"/>
      <c r="DM51" s="14">
        <v>0</v>
      </c>
      <c r="DN51" s="14">
        <v>0</v>
      </c>
      <c r="DO51" s="14">
        <v>-4.8</v>
      </c>
      <c r="DP51" s="14">
        <v>-7</v>
      </c>
      <c r="DQ51" s="14">
        <v>0</v>
      </c>
      <c r="DR51" s="14">
        <v>-0.1</v>
      </c>
      <c r="DS51" s="14">
        <v>0.4</v>
      </c>
      <c r="DT51" s="14">
        <v>0.2</v>
      </c>
      <c r="DU51" s="14"/>
      <c r="DV51" s="14"/>
      <c r="DW51" s="14">
        <v>-2</v>
      </c>
      <c r="DX51" s="14">
        <v>0</v>
      </c>
      <c r="DY51" s="14">
        <v>0.5</v>
      </c>
      <c r="DZ51" s="14">
        <v>0.6</v>
      </c>
      <c r="EA51" s="14">
        <v>0.8</v>
      </c>
      <c r="EB51" s="14">
        <v>3.7</v>
      </c>
      <c r="EC51" s="14">
        <v>0</v>
      </c>
      <c r="ED51" s="14">
        <v>-8.6999999999999993</v>
      </c>
      <c r="EE51" s="14">
        <v>-9.8000000000000007</v>
      </c>
      <c r="EF51" s="14"/>
      <c r="EG51" s="14"/>
      <c r="EH51" s="14"/>
      <c r="EI51" s="14">
        <v>1.5</v>
      </c>
      <c r="EJ51" s="14">
        <v>0.2</v>
      </c>
      <c r="EK51" s="14">
        <v>1.1000000000000001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-0.8</v>
      </c>
      <c r="EU51" s="14">
        <v>-3</v>
      </c>
      <c r="EV51" s="14">
        <v>0</v>
      </c>
      <c r="EW51" s="14"/>
      <c r="EX51" s="14">
        <v>0.6</v>
      </c>
      <c r="EY51" s="14"/>
      <c r="EZ51" s="14"/>
      <c r="FA51" s="14">
        <v>0</v>
      </c>
      <c r="FB51" s="14">
        <v>0.4</v>
      </c>
      <c r="FC51" s="14">
        <v>1.4</v>
      </c>
      <c r="FD51" s="14">
        <v>1.1000000000000001</v>
      </c>
      <c r="FE51" s="14">
        <v>1.1000000000000001</v>
      </c>
      <c r="FF51" s="14">
        <v>0.6</v>
      </c>
      <c r="FG51" s="14"/>
      <c r="FH51" s="14">
        <v>4</v>
      </c>
      <c r="FI51" s="14"/>
      <c r="FJ51" s="14"/>
      <c r="FK51" s="14">
        <v>3.6</v>
      </c>
      <c r="FL51" s="14"/>
      <c r="FM51" s="14">
        <v>255.75423000000001</v>
      </c>
      <c r="FN51" s="15"/>
      <c r="FO51" s="14">
        <v>-0.63100000000000001</v>
      </c>
      <c r="FP51" s="14">
        <v>1.2783800000000001</v>
      </c>
      <c r="FQ51" s="14">
        <v>0.31678000000000001</v>
      </c>
      <c r="FR51" s="14">
        <v>0.32988000000000001</v>
      </c>
      <c r="FS51" s="14">
        <v>-1.1000000000000001</v>
      </c>
      <c r="FT51" s="14">
        <v>0.2</v>
      </c>
      <c r="FU51" s="14">
        <v>0.39404</v>
      </c>
    </row>
    <row r="52" spans="1:177" ht="24" customHeight="1" x14ac:dyDescent="0.3">
      <c r="A52" s="16" t="s">
        <v>67</v>
      </c>
      <c r="B52" s="16" t="s">
        <v>849</v>
      </c>
      <c r="C52" s="17">
        <v>-3.9</v>
      </c>
      <c r="D52" s="17">
        <v>23.6</v>
      </c>
      <c r="E52" s="17">
        <v>16.100000000000001</v>
      </c>
      <c r="F52" s="17">
        <v>1.1000000000000001</v>
      </c>
      <c r="G52" s="17">
        <v>0.6</v>
      </c>
      <c r="H52" s="17">
        <v>-9.5</v>
      </c>
      <c r="I52" s="17">
        <v>3.5</v>
      </c>
      <c r="J52" s="17"/>
      <c r="K52" s="17">
        <v>0</v>
      </c>
      <c r="L52" s="17">
        <v>0.1</v>
      </c>
      <c r="M52" s="17">
        <v>0</v>
      </c>
      <c r="N52" s="17">
        <v>7.1</v>
      </c>
      <c r="O52" s="17">
        <v>29.7</v>
      </c>
      <c r="P52" s="17">
        <v>-9.9</v>
      </c>
      <c r="Q52" s="17">
        <v>16.5</v>
      </c>
      <c r="R52" s="17">
        <v>75.599999999999994</v>
      </c>
      <c r="S52" s="17"/>
      <c r="T52" s="17"/>
      <c r="U52" s="17"/>
      <c r="V52" s="17"/>
      <c r="W52" s="17">
        <v>4</v>
      </c>
      <c r="X52" s="17">
        <v>2</v>
      </c>
      <c r="Y52" s="17">
        <v>1.6</v>
      </c>
      <c r="Z52" s="17">
        <v>0</v>
      </c>
      <c r="AA52" s="17">
        <v>-3.2</v>
      </c>
      <c r="AB52" s="17">
        <v>16.100000000000001</v>
      </c>
      <c r="AC52" s="17"/>
      <c r="AD52" s="17"/>
      <c r="AE52" s="17"/>
      <c r="AF52" s="17"/>
      <c r="AG52" s="17">
        <v>2.6</v>
      </c>
      <c r="AH52" s="17">
        <v>18.3</v>
      </c>
      <c r="AI52" s="17"/>
      <c r="AJ52" s="17">
        <v>0</v>
      </c>
      <c r="AK52" s="17"/>
      <c r="AL52" s="17">
        <v>-1.3</v>
      </c>
      <c r="AM52" s="17">
        <v>-13.8</v>
      </c>
      <c r="AN52" s="17">
        <v>5.0999999999999996</v>
      </c>
      <c r="AO52" s="17">
        <v>25.4</v>
      </c>
      <c r="AP52" s="17">
        <v>10.1</v>
      </c>
      <c r="AQ52" s="17">
        <v>0.2</v>
      </c>
      <c r="AR52" s="17">
        <v>2.6</v>
      </c>
      <c r="AS52" s="17">
        <v>1.2</v>
      </c>
      <c r="AT52" s="17">
        <v>33.799999999999997</v>
      </c>
      <c r="AU52" s="17">
        <v>24.8</v>
      </c>
      <c r="AV52" s="17">
        <v>-41.2</v>
      </c>
      <c r="AW52" s="17">
        <v>3.7</v>
      </c>
      <c r="AX52" s="17">
        <v>-1.3</v>
      </c>
      <c r="AY52" s="17">
        <v>3.1</v>
      </c>
      <c r="AZ52" s="17">
        <v>1</v>
      </c>
      <c r="BA52" s="17">
        <v>0.3</v>
      </c>
      <c r="BB52" s="17">
        <v>-0.6</v>
      </c>
      <c r="BC52" s="17"/>
      <c r="BD52" s="17"/>
      <c r="BE52" s="17">
        <v>2.2000000000000002</v>
      </c>
      <c r="BF52" s="17">
        <v>1.3</v>
      </c>
      <c r="BG52" s="17"/>
      <c r="BH52" s="17">
        <v>0</v>
      </c>
      <c r="BI52" s="17"/>
      <c r="BJ52" s="17"/>
      <c r="BK52" s="17"/>
      <c r="BL52" s="17">
        <v>3.7715800000000002</v>
      </c>
      <c r="BM52" s="17">
        <v>0</v>
      </c>
      <c r="BN52" s="17">
        <v>0</v>
      </c>
      <c r="BO52" s="17">
        <v>0</v>
      </c>
      <c r="BP52" s="17">
        <v>22.9</v>
      </c>
      <c r="BQ52" s="17">
        <v>0</v>
      </c>
      <c r="BR52" s="17"/>
      <c r="BS52" s="17"/>
      <c r="BT52" s="17"/>
      <c r="BU52" s="17"/>
      <c r="BV52" s="17">
        <v>-3</v>
      </c>
      <c r="BW52" s="17"/>
      <c r="BX52" s="17"/>
      <c r="BY52" s="17">
        <v>-0.2</v>
      </c>
      <c r="BZ52" s="17">
        <v>36.1</v>
      </c>
      <c r="CA52" s="17">
        <v>14.7</v>
      </c>
      <c r="CB52" s="17">
        <v>5.8</v>
      </c>
      <c r="CC52" s="17">
        <v>10.3</v>
      </c>
      <c r="CD52" s="17">
        <v>3.8</v>
      </c>
      <c r="CE52" s="17">
        <v>0</v>
      </c>
      <c r="CF52" s="17"/>
      <c r="CG52" s="17"/>
      <c r="CH52" s="17">
        <v>10.6</v>
      </c>
      <c r="CI52" s="17">
        <v>13</v>
      </c>
      <c r="CJ52" s="17">
        <v>-21.6</v>
      </c>
      <c r="CK52" s="17">
        <v>-25.7</v>
      </c>
      <c r="CL52" s="17"/>
      <c r="CM52" s="17"/>
      <c r="CN52" s="17"/>
      <c r="CO52" s="17"/>
      <c r="CP52" s="17">
        <v>20.3</v>
      </c>
      <c r="CQ52" s="17">
        <v>5.6</v>
      </c>
      <c r="CR52" s="17">
        <v>-2.9</v>
      </c>
      <c r="CS52" s="17">
        <v>0.4</v>
      </c>
      <c r="CT52" s="17">
        <v>0.6</v>
      </c>
      <c r="CU52" s="17"/>
      <c r="CV52" s="17">
        <v>-3.7</v>
      </c>
      <c r="CW52" s="17">
        <v>0</v>
      </c>
      <c r="CX52" s="17"/>
      <c r="CY52" s="17"/>
      <c r="CZ52" s="17">
        <v>0</v>
      </c>
      <c r="DA52" s="17">
        <v>0</v>
      </c>
      <c r="DB52" s="17">
        <v>-1</v>
      </c>
      <c r="DC52" s="17">
        <v>0</v>
      </c>
      <c r="DD52" s="17"/>
      <c r="DE52" s="17"/>
      <c r="DF52" s="17">
        <v>0</v>
      </c>
      <c r="DG52" s="17">
        <v>0.7</v>
      </c>
      <c r="DH52" s="17">
        <v>0.2</v>
      </c>
      <c r="DI52" s="17">
        <v>0.6</v>
      </c>
      <c r="DJ52" s="17">
        <v>0.1</v>
      </c>
      <c r="DK52" s="17"/>
      <c r="DL52" s="17"/>
      <c r="DM52" s="17">
        <v>0</v>
      </c>
      <c r="DN52" s="17">
        <v>0</v>
      </c>
      <c r="DO52" s="17">
        <v>-4.5999999999999996</v>
      </c>
      <c r="DP52" s="17">
        <v>-6.8</v>
      </c>
      <c r="DQ52" s="17">
        <v>0</v>
      </c>
      <c r="DR52" s="17">
        <v>-0.2</v>
      </c>
      <c r="DS52" s="17">
        <v>0.3</v>
      </c>
      <c r="DT52" s="17">
        <v>0.2</v>
      </c>
      <c r="DU52" s="17"/>
      <c r="DV52" s="17"/>
      <c r="DW52" s="17">
        <v>-2</v>
      </c>
      <c r="DX52" s="17">
        <v>0</v>
      </c>
      <c r="DY52" s="17">
        <v>0.5</v>
      </c>
      <c r="DZ52" s="17">
        <v>0.6</v>
      </c>
      <c r="EA52" s="17">
        <v>0.8</v>
      </c>
      <c r="EB52" s="17">
        <v>3.7</v>
      </c>
      <c r="EC52" s="17">
        <v>0</v>
      </c>
      <c r="ED52" s="17">
        <v>-7.6</v>
      </c>
      <c r="EE52" s="17">
        <v>-8.6999999999999993</v>
      </c>
      <c r="EF52" s="17"/>
      <c r="EG52" s="17"/>
      <c r="EH52" s="17"/>
      <c r="EI52" s="17">
        <v>1.5</v>
      </c>
      <c r="EJ52" s="17">
        <v>0.2</v>
      </c>
      <c r="EK52" s="17">
        <v>1.1000000000000001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-2.4</v>
      </c>
      <c r="EU52" s="17">
        <v>-2.9</v>
      </c>
      <c r="EV52" s="17">
        <v>0</v>
      </c>
      <c r="EW52" s="17"/>
      <c r="EX52" s="17">
        <v>0.6</v>
      </c>
      <c r="EY52" s="17"/>
      <c r="EZ52" s="17"/>
      <c r="FA52" s="17">
        <v>0</v>
      </c>
      <c r="FB52" s="17">
        <v>0.4</v>
      </c>
      <c r="FC52" s="17">
        <v>1.2</v>
      </c>
      <c r="FD52" s="17">
        <v>0.9</v>
      </c>
      <c r="FE52" s="17">
        <v>2.1</v>
      </c>
      <c r="FF52" s="17">
        <v>0.2</v>
      </c>
      <c r="FG52" s="17"/>
      <c r="FH52" s="17">
        <v>3</v>
      </c>
      <c r="FI52" s="17"/>
      <c r="FJ52" s="17"/>
      <c r="FK52" s="17">
        <v>3.7</v>
      </c>
      <c r="FL52" s="17"/>
      <c r="FM52" s="17">
        <v>326.17158000000001</v>
      </c>
      <c r="FN52" s="15"/>
      <c r="FO52" s="17">
        <v>-0.38200000000000001</v>
      </c>
      <c r="FP52" s="17">
        <v>1.28295</v>
      </c>
      <c r="FQ52" s="17">
        <v>0.31380000000000002</v>
      </c>
      <c r="FR52" s="17">
        <v>0.34349000000000002</v>
      </c>
      <c r="FS52" s="17">
        <v>-1.3</v>
      </c>
      <c r="FT52" s="17">
        <v>0.1</v>
      </c>
      <c r="FU52" s="17">
        <v>0.35824</v>
      </c>
    </row>
    <row r="53" spans="1:177" ht="24" customHeight="1" x14ac:dyDescent="0.3">
      <c r="A53" s="16" t="s">
        <v>67</v>
      </c>
      <c r="B53" s="16" t="s">
        <v>850</v>
      </c>
      <c r="C53" s="17">
        <v>-4.0999999999999996</v>
      </c>
      <c r="D53" s="17">
        <v>28.1</v>
      </c>
      <c r="E53" s="17">
        <v>17.100000000000001</v>
      </c>
      <c r="F53" s="17">
        <v>0</v>
      </c>
      <c r="G53" s="17">
        <v>0</v>
      </c>
      <c r="H53" s="17">
        <v>-10.4</v>
      </c>
      <c r="I53" s="17">
        <v>14.7</v>
      </c>
      <c r="J53" s="17"/>
      <c r="K53" s="17">
        <v>0</v>
      </c>
      <c r="L53" s="17">
        <v>3.1</v>
      </c>
      <c r="M53" s="17">
        <v>0</v>
      </c>
      <c r="N53" s="17">
        <v>10.8</v>
      </c>
      <c r="O53" s="17">
        <v>32.299999999999997</v>
      </c>
      <c r="P53" s="17">
        <v>-9.1</v>
      </c>
      <c r="Q53" s="17">
        <v>17</v>
      </c>
      <c r="R53" s="17">
        <v>80.8</v>
      </c>
      <c r="S53" s="17"/>
      <c r="T53" s="17"/>
      <c r="U53" s="17"/>
      <c r="V53" s="17"/>
      <c r="W53" s="17">
        <v>6.3</v>
      </c>
      <c r="X53" s="17">
        <v>1.6</v>
      </c>
      <c r="Y53" s="17">
        <v>1.1000000000000001</v>
      </c>
      <c r="Z53" s="17">
        <v>0</v>
      </c>
      <c r="AA53" s="17">
        <v>-3.2</v>
      </c>
      <c r="AB53" s="17">
        <v>15.1</v>
      </c>
      <c r="AC53" s="17"/>
      <c r="AD53" s="17"/>
      <c r="AE53" s="17"/>
      <c r="AF53" s="17"/>
      <c r="AG53" s="17">
        <v>1.5</v>
      </c>
      <c r="AH53" s="17">
        <v>18.7</v>
      </c>
      <c r="AI53" s="17"/>
      <c r="AJ53" s="17">
        <v>0</v>
      </c>
      <c r="AK53" s="17"/>
      <c r="AL53" s="17">
        <v>-1.4</v>
      </c>
      <c r="AM53" s="17">
        <v>-12.9</v>
      </c>
      <c r="AN53" s="17">
        <v>5.4</v>
      </c>
      <c r="AO53" s="17">
        <v>25.3</v>
      </c>
      <c r="AP53" s="17">
        <v>9.9</v>
      </c>
      <c r="AQ53" s="17">
        <v>0.2</v>
      </c>
      <c r="AR53" s="17">
        <v>2.6</v>
      </c>
      <c r="AS53" s="17">
        <v>1</v>
      </c>
      <c r="AT53" s="17">
        <v>35.5</v>
      </c>
      <c r="AU53" s="17">
        <v>26.4</v>
      </c>
      <c r="AV53" s="17">
        <v>-39.4</v>
      </c>
      <c r="AW53" s="17">
        <v>3.2</v>
      </c>
      <c r="AX53" s="17">
        <v>-1.7</v>
      </c>
      <c r="AY53" s="17">
        <v>4.3</v>
      </c>
      <c r="AZ53" s="17">
        <v>1</v>
      </c>
      <c r="BA53" s="17">
        <v>0.3</v>
      </c>
      <c r="BB53" s="17">
        <v>0.7</v>
      </c>
      <c r="BC53" s="17"/>
      <c r="BD53" s="17"/>
      <c r="BE53" s="17">
        <v>2.2000000000000002</v>
      </c>
      <c r="BF53" s="17">
        <v>2.4</v>
      </c>
      <c r="BG53" s="17"/>
      <c r="BH53" s="17">
        <v>0</v>
      </c>
      <c r="BI53" s="17"/>
      <c r="BJ53" s="17"/>
      <c r="BK53" s="17"/>
      <c r="BL53" s="17">
        <v>5.8155099999999997</v>
      </c>
      <c r="BM53" s="17">
        <v>0</v>
      </c>
      <c r="BN53" s="17">
        <v>0</v>
      </c>
      <c r="BO53" s="17">
        <v>0</v>
      </c>
      <c r="BP53" s="17">
        <v>23.9</v>
      </c>
      <c r="BQ53" s="17">
        <v>0</v>
      </c>
      <c r="BR53" s="17"/>
      <c r="BS53" s="17"/>
      <c r="BT53" s="17"/>
      <c r="BU53" s="17"/>
      <c r="BV53" s="17">
        <v>-2.6</v>
      </c>
      <c r="BW53" s="17"/>
      <c r="BX53" s="17"/>
      <c r="BY53" s="17">
        <v>-0.4</v>
      </c>
      <c r="BZ53" s="17">
        <v>33.6</v>
      </c>
      <c r="CA53" s="17">
        <v>15</v>
      </c>
      <c r="CB53" s="17">
        <v>6.1</v>
      </c>
      <c r="CC53" s="17">
        <v>10.3</v>
      </c>
      <c r="CD53" s="17">
        <v>4</v>
      </c>
      <c r="CE53" s="17">
        <v>0</v>
      </c>
      <c r="CF53" s="17"/>
      <c r="CG53" s="17"/>
      <c r="CH53" s="17">
        <v>12.4</v>
      </c>
      <c r="CI53" s="17">
        <v>14.8</v>
      </c>
      <c r="CJ53" s="17">
        <v>-18.600000000000001</v>
      </c>
      <c r="CK53" s="17">
        <v>-26.5</v>
      </c>
      <c r="CL53" s="17"/>
      <c r="CM53" s="17"/>
      <c r="CN53" s="17"/>
      <c r="CO53" s="17"/>
      <c r="CP53" s="17">
        <v>20.3</v>
      </c>
      <c r="CQ53" s="17">
        <v>5.6</v>
      </c>
      <c r="CR53" s="17">
        <v>-3</v>
      </c>
      <c r="CS53" s="17">
        <v>0.3</v>
      </c>
      <c r="CT53" s="17">
        <v>0.7</v>
      </c>
      <c r="CU53" s="17"/>
      <c r="CV53" s="17">
        <v>-4.3</v>
      </c>
      <c r="CW53" s="17">
        <v>0</v>
      </c>
      <c r="CX53" s="17"/>
      <c r="CY53" s="17"/>
      <c r="CZ53" s="17">
        <v>0</v>
      </c>
      <c r="DA53" s="17">
        <v>-0.1</v>
      </c>
      <c r="DB53" s="17">
        <v>-1</v>
      </c>
      <c r="DC53" s="17">
        <v>0</v>
      </c>
      <c r="DD53" s="17"/>
      <c r="DE53" s="17"/>
      <c r="DF53" s="17">
        <v>0</v>
      </c>
      <c r="DG53" s="17">
        <v>0.7</v>
      </c>
      <c r="DH53" s="17">
        <v>0.2</v>
      </c>
      <c r="DI53" s="17">
        <v>0.5</v>
      </c>
      <c r="DJ53" s="17">
        <v>0.1</v>
      </c>
      <c r="DK53" s="17"/>
      <c r="DL53" s="17"/>
      <c r="DM53" s="17">
        <v>0</v>
      </c>
      <c r="DN53" s="17">
        <v>0</v>
      </c>
      <c r="DO53" s="17">
        <v>-4.4000000000000004</v>
      </c>
      <c r="DP53" s="17">
        <v>-5.3</v>
      </c>
      <c r="DQ53" s="17">
        <v>0</v>
      </c>
      <c r="DR53" s="17">
        <v>0</v>
      </c>
      <c r="DS53" s="17">
        <v>0.3</v>
      </c>
      <c r="DT53" s="17">
        <v>0.2</v>
      </c>
      <c r="DU53" s="17"/>
      <c r="DV53" s="17"/>
      <c r="DW53" s="17">
        <v>-1.8</v>
      </c>
      <c r="DX53" s="17">
        <v>0.1</v>
      </c>
      <c r="DY53" s="17">
        <v>0.5</v>
      </c>
      <c r="DZ53" s="17">
        <v>0.7</v>
      </c>
      <c r="EA53" s="17">
        <v>0.8</v>
      </c>
      <c r="EB53" s="17">
        <v>3.7</v>
      </c>
      <c r="EC53" s="17">
        <v>0</v>
      </c>
      <c r="ED53" s="17">
        <v>-7</v>
      </c>
      <c r="EE53" s="17">
        <v>-7.8</v>
      </c>
      <c r="EF53" s="17"/>
      <c r="EG53" s="17"/>
      <c r="EH53" s="17"/>
      <c r="EI53" s="17">
        <v>1.5</v>
      </c>
      <c r="EJ53" s="17">
        <v>0.2</v>
      </c>
      <c r="EK53" s="17">
        <v>1.1000000000000001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-3.1</v>
      </c>
      <c r="EU53" s="17">
        <v>-0.1</v>
      </c>
      <c r="EV53" s="17">
        <v>0</v>
      </c>
      <c r="EW53" s="17"/>
      <c r="EX53" s="17">
        <v>0.6</v>
      </c>
      <c r="EY53" s="17"/>
      <c r="EZ53" s="17"/>
      <c r="FA53" s="17">
        <v>0</v>
      </c>
      <c r="FB53" s="17">
        <v>0.4</v>
      </c>
      <c r="FC53" s="17">
        <v>1.2</v>
      </c>
      <c r="FD53" s="17">
        <v>0.9</v>
      </c>
      <c r="FE53" s="17">
        <v>2.2000000000000002</v>
      </c>
      <c r="FF53" s="17">
        <v>0.2</v>
      </c>
      <c r="FG53" s="17"/>
      <c r="FH53" s="17">
        <v>4</v>
      </c>
      <c r="FI53" s="17"/>
      <c r="FJ53" s="17"/>
      <c r="FK53" s="17">
        <v>3.7</v>
      </c>
      <c r="FL53" s="17"/>
      <c r="FM53" s="17">
        <v>377.41550999999998</v>
      </c>
      <c r="FN53" s="15"/>
      <c r="FO53" s="17">
        <v>-0.498</v>
      </c>
      <c r="FP53" s="17">
        <v>1.2798499999999999</v>
      </c>
      <c r="FQ53" s="17">
        <v>0.32305</v>
      </c>
      <c r="FR53" s="17">
        <v>0.26790999999999998</v>
      </c>
      <c r="FS53" s="17">
        <v>-1.5</v>
      </c>
      <c r="FT53" s="17">
        <v>0.2</v>
      </c>
      <c r="FU53" s="17">
        <v>7.281E-2</v>
      </c>
    </row>
    <row r="54" spans="1:177" ht="24" customHeight="1" x14ac:dyDescent="0.3">
      <c r="A54" s="16" t="s">
        <v>67</v>
      </c>
      <c r="B54" s="16" t="s">
        <v>851</v>
      </c>
      <c r="C54" s="17">
        <v>-4.8</v>
      </c>
      <c r="D54" s="17">
        <v>25.6</v>
      </c>
      <c r="E54" s="17">
        <v>16.899999999999999</v>
      </c>
      <c r="F54" s="17">
        <v>0</v>
      </c>
      <c r="G54" s="17">
        <v>0</v>
      </c>
      <c r="H54" s="17">
        <v>-11.6</v>
      </c>
      <c r="I54" s="17">
        <v>9.5</v>
      </c>
      <c r="J54" s="17"/>
      <c r="K54" s="17">
        <v>1.8</v>
      </c>
      <c r="L54" s="17">
        <v>2</v>
      </c>
      <c r="M54" s="17">
        <v>0</v>
      </c>
      <c r="N54" s="17">
        <v>11</v>
      </c>
      <c r="O54" s="17">
        <v>32.5</v>
      </c>
      <c r="P54" s="17">
        <v>-9.6999999999999993</v>
      </c>
      <c r="Q54" s="17">
        <v>16.600000000000001</v>
      </c>
      <c r="R54" s="17">
        <v>77.8</v>
      </c>
      <c r="S54" s="17"/>
      <c r="T54" s="17"/>
      <c r="U54" s="17"/>
      <c r="V54" s="17"/>
      <c r="W54" s="17">
        <v>3.2</v>
      </c>
      <c r="X54" s="17">
        <v>1.5</v>
      </c>
      <c r="Y54" s="17">
        <v>0.9</v>
      </c>
      <c r="Z54" s="17">
        <v>0</v>
      </c>
      <c r="AA54" s="17">
        <v>-3.3</v>
      </c>
      <c r="AB54" s="17">
        <v>13.9</v>
      </c>
      <c r="AC54" s="17"/>
      <c r="AD54" s="17"/>
      <c r="AE54" s="17"/>
      <c r="AF54" s="17"/>
      <c r="AG54" s="17">
        <v>7.7</v>
      </c>
      <c r="AH54" s="17">
        <v>19</v>
      </c>
      <c r="AI54" s="17"/>
      <c r="AJ54" s="17">
        <v>0</v>
      </c>
      <c r="AK54" s="17"/>
      <c r="AL54" s="17">
        <v>-1.3</v>
      </c>
      <c r="AM54" s="17">
        <v>-9.1</v>
      </c>
      <c r="AN54" s="17">
        <v>5.9</v>
      </c>
      <c r="AO54" s="17">
        <v>25</v>
      </c>
      <c r="AP54" s="17">
        <v>9.9</v>
      </c>
      <c r="AQ54" s="17">
        <v>0.1</v>
      </c>
      <c r="AR54" s="17">
        <v>2.6</v>
      </c>
      <c r="AS54" s="17">
        <v>0.7</v>
      </c>
      <c r="AT54" s="17">
        <v>33.799999999999997</v>
      </c>
      <c r="AU54" s="17">
        <v>24.8</v>
      </c>
      <c r="AV54" s="17">
        <v>-41.1</v>
      </c>
      <c r="AW54" s="17">
        <v>4</v>
      </c>
      <c r="AX54" s="17">
        <v>-1.1000000000000001</v>
      </c>
      <c r="AY54" s="17">
        <v>0</v>
      </c>
      <c r="AZ54" s="17">
        <v>1</v>
      </c>
      <c r="BA54" s="17">
        <v>0.2</v>
      </c>
      <c r="BB54" s="17">
        <v>-1.2</v>
      </c>
      <c r="BC54" s="17"/>
      <c r="BD54" s="17"/>
      <c r="BE54" s="17">
        <v>4.3</v>
      </c>
      <c r="BF54" s="17">
        <v>1.1000000000000001</v>
      </c>
      <c r="BG54" s="17"/>
      <c r="BH54" s="17">
        <v>0</v>
      </c>
      <c r="BI54" s="17"/>
      <c r="BJ54" s="17"/>
      <c r="BK54" s="17"/>
      <c r="BL54" s="17">
        <v>5.48149</v>
      </c>
      <c r="BM54" s="17">
        <v>0</v>
      </c>
      <c r="BN54" s="17">
        <v>0</v>
      </c>
      <c r="BO54" s="17">
        <v>0</v>
      </c>
      <c r="BP54" s="17">
        <v>22.9</v>
      </c>
      <c r="BQ54" s="17">
        <v>0</v>
      </c>
      <c r="BR54" s="17"/>
      <c r="BS54" s="17"/>
      <c r="BT54" s="17"/>
      <c r="BU54" s="17"/>
      <c r="BV54" s="17">
        <v>-1.6</v>
      </c>
      <c r="BW54" s="17"/>
      <c r="BX54" s="17"/>
      <c r="BY54" s="17">
        <v>-0.5</v>
      </c>
      <c r="BZ54" s="17">
        <v>36.799999999999997</v>
      </c>
      <c r="CA54" s="17">
        <v>14.6</v>
      </c>
      <c r="CB54" s="17">
        <v>6.1</v>
      </c>
      <c r="CC54" s="17">
        <v>10.3</v>
      </c>
      <c r="CD54" s="17">
        <v>4</v>
      </c>
      <c r="CE54" s="17">
        <v>0</v>
      </c>
      <c r="CF54" s="17"/>
      <c r="CG54" s="17"/>
      <c r="CH54" s="17">
        <v>20.100000000000001</v>
      </c>
      <c r="CI54" s="17">
        <v>22.6</v>
      </c>
      <c r="CJ54" s="17">
        <v>-7.6</v>
      </c>
      <c r="CK54" s="17">
        <v>-13.6</v>
      </c>
      <c r="CL54" s="17"/>
      <c r="CM54" s="17"/>
      <c r="CN54" s="17"/>
      <c r="CO54" s="17"/>
      <c r="CP54" s="17">
        <v>22.7</v>
      </c>
      <c r="CQ54" s="17">
        <v>7</v>
      </c>
      <c r="CR54" s="17">
        <v>-2.8</v>
      </c>
      <c r="CS54" s="17">
        <v>0.4</v>
      </c>
      <c r="CT54" s="17">
        <v>0.6</v>
      </c>
      <c r="CU54" s="17"/>
      <c r="CV54" s="17">
        <v>-4.7</v>
      </c>
      <c r="CW54" s="17">
        <v>0</v>
      </c>
      <c r="CX54" s="17"/>
      <c r="CY54" s="17"/>
      <c r="CZ54" s="17">
        <v>0.1</v>
      </c>
      <c r="DA54" s="17">
        <v>0</v>
      </c>
      <c r="DB54" s="17">
        <v>-1</v>
      </c>
      <c r="DC54" s="17">
        <v>0</v>
      </c>
      <c r="DD54" s="17"/>
      <c r="DE54" s="17"/>
      <c r="DF54" s="17">
        <v>0.2</v>
      </c>
      <c r="DG54" s="17">
        <v>0.7</v>
      </c>
      <c r="DH54" s="17">
        <v>0.2</v>
      </c>
      <c r="DI54" s="17">
        <v>0.4</v>
      </c>
      <c r="DJ54" s="17">
        <v>0</v>
      </c>
      <c r="DK54" s="17"/>
      <c r="DL54" s="17"/>
      <c r="DM54" s="17">
        <v>0</v>
      </c>
      <c r="DN54" s="17">
        <v>0</v>
      </c>
      <c r="DO54" s="17">
        <v>-4.2</v>
      </c>
      <c r="DP54" s="17">
        <v>-5</v>
      </c>
      <c r="DQ54" s="17">
        <v>0</v>
      </c>
      <c r="DR54" s="17">
        <v>0</v>
      </c>
      <c r="DS54" s="17">
        <v>0.4</v>
      </c>
      <c r="DT54" s="17">
        <v>0.2</v>
      </c>
      <c r="DU54" s="17"/>
      <c r="DV54" s="17"/>
      <c r="DW54" s="17">
        <v>-1.8</v>
      </c>
      <c r="DX54" s="17">
        <v>0</v>
      </c>
      <c r="DY54" s="17">
        <v>0.6</v>
      </c>
      <c r="DZ54" s="17">
        <v>0.6</v>
      </c>
      <c r="EA54" s="17">
        <v>0.8</v>
      </c>
      <c r="EB54" s="17">
        <v>3.7</v>
      </c>
      <c r="EC54" s="17">
        <v>0</v>
      </c>
      <c r="ED54" s="17">
        <v>-6.7</v>
      </c>
      <c r="EE54" s="17">
        <v>-7.7</v>
      </c>
      <c r="EF54" s="17"/>
      <c r="EG54" s="17"/>
      <c r="EH54" s="17"/>
      <c r="EI54" s="17">
        <v>1.4</v>
      </c>
      <c r="EJ54" s="17">
        <v>0.1</v>
      </c>
      <c r="EK54" s="17">
        <v>1.1000000000000001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-4.5</v>
      </c>
      <c r="EU54" s="17">
        <v>0</v>
      </c>
      <c r="EV54" s="17">
        <v>0</v>
      </c>
      <c r="EW54" s="17"/>
      <c r="EX54" s="17">
        <v>0.6</v>
      </c>
      <c r="EY54" s="17"/>
      <c r="EZ54" s="17"/>
      <c r="FA54" s="17">
        <v>0</v>
      </c>
      <c r="FB54" s="17">
        <v>0.4</v>
      </c>
      <c r="FC54" s="17">
        <v>1.6</v>
      </c>
      <c r="FD54" s="17">
        <v>1.3</v>
      </c>
      <c r="FE54" s="17">
        <v>2.2999999999999998</v>
      </c>
      <c r="FF54" s="17">
        <v>0.2</v>
      </c>
      <c r="FG54" s="17"/>
      <c r="FH54" s="17">
        <v>3.2</v>
      </c>
      <c r="FI54" s="17"/>
      <c r="FJ54" s="17"/>
      <c r="FK54" s="17">
        <v>3.9</v>
      </c>
      <c r="FL54" s="17"/>
      <c r="FM54" s="17">
        <v>406.38148999999999</v>
      </c>
      <c r="FN54" s="15"/>
      <c r="FO54" s="17">
        <v>0.36499999999999999</v>
      </c>
      <c r="FP54" s="17">
        <v>1.25962</v>
      </c>
      <c r="FQ54" s="17">
        <v>0.32621</v>
      </c>
      <c r="FR54" s="17">
        <v>0.28725000000000001</v>
      </c>
      <c r="FS54" s="17">
        <v>-1.5</v>
      </c>
      <c r="FT54" s="17">
        <v>0</v>
      </c>
      <c r="FU54" s="17">
        <v>0.73807999999999996</v>
      </c>
    </row>
    <row r="55" spans="1:177" ht="24" customHeight="1" x14ac:dyDescent="0.3">
      <c r="A55" s="16" t="s">
        <v>67</v>
      </c>
      <c r="B55" s="16" t="s">
        <v>852</v>
      </c>
      <c r="C55" s="17">
        <v>-5.4</v>
      </c>
      <c r="D55" s="17">
        <v>9.6999999999999993</v>
      </c>
      <c r="E55" s="17">
        <v>14</v>
      </c>
      <c r="F55" s="17">
        <v>0</v>
      </c>
      <c r="G55" s="17">
        <v>0</v>
      </c>
      <c r="H55" s="17">
        <v>-10.199999999999999</v>
      </c>
      <c r="I55" s="17">
        <v>18.899999999999999</v>
      </c>
      <c r="J55" s="17"/>
      <c r="K55" s="17">
        <v>6.3</v>
      </c>
      <c r="L55" s="17">
        <v>-1.9</v>
      </c>
      <c r="M55" s="17">
        <v>0</v>
      </c>
      <c r="N55" s="17">
        <v>7.6</v>
      </c>
      <c r="O55" s="17">
        <v>27.8</v>
      </c>
      <c r="P55" s="17">
        <v>-14.2</v>
      </c>
      <c r="Q55" s="17">
        <v>13.4</v>
      </c>
      <c r="R55" s="17">
        <v>70.099999999999994</v>
      </c>
      <c r="S55" s="17"/>
      <c r="T55" s="17"/>
      <c r="U55" s="17"/>
      <c r="V55" s="17"/>
      <c r="W55" s="17">
        <v>-6.9</v>
      </c>
      <c r="X55" s="17">
        <v>1.4</v>
      </c>
      <c r="Y55" s="17">
        <v>0.6</v>
      </c>
      <c r="Z55" s="17">
        <v>0</v>
      </c>
      <c r="AA55" s="17">
        <v>-3.3</v>
      </c>
      <c r="AB55" s="17">
        <v>9.4</v>
      </c>
      <c r="AC55" s="17"/>
      <c r="AD55" s="17"/>
      <c r="AE55" s="17"/>
      <c r="AF55" s="17"/>
      <c r="AG55" s="17">
        <v>6.1</v>
      </c>
      <c r="AH55" s="17">
        <v>8</v>
      </c>
      <c r="AI55" s="17"/>
      <c r="AJ55" s="17">
        <v>0</v>
      </c>
      <c r="AK55" s="17"/>
      <c r="AL55" s="17">
        <v>-1.1000000000000001</v>
      </c>
      <c r="AM55" s="17">
        <v>-9.9</v>
      </c>
      <c r="AN55" s="17">
        <v>5.7</v>
      </c>
      <c r="AO55" s="17">
        <v>24.6</v>
      </c>
      <c r="AP55" s="17">
        <v>9.5</v>
      </c>
      <c r="AQ55" s="17">
        <v>-0.2</v>
      </c>
      <c r="AR55" s="17">
        <v>2.6</v>
      </c>
      <c r="AS55" s="17">
        <v>1.8</v>
      </c>
      <c r="AT55" s="17">
        <v>27.2</v>
      </c>
      <c r="AU55" s="17">
        <v>18.2</v>
      </c>
      <c r="AV55" s="17">
        <v>-47.5</v>
      </c>
      <c r="AW55" s="17">
        <v>3.4</v>
      </c>
      <c r="AX55" s="17">
        <v>-0.4</v>
      </c>
      <c r="AY55" s="17">
        <v>1.5</v>
      </c>
      <c r="AZ55" s="17">
        <v>1</v>
      </c>
      <c r="BA55" s="17">
        <v>0.3</v>
      </c>
      <c r="BB55" s="17">
        <v>-0.1</v>
      </c>
      <c r="BC55" s="17"/>
      <c r="BD55" s="17"/>
      <c r="BE55" s="17">
        <v>6.1</v>
      </c>
      <c r="BF55" s="17">
        <v>3.9</v>
      </c>
      <c r="BG55" s="17"/>
      <c r="BH55" s="17">
        <v>0</v>
      </c>
      <c r="BI55" s="17"/>
      <c r="BJ55" s="17"/>
      <c r="BK55" s="17"/>
      <c r="BL55" s="17">
        <v>2.8836200000000001</v>
      </c>
      <c r="BM55" s="17">
        <v>0</v>
      </c>
      <c r="BN55" s="17">
        <v>0</v>
      </c>
      <c r="BO55" s="17">
        <v>0</v>
      </c>
      <c r="BP55" s="17">
        <v>15.9</v>
      </c>
      <c r="BQ55" s="17">
        <v>0</v>
      </c>
      <c r="BR55" s="17"/>
      <c r="BS55" s="17"/>
      <c r="BT55" s="17"/>
      <c r="BU55" s="17"/>
      <c r="BV55" s="17">
        <v>2.2000000000000002</v>
      </c>
      <c r="BW55" s="17"/>
      <c r="BX55" s="17"/>
      <c r="BY55" s="17">
        <v>-0.4</v>
      </c>
      <c r="BZ55" s="17">
        <v>33.6</v>
      </c>
      <c r="CA55" s="17">
        <v>14</v>
      </c>
      <c r="CB55" s="17">
        <v>5.0999999999999996</v>
      </c>
      <c r="CC55" s="17">
        <v>13</v>
      </c>
      <c r="CD55" s="17">
        <v>3.9</v>
      </c>
      <c r="CE55" s="17">
        <v>0</v>
      </c>
      <c r="CF55" s="17"/>
      <c r="CG55" s="17"/>
      <c r="CH55" s="17">
        <v>22.5</v>
      </c>
      <c r="CI55" s="17">
        <v>24.8</v>
      </c>
      <c r="CJ55" s="17">
        <v>-4</v>
      </c>
      <c r="CK55" s="17">
        <v>-21</v>
      </c>
      <c r="CL55" s="17"/>
      <c r="CM55" s="17"/>
      <c r="CN55" s="17"/>
      <c r="CO55" s="17"/>
      <c r="CP55" s="17">
        <v>16.399999999999999</v>
      </c>
      <c r="CQ55" s="17">
        <v>3.3</v>
      </c>
      <c r="CR55" s="17">
        <v>-3</v>
      </c>
      <c r="CS55" s="17">
        <v>0.3</v>
      </c>
      <c r="CT55" s="17">
        <v>0.6</v>
      </c>
      <c r="CU55" s="17"/>
      <c r="CV55" s="17">
        <v>-5.0999999999999996</v>
      </c>
      <c r="CW55" s="17">
        <v>0</v>
      </c>
      <c r="CX55" s="17"/>
      <c r="CY55" s="17"/>
      <c r="CZ55" s="17">
        <v>0</v>
      </c>
      <c r="DA55" s="17">
        <v>-0.1</v>
      </c>
      <c r="DB55" s="17">
        <v>-0.9</v>
      </c>
      <c r="DC55" s="17">
        <v>0</v>
      </c>
      <c r="DD55" s="17"/>
      <c r="DE55" s="17"/>
      <c r="DF55" s="17">
        <v>0.2</v>
      </c>
      <c r="DG55" s="17">
        <v>0.7</v>
      </c>
      <c r="DH55" s="17">
        <v>0.2</v>
      </c>
      <c r="DI55" s="17">
        <v>0.7</v>
      </c>
      <c r="DJ55" s="17">
        <v>0</v>
      </c>
      <c r="DK55" s="17"/>
      <c r="DL55" s="17"/>
      <c r="DM55" s="17">
        <v>0</v>
      </c>
      <c r="DN55" s="17">
        <v>0</v>
      </c>
      <c r="DO55" s="17">
        <v>-4.4000000000000004</v>
      </c>
      <c r="DP55" s="17">
        <v>-5.4</v>
      </c>
      <c r="DQ55" s="17">
        <v>0</v>
      </c>
      <c r="DR55" s="17">
        <v>0.2</v>
      </c>
      <c r="DS55" s="17">
        <v>0.3</v>
      </c>
      <c r="DT55" s="17">
        <v>0.2</v>
      </c>
      <c r="DU55" s="17"/>
      <c r="DV55" s="17"/>
      <c r="DW55" s="17">
        <v>-1.8</v>
      </c>
      <c r="DX55" s="17">
        <v>0.1</v>
      </c>
      <c r="DY55" s="17">
        <v>0.6</v>
      </c>
      <c r="DZ55" s="17">
        <v>0.7</v>
      </c>
      <c r="EA55" s="17">
        <v>0.8</v>
      </c>
      <c r="EB55" s="17">
        <v>3.7</v>
      </c>
      <c r="EC55" s="17">
        <v>0</v>
      </c>
      <c r="ED55" s="17">
        <v>-8.4</v>
      </c>
      <c r="EE55" s="17">
        <v>-9.8000000000000007</v>
      </c>
      <c r="EF55" s="17"/>
      <c r="EG55" s="17"/>
      <c r="EH55" s="17"/>
      <c r="EI55" s="17">
        <v>1.5</v>
      </c>
      <c r="EJ55" s="17">
        <v>0.2</v>
      </c>
      <c r="EK55" s="17">
        <v>1.1000000000000001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-7.4</v>
      </c>
      <c r="EU55" s="17">
        <v>-0.3</v>
      </c>
      <c r="EV55" s="17">
        <v>0</v>
      </c>
      <c r="EW55" s="17"/>
      <c r="EX55" s="17">
        <v>0.6</v>
      </c>
      <c r="EY55" s="17"/>
      <c r="EZ55" s="17"/>
      <c r="FA55" s="17">
        <v>0</v>
      </c>
      <c r="FB55" s="17">
        <v>0.4</v>
      </c>
      <c r="FC55" s="17">
        <v>1.6</v>
      </c>
      <c r="FD55" s="17">
        <v>1.3</v>
      </c>
      <c r="FE55" s="17">
        <v>2.4</v>
      </c>
      <c r="FF55" s="17">
        <v>0.1</v>
      </c>
      <c r="FG55" s="17"/>
      <c r="FH55" s="17">
        <v>3.6</v>
      </c>
      <c r="FI55" s="17"/>
      <c r="FJ55" s="17"/>
      <c r="FK55" s="17">
        <v>3.7</v>
      </c>
      <c r="FL55" s="17"/>
      <c r="FM55" s="17">
        <v>309.78361999999998</v>
      </c>
      <c r="FN55" s="15"/>
      <c r="FO55" s="17">
        <v>6.6000000000000003E-2</v>
      </c>
      <c r="FP55" s="17">
        <v>1.2861899999999999</v>
      </c>
      <c r="FQ55" s="17">
        <v>0.31634000000000001</v>
      </c>
      <c r="FR55" s="17">
        <v>0.28397</v>
      </c>
      <c r="FS55" s="17">
        <v>-1</v>
      </c>
      <c r="FT55" s="17">
        <v>0</v>
      </c>
      <c r="FU55" s="17">
        <v>0.95250000000000001</v>
      </c>
    </row>
    <row r="56" spans="1:177" ht="24" customHeight="1" x14ac:dyDescent="0.3">
      <c r="A56" s="16" t="s">
        <v>67</v>
      </c>
      <c r="B56" s="16" t="s">
        <v>853</v>
      </c>
      <c r="C56" s="17">
        <v>-7.1</v>
      </c>
      <c r="D56" s="17">
        <v>-6.5</v>
      </c>
      <c r="E56" s="17">
        <v>11</v>
      </c>
      <c r="F56" s="17">
        <v>0</v>
      </c>
      <c r="G56" s="17">
        <v>0</v>
      </c>
      <c r="H56" s="17">
        <v>-12.2</v>
      </c>
      <c r="I56" s="17">
        <v>12.3</v>
      </c>
      <c r="J56" s="17"/>
      <c r="K56" s="17">
        <v>5.6</v>
      </c>
      <c r="L56" s="17">
        <v>-3.1</v>
      </c>
      <c r="M56" s="17">
        <v>0</v>
      </c>
      <c r="N56" s="17">
        <v>5.9</v>
      </c>
      <c r="O56" s="17">
        <v>26.7</v>
      </c>
      <c r="P56" s="17">
        <v>-15.2</v>
      </c>
      <c r="Q56" s="17">
        <v>12.7</v>
      </c>
      <c r="R56" s="17">
        <v>40.299999999999997</v>
      </c>
      <c r="S56" s="17"/>
      <c r="T56" s="17"/>
      <c r="U56" s="17"/>
      <c r="V56" s="17"/>
      <c r="W56" s="17">
        <v>-11.7</v>
      </c>
      <c r="X56" s="17">
        <v>0.8</v>
      </c>
      <c r="Y56" s="17">
        <v>0</v>
      </c>
      <c r="Z56" s="17">
        <v>0</v>
      </c>
      <c r="AA56" s="17">
        <v>-3.3</v>
      </c>
      <c r="AB56" s="17">
        <v>5.2</v>
      </c>
      <c r="AC56" s="17"/>
      <c r="AD56" s="17"/>
      <c r="AE56" s="17"/>
      <c r="AF56" s="17"/>
      <c r="AG56" s="17">
        <v>5.2</v>
      </c>
      <c r="AH56" s="17">
        <v>6.9</v>
      </c>
      <c r="AI56" s="17"/>
      <c r="AJ56" s="17">
        <v>0</v>
      </c>
      <c r="AK56" s="17"/>
      <c r="AL56" s="17">
        <v>-1.2</v>
      </c>
      <c r="AM56" s="17">
        <v>-10.199999999999999</v>
      </c>
      <c r="AN56" s="17">
        <v>5.8</v>
      </c>
      <c r="AO56" s="17">
        <v>25.2</v>
      </c>
      <c r="AP56" s="17">
        <v>9.9</v>
      </c>
      <c r="AQ56" s="17">
        <v>0</v>
      </c>
      <c r="AR56" s="17">
        <v>2.6</v>
      </c>
      <c r="AS56" s="17">
        <v>1.7</v>
      </c>
      <c r="AT56" s="17">
        <v>23.7</v>
      </c>
      <c r="AU56" s="17">
        <v>14.7</v>
      </c>
      <c r="AV56" s="17">
        <v>-46.4</v>
      </c>
      <c r="AW56" s="17">
        <v>4.0999999999999996</v>
      </c>
      <c r="AX56" s="17">
        <v>-0.5</v>
      </c>
      <c r="AY56" s="17">
        <v>1.5</v>
      </c>
      <c r="AZ56" s="17">
        <v>1</v>
      </c>
      <c r="BA56" s="17">
        <v>0.2</v>
      </c>
      <c r="BB56" s="17">
        <v>3.6</v>
      </c>
      <c r="BC56" s="17"/>
      <c r="BD56" s="17"/>
      <c r="BE56" s="17">
        <v>3.9</v>
      </c>
      <c r="BF56" s="17">
        <v>0</v>
      </c>
      <c r="BG56" s="17"/>
      <c r="BH56" s="17">
        <v>0</v>
      </c>
      <c r="BI56" s="17"/>
      <c r="BJ56" s="17"/>
      <c r="BK56" s="17"/>
      <c r="BL56" s="17">
        <v>2.81473</v>
      </c>
      <c r="BM56" s="17">
        <v>0</v>
      </c>
      <c r="BN56" s="17">
        <v>0</v>
      </c>
      <c r="BO56" s="17">
        <v>0</v>
      </c>
      <c r="BP56" s="17">
        <v>16.7</v>
      </c>
      <c r="BQ56" s="17">
        <v>0</v>
      </c>
      <c r="BR56" s="17"/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33.9</v>
      </c>
      <c r="CA56" s="17">
        <v>14.6</v>
      </c>
      <c r="CB56" s="17">
        <v>5.8</v>
      </c>
      <c r="CC56" s="17">
        <v>10.3</v>
      </c>
      <c r="CD56" s="17">
        <v>4</v>
      </c>
      <c r="CE56" s="17">
        <v>0</v>
      </c>
      <c r="CF56" s="17"/>
      <c r="CG56" s="17"/>
      <c r="CH56" s="17">
        <v>17.5</v>
      </c>
      <c r="CI56" s="17">
        <v>19.899999999999999</v>
      </c>
      <c r="CJ56" s="17">
        <v>-11.4</v>
      </c>
      <c r="CK56" s="17">
        <v>0</v>
      </c>
      <c r="CL56" s="17"/>
      <c r="CM56" s="17"/>
      <c r="CN56" s="17"/>
      <c r="CO56" s="17"/>
      <c r="CP56" s="17">
        <v>12.2</v>
      </c>
      <c r="CQ56" s="17">
        <v>0.8</v>
      </c>
      <c r="CR56" s="17">
        <v>-3</v>
      </c>
      <c r="CS56" s="17">
        <v>0.4</v>
      </c>
      <c r="CT56" s="17">
        <v>0.7</v>
      </c>
      <c r="CU56" s="17"/>
      <c r="CV56" s="17">
        <v>-5.3</v>
      </c>
      <c r="CW56" s="17">
        <v>0</v>
      </c>
      <c r="CX56" s="17"/>
      <c r="CY56" s="17"/>
      <c r="CZ56" s="17">
        <v>0.1</v>
      </c>
      <c r="DA56" s="17">
        <v>0</v>
      </c>
      <c r="DB56" s="17">
        <v>0</v>
      </c>
      <c r="DC56" s="17">
        <v>0</v>
      </c>
      <c r="DD56" s="17"/>
      <c r="DE56" s="17"/>
      <c r="DF56" s="17">
        <v>0.2</v>
      </c>
      <c r="DG56" s="17">
        <v>0.7</v>
      </c>
      <c r="DH56" s="17">
        <v>0.2</v>
      </c>
      <c r="DI56" s="17">
        <v>0.6</v>
      </c>
      <c r="DJ56" s="17">
        <v>0.1</v>
      </c>
      <c r="DK56" s="17"/>
      <c r="DL56" s="17"/>
      <c r="DM56" s="17">
        <v>0</v>
      </c>
      <c r="DN56" s="17">
        <v>0</v>
      </c>
      <c r="DO56" s="17">
        <v>-5</v>
      </c>
      <c r="DP56" s="17">
        <v>-7.4</v>
      </c>
      <c r="DQ56" s="17">
        <v>0</v>
      </c>
      <c r="DR56" s="17">
        <v>0.2</v>
      </c>
      <c r="DS56" s="17">
        <v>0.2</v>
      </c>
      <c r="DT56" s="17">
        <v>0.2</v>
      </c>
      <c r="DU56" s="17"/>
      <c r="DV56" s="17"/>
      <c r="DW56" s="17">
        <v>-1.7</v>
      </c>
      <c r="DX56" s="17">
        <v>0.3</v>
      </c>
      <c r="DY56" s="17">
        <v>0.6</v>
      </c>
      <c r="DZ56" s="17">
        <v>0.7</v>
      </c>
      <c r="EA56" s="17">
        <v>0.8</v>
      </c>
      <c r="EB56" s="17">
        <v>3.7</v>
      </c>
      <c r="EC56" s="17">
        <v>0</v>
      </c>
      <c r="ED56" s="17">
        <v>-7.8</v>
      </c>
      <c r="EE56" s="17">
        <v>-8.4</v>
      </c>
      <c r="EF56" s="17"/>
      <c r="EG56" s="17"/>
      <c r="EH56" s="17"/>
      <c r="EI56" s="17">
        <v>1.4</v>
      </c>
      <c r="EJ56" s="17">
        <v>0.2</v>
      </c>
      <c r="EK56" s="17">
        <v>1.1000000000000001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-10.199999999999999</v>
      </c>
      <c r="EU56" s="17">
        <v>0</v>
      </c>
      <c r="EV56" s="17">
        <v>0</v>
      </c>
      <c r="EW56" s="17"/>
      <c r="EX56" s="17">
        <v>0.6</v>
      </c>
      <c r="EY56" s="17"/>
      <c r="EZ56" s="17"/>
      <c r="FA56" s="17">
        <v>0</v>
      </c>
      <c r="FB56" s="17">
        <v>0.4</v>
      </c>
      <c r="FC56" s="17">
        <v>1.6</v>
      </c>
      <c r="FD56" s="17">
        <v>1.3</v>
      </c>
      <c r="FE56" s="17">
        <v>2.2000000000000002</v>
      </c>
      <c r="FF56" s="17">
        <v>0.4</v>
      </c>
      <c r="FG56" s="17"/>
      <c r="FH56" s="17">
        <v>3.3</v>
      </c>
      <c r="FI56" s="17"/>
      <c r="FJ56" s="17"/>
      <c r="FK56" s="17">
        <v>3.7</v>
      </c>
      <c r="FL56" s="17"/>
      <c r="FM56" s="17">
        <v>217.11473000000001</v>
      </c>
      <c r="FN56" s="15"/>
      <c r="FO56" s="17">
        <v>0.46200000000000002</v>
      </c>
      <c r="FP56" s="17">
        <v>1.2602199999999999</v>
      </c>
      <c r="FQ56" s="17">
        <v>0.33566000000000001</v>
      </c>
      <c r="FR56" s="17">
        <v>0.27875</v>
      </c>
      <c r="FS56" s="17">
        <v>-0.8</v>
      </c>
      <c r="FT56" s="17">
        <v>0</v>
      </c>
      <c r="FU56" s="17">
        <v>1.5366299999999999</v>
      </c>
    </row>
    <row r="57" spans="1:177" ht="24" customHeight="1" x14ac:dyDescent="0.3">
      <c r="A57" s="16" t="s">
        <v>67</v>
      </c>
      <c r="B57" s="16" t="s">
        <v>854</v>
      </c>
      <c r="C57" s="17">
        <v>-7.9</v>
      </c>
      <c r="D57" s="17">
        <v>-2.9</v>
      </c>
      <c r="E57" s="17">
        <v>10.9</v>
      </c>
      <c r="F57" s="17">
        <v>0</v>
      </c>
      <c r="G57" s="17">
        <v>0</v>
      </c>
      <c r="H57" s="17">
        <v>-6.5</v>
      </c>
      <c r="I57" s="17">
        <v>23.5</v>
      </c>
      <c r="J57" s="17"/>
      <c r="K57" s="17">
        <v>4.3</v>
      </c>
      <c r="L57" s="17">
        <v>-9.9</v>
      </c>
      <c r="M57" s="17">
        <v>0</v>
      </c>
      <c r="N57" s="17">
        <v>-2.8</v>
      </c>
      <c r="O57" s="17">
        <v>21</v>
      </c>
      <c r="P57" s="17">
        <v>0.4</v>
      </c>
      <c r="Q57" s="17">
        <v>9.6</v>
      </c>
      <c r="R57" s="17">
        <v>36.799999999999997</v>
      </c>
      <c r="S57" s="17"/>
      <c r="T57" s="17"/>
      <c r="U57" s="17"/>
      <c r="V57" s="17"/>
      <c r="W57" s="17">
        <v>-4</v>
      </c>
      <c r="X57" s="17">
        <v>1.4</v>
      </c>
      <c r="Y57" s="17">
        <v>0.8</v>
      </c>
      <c r="Z57" s="17">
        <v>0</v>
      </c>
      <c r="AA57" s="17">
        <v>-3.3</v>
      </c>
      <c r="AB57" s="17">
        <v>6.7</v>
      </c>
      <c r="AC57" s="17"/>
      <c r="AD57" s="17"/>
      <c r="AE57" s="17"/>
      <c r="AF57" s="17"/>
      <c r="AG57" s="17">
        <v>2.4</v>
      </c>
      <c r="AH57" s="17">
        <v>-5.4</v>
      </c>
      <c r="AI57" s="17"/>
      <c r="AJ57" s="17">
        <v>0</v>
      </c>
      <c r="AK57" s="17"/>
      <c r="AL57" s="17">
        <v>-1.3</v>
      </c>
      <c r="AM57" s="17">
        <v>-12.8</v>
      </c>
      <c r="AN57" s="17">
        <v>5.4</v>
      </c>
      <c r="AO57" s="17">
        <v>29.2</v>
      </c>
      <c r="AP57" s="17">
        <v>11.9</v>
      </c>
      <c r="AQ57" s="17">
        <v>0.3</v>
      </c>
      <c r="AR57" s="17">
        <v>2.6</v>
      </c>
      <c r="AS57" s="17">
        <v>1.7</v>
      </c>
      <c r="AT57" s="17">
        <v>18.8</v>
      </c>
      <c r="AU57" s="17">
        <v>9.8000000000000007</v>
      </c>
      <c r="AV57" s="17">
        <v>-45.9</v>
      </c>
      <c r="AW57" s="17">
        <v>-1.4</v>
      </c>
      <c r="AX57" s="17">
        <v>-2.2000000000000002</v>
      </c>
      <c r="AY57" s="17">
        <v>0.9</v>
      </c>
      <c r="AZ57" s="17">
        <v>1</v>
      </c>
      <c r="BA57" s="17">
        <v>0.1</v>
      </c>
      <c r="BB57" s="17">
        <v>-2.1</v>
      </c>
      <c r="BC57" s="17"/>
      <c r="BD57" s="17"/>
      <c r="BE57" s="17">
        <v>5.4</v>
      </c>
      <c r="BF57" s="17">
        <v>0</v>
      </c>
      <c r="BG57" s="17"/>
      <c r="BH57" s="17">
        <v>0</v>
      </c>
      <c r="BI57" s="17"/>
      <c r="BJ57" s="17"/>
      <c r="BK57" s="17"/>
      <c r="BL57" s="17">
        <v>4.1870500000000002</v>
      </c>
      <c r="BM57" s="17">
        <v>-0.4</v>
      </c>
      <c r="BN57" s="17">
        <v>-1.6</v>
      </c>
      <c r="BO57" s="17">
        <v>0</v>
      </c>
      <c r="BP57" s="17">
        <v>10.8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-0.5</v>
      </c>
      <c r="BZ57" s="17">
        <v>35.9</v>
      </c>
      <c r="CA57" s="17">
        <v>16.100000000000001</v>
      </c>
      <c r="CB57" s="17">
        <v>7.6</v>
      </c>
      <c r="CC57" s="17">
        <v>12.1</v>
      </c>
      <c r="CD57" s="17">
        <v>4</v>
      </c>
      <c r="CE57" s="17">
        <v>0</v>
      </c>
      <c r="CF57" s="17"/>
      <c r="CG57" s="17"/>
      <c r="CH57" s="17">
        <v>19.3</v>
      </c>
      <c r="CI57" s="17">
        <v>22.5</v>
      </c>
      <c r="CJ57" s="17">
        <v>-8.6</v>
      </c>
      <c r="CK57" s="17">
        <v>0</v>
      </c>
      <c r="CL57" s="17"/>
      <c r="CM57" s="17"/>
      <c r="CN57" s="17"/>
      <c r="CO57" s="17"/>
      <c r="CP57" s="17">
        <v>6.8</v>
      </c>
      <c r="CQ57" s="17">
        <v>-2.4</v>
      </c>
      <c r="CR57" s="17">
        <v>-2.7</v>
      </c>
      <c r="CS57" s="17">
        <v>0.3</v>
      </c>
      <c r="CT57" s="17">
        <v>0.5</v>
      </c>
      <c r="CU57" s="17"/>
      <c r="CV57" s="17">
        <v>-5.3</v>
      </c>
      <c r="CW57" s="17">
        <v>0</v>
      </c>
      <c r="CX57" s="17"/>
      <c r="CY57" s="17"/>
      <c r="CZ57" s="17">
        <v>0</v>
      </c>
      <c r="DA57" s="17">
        <v>-0.1</v>
      </c>
      <c r="DB57" s="17">
        <v>0</v>
      </c>
      <c r="DC57" s="17">
        <v>0</v>
      </c>
      <c r="DD57" s="17"/>
      <c r="DE57" s="17"/>
      <c r="DF57" s="17">
        <v>0.1</v>
      </c>
      <c r="DG57" s="17">
        <v>0.7</v>
      </c>
      <c r="DH57" s="17">
        <v>0.1</v>
      </c>
      <c r="DI57" s="17">
        <v>-0.1</v>
      </c>
      <c r="DJ57" s="17">
        <v>0.1</v>
      </c>
      <c r="DK57" s="17"/>
      <c r="DL57" s="17"/>
      <c r="DM57" s="17">
        <v>0</v>
      </c>
      <c r="DN57" s="17">
        <v>0</v>
      </c>
      <c r="DO57" s="17">
        <v>-4.5999999999999996</v>
      </c>
      <c r="DP57" s="17">
        <v>-6.5</v>
      </c>
      <c r="DQ57" s="17">
        <v>0</v>
      </c>
      <c r="DR57" s="17">
        <v>0.1</v>
      </c>
      <c r="DS57" s="17">
        <v>0.2</v>
      </c>
      <c r="DT57" s="17">
        <v>0.2</v>
      </c>
      <c r="DU57" s="17"/>
      <c r="DV57" s="17"/>
      <c r="DW57" s="17">
        <v>-1.8</v>
      </c>
      <c r="DX57" s="17">
        <v>0.3</v>
      </c>
      <c r="DY57" s="17">
        <v>0.6</v>
      </c>
      <c r="DZ57" s="17">
        <v>0.8</v>
      </c>
      <c r="EA57" s="17">
        <v>0.8</v>
      </c>
      <c r="EB57" s="17">
        <v>3.7</v>
      </c>
      <c r="EC57" s="17">
        <v>0</v>
      </c>
      <c r="ED57" s="17">
        <v>-9</v>
      </c>
      <c r="EE57" s="17">
        <v>-9.6999999999999993</v>
      </c>
      <c r="EF57" s="17"/>
      <c r="EG57" s="17"/>
      <c r="EH57" s="17"/>
      <c r="EI57" s="17">
        <v>1.4</v>
      </c>
      <c r="EJ57" s="17">
        <v>0.2</v>
      </c>
      <c r="EK57" s="17">
        <v>1.1000000000000001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/>
      <c r="EX57" s="17">
        <v>0.6</v>
      </c>
      <c r="EY57" s="17"/>
      <c r="EZ57" s="17"/>
      <c r="FA57" s="17">
        <v>0</v>
      </c>
      <c r="FB57" s="17">
        <v>0.4</v>
      </c>
      <c r="FC57" s="17">
        <v>1.6</v>
      </c>
      <c r="FD57" s="17">
        <v>1.3</v>
      </c>
      <c r="FE57" s="17">
        <v>2.1</v>
      </c>
      <c r="FF57" s="17">
        <v>0.4</v>
      </c>
      <c r="FG57" s="17"/>
      <c r="FH57" s="17">
        <v>3.5</v>
      </c>
      <c r="FI57" s="17"/>
      <c r="FJ57" s="17"/>
      <c r="FK57" s="17">
        <v>3.9</v>
      </c>
      <c r="FL57" s="17"/>
      <c r="FM57" s="17">
        <v>207.88704999999999</v>
      </c>
      <c r="FN57" s="15"/>
      <c r="FO57" s="17">
        <v>0.111</v>
      </c>
      <c r="FP57" s="17">
        <v>1.2889699999999999</v>
      </c>
      <c r="FQ57" s="17">
        <v>0.37341999999999997</v>
      </c>
      <c r="FR57" s="17">
        <v>0.25794</v>
      </c>
      <c r="FS57" s="17">
        <v>-1</v>
      </c>
      <c r="FT57" s="17">
        <v>0</v>
      </c>
      <c r="FU57" s="17">
        <v>1.0313300000000001</v>
      </c>
    </row>
    <row r="58" spans="1:177" ht="24" customHeight="1" x14ac:dyDescent="0.3">
      <c r="A58" s="18" t="s">
        <v>855</v>
      </c>
      <c r="B58" s="18" t="s">
        <v>68</v>
      </c>
      <c r="C58" s="19">
        <v>-3.1</v>
      </c>
      <c r="D58" s="19">
        <v>-16.399999999999999</v>
      </c>
      <c r="E58" s="19">
        <v>8.8000000000000007</v>
      </c>
      <c r="F58" s="19">
        <v>0</v>
      </c>
      <c r="G58" s="19">
        <v>0</v>
      </c>
      <c r="H58" s="19">
        <v>-8.1</v>
      </c>
      <c r="I58" s="19">
        <v>25.7</v>
      </c>
      <c r="J58" s="19"/>
      <c r="K58" s="19">
        <v>4.2</v>
      </c>
      <c r="L58" s="19">
        <v>-14.5</v>
      </c>
      <c r="M58" s="19">
        <v>0</v>
      </c>
      <c r="N58" s="19">
        <v>-7.2</v>
      </c>
      <c r="O58" s="19">
        <v>12.9</v>
      </c>
      <c r="P58" s="19">
        <v>-2.7</v>
      </c>
      <c r="Q58" s="19">
        <v>6.3</v>
      </c>
      <c r="R58" s="19">
        <v>34.9</v>
      </c>
      <c r="S58" s="19"/>
      <c r="T58" s="19"/>
      <c r="U58" s="19"/>
      <c r="V58" s="19"/>
      <c r="W58" s="19">
        <v>-4.7</v>
      </c>
      <c r="X58" s="19">
        <v>1.1000000000000001</v>
      </c>
      <c r="Y58" s="19">
        <v>0.5</v>
      </c>
      <c r="Z58" s="19">
        <v>0</v>
      </c>
      <c r="AA58" s="19">
        <v>-3.2</v>
      </c>
      <c r="AB58" s="19">
        <v>8</v>
      </c>
      <c r="AC58" s="19"/>
      <c r="AD58" s="19"/>
      <c r="AE58" s="19"/>
      <c r="AF58" s="19"/>
      <c r="AG58" s="19">
        <v>1.8</v>
      </c>
      <c r="AH58" s="19">
        <v>-4.9000000000000004</v>
      </c>
      <c r="AI58" s="19"/>
      <c r="AJ58" s="19">
        <v>0</v>
      </c>
      <c r="AK58" s="19"/>
      <c r="AL58" s="19">
        <v>-1.4</v>
      </c>
      <c r="AM58" s="19">
        <v>-13.2</v>
      </c>
      <c r="AN58" s="19">
        <v>5.4</v>
      </c>
      <c r="AO58" s="19">
        <v>14.3</v>
      </c>
      <c r="AP58" s="19">
        <v>10</v>
      </c>
      <c r="AQ58" s="19">
        <v>0.2</v>
      </c>
      <c r="AR58" s="19">
        <v>2.6</v>
      </c>
      <c r="AS58" s="19">
        <v>2.2999999999999998</v>
      </c>
      <c r="AT58" s="19">
        <v>11.6</v>
      </c>
      <c r="AU58" s="19">
        <v>2.8</v>
      </c>
      <c r="AV58" s="19">
        <v>-50.2</v>
      </c>
      <c r="AW58" s="19">
        <v>1.2</v>
      </c>
      <c r="AX58" s="19">
        <v>-2.5</v>
      </c>
      <c r="AY58" s="19">
        <v>1</v>
      </c>
      <c r="AZ58" s="19">
        <v>1</v>
      </c>
      <c r="BA58" s="19">
        <v>0.1</v>
      </c>
      <c r="BB58" s="19">
        <v>-0.6</v>
      </c>
      <c r="BC58" s="19"/>
      <c r="BD58" s="19"/>
      <c r="BE58" s="19">
        <v>5.4</v>
      </c>
      <c r="BF58" s="19">
        <v>0</v>
      </c>
      <c r="BG58" s="19"/>
      <c r="BH58" s="19">
        <v>0</v>
      </c>
      <c r="BI58" s="19"/>
      <c r="BJ58" s="19"/>
      <c r="BK58" s="19"/>
      <c r="BL58" s="19">
        <v>1.6190800000000001</v>
      </c>
      <c r="BM58" s="19">
        <v>-3</v>
      </c>
      <c r="BN58" s="19">
        <v>-4</v>
      </c>
      <c r="BO58" s="19">
        <v>0</v>
      </c>
      <c r="BP58" s="19">
        <v>7.7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35.9</v>
      </c>
      <c r="CA58" s="19">
        <v>14.3</v>
      </c>
      <c r="CB58" s="19">
        <v>5.6</v>
      </c>
      <c r="CC58" s="19">
        <v>10.3</v>
      </c>
      <c r="CD58" s="19">
        <v>4</v>
      </c>
      <c r="CE58" s="19">
        <v>0</v>
      </c>
      <c r="CF58" s="19"/>
      <c r="CG58" s="19"/>
      <c r="CH58" s="19">
        <v>18.399999999999999</v>
      </c>
      <c r="CI58" s="19">
        <v>20.5</v>
      </c>
      <c r="CJ58" s="19">
        <v>-10.1</v>
      </c>
      <c r="CK58" s="19">
        <v>0</v>
      </c>
      <c r="CL58" s="19"/>
      <c r="CM58" s="19"/>
      <c r="CN58" s="19"/>
      <c r="CO58" s="19"/>
      <c r="CP58" s="19">
        <v>2.6</v>
      </c>
      <c r="CQ58" s="19">
        <v>-4.9000000000000004</v>
      </c>
      <c r="CR58" s="19">
        <v>-2.7</v>
      </c>
      <c r="CS58" s="19">
        <v>0.3</v>
      </c>
      <c r="CT58" s="19">
        <v>0.7</v>
      </c>
      <c r="CU58" s="19"/>
      <c r="CV58" s="19">
        <v>-5.4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/>
      <c r="DE58" s="19"/>
      <c r="DF58" s="19">
        <v>0</v>
      </c>
      <c r="DG58" s="19">
        <v>0.7</v>
      </c>
      <c r="DH58" s="19">
        <v>0.2</v>
      </c>
      <c r="DI58" s="19">
        <v>-0.6</v>
      </c>
      <c r="DJ58" s="19">
        <v>0.1</v>
      </c>
      <c r="DK58" s="19"/>
      <c r="DL58" s="19"/>
      <c r="DM58" s="19">
        <v>0</v>
      </c>
      <c r="DN58" s="19">
        <v>0</v>
      </c>
      <c r="DO58" s="19">
        <v>-5</v>
      </c>
      <c r="DP58" s="19">
        <v>-6.9</v>
      </c>
      <c r="DQ58" s="19">
        <v>0</v>
      </c>
      <c r="DR58" s="19">
        <v>0.1</v>
      </c>
      <c r="DS58" s="19">
        <v>0.3</v>
      </c>
      <c r="DT58" s="19">
        <v>0.2</v>
      </c>
      <c r="DU58" s="19"/>
      <c r="DV58" s="19"/>
      <c r="DW58" s="19">
        <v>-1.8</v>
      </c>
      <c r="DX58" s="19">
        <v>0</v>
      </c>
      <c r="DY58" s="19">
        <v>0.6</v>
      </c>
      <c r="DZ58" s="19">
        <v>0.8</v>
      </c>
      <c r="EA58" s="19">
        <v>0.8</v>
      </c>
      <c r="EB58" s="19">
        <v>3.7</v>
      </c>
      <c r="EC58" s="19">
        <v>0</v>
      </c>
      <c r="ED58" s="19">
        <v>-11.1</v>
      </c>
      <c r="EE58" s="19">
        <v>-12.5</v>
      </c>
      <c r="EF58" s="19"/>
      <c r="EG58" s="19"/>
      <c r="EH58" s="19"/>
      <c r="EI58" s="19">
        <v>1.4</v>
      </c>
      <c r="EJ58" s="19">
        <v>0.2</v>
      </c>
      <c r="EK58" s="19">
        <v>1.6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/>
      <c r="EX58" s="19">
        <v>0.6</v>
      </c>
      <c r="EY58" s="19"/>
      <c r="EZ58" s="19"/>
      <c r="FA58" s="19">
        <v>0</v>
      </c>
      <c r="FB58" s="19">
        <v>0.4</v>
      </c>
      <c r="FC58" s="19">
        <v>1.6</v>
      </c>
      <c r="FD58" s="19">
        <v>1.3</v>
      </c>
      <c r="FE58" s="19">
        <v>2.1</v>
      </c>
      <c r="FF58" s="19">
        <v>0.3</v>
      </c>
      <c r="FG58" s="19"/>
      <c r="FH58" s="19">
        <v>2.9</v>
      </c>
      <c r="FI58" s="19"/>
      <c r="FJ58" s="19"/>
      <c r="FK58" s="19">
        <v>4.0999999999999996</v>
      </c>
      <c r="FL58" s="19"/>
      <c r="FM58" s="19">
        <v>107.31908</v>
      </c>
      <c r="FN58" s="15"/>
      <c r="FO58" s="19">
        <v>0.34499999999999997</v>
      </c>
      <c r="FP58" s="19">
        <v>1.28728</v>
      </c>
      <c r="FQ58" s="19">
        <v>0.37092999999999998</v>
      </c>
      <c r="FR58" s="19">
        <v>0.31884000000000001</v>
      </c>
      <c r="FS58" s="19">
        <v>-0.7</v>
      </c>
      <c r="FT58" s="19">
        <v>0</v>
      </c>
      <c r="FU58" s="19">
        <v>1.62205</v>
      </c>
    </row>
    <row r="59" spans="1:177" ht="25.05" customHeight="1" x14ac:dyDescent="0.3">
      <c r="A59" s="204" t="s">
        <v>856</v>
      </c>
      <c r="B59" s="205"/>
      <c r="C59" s="20">
        <v>-143.75</v>
      </c>
      <c r="D59" s="20">
        <v>665.2</v>
      </c>
      <c r="E59" s="20">
        <v>449.2</v>
      </c>
      <c r="F59" s="20">
        <v>11.35</v>
      </c>
      <c r="G59" s="20">
        <v>11.25</v>
      </c>
      <c r="H59" s="20">
        <v>-126.1</v>
      </c>
      <c r="I59" s="20">
        <v>247.35</v>
      </c>
      <c r="J59" s="20">
        <v>0</v>
      </c>
      <c r="K59" s="20">
        <v>22.75</v>
      </c>
      <c r="L59" s="20">
        <v>-255.05</v>
      </c>
      <c r="M59" s="20">
        <v>-18.45</v>
      </c>
      <c r="N59" s="20">
        <v>103.1</v>
      </c>
      <c r="O59" s="20">
        <v>1021.7</v>
      </c>
      <c r="P59" s="20">
        <v>267.95</v>
      </c>
      <c r="Q59" s="20">
        <v>620.1</v>
      </c>
      <c r="R59" s="20">
        <v>1048.5</v>
      </c>
      <c r="S59" s="20">
        <v>0</v>
      </c>
      <c r="T59" s="20">
        <v>0</v>
      </c>
      <c r="U59" s="20">
        <v>0</v>
      </c>
      <c r="V59" s="20">
        <v>0</v>
      </c>
      <c r="W59" s="20">
        <v>-21.7</v>
      </c>
      <c r="X59" s="20">
        <v>32.950000000000003</v>
      </c>
      <c r="Y59" s="20">
        <v>16.95</v>
      </c>
      <c r="Z59" s="20">
        <v>5.5</v>
      </c>
      <c r="AA59" s="20">
        <v>-76.7</v>
      </c>
      <c r="AB59" s="20">
        <v>425.45</v>
      </c>
      <c r="AC59" s="20">
        <v>0</v>
      </c>
      <c r="AD59" s="20">
        <v>0</v>
      </c>
      <c r="AE59" s="20">
        <v>0</v>
      </c>
      <c r="AF59" s="20">
        <v>0</v>
      </c>
      <c r="AG59" s="20">
        <v>47.45</v>
      </c>
      <c r="AH59" s="20">
        <v>51.2</v>
      </c>
      <c r="AI59" s="20">
        <v>0</v>
      </c>
      <c r="AJ59" s="20">
        <v>-40</v>
      </c>
      <c r="AK59" s="20">
        <v>0</v>
      </c>
      <c r="AL59" s="20">
        <v>-31.25</v>
      </c>
      <c r="AM59" s="20">
        <v>-266.95</v>
      </c>
      <c r="AN59" s="20">
        <v>130.25</v>
      </c>
      <c r="AO59" s="20">
        <v>420.8</v>
      </c>
      <c r="AP59" s="20">
        <v>240.35</v>
      </c>
      <c r="AQ59" s="20">
        <v>-12.2</v>
      </c>
      <c r="AR59" s="20">
        <v>62.4</v>
      </c>
      <c r="AS59" s="20">
        <v>26.3</v>
      </c>
      <c r="AT59" s="20">
        <v>578.95000000000005</v>
      </c>
      <c r="AU59" s="20">
        <v>326.35000000000002</v>
      </c>
      <c r="AV59" s="20">
        <v>-1042.7</v>
      </c>
      <c r="AW59" s="20">
        <v>133.55000000000001</v>
      </c>
      <c r="AX59" s="20">
        <v>-12.9</v>
      </c>
      <c r="AY59" s="20">
        <v>17.5</v>
      </c>
      <c r="AZ59" s="20">
        <v>24</v>
      </c>
      <c r="BA59" s="20">
        <v>4.5</v>
      </c>
      <c r="BB59" s="20">
        <v>-4.75</v>
      </c>
      <c r="BC59" s="20">
        <v>0</v>
      </c>
      <c r="BD59" s="20">
        <v>0</v>
      </c>
      <c r="BE59" s="20">
        <v>1.1000000000000001</v>
      </c>
      <c r="BF59" s="20">
        <v>12.25</v>
      </c>
      <c r="BG59" s="20">
        <v>0</v>
      </c>
      <c r="BH59" s="20">
        <v>17.95</v>
      </c>
      <c r="BI59" s="20">
        <v>0</v>
      </c>
      <c r="BJ59" s="20">
        <v>0</v>
      </c>
      <c r="BK59" s="20">
        <v>0</v>
      </c>
      <c r="BL59" s="20">
        <v>39.821579999999997</v>
      </c>
      <c r="BM59" s="20">
        <v>-228.75</v>
      </c>
      <c r="BN59" s="20">
        <v>-122.25</v>
      </c>
      <c r="BO59" s="20">
        <v>-85.25</v>
      </c>
      <c r="BP59" s="20">
        <v>448.6</v>
      </c>
      <c r="BQ59" s="20">
        <v>29.95</v>
      </c>
      <c r="BR59" s="20">
        <v>0</v>
      </c>
      <c r="BS59" s="20">
        <v>0</v>
      </c>
      <c r="BT59" s="20">
        <v>0</v>
      </c>
      <c r="BU59" s="20">
        <v>0</v>
      </c>
      <c r="BV59" s="20">
        <v>-11.35</v>
      </c>
      <c r="BW59" s="20">
        <v>0</v>
      </c>
      <c r="BX59" s="20">
        <v>0</v>
      </c>
      <c r="BY59" s="20">
        <v>-9.3000000000000007</v>
      </c>
      <c r="BZ59" s="20">
        <v>777.2</v>
      </c>
      <c r="CA59" s="20">
        <v>756.45</v>
      </c>
      <c r="CB59" s="20">
        <v>177.4</v>
      </c>
      <c r="CC59" s="20">
        <v>248.75</v>
      </c>
      <c r="CD59" s="20">
        <v>91.95</v>
      </c>
      <c r="CE59" s="20">
        <v>-50.1</v>
      </c>
      <c r="CF59" s="20">
        <v>0</v>
      </c>
      <c r="CG59" s="20">
        <v>0</v>
      </c>
      <c r="CH59" s="20">
        <v>649.9</v>
      </c>
      <c r="CI59" s="20">
        <v>820.2</v>
      </c>
      <c r="CJ59" s="20">
        <v>-335.1</v>
      </c>
      <c r="CK59" s="20">
        <v>-185.45</v>
      </c>
      <c r="CL59" s="20">
        <v>0</v>
      </c>
      <c r="CM59" s="20">
        <v>0</v>
      </c>
      <c r="CN59" s="20">
        <v>0</v>
      </c>
      <c r="CO59" s="20">
        <v>0</v>
      </c>
      <c r="CP59" s="20">
        <v>283.05</v>
      </c>
      <c r="CQ59" s="20">
        <v>12.85</v>
      </c>
      <c r="CR59" s="20">
        <v>-66.75</v>
      </c>
      <c r="CS59" s="20">
        <v>5.5</v>
      </c>
      <c r="CT59" s="20">
        <v>18.7</v>
      </c>
      <c r="CU59" s="20">
        <v>0</v>
      </c>
      <c r="CV59" s="20">
        <v>-120</v>
      </c>
      <c r="CW59" s="20">
        <v>60.4</v>
      </c>
      <c r="CX59" s="20">
        <v>0</v>
      </c>
      <c r="CY59" s="20">
        <v>0</v>
      </c>
      <c r="CZ59" s="20">
        <v>1.05</v>
      </c>
      <c r="DA59" s="20">
        <v>-0.5</v>
      </c>
      <c r="DB59" s="20">
        <v>-6.55</v>
      </c>
      <c r="DC59" s="20">
        <v>235.2</v>
      </c>
      <c r="DD59" s="20">
        <v>0</v>
      </c>
      <c r="DE59" s="20">
        <v>0</v>
      </c>
      <c r="DF59" s="20">
        <v>0.3</v>
      </c>
      <c r="DG59" s="20">
        <v>16.649999999999999</v>
      </c>
      <c r="DH59" s="20">
        <v>3.9</v>
      </c>
      <c r="DI59" s="20">
        <v>4.4000000000000004</v>
      </c>
      <c r="DJ59" s="20">
        <v>2.95</v>
      </c>
      <c r="DK59" s="20">
        <v>0</v>
      </c>
      <c r="DL59" s="20">
        <v>0</v>
      </c>
      <c r="DM59" s="20">
        <v>5.35</v>
      </c>
      <c r="DN59" s="20">
        <v>4.05</v>
      </c>
      <c r="DO59" s="20">
        <v>-61.5</v>
      </c>
      <c r="DP59" s="20">
        <v>-53.8</v>
      </c>
      <c r="DQ59" s="20">
        <v>-13.3</v>
      </c>
      <c r="DR59" s="20">
        <v>0.55000000000000004</v>
      </c>
      <c r="DS59" s="20">
        <v>4.25</v>
      </c>
      <c r="DT59" s="20">
        <v>4.8</v>
      </c>
      <c r="DU59" s="20">
        <v>0</v>
      </c>
      <c r="DV59" s="20">
        <v>0</v>
      </c>
      <c r="DW59" s="20">
        <v>-50.55</v>
      </c>
      <c r="DX59" s="20">
        <v>4.45</v>
      </c>
      <c r="DY59" s="20">
        <v>14.45</v>
      </c>
      <c r="DZ59" s="20">
        <v>17.95</v>
      </c>
      <c r="EA59" s="20">
        <v>19.2</v>
      </c>
      <c r="EB59" s="20">
        <v>88.8</v>
      </c>
      <c r="EC59" s="20">
        <v>16.7</v>
      </c>
      <c r="ED59" s="20">
        <v>-150.6</v>
      </c>
      <c r="EE59" s="20">
        <v>-192.6</v>
      </c>
      <c r="EF59" s="20">
        <v>0</v>
      </c>
      <c r="EG59" s="20">
        <v>0</v>
      </c>
      <c r="EH59" s="20">
        <v>0</v>
      </c>
      <c r="EI59" s="20">
        <v>35.299999999999997</v>
      </c>
      <c r="EJ59" s="20">
        <v>4.6500000000000004</v>
      </c>
      <c r="EK59" s="20">
        <v>27.05</v>
      </c>
      <c r="EL59" s="20">
        <v>4.8</v>
      </c>
      <c r="EM59" s="20">
        <v>4.8</v>
      </c>
      <c r="EN59" s="20">
        <v>4.8</v>
      </c>
      <c r="EO59" s="20">
        <v>0</v>
      </c>
      <c r="EP59" s="20">
        <v>299.55</v>
      </c>
      <c r="EQ59" s="20">
        <v>-5.5</v>
      </c>
      <c r="ER59" s="20">
        <v>-9.5500000000000007</v>
      </c>
      <c r="ES59" s="20">
        <v>-4.75</v>
      </c>
      <c r="ET59" s="20">
        <v>-80.95</v>
      </c>
      <c r="EU59" s="20">
        <v>-42.5</v>
      </c>
      <c r="EV59" s="20">
        <v>148.4</v>
      </c>
      <c r="EW59" s="20">
        <v>0</v>
      </c>
      <c r="EX59" s="20">
        <v>14.55</v>
      </c>
      <c r="EY59" s="20">
        <v>0</v>
      </c>
      <c r="EZ59" s="20">
        <v>0</v>
      </c>
      <c r="FA59" s="20">
        <v>-3.3</v>
      </c>
      <c r="FB59" s="20">
        <v>12.55</v>
      </c>
      <c r="FC59" s="20">
        <v>38</v>
      </c>
      <c r="FD59" s="20">
        <v>31.2</v>
      </c>
      <c r="FE59" s="20">
        <v>36.5</v>
      </c>
      <c r="FF59" s="20">
        <v>10</v>
      </c>
      <c r="FG59" s="20">
        <v>0</v>
      </c>
      <c r="FH59" s="20">
        <v>83.8</v>
      </c>
      <c r="FI59" s="20">
        <v>0</v>
      </c>
      <c r="FJ59" s="20">
        <v>0</v>
      </c>
      <c r="FK59" s="20">
        <v>96.85</v>
      </c>
      <c r="FL59" s="20">
        <v>0</v>
      </c>
      <c r="FM59" s="20">
        <v>8819.9715799999994</v>
      </c>
      <c r="FN59" s="21"/>
      <c r="FO59" s="20">
        <v>-3.794495</v>
      </c>
      <c r="FP59" s="20">
        <v>30.191814999999998</v>
      </c>
      <c r="FQ59" s="20">
        <v>7.3627399999999996</v>
      </c>
      <c r="FR59" s="20">
        <v>4.9114899999999997</v>
      </c>
      <c r="FS59" s="20">
        <v>-11.6</v>
      </c>
      <c r="FT59" s="20">
        <v>3.95</v>
      </c>
      <c r="FU59" s="20">
        <v>31.021550000000001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859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9" t="s">
        <v>860</v>
      </c>
      <c r="C6" s="209" t="s">
        <v>861</v>
      </c>
      <c r="D6" s="209"/>
      <c r="E6" s="209" t="s">
        <v>862</v>
      </c>
      <c r="F6" s="209"/>
      <c r="G6" s="209"/>
      <c r="H6" s="209" t="s">
        <v>863</v>
      </c>
    </row>
    <row r="7" spans="1:8" ht="31.05" customHeight="1" x14ac:dyDescent="0.3">
      <c r="A7" s="1"/>
      <c r="B7" s="209"/>
      <c r="C7" s="24" t="s">
        <v>864</v>
      </c>
      <c r="D7" s="24" t="s">
        <v>865</v>
      </c>
      <c r="E7" s="24" t="s">
        <v>595</v>
      </c>
      <c r="F7" s="24" t="s">
        <v>594</v>
      </c>
      <c r="G7" s="24" t="s">
        <v>593</v>
      </c>
      <c r="H7" s="24" t="s">
        <v>866</v>
      </c>
    </row>
    <row r="8" spans="1:8" ht="10.95" customHeight="1" x14ac:dyDescent="0.3">
      <c r="A8" s="1"/>
      <c r="B8" s="25" t="s">
        <v>808</v>
      </c>
      <c r="C8" s="26">
        <v>0</v>
      </c>
      <c r="D8" s="26">
        <v>6703.7</v>
      </c>
      <c r="E8" s="27">
        <v>981.59630000000004</v>
      </c>
      <c r="F8" s="27">
        <v>3973.9749999999999</v>
      </c>
      <c r="G8" s="27">
        <v>1748.1287</v>
      </c>
      <c r="H8" s="27">
        <v>245.72399999999999</v>
      </c>
    </row>
    <row r="9" spans="1:8" ht="10.95" customHeight="1" x14ac:dyDescent="0.3">
      <c r="A9" s="1"/>
      <c r="B9" s="25" t="s">
        <v>809</v>
      </c>
      <c r="C9" s="26">
        <v>0</v>
      </c>
      <c r="D9" s="26">
        <v>6556.9</v>
      </c>
      <c r="E9" s="27">
        <v>962.69970000000001</v>
      </c>
      <c r="F9" s="27">
        <v>3848.8852999999999</v>
      </c>
      <c r="G9" s="27">
        <v>1745.3150000000001</v>
      </c>
      <c r="H9" s="27">
        <v>243.97130000000001</v>
      </c>
    </row>
    <row r="10" spans="1:8" ht="10.95" customHeight="1" x14ac:dyDescent="0.3">
      <c r="A10" s="1"/>
      <c r="B10" s="25" t="s">
        <v>810</v>
      </c>
      <c r="C10" s="26">
        <v>0</v>
      </c>
      <c r="D10" s="26">
        <v>6471.9</v>
      </c>
      <c r="E10" s="27">
        <v>942.46280000000002</v>
      </c>
      <c r="F10" s="27">
        <v>3790.4908999999998</v>
      </c>
      <c r="G10" s="27">
        <v>1738.9463000000001</v>
      </c>
      <c r="H10" s="27">
        <v>250.11199999999999</v>
      </c>
    </row>
    <row r="11" spans="1:8" ht="10.95" customHeight="1" x14ac:dyDescent="0.3">
      <c r="A11" s="1"/>
      <c r="B11" s="25" t="s">
        <v>811</v>
      </c>
      <c r="C11" s="26">
        <v>0</v>
      </c>
      <c r="D11" s="26">
        <v>6508.1</v>
      </c>
      <c r="E11" s="27">
        <v>953.59939999999995</v>
      </c>
      <c r="F11" s="27">
        <v>3827.6694000000002</v>
      </c>
      <c r="G11" s="27">
        <v>1726.8312000000001</v>
      </c>
      <c r="H11" s="27">
        <v>248.30969999999999</v>
      </c>
    </row>
    <row r="12" spans="1:8" ht="10.95" customHeight="1" x14ac:dyDescent="0.3">
      <c r="A12" s="1"/>
      <c r="B12" s="25" t="s">
        <v>812</v>
      </c>
      <c r="C12" s="26">
        <v>0</v>
      </c>
      <c r="D12" s="26">
        <v>6472.1</v>
      </c>
      <c r="E12" s="27">
        <v>944.24630000000002</v>
      </c>
      <c r="F12" s="27">
        <v>3804.7035999999998</v>
      </c>
      <c r="G12" s="27">
        <v>1723.1501000000001</v>
      </c>
      <c r="H12" s="27">
        <v>248.40960000000001</v>
      </c>
    </row>
    <row r="13" spans="1:8" ht="10.95" customHeight="1" x14ac:dyDescent="0.3">
      <c r="A13" s="1"/>
      <c r="B13" s="25" t="s">
        <v>813</v>
      </c>
      <c r="C13" s="26">
        <v>0</v>
      </c>
      <c r="D13" s="26">
        <v>6424.8</v>
      </c>
      <c r="E13" s="27">
        <v>907.26900000000001</v>
      </c>
      <c r="F13" s="27">
        <v>3788.0349000000001</v>
      </c>
      <c r="G13" s="27">
        <v>1729.4961000000001</v>
      </c>
      <c r="H13" s="27">
        <v>248.49940000000001</v>
      </c>
    </row>
    <row r="14" spans="1:8" ht="10.95" customHeight="1" x14ac:dyDescent="0.3">
      <c r="A14" s="1"/>
      <c r="B14" s="25" t="s">
        <v>814</v>
      </c>
      <c r="C14" s="26">
        <v>0</v>
      </c>
      <c r="D14" s="26">
        <v>6416.7</v>
      </c>
      <c r="E14" s="27">
        <v>939.15350000000001</v>
      </c>
      <c r="F14" s="27">
        <v>3749.5140999999999</v>
      </c>
      <c r="G14" s="27">
        <v>1728.0324000000001</v>
      </c>
      <c r="H14" s="27">
        <v>247.3955</v>
      </c>
    </row>
    <row r="15" spans="1:8" ht="10.95" customHeight="1" x14ac:dyDescent="0.3">
      <c r="A15" s="1"/>
      <c r="B15" s="25" t="s">
        <v>815</v>
      </c>
      <c r="C15" s="26">
        <v>0</v>
      </c>
      <c r="D15" s="26">
        <v>6391.7</v>
      </c>
      <c r="E15" s="27">
        <v>944.77179999999998</v>
      </c>
      <c r="F15" s="27">
        <v>3728.817</v>
      </c>
      <c r="G15" s="27">
        <v>1718.1112000000001</v>
      </c>
      <c r="H15" s="27">
        <v>250.114</v>
      </c>
    </row>
    <row r="16" spans="1:8" ht="10.95" customHeight="1" x14ac:dyDescent="0.3">
      <c r="A16" s="1"/>
      <c r="B16" s="25" t="s">
        <v>816</v>
      </c>
      <c r="C16" s="26">
        <v>0</v>
      </c>
      <c r="D16" s="26">
        <v>6348.5</v>
      </c>
      <c r="E16" s="27">
        <v>904.34799999999996</v>
      </c>
      <c r="F16" s="27">
        <v>3783.1687999999999</v>
      </c>
      <c r="G16" s="27">
        <v>1660.9831999999999</v>
      </c>
      <c r="H16" s="27">
        <v>245.9776</v>
      </c>
    </row>
    <row r="17" spans="1:8" ht="10.95" customHeight="1" x14ac:dyDescent="0.3">
      <c r="A17" s="1"/>
      <c r="B17" s="25" t="s">
        <v>817</v>
      </c>
      <c r="C17" s="26">
        <v>0</v>
      </c>
      <c r="D17" s="26">
        <v>6312.9</v>
      </c>
      <c r="E17" s="27">
        <v>918.30409999999995</v>
      </c>
      <c r="F17" s="27">
        <v>3715.2278000000001</v>
      </c>
      <c r="G17" s="27">
        <v>1679.3680999999999</v>
      </c>
      <c r="H17" s="27">
        <v>240.69710000000001</v>
      </c>
    </row>
    <row r="18" spans="1:8" ht="10.95" customHeight="1" x14ac:dyDescent="0.3">
      <c r="A18" s="1"/>
      <c r="B18" s="25" t="s">
        <v>818</v>
      </c>
      <c r="C18" s="26">
        <v>0</v>
      </c>
      <c r="D18" s="26">
        <v>6478.9</v>
      </c>
      <c r="E18" s="27">
        <v>958.2441</v>
      </c>
      <c r="F18" s="27">
        <v>3832.4243000000001</v>
      </c>
      <c r="G18" s="27">
        <v>1688.2316000000001</v>
      </c>
      <c r="H18" s="27">
        <v>242.23269999999999</v>
      </c>
    </row>
    <row r="19" spans="1:8" ht="10.95" customHeight="1" x14ac:dyDescent="0.3">
      <c r="A19" s="1"/>
      <c r="B19" s="25" t="s">
        <v>819</v>
      </c>
      <c r="C19" s="26">
        <v>0</v>
      </c>
      <c r="D19" s="26">
        <v>6707.6</v>
      </c>
      <c r="E19" s="27">
        <v>1005.9838999999999</v>
      </c>
      <c r="F19" s="27">
        <v>4020.1343000000002</v>
      </c>
      <c r="G19" s="27">
        <v>1681.4818</v>
      </c>
      <c r="H19" s="27">
        <v>228.72880000000001</v>
      </c>
    </row>
    <row r="20" spans="1:8" ht="10.95" customHeight="1" x14ac:dyDescent="0.3">
      <c r="A20" s="1"/>
      <c r="B20" s="25" t="s">
        <v>820</v>
      </c>
      <c r="C20" s="26">
        <v>0</v>
      </c>
      <c r="D20" s="26">
        <v>6850.5</v>
      </c>
      <c r="E20" s="27">
        <v>1024.5714</v>
      </c>
      <c r="F20" s="27">
        <v>4134.0355</v>
      </c>
      <c r="G20" s="27">
        <v>1691.8931</v>
      </c>
      <c r="H20" s="27">
        <v>224.0515</v>
      </c>
    </row>
    <row r="21" spans="1:8" ht="10.95" customHeight="1" x14ac:dyDescent="0.3">
      <c r="A21" s="1"/>
      <c r="B21" s="25" t="s">
        <v>821</v>
      </c>
      <c r="C21" s="26">
        <v>0</v>
      </c>
      <c r="D21" s="26">
        <v>6846</v>
      </c>
      <c r="E21" s="27">
        <v>1048.1660999999999</v>
      </c>
      <c r="F21" s="27">
        <v>4089.9872999999998</v>
      </c>
      <c r="G21" s="27">
        <v>1707.8466000000001</v>
      </c>
      <c r="H21" s="27">
        <v>220.7775</v>
      </c>
    </row>
    <row r="22" spans="1:8" ht="10.95" customHeight="1" x14ac:dyDescent="0.3">
      <c r="A22" s="1"/>
      <c r="B22" s="25" t="s">
        <v>822</v>
      </c>
      <c r="C22" s="26">
        <v>0</v>
      </c>
      <c r="D22" s="26">
        <v>7078.7</v>
      </c>
      <c r="E22" s="27">
        <v>1071.9273000000001</v>
      </c>
      <c r="F22" s="27">
        <v>4257.1917000000003</v>
      </c>
      <c r="G22" s="27">
        <v>1749.5809999999999</v>
      </c>
      <c r="H22" s="27">
        <v>231.4289</v>
      </c>
    </row>
    <row r="23" spans="1:8" ht="10.95" customHeight="1" x14ac:dyDescent="0.3">
      <c r="A23" s="1"/>
      <c r="B23" s="25" t="s">
        <v>823</v>
      </c>
      <c r="C23" s="26">
        <v>0</v>
      </c>
      <c r="D23" s="26">
        <v>7029.7</v>
      </c>
      <c r="E23" s="27">
        <v>1059.6858</v>
      </c>
      <c r="F23" s="27">
        <v>4234.6728999999996</v>
      </c>
      <c r="G23" s="27">
        <v>1735.3413</v>
      </c>
      <c r="H23" s="27">
        <v>232.89089999999999</v>
      </c>
    </row>
    <row r="24" spans="1:8" ht="10.95" customHeight="1" x14ac:dyDescent="0.3">
      <c r="A24" s="1"/>
      <c r="B24" s="25" t="s">
        <v>824</v>
      </c>
      <c r="C24" s="26">
        <v>0</v>
      </c>
      <c r="D24" s="26">
        <v>7395.1</v>
      </c>
      <c r="E24" s="27">
        <v>1129.9713999999999</v>
      </c>
      <c r="F24" s="27">
        <v>4499.9120000000003</v>
      </c>
      <c r="G24" s="27">
        <v>1765.2166</v>
      </c>
      <c r="H24" s="27">
        <v>252.17070000000001</v>
      </c>
    </row>
    <row r="25" spans="1:8" ht="10.95" customHeight="1" x14ac:dyDescent="0.3">
      <c r="A25" s="1"/>
      <c r="B25" s="25" t="s">
        <v>825</v>
      </c>
      <c r="C25" s="26">
        <v>0</v>
      </c>
      <c r="D25" s="26">
        <v>7414.6</v>
      </c>
      <c r="E25" s="27">
        <v>1126.0237999999999</v>
      </c>
      <c r="F25" s="27">
        <v>4501.6614</v>
      </c>
      <c r="G25" s="27">
        <v>1786.9148</v>
      </c>
      <c r="H25" s="27">
        <v>247.3416</v>
      </c>
    </row>
    <row r="26" spans="1:8" ht="10.95" customHeight="1" x14ac:dyDescent="0.3">
      <c r="A26" s="1"/>
      <c r="B26" s="25" t="s">
        <v>826</v>
      </c>
      <c r="C26" s="26">
        <v>0</v>
      </c>
      <c r="D26" s="26">
        <v>7673.8</v>
      </c>
      <c r="E26" s="27">
        <v>1186.1866</v>
      </c>
      <c r="F26" s="27">
        <v>4673.5114999999996</v>
      </c>
      <c r="G26" s="27">
        <v>1814.1018999999999</v>
      </c>
      <c r="H26" s="27">
        <v>261.85419999999999</v>
      </c>
    </row>
    <row r="27" spans="1:8" ht="10.95" customHeight="1" x14ac:dyDescent="0.3">
      <c r="A27" s="1"/>
      <c r="B27" s="25" t="s">
        <v>827</v>
      </c>
      <c r="C27" s="26">
        <v>0</v>
      </c>
      <c r="D27" s="26">
        <v>7679.4</v>
      </c>
      <c r="E27" s="27">
        <v>1205.3906999999999</v>
      </c>
      <c r="F27" s="27">
        <v>4661.0311000000002</v>
      </c>
      <c r="G27" s="27">
        <v>1812.9782</v>
      </c>
      <c r="H27" s="27">
        <v>254.33260000000001</v>
      </c>
    </row>
    <row r="28" spans="1:8" ht="10.95" customHeight="1" x14ac:dyDescent="0.3">
      <c r="A28" s="1"/>
      <c r="B28" s="25" t="s">
        <v>828</v>
      </c>
      <c r="C28" s="26">
        <v>0</v>
      </c>
      <c r="D28" s="26">
        <v>7771</v>
      </c>
      <c r="E28" s="27">
        <v>1234.6980000000001</v>
      </c>
      <c r="F28" s="27">
        <v>4776.8078999999998</v>
      </c>
      <c r="G28" s="27">
        <v>1759.4940999999999</v>
      </c>
      <c r="H28" s="27">
        <v>253.08250000000001</v>
      </c>
    </row>
    <row r="29" spans="1:8" ht="10.95" customHeight="1" x14ac:dyDescent="0.3">
      <c r="A29" s="1"/>
      <c r="B29" s="25" t="s">
        <v>829</v>
      </c>
      <c r="C29" s="26">
        <v>0</v>
      </c>
      <c r="D29" s="26">
        <v>7811.9</v>
      </c>
      <c r="E29" s="27">
        <v>1229.5063</v>
      </c>
      <c r="F29" s="27">
        <v>4840.4744000000001</v>
      </c>
      <c r="G29" s="27">
        <v>1741.9193</v>
      </c>
      <c r="H29" s="27">
        <v>260.3954</v>
      </c>
    </row>
    <row r="30" spans="1:8" ht="10.95" customHeight="1" x14ac:dyDescent="0.3">
      <c r="A30" s="1"/>
      <c r="B30" s="25" t="s">
        <v>830</v>
      </c>
      <c r="C30" s="26">
        <v>0</v>
      </c>
      <c r="D30" s="26">
        <v>7850.2</v>
      </c>
      <c r="E30" s="27">
        <v>1284.4527</v>
      </c>
      <c r="F30" s="27">
        <v>4828.5324000000001</v>
      </c>
      <c r="G30" s="27">
        <v>1737.2148999999999</v>
      </c>
      <c r="H30" s="27">
        <v>264.42149999999998</v>
      </c>
    </row>
    <row r="31" spans="1:8" ht="10.95" customHeight="1" x14ac:dyDescent="0.3">
      <c r="A31" s="1"/>
      <c r="B31" s="25" t="s">
        <v>831</v>
      </c>
      <c r="C31" s="26">
        <v>0</v>
      </c>
      <c r="D31" s="26">
        <v>7945.6</v>
      </c>
      <c r="E31" s="27">
        <v>1270.3914</v>
      </c>
      <c r="F31" s="27">
        <v>4878.2049999999999</v>
      </c>
      <c r="G31" s="27">
        <v>1797.0036</v>
      </c>
      <c r="H31" s="27">
        <v>251.97049999999999</v>
      </c>
    </row>
    <row r="32" spans="1:8" ht="10.95" customHeight="1" x14ac:dyDescent="0.3">
      <c r="A32" s="1"/>
      <c r="B32" s="25" t="s">
        <v>832</v>
      </c>
      <c r="C32" s="26">
        <v>0</v>
      </c>
      <c r="D32" s="26">
        <v>7898.5</v>
      </c>
      <c r="E32" s="27">
        <v>1224.3105</v>
      </c>
      <c r="F32" s="27">
        <v>4868.8289000000004</v>
      </c>
      <c r="G32" s="27">
        <v>1805.3606</v>
      </c>
      <c r="H32" s="27">
        <v>246.4556</v>
      </c>
    </row>
    <row r="33" spans="1:8" ht="10.95" customHeight="1" x14ac:dyDescent="0.3">
      <c r="A33" s="1"/>
      <c r="B33" s="25" t="s">
        <v>833</v>
      </c>
      <c r="C33" s="26">
        <v>0</v>
      </c>
      <c r="D33" s="26">
        <v>7772.4</v>
      </c>
      <c r="E33" s="27">
        <v>1193.9780000000001</v>
      </c>
      <c r="F33" s="27">
        <v>4811.7043999999996</v>
      </c>
      <c r="G33" s="27">
        <v>1766.7175999999999</v>
      </c>
      <c r="H33" s="27">
        <v>240.9538</v>
      </c>
    </row>
    <row r="34" spans="1:8" ht="10.95" customHeight="1" x14ac:dyDescent="0.3">
      <c r="A34" s="1"/>
      <c r="B34" s="25" t="s">
        <v>834</v>
      </c>
      <c r="C34" s="26">
        <v>0</v>
      </c>
      <c r="D34" s="26">
        <v>7774.3</v>
      </c>
      <c r="E34" s="27">
        <v>1195.434</v>
      </c>
      <c r="F34" s="27">
        <v>4802.0877</v>
      </c>
      <c r="G34" s="27">
        <v>1776.7782999999999</v>
      </c>
      <c r="H34" s="27">
        <v>249.87360000000001</v>
      </c>
    </row>
    <row r="35" spans="1:8" ht="10.95" customHeight="1" x14ac:dyDescent="0.3">
      <c r="A35" s="1"/>
      <c r="B35" s="25" t="s">
        <v>835</v>
      </c>
      <c r="C35" s="26">
        <v>0</v>
      </c>
      <c r="D35" s="26">
        <v>7842.1</v>
      </c>
      <c r="E35" s="27">
        <v>1218.7262000000001</v>
      </c>
      <c r="F35" s="27">
        <v>4825.2849999999999</v>
      </c>
      <c r="G35" s="27">
        <v>1798.0888</v>
      </c>
      <c r="H35" s="27">
        <v>257.791</v>
      </c>
    </row>
    <row r="36" spans="1:8" ht="10.95" customHeight="1" x14ac:dyDescent="0.3">
      <c r="A36" s="1"/>
      <c r="B36" s="25" t="s">
        <v>836</v>
      </c>
      <c r="C36" s="26">
        <v>0</v>
      </c>
      <c r="D36" s="26">
        <v>7896.5</v>
      </c>
      <c r="E36" s="27">
        <v>1265.825</v>
      </c>
      <c r="F36" s="27">
        <v>4825.5263000000004</v>
      </c>
      <c r="G36" s="27">
        <v>1805.1487</v>
      </c>
      <c r="H36" s="27">
        <v>261.46559999999999</v>
      </c>
    </row>
    <row r="37" spans="1:8" ht="10.95" customHeight="1" x14ac:dyDescent="0.3">
      <c r="A37" s="1"/>
      <c r="B37" s="25" t="s">
        <v>837</v>
      </c>
      <c r="C37" s="26">
        <v>0</v>
      </c>
      <c r="D37" s="26">
        <v>7977.6</v>
      </c>
      <c r="E37" s="27">
        <v>1260.5504000000001</v>
      </c>
      <c r="F37" s="27">
        <v>4877.1220999999996</v>
      </c>
      <c r="G37" s="27">
        <v>1839.9275</v>
      </c>
      <c r="H37" s="27">
        <v>260.69880000000001</v>
      </c>
    </row>
    <row r="38" spans="1:8" ht="10.95" customHeight="1" x14ac:dyDescent="0.3">
      <c r="A38" s="1"/>
      <c r="B38" s="25" t="s">
        <v>838</v>
      </c>
      <c r="C38" s="26">
        <v>0</v>
      </c>
      <c r="D38" s="26">
        <v>7996.8</v>
      </c>
      <c r="E38" s="27">
        <v>1248.6460999999999</v>
      </c>
      <c r="F38" s="27">
        <v>4908.2034999999996</v>
      </c>
      <c r="G38" s="27">
        <v>1839.9503999999999</v>
      </c>
      <c r="H38" s="27">
        <v>257.03289999999998</v>
      </c>
    </row>
    <row r="39" spans="1:8" ht="10.95" customHeight="1" x14ac:dyDescent="0.3">
      <c r="A39" s="1"/>
      <c r="B39" s="25" t="s">
        <v>839</v>
      </c>
      <c r="C39" s="26">
        <v>0</v>
      </c>
      <c r="D39" s="26">
        <v>7986.6</v>
      </c>
      <c r="E39" s="27">
        <v>1250.9223999999999</v>
      </c>
      <c r="F39" s="27">
        <v>4877.1334999999999</v>
      </c>
      <c r="G39" s="27">
        <v>1858.5441000000001</v>
      </c>
      <c r="H39" s="27">
        <v>259.0043</v>
      </c>
    </row>
    <row r="40" spans="1:8" ht="10.95" customHeight="1" x14ac:dyDescent="0.3">
      <c r="A40" s="1"/>
      <c r="B40" s="25" t="s">
        <v>840</v>
      </c>
      <c r="C40" s="26">
        <v>0</v>
      </c>
      <c r="D40" s="26">
        <v>8000.1</v>
      </c>
      <c r="E40" s="27">
        <v>1254.6813999999999</v>
      </c>
      <c r="F40" s="27">
        <v>4871.9843000000001</v>
      </c>
      <c r="G40" s="27">
        <v>1873.4342999999999</v>
      </c>
      <c r="H40" s="27">
        <v>258.6891</v>
      </c>
    </row>
    <row r="41" spans="1:8" ht="10.95" customHeight="1" x14ac:dyDescent="0.3">
      <c r="A41" s="1"/>
      <c r="B41" s="25" t="s">
        <v>841</v>
      </c>
      <c r="C41" s="26">
        <v>0</v>
      </c>
      <c r="D41" s="26">
        <v>7853</v>
      </c>
      <c r="E41" s="27">
        <v>1204.1501000000001</v>
      </c>
      <c r="F41" s="27">
        <v>4810.7852000000003</v>
      </c>
      <c r="G41" s="27">
        <v>1838.0646999999999</v>
      </c>
      <c r="H41" s="27">
        <v>267.9042</v>
      </c>
    </row>
    <row r="42" spans="1:8" ht="10.95" customHeight="1" x14ac:dyDescent="0.3">
      <c r="A42" s="1"/>
      <c r="B42" s="25" t="s">
        <v>842</v>
      </c>
      <c r="C42" s="26">
        <v>0</v>
      </c>
      <c r="D42" s="26">
        <v>7972</v>
      </c>
      <c r="E42" s="27">
        <v>1171.0779</v>
      </c>
      <c r="F42" s="27">
        <v>4897.4760999999999</v>
      </c>
      <c r="G42" s="27">
        <v>1903.4459999999999</v>
      </c>
      <c r="H42" s="27">
        <v>256.27769999999998</v>
      </c>
    </row>
    <row r="43" spans="1:8" ht="10.95" customHeight="1" x14ac:dyDescent="0.3">
      <c r="A43" s="1"/>
      <c r="B43" s="25" t="s">
        <v>843</v>
      </c>
      <c r="C43" s="26">
        <v>0</v>
      </c>
      <c r="D43" s="26">
        <v>7814.3</v>
      </c>
      <c r="E43" s="27">
        <v>1153.8115</v>
      </c>
      <c r="F43" s="27">
        <v>4731.5263000000004</v>
      </c>
      <c r="G43" s="27">
        <v>1928.9621999999999</v>
      </c>
      <c r="H43" s="27">
        <v>244.20089999999999</v>
      </c>
    </row>
    <row r="44" spans="1:8" ht="10.95" customHeight="1" x14ac:dyDescent="0.3">
      <c r="A44" s="1"/>
      <c r="B44" s="25" t="s">
        <v>844</v>
      </c>
      <c r="C44" s="26">
        <v>0</v>
      </c>
      <c r="D44" s="26">
        <v>7905.1</v>
      </c>
      <c r="E44" s="27">
        <v>1236.857</v>
      </c>
      <c r="F44" s="27">
        <v>4731.1171999999997</v>
      </c>
      <c r="G44" s="27">
        <v>1937.1258</v>
      </c>
      <c r="H44" s="27">
        <v>235.17339999999999</v>
      </c>
    </row>
    <row r="45" spans="1:8" ht="10.95" customHeight="1" x14ac:dyDescent="0.3">
      <c r="A45" s="1"/>
      <c r="B45" s="25" t="s">
        <v>845</v>
      </c>
      <c r="C45" s="26">
        <v>0</v>
      </c>
      <c r="D45" s="26">
        <v>7831.5</v>
      </c>
      <c r="E45" s="27">
        <v>1266.3397</v>
      </c>
      <c r="F45" s="27">
        <v>4660.1799000000001</v>
      </c>
      <c r="G45" s="27">
        <v>1904.9803999999999</v>
      </c>
      <c r="H45" s="27">
        <v>232.8312</v>
      </c>
    </row>
    <row r="46" spans="1:8" ht="10.95" customHeight="1" x14ac:dyDescent="0.3">
      <c r="A46" s="1"/>
      <c r="B46" s="25" t="s">
        <v>846</v>
      </c>
      <c r="C46" s="26">
        <v>0</v>
      </c>
      <c r="D46" s="26">
        <v>7793.6</v>
      </c>
      <c r="E46" s="27">
        <v>1269.3939</v>
      </c>
      <c r="F46" s="27">
        <v>4637.6122999999998</v>
      </c>
      <c r="G46" s="27">
        <v>1886.5938000000001</v>
      </c>
      <c r="H46" s="27">
        <v>237.61519999999999</v>
      </c>
    </row>
    <row r="47" spans="1:8" ht="10.95" customHeight="1" x14ac:dyDescent="0.3">
      <c r="A47" s="1"/>
      <c r="B47" s="25" t="s">
        <v>847</v>
      </c>
      <c r="C47" s="26">
        <v>0</v>
      </c>
      <c r="D47" s="26">
        <v>7853.2</v>
      </c>
      <c r="E47" s="27">
        <v>1252.5032000000001</v>
      </c>
      <c r="F47" s="27">
        <v>4662.6887999999999</v>
      </c>
      <c r="G47" s="27">
        <v>1938.008</v>
      </c>
      <c r="H47" s="27">
        <v>242.73259999999999</v>
      </c>
    </row>
    <row r="48" spans="1:8" ht="10.95" customHeight="1" x14ac:dyDescent="0.3">
      <c r="A48" s="1"/>
      <c r="B48" s="25" t="s">
        <v>848</v>
      </c>
      <c r="C48" s="26">
        <v>0</v>
      </c>
      <c r="D48" s="26">
        <v>7840.2</v>
      </c>
      <c r="E48" s="27">
        <v>1230.8782000000001</v>
      </c>
      <c r="F48" s="27">
        <v>4675.5235000000002</v>
      </c>
      <c r="G48" s="27">
        <v>1933.7982999999999</v>
      </c>
      <c r="H48" s="27">
        <v>262.37119999999999</v>
      </c>
    </row>
    <row r="49" spans="1:8" ht="10.95" customHeight="1" x14ac:dyDescent="0.3">
      <c r="A49" s="1"/>
      <c r="B49" s="25" t="s">
        <v>849</v>
      </c>
      <c r="C49" s="26">
        <v>0</v>
      </c>
      <c r="D49" s="26">
        <v>7785.3</v>
      </c>
      <c r="E49" s="27">
        <v>1226.4603999999999</v>
      </c>
      <c r="F49" s="27">
        <v>4617.7655999999997</v>
      </c>
      <c r="G49" s="27">
        <v>1941.0740000000001</v>
      </c>
      <c r="H49" s="27">
        <v>255.68559999999999</v>
      </c>
    </row>
    <row r="50" spans="1:8" ht="10.95" customHeight="1" x14ac:dyDescent="0.3">
      <c r="A50" s="1"/>
      <c r="B50" s="25" t="s">
        <v>850</v>
      </c>
      <c r="C50" s="26">
        <v>0</v>
      </c>
      <c r="D50" s="26">
        <v>7774.6</v>
      </c>
      <c r="E50" s="27">
        <v>1219.876</v>
      </c>
      <c r="F50" s="27">
        <v>4605.5866999999998</v>
      </c>
      <c r="G50" s="27">
        <v>1949.1373000000001</v>
      </c>
      <c r="H50" s="27">
        <v>262.0992</v>
      </c>
    </row>
    <row r="51" spans="1:8" ht="10.95" customHeight="1" x14ac:dyDescent="0.3">
      <c r="A51" s="1"/>
      <c r="B51" s="25" t="s">
        <v>851</v>
      </c>
      <c r="C51" s="26">
        <v>0</v>
      </c>
      <c r="D51" s="26">
        <v>7735.7</v>
      </c>
      <c r="E51" s="27">
        <v>1199.8028999999999</v>
      </c>
      <c r="F51" s="27">
        <v>4634.9369999999999</v>
      </c>
      <c r="G51" s="27">
        <v>1900.9601</v>
      </c>
      <c r="H51" s="27">
        <v>270.59269999999998</v>
      </c>
    </row>
    <row r="52" spans="1:8" ht="10.95" customHeight="1" x14ac:dyDescent="0.3">
      <c r="A52" s="1"/>
      <c r="B52" s="25" t="s">
        <v>852</v>
      </c>
      <c r="C52" s="26">
        <v>0</v>
      </c>
      <c r="D52" s="26">
        <v>7492</v>
      </c>
      <c r="E52" s="27">
        <v>1151.3286000000001</v>
      </c>
      <c r="F52" s="27">
        <v>4482.0200000000004</v>
      </c>
      <c r="G52" s="27">
        <v>1858.6514</v>
      </c>
      <c r="H52" s="27">
        <v>260.71429999999998</v>
      </c>
    </row>
    <row r="53" spans="1:8" ht="10.95" customHeight="1" x14ac:dyDescent="0.3">
      <c r="A53" s="1"/>
      <c r="B53" s="25" t="s">
        <v>853</v>
      </c>
      <c r="C53" s="26">
        <v>0</v>
      </c>
      <c r="D53" s="26">
        <v>7232</v>
      </c>
      <c r="E53" s="27">
        <v>1075.9212</v>
      </c>
      <c r="F53" s="27">
        <v>4411.1262999999999</v>
      </c>
      <c r="G53" s="27">
        <v>1744.9525000000001</v>
      </c>
      <c r="H53" s="27">
        <v>265.92559999999997</v>
      </c>
    </row>
    <row r="54" spans="1:8" ht="10.95" customHeight="1" x14ac:dyDescent="0.3">
      <c r="A54" s="1"/>
      <c r="B54" s="25" t="s">
        <v>854</v>
      </c>
      <c r="C54" s="26">
        <v>0</v>
      </c>
      <c r="D54" s="26">
        <v>7058.8</v>
      </c>
      <c r="E54" s="27">
        <v>1075.1552999999999</v>
      </c>
      <c r="F54" s="27">
        <v>4181.5394999999999</v>
      </c>
      <c r="G54" s="27">
        <v>1802.1052</v>
      </c>
      <c r="H54" s="27">
        <v>257.98910000000001</v>
      </c>
    </row>
    <row r="55" spans="1:8" ht="10.95" customHeight="1" x14ac:dyDescent="0.3">
      <c r="A55" s="1"/>
      <c r="B55" s="25" t="s">
        <v>68</v>
      </c>
      <c r="C55" s="26">
        <v>0</v>
      </c>
      <c r="D55" s="26">
        <v>6867.5</v>
      </c>
      <c r="E55" s="27">
        <v>1033.4709</v>
      </c>
      <c r="F55" s="27">
        <v>4060.9513999999999</v>
      </c>
      <c r="G55" s="27">
        <v>1773.0777</v>
      </c>
      <c r="H55" s="27">
        <v>267.21039999999999</v>
      </c>
    </row>
    <row r="56" spans="1:8" ht="16.95" customHeight="1" x14ac:dyDescent="0.3">
      <c r="A56" s="1"/>
      <c r="B56" s="28" t="s">
        <v>867</v>
      </c>
      <c r="C56" s="29">
        <v>0</v>
      </c>
      <c r="D56" s="29">
        <v>8000.1</v>
      </c>
      <c r="E56" s="30">
        <v>1284.4527</v>
      </c>
      <c r="F56" s="30">
        <v>4908.2034999999996</v>
      </c>
      <c r="G56" s="30">
        <v>1949.1373000000001</v>
      </c>
      <c r="H56" s="30">
        <v>270.59269999999998</v>
      </c>
    </row>
    <row r="57" spans="1:8" ht="16.95" customHeight="1" x14ac:dyDescent="0.3">
      <c r="A57" s="1"/>
      <c r="B57" s="28" t="s">
        <v>868</v>
      </c>
      <c r="C57" s="29">
        <v>0</v>
      </c>
      <c r="D57" s="29">
        <v>6312.9</v>
      </c>
      <c r="E57" s="30">
        <v>904.34799999999996</v>
      </c>
      <c r="F57" s="30">
        <v>3715.2278000000001</v>
      </c>
      <c r="G57" s="30">
        <v>1660.9831999999999</v>
      </c>
      <c r="H57" s="30">
        <v>220.7775</v>
      </c>
    </row>
    <row r="58" spans="1:8" ht="16.95" customHeight="1" x14ac:dyDescent="0.3">
      <c r="A58" s="1"/>
      <c r="B58" s="28" t="s">
        <v>869</v>
      </c>
      <c r="C58" s="29">
        <v>0</v>
      </c>
      <c r="D58" s="29">
        <v>7356.125</v>
      </c>
      <c r="E58" s="30">
        <v>1127.3698166666666</v>
      </c>
      <c r="F58" s="30">
        <v>4431.4120833333327</v>
      </c>
      <c r="G58" s="30">
        <v>1797.3431</v>
      </c>
      <c r="H58" s="30">
        <v>250.12869791666665</v>
      </c>
    </row>
    <row r="59" spans="1:8" ht="16.95" customHeight="1" x14ac:dyDescent="0.3">
      <c r="A59" s="1"/>
      <c r="B59" s="23" t="s">
        <v>870</v>
      </c>
      <c r="C59" s="31">
        <v>0</v>
      </c>
      <c r="D59" s="31">
        <v>176547</v>
      </c>
      <c r="E59" s="32">
        <v>27056.875599999999</v>
      </c>
      <c r="F59" s="32">
        <v>106353.89</v>
      </c>
      <c r="G59" s="32">
        <v>43136.234400000001</v>
      </c>
      <c r="H59" s="32">
        <v>6003.0887499999999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871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872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873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2" t="s">
        <v>860</v>
      </c>
      <c r="C6" s="210" t="s">
        <v>875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1" t="s">
        <v>876</v>
      </c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0" t="s">
        <v>877</v>
      </c>
      <c r="BQ6" s="210"/>
      <c r="BR6" s="210"/>
      <c r="BS6" s="210"/>
      <c r="BT6" s="210"/>
      <c r="BU6" s="210"/>
      <c r="BV6" s="210"/>
      <c r="BW6" s="210"/>
      <c r="BX6" s="210"/>
      <c r="BY6" s="210"/>
      <c r="BZ6" s="210"/>
      <c r="CA6" s="210"/>
      <c r="CB6" s="210"/>
      <c r="CC6" s="210"/>
      <c r="CD6" s="210"/>
      <c r="CE6" s="210"/>
      <c r="CF6" s="210"/>
      <c r="CG6" s="210"/>
      <c r="CH6" s="210"/>
      <c r="CI6" s="210"/>
      <c r="CJ6" s="210"/>
      <c r="CK6" s="210"/>
      <c r="CL6" s="210"/>
      <c r="CM6" s="210"/>
      <c r="CN6" s="210"/>
      <c r="CO6" s="210"/>
      <c r="CP6" s="210"/>
      <c r="CQ6" s="210"/>
      <c r="CR6" s="210"/>
      <c r="CS6" s="210"/>
      <c r="CT6" s="210"/>
    </row>
    <row r="7" spans="1:98" ht="48.75" customHeight="1" x14ac:dyDescent="0.3">
      <c r="A7" s="1"/>
      <c r="B7" s="212"/>
      <c r="C7" s="38" t="s">
        <v>878</v>
      </c>
      <c r="D7" s="38" t="s">
        <v>879</v>
      </c>
      <c r="E7" s="38" t="s">
        <v>880</v>
      </c>
      <c r="F7" s="38" t="s">
        <v>881</v>
      </c>
      <c r="G7" s="38" t="s">
        <v>882</v>
      </c>
      <c r="H7" s="38" t="s">
        <v>883</v>
      </c>
      <c r="I7" s="38" t="s">
        <v>884</v>
      </c>
      <c r="J7" s="38" t="s">
        <v>885</v>
      </c>
      <c r="K7" s="38" t="s">
        <v>886</v>
      </c>
      <c r="L7" s="38" t="s">
        <v>887</v>
      </c>
      <c r="M7" s="38" t="s">
        <v>888</v>
      </c>
      <c r="N7" s="38" t="s">
        <v>889</v>
      </c>
      <c r="O7" s="38" t="s">
        <v>890</v>
      </c>
      <c r="P7" s="38" t="s">
        <v>891</v>
      </c>
      <c r="Q7" s="38" t="s">
        <v>892</v>
      </c>
      <c r="R7" s="38" t="s">
        <v>893</v>
      </c>
      <c r="S7" s="38" t="s">
        <v>894</v>
      </c>
      <c r="T7" s="38" t="s">
        <v>895</v>
      </c>
      <c r="U7" s="38" t="s">
        <v>896</v>
      </c>
      <c r="V7" s="38" t="s">
        <v>897</v>
      </c>
      <c r="W7" s="38" t="s">
        <v>898</v>
      </c>
      <c r="X7" s="39" t="s">
        <v>899</v>
      </c>
      <c r="Y7" s="39" t="s">
        <v>900</v>
      </c>
      <c r="Z7" s="39" t="s">
        <v>901</v>
      </c>
      <c r="AA7" s="39" t="s">
        <v>878</v>
      </c>
      <c r="AB7" s="39" t="s">
        <v>879</v>
      </c>
      <c r="AC7" s="39" t="s">
        <v>902</v>
      </c>
      <c r="AD7" s="39" t="s">
        <v>882</v>
      </c>
      <c r="AE7" s="39" t="s">
        <v>883</v>
      </c>
      <c r="AF7" s="39" t="s">
        <v>903</v>
      </c>
      <c r="AG7" s="39" t="s">
        <v>884</v>
      </c>
      <c r="AH7" s="39" t="s">
        <v>904</v>
      </c>
      <c r="AI7" s="39" t="s">
        <v>905</v>
      </c>
      <c r="AJ7" s="39" t="s">
        <v>906</v>
      </c>
      <c r="AK7" s="39" t="s">
        <v>907</v>
      </c>
      <c r="AL7" s="39" t="s">
        <v>908</v>
      </c>
      <c r="AM7" s="39" t="s">
        <v>909</v>
      </c>
      <c r="AN7" s="39" t="s">
        <v>373</v>
      </c>
      <c r="AO7" s="39" t="s">
        <v>910</v>
      </c>
      <c r="AP7" s="39" t="s">
        <v>911</v>
      </c>
      <c r="AQ7" s="39" t="s">
        <v>912</v>
      </c>
      <c r="AR7" s="39" t="s">
        <v>913</v>
      </c>
      <c r="AS7" s="39" t="s">
        <v>914</v>
      </c>
      <c r="AT7" s="39" t="s">
        <v>915</v>
      </c>
      <c r="AU7" s="39" t="s">
        <v>916</v>
      </c>
      <c r="AV7" s="39" t="s">
        <v>917</v>
      </c>
      <c r="AW7" s="39" t="s">
        <v>918</v>
      </c>
      <c r="AX7" s="39" t="s">
        <v>891</v>
      </c>
      <c r="AY7" s="39" t="s">
        <v>919</v>
      </c>
      <c r="AZ7" s="39" t="s">
        <v>920</v>
      </c>
      <c r="BA7" s="39" t="s">
        <v>921</v>
      </c>
      <c r="BB7" s="39" t="s">
        <v>892</v>
      </c>
      <c r="BC7" s="39" t="s">
        <v>922</v>
      </c>
      <c r="BD7" s="39" t="s">
        <v>894</v>
      </c>
      <c r="BE7" s="39" t="s">
        <v>923</v>
      </c>
      <c r="BF7" s="39" t="s">
        <v>924</v>
      </c>
      <c r="BG7" s="39" t="s">
        <v>925</v>
      </c>
      <c r="BH7" s="39" t="s">
        <v>926</v>
      </c>
      <c r="BI7" s="39" t="s">
        <v>927</v>
      </c>
      <c r="BJ7" s="39" t="s">
        <v>896</v>
      </c>
      <c r="BK7" s="39" t="s">
        <v>928</v>
      </c>
      <c r="BL7" s="39" t="s">
        <v>929</v>
      </c>
      <c r="BM7" s="39" t="s">
        <v>897</v>
      </c>
      <c r="BN7" s="39" t="s">
        <v>646</v>
      </c>
      <c r="BO7" s="39" t="s">
        <v>898</v>
      </c>
      <c r="BP7" s="38" t="s">
        <v>930</v>
      </c>
      <c r="BQ7" s="38" t="s">
        <v>878</v>
      </c>
      <c r="BR7" s="38" t="s">
        <v>931</v>
      </c>
      <c r="BS7" s="38" t="s">
        <v>932</v>
      </c>
      <c r="BT7" s="38" t="s">
        <v>933</v>
      </c>
      <c r="BU7" s="38" t="s">
        <v>934</v>
      </c>
      <c r="BV7" s="38" t="s">
        <v>935</v>
      </c>
      <c r="BW7" s="38" t="s">
        <v>936</v>
      </c>
      <c r="BX7" s="38" t="s">
        <v>937</v>
      </c>
      <c r="BY7" s="38" t="s">
        <v>884</v>
      </c>
      <c r="BZ7" s="38" t="s">
        <v>938</v>
      </c>
      <c r="CA7" s="38" t="s">
        <v>939</v>
      </c>
      <c r="CB7" s="38" t="s">
        <v>908</v>
      </c>
      <c r="CC7" s="38" t="s">
        <v>910</v>
      </c>
      <c r="CD7" s="38" t="s">
        <v>911</v>
      </c>
      <c r="CE7" s="38" t="s">
        <v>377</v>
      </c>
      <c r="CF7" s="38" t="s">
        <v>940</v>
      </c>
      <c r="CG7" s="38" t="s">
        <v>941</v>
      </c>
      <c r="CH7" s="38" t="s">
        <v>914</v>
      </c>
      <c r="CI7" s="38" t="s">
        <v>915</v>
      </c>
      <c r="CJ7" s="38" t="s">
        <v>916</v>
      </c>
      <c r="CK7" s="38" t="s">
        <v>918</v>
      </c>
      <c r="CL7" s="38" t="s">
        <v>942</v>
      </c>
      <c r="CM7" s="38" t="s">
        <v>892</v>
      </c>
      <c r="CN7" s="38" t="s">
        <v>894</v>
      </c>
      <c r="CO7" s="38" t="s">
        <v>943</v>
      </c>
      <c r="CP7" s="38" t="s">
        <v>526</v>
      </c>
      <c r="CQ7" s="38" t="s">
        <v>896</v>
      </c>
      <c r="CR7" s="38" t="s">
        <v>646</v>
      </c>
      <c r="CS7" s="38" t="s">
        <v>898</v>
      </c>
      <c r="CT7" s="38" t="s">
        <v>944</v>
      </c>
    </row>
    <row r="8" spans="1:98" ht="15.6" x14ac:dyDescent="0.3">
      <c r="A8" s="1"/>
      <c r="B8" s="40" t="s">
        <v>808</v>
      </c>
      <c r="C8" s="41">
        <v>3.6122999999999998</v>
      </c>
      <c r="D8" s="41"/>
      <c r="E8" s="41">
        <v>24.355689999999999</v>
      </c>
      <c r="F8" s="41">
        <v>12.225</v>
      </c>
      <c r="G8" s="41"/>
      <c r="H8" s="41"/>
      <c r="I8" s="41"/>
      <c r="J8" s="41"/>
      <c r="K8" s="41">
        <v>21.674199999999999</v>
      </c>
      <c r="L8" s="41">
        <v>26.859200000000001</v>
      </c>
      <c r="M8" s="41">
        <v>14.9451</v>
      </c>
      <c r="N8" s="41">
        <v>13.37</v>
      </c>
      <c r="O8" s="41">
        <v>31.544</v>
      </c>
      <c r="P8" s="41"/>
      <c r="Q8" s="41"/>
      <c r="R8" s="41">
        <v>50.055</v>
      </c>
      <c r="S8" s="41"/>
      <c r="T8" s="41">
        <v>14.78586</v>
      </c>
      <c r="U8" s="41"/>
      <c r="V8" s="41">
        <v>8.3000000000000007</v>
      </c>
      <c r="W8" s="41"/>
      <c r="X8" s="41">
        <v>130.67508000000001</v>
      </c>
      <c r="Y8" s="41"/>
      <c r="Z8" s="41">
        <v>9.7027900000000002</v>
      </c>
      <c r="AA8" s="41">
        <v>6.6993</v>
      </c>
      <c r="AB8" s="41"/>
      <c r="AC8" s="41">
        <v>16.61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1.8714</v>
      </c>
      <c r="AM8" s="41">
        <v>46.296250000000001</v>
      </c>
      <c r="AN8" s="41">
        <v>29.609030000000001</v>
      </c>
      <c r="AO8" s="41">
        <v>29.5366</v>
      </c>
      <c r="AP8" s="41">
        <v>0.81</v>
      </c>
      <c r="AQ8" s="41">
        <v>164.23</v>
      </c>
      <c r="AR8" s="41"/>
      <c r="AS8" s="41">
        <v>38.710999999999999</v>
      </c>
      <c r="AT8" s="41">
        <v>35.06</v>
      </c>
      <c r="AU8" s="41"/>
      <c r="AV8" s="41">
        <v>179.59503000000001</v>
      </c>
      <c r="AW8" s="41">
        <v>33.505220000000001</v>
      </c>
      <c r="AX8" s="41"/>
      <c r="AY8" s="41">
        <v>4.6900000000000004</v>
      </c>
      <c r="AZ8" s="41"/>
      <c r="BA8" s="41">
        <v>2.6</v>
      </c>
      <c r="BB8" s="41"/>
      <c r="BC8" s="41">
        <v>72.552800000000005</v>
      </c>
      <c r="BD8" s="41"/>
      <c r="BE8" s="41">
        <v>23.3</v>
      </c>
      <c r="BF8" s="41"/>
      <c r="BG8" s="41"/>
      <c r="BH8" s="41"/>
      <c r="BI8" s="41">
        <v>17.511749999999999</v>
      </c>
      <c r="BJ8" s="41"/>
      <c r="BK8" s="41">
        <v>4.5148999999999999</v>
      </c>
      <c r="BL8" s="41"/>
      <c r="BM8" s="41"/>
      <c r="BN8" s="41">
        <v>65.05</v>
      </c>
      <c r="BO8" s="41">
        <v>10.14175</v>
      </c>
      <c r="BP8" s="41">
        <v>145.02005</v>
      </c>
      <c r="BQ8" s="41">
        <v>1.7392000000000001</v>
      </c>
      <c r="BR8" s="41">
        <v>4.3407999999999998</v>
      </c>
      <c r="BS8" s="41">
        <v>129.06466</v>
      </c>
      <c r="BT8" s="41">
        <v>15.30927</v>
      </c>
      <c r="BU8" s="41"/>
      <c r="BV8" s="41"/>
      <c r="BW8" s="41">
        <v>3.85819</v>
      </c>
      <c r="BX8" s="41"/>
      <c r="BY8" s="41"/>
      <c r="BZ8" s="41">
        <v>85.656499999999994</v>
      </c>
      <c r="CA8" s="41">
        <v>18.15307</v>
      </c>
      <c r="CB8" s="41">
        <v>0.56759999999999999</v>
      </c>
      <c r="CC8" s="41">
        <v>0.56200000000000006</v>
      </c>
      <c r="CD8" s="41">
        <v>32.387599999999999</v>
      </c>
      <c r="CE8" s="41">
        <v>414.46066000000002</v>
      </c>
      <c r="CF8" s="41"/>
      <c r="CG8" s="41">
        <v>148.72909999999999</v>
      </c>
      <c r="CH8" s="41">
        <v>18.369</v>
      </c>
      <c r="CI8" s="41"/>
      <c r="CJ8" s="41"/>
      <c r="CK8" s="41">
        <v>17.671900000000001</v>
      </c>
      <c r="CL8" s="41">
        <v>4.72173</v>
      </c>
      <c r="CM8" s="41"/>
      <c r="CN8" s="41"/>
      <c r="CO8" s="41">
        <v>15.90476</v>
      </c>
      <c r="CP8" s="41">
        <v>258.36</v>
      </c>
      <c r="CQ8" s="41"/>
      <c r="CR8" s="41">
        <v>23.594000000000001</v>
      </c>
      <c r="CS8" s="41"/>
      <c r="CT8" s="41">
        <v>39.712000000000003</v>
      </c>
    </row>
    <row r="9" spans="1:98" ht="15.6" x14ac:dyDescent="0.3">
      <c r="A9" s="1"/>
      <c r="B9" s="42" t="s">
        <v>809</v>
      </c>
      <c r="C9" s="43">
        <v>3.8654000000000002</v>
      </c>
      <c r="D9" s="43"/>
      <c r="E9" s="43">
        <v>26.861540000000002</v>
      </c>
      <c r="F9" s="43">
        <v>11.914</v>
      </c>
      <c r="G9" s="43"/>
      <c r="H9" s="43"/>
      <c r="I9" s="43"/>
      <c r="J9" s="43"/>
      <c r="K9" s="43">
        <v>21.732700000000001</v>
      </c>
      <c r="L9" s="43">
        <v>27.3918</v>
      </c>
      <c r="M9" s="43">
        <v>14.3514</v>
      </c>
      <c r="N9" s="43">
        <v>14.26</v>
      </c>
      <c r="O9" s="43">
        <v>30.952000000000002</v>
      </c>
      <c r="P9" s="43"/>
      <c r="Q9" s="43"/>
      <c r="R9" s="43">
        <v>49.957999999999998</v>
      </c>
      <c r="S9" s="43"/>
      <c r="T9" s="43">
        <v>14.375999999999999</v>
      </c>
      <c r="U9" s="43"/>
      <c r="V9" s="43">
        <v>8.9</v>
      </c>
      <c r="W9" s="43"/>
      <c r="X9" s="43">
        <v>147.13974999999999</v>
      </c>
      <c r="Y9" s="43"/>
      <c r="Z9" s="43">
        <v>10.001659999999999</v>
      </c>
      <c r="AA9" s="43">
        <v>6.6787000000000001</v>
      </c>
      <c r="AB9" s="43"/>
      <c r="AC9" s="43">
        <v>16.559999999999999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1.6011</v>
      </c>
      <c r="AM9" s="43">
        <v>48.028030000000001</v>
      </c>
      <c r="AN9" s="43">
        <v>29.29326</v>
      </c>
      <c r="AO9" s="43">
        <v>29.174800000000001</v>
      </c>
      <c r="AP9" s="43">
        <v>0.7</v>
      </c>
      <c r="AQ9" s="43">
        <v>161.71</v>
      </c>
      <c r="AR9" s="43"/>
      <c r="AS9" s="43">
        <v>39.469000000000001</v>
      </c>
      <c r="AT9" s="43">
        <v>35.4</v>
      </c>
      <c r="AU9" s="43"/>
      <c r="AV9" s="43">
        <v>179.43357</v>
      </c>
      <c r="AW9" s="43">
        <v>33.36533</v>
      </c>
      <c r="AX9" s="43"/>
      <c r="AY9" s="43">
        <v>4.8600000000000003</v>
      </c>
      <c r="AZ9" s="43"/>
      <c r="BA9" s="43">
        <v>2.6</v>
      </c>
      <c r="BB9" s="43"/>
      <c r="BC9" s="43">
        <v>72.443129999999996</v>
      </c>
      <c r="BD9" s="43"/>
      <c r="BE9" s="43">
        <v>23.3</v>
      </c>
      <c r="BF9" s="43"/>
      <c r="BG9" s="43"/>
      <c r="BH9" s="43"/>
      <c r="BI9" s="43">
        <v>14.73002</v>
      </c>
      <c r="BJ9" s="43"/>
      <c r="BK9" s="43">
        <v>4.5682499999999999</v>
      </c>
      <c r="BL9" s="43"/>
      <c r="BM9" s="43"/>
      <c r="BN9" s="43">
        <v>64.989999999999995</v>
      </c>
      <c r="BO9" s="43">
        <v>9.2382799999999996</v>
      </c>
      <c r="BP9" s="43">
        <v>144.71976000000001</v>
      </c>
      <c r="BQ9" s="43">
        <v>1.6362000000000001</v>
      </c>
      <c r="BR9" s="43">
        <v>4.3525999999999998</v>
      </c>
      <c r="BS9" s="43">
        <v>128.65206000000001</v>
      </c>
      <c r="BT9" s="43">
        <v>14.408049999999999</v>
      </c>
      <c r="BU9" s="43"/>
      <c r="BV9" s="43"/>
      <c r="BW9" s="43">
        <v>3.9634800000000001</v>
      </c>
      <c r="BX9" s="43"/>
      <c r="BY9" s="43"/>
      <c r="BZ9" s="43">
        <v>86.071600000000004</v>
      </c>
      <c r="CA9" s="43">
        <v>18.161010000000001</v>
      </c>
      <c r="CB9" s="43">
        <v>0.53239999999999998</v>
      </c>
      <c r="CC9" s="43">
        <v>0.56399999999999995</v>
      </c>
      <c r="CD9" s="43">
        <v>32.392449999999997</v>
      </c>
      <c r="CE9" s="43">
        <v>414.54725000000002</v>
      </c>
      <c r="CF9" s="43"/>
      <c r="CG9" s="43">
        <v>152.43709999999999</v>
      </c>
      <c r="CH9" s="43">
        <v>18.155000000000001</v>
      </c>
      <c r="CI9" s="43"/>
      <c r="CJ9" s="43"/>
      <c r="CK9" s="43">
        <v>16.935199999999998</v>
      </c>
      <c r="CL9" s="43">
        <v>4.7910300000000001</v>
      </c>
      <c r="CM9" s="43"/>
      <c r="CN9" s="43"/>
      <c r="CO9" s="43">
        <v>16.38448</v>
      </c>
      <c r="CP9" s="43">
        <v>267.2</v>
      </c>
      <c r="CQ9" s="43"/>
      <c r="CR9" s="43">
        <v>25.097999999999999</v>
      </c>
      <c r="CS9" s="43"/>
      <c r="CT9" s="43">
        <v>39.222000000000001</v>
      </c>
    </row>
    <row r="10" spans="1:98" ht="15.6" x14ac:dyDescent="0.3">
      <c r="A10" s="1"/>
      <c r="B10" s="42" t="s">
        <v>810</v>
      </c>
      <c r="C10" s="43">
        <v>3.4973999999999998</v>
      </c>
      <c r="D10" s="43"/>
      <c r="E10" s="43">
        <v>23.514299999999999</v>
      </c>
      <c r="F10" s="43">
        <v>12.095000000000001</v>
      </c>
      <c r="G10" s="43"/>
      <c r="H10" s="43"/>
      <c r="I10" s="43"/>
      <c r="J10" s="43"/>
      <c r="K10" s="43">
        <v>21.369399999999999</v>
      </c>
      <c r="L10" s="43">
        <v>27.2864</v>
      </c>
      <c r="M10" s="43">
        <v>14.4026</v>
      </c>
      <c r="N10" s="43">
        <v>14.62</v>
      </c>
      <c r="O10" s="43">
        <v>30.762</v>
      </c>
      <c r="P10" s="43"/>
      <c r="Q10" s="43"/>
      <c r="R10" s="43">
        <v>50.029000000000003</v>
      </c>
      <c r="S10" s="43"/>
      <c r="T10" s="43">
        <v>36.60577</v>
      </c>
      <c r="U10" s="43"/>
      <c r="V10" s="43">
        <v>8.1999999999999993</v>
      </c>
      <c r="W10" s="43"/>
      <c r="X10" s="43">
        <v>166.66</v>
      </c>
      <c r="Y10" s="43"/>
      <c r="Z10" s="43">
        <v>10.004339999999999</v>
      </c>
      <c r="AA10" s="43">
        <v>6.4035000000000002</v>
      </c>
      <c r="AB10" s="43"/>
      <c r="AC10" s="43">
        <v>17.84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1.4348000000000001</v>
      </c>
      <c r="AM10" s="43">
        <v>49.958109999999998</v>
      </c>
      <c r="AN10" s="43">
        <v>29.812159999999999</v>
      </c>
      <c r="AO10" s="43">
        <v>29.919599999999999</v>
      </c>
      <c r="AP10" s="43">
        <v>0.64</v>
      </c>
      <c r="AQ10" s="43">
        <v>165.1</v>
      </c>
      <c r="AR10" s="43"/>
      <c r="AS10" s="43">
        <v>38.198999999999998</v>
      </c>
      <c r="AT10" s="43">
        <v>35.619999999999997</v>
      </c>
      <c r="AU10" s="43"/>
      <c r="AV10" s="43">
        <v>179.16012000000001</v>
      </c>
      <c r="AW10" s="43">
        <v>32.75188</v>
      </c>
      <c r="AX10" s="43"/>
      <c r="AY10" s="43">
        <v>5.51</v>
      </c>
      <c r="AZ10" s="43"/>
      <c r="BA10" s="43">
        <v>2.6</v>
      </c>
      <c r="BB10" s="43"/>
      <c r="BC10" s="43">
        <v>73.378050000000002</v>
      </c>
      <c r="BD10" s="43"/>
      <c r="BE10" s="43">
        <v>23.3</v>
      </c>
      <c r="BF10" s="43"/>
      <c r="BG10" s="43"/>
      <c r="BH10" s="43"/>
      <c r="BI10" s="43">
        <v>14.76383</v>
      </c>
      <c r="BJ10" s="43"/>
      <c r="BK10" s="43">
        <v>4.5877600000000003</v>
      </c>
      <c r="BL10" s="43"/>
      <c r="BM10" s="43"/>
      <c r="BN10" s="43">
        <v>66.34</v>
      </c>
      <c r="BO10" s="43">
        <v>9.13645</v>
      </c>
      <c r="BP10" s="43">
        <v>147.23205999999999</v>
      </c>
      <c r="BQ10" s="43">
        <v>1.8968</v>
      </c>
      <c r="BR10" s="43">
        <v>4.3037000000000001</v>
      </c>
      <c r="BS10" s="43">
        <v>130.16504</v>
      </c>
      <c r="BT10" s="43">
        <v>16.042680000000001</v>
      </c>
      <c r="BU10" s="43"/>
      <c r="BV10" s="43"/>
      <c r="BW10" s="43">
        <v>4.0072999999999999</v>
      </c>
      <c r="BX10" s="43"/>
      <c r="BY10" s="43"/>
      <c r="BZ10" s="43">
        <v>85.110399999999998</v>
      </c>
      <c r="CA10" s="43">
        <v>18.158919999999998</v>
      </c>
      <c r="CB10" s="43">
        <v>0.47939999999999999</v>
      </c>
      <c r="CC10" s="43">
        <v>0.56499999999999995</v>
      </c>
      <c r="CD10" s="43">
        <v>33.868429999999996</v>
      </c>
      <c r="CE10" s="43">
        <v>399.59528</v>
      </c>
      <c r="CF10" s="43"/>
      <c r="CG10" s="43">
        <v>156.54179999999999</v>
      </c>
      <c r="CH10" s="43">
        <v>18.494</v>
      </c>
      <c r="CI10" s="43"/>
      <c r="CJ10" s="43"/>
      <c r="CK10" s="43">
        <v>17.206499999999998</v>
      </c>
      <c r="CL10" s="43">
        <v>4.7743000000000002</v>
      </c>
      <c r="CM10" s="43"/>
      <c r="CN10" s="43"/>
      <c r="CO10" s="43">
        <v>15.56104</v>
      </c>
      <c r="CP10" s="43">
        <v>274.44</v>
      </c>
      <c r="CQ10" s="43"/>
      <c r="CR10" s="43">
        <v>25.675000000000001</v>
      </c>
      <c r="CS10" s="43"/>
      <c r="CT10" s="43">
        <v>39.045999999999999</v>
      </c>
    </row>
    <row r="11" spans="1:98" ht="15.6" x14ac:dyDescent="0.3">
      <c r="A11" s="1"/>
      <c r="B11" s="42" t="s">
        <v>811</v>
      </c>
      <c r="C11" s="43">
        <v>3.7012999999999998</v>
      </c>
      <c r="D11" s="43"/>
      <c r="E11" s="43">
        <v>23.386949999999999</v>
      </c>
      <c r="F11" s="43">
        <v>13.144</v>
      </c>
      <c r="G11" s="43"/>
      <c r="H11" s="43"/>
      <c r="I11" s="43"/>
      <c r="J11" s="43"/>
      <c r="K11" s="43">
        <v>21.236499999999999</v>
      </c>
      <c r="L11" s="43">
        <v>27.282299999999999</v>
      </c>
      <c r="M11" s="43">
        <v>14.311999999999999</v>
      </c>
      <c r="N11" s="43">
        <v>14.63</v>
      </c>
      <c r="O11" s="43">
        <v>31.606000000000002</v>
      </c>
      <c r="P11" s="43"/>
      <c r="Q11" s="43"/>
      <c r="R11" s="43">
        <v>49.085999999999999</v>
      </c>
      <c r="S11" s="43"/>
      <c r="T11" s="43">
        <v>36.457120000000003</v>
      </c>
      <c r="U11" s="43"/>
      <c r="V11" s="43">
        <v>4.8</v>
      </c>
      <c r="W11" s="43"/>
      <c r="X11" s="43">
        <v>151.85820000000001</v>
      </c>
      <c r="Y11" s="43"/>
      <c r="Z11" s="43">
        <v>9.9998799999999992</v>
      </c>
      <c r="AA11" s="43">
        <v>5.9615999999999998</v>
      </c>
      <c r="AB11" s="43"/>
      <c r="AC11" s="43">
        <v>17.86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1.409</v>
      </c>
      <c r="AM11" s="43">
        <v>52.233580000000003</v>
      </c>
      <c r="AN11" s="43">
        <v>29.008330000000001</v>
      </c>
      <c r="AO11" s="43">
        <v>29.3446</v>
      </c>
      <c r="AP11" s="43">
        <v>0.44</v>
      </c>
      <c r="AQ11" s="43">
        <v>163.88</v>
      </c>
      <c r="AR11" s="43"/>
      <c r="AS11" s="43">
        <v>39.308</v>
      </c>
      <c r="AT11" s="43">
        <v>36.01</v>
      </c>
      <c r="AU11" s="43"/>
      <c r="AV11" s="43">
        <v>191.92769999999999</v>
      </c>
      <c r="AW11" s="43">
        <v>32.594290000000001</v>
      </c>
      <c r="AX11" s="43"/>
      <c r="AY11" s="43">
        <v>5.89</v>
      </c>
      <c r="AZ11" s="43"/>
      <c r="BA11" s="43">
        <v>2.5</v>
      </c>
      <c r="BB11" s="43"/>
      <c r="BC11" s="43">
        <v>73.069289999999995</v>
      </c>
      <c r="BD11" s="43"/>
      <c r="BE11" s="43">
        <v>23.3</v>
      </c>
      <c r="BF11" s="43"/>
      <c r="BG11" s="43"/>
      <c r="BH11" s="43"/>
      <c r="BI11" s="43">
        <v>14.17591</v>
      </c>
      <c r="BJ11" s="43"/>
      <c r="BK11" s="43">
        <v>4.5201500000000001</v>
      </c>
      <c r="BL11" s="43"/>
      <c r="BM11" s="43"/>
      <c r="BN11" s="43">
        <v>66.44</v>
      </c>
      <c r="BO11" s="43">
        <v>8.6017100000000006</v>
      </c>
      <c r="BP11" s="43">
        <v>149.32066</v>
      </c>
      <c r="BQ11" s="43">
        <v>1.4604999999999999</v>
      </c>
      <c r="BR11" s="43">
        <v>4.4010999999999996</v>
      </c>
      <c r="BS11" s="43">
        <v>131.06808000000001</v>
      </c>
      <c r="BT11" s="43">
        <v>16.833629999999999</v>
      </c>
      <c r="BU11" s="43"/>
      <c r="BV11" s="43"/>
      <c r="BW11" s="43">
        <v>3.7307000000000001</v>
      </c>
      <c r="BX11" s="43"/>
      <c r="BY11" s="43"/>
      <c r="BZ11" s="43">
        <v>84.855599999999995</v>
      </c>
      <c r="CA11" s="43">
        <v>18.169139999999999</v>
      </c>
      <c r="CB11" s="43">
        <v>0.44419999999999998</v>
      </c>
      <c r="CC11" s="43">
        <v>0.56299999999999994</v>
      </c>
      <c r="CD11" s="43">
        <v>33.514980000000001</v>
      </c>
      <c r="CE11" s="43">
        <v>394.17459000000002</v>
      </c>
      <c r="CF11" s="43"/>
      <c r="CG11" s="43">
        <v>153.0361</v>
      </c>
      <c r="CH11" s="43">
        <v>18.402000000000001</v>
      </c>
      <c r="CI11" s="43"/>
      <c r="CJ11" s="43"/>
      <c r="CK11" s="43">
        <v>17.5763</v>
      </c>
      <c r="CL11" s="43">
        <v>4.4213500000000003</v>
      </c>
      <c r="CM11" s="43"/>
      <c r="CN11" s="43"/>
      <c r="CO11" s="43">
        <v>15.76093</v>
      </c>
      <c r="CP11" s="43">
        <v>268.51</v>
      </c>
      <c r="CQ11" s="43"/>
      <c r="CR11" s="43">
        <v>25.817</v>
      </c>
      <c r="CS11" s="43"/>
      <c r="CT11" s="43">
        <v>39.281999999999996</v>
      </c>
    </row>
    <row r="12" spans="1:98" ht="15.6" x14ac:dyDescent="0.3">
      <c r="A12" s="1"/>
      <c r="B12" s="42" t="s">
        <v>812</v>
      </c>
      <c r="C12" s="43">
        <v>3.7307999999999999</v>
      </c>
      <c r="D12" s="43"/>
      <c r="E12" s="43">
        <v>23.50469</v>
      </c>
      <c r="F12" s="43">
        <v>13.173</v>
      </c>
      <c r="G12" s="43"/>
      <c r="H12" s="43"/>
      <c r="I12" s="43"/>
      <c r="J12" s="43"/>
      <c r="K12" s="43">
        <v>20.338799999999999</v>
      </c>
      <c r="L12" s="43">
        <v>27.162199999999999</v>
      </c>
      <c r="M12" s="43">
        <v>15.3931</v>
      </c>
      <c r="N12" s="43">
        <v>14.51</v>
      </c>
      <c r="O12" s="43">
        <v>31.64</v>
      </c>
      <c r="P12" s="43"/>
      <c r="Q12" s="43"/>
      <c r="R12" s="43">
        <v>48.878</v>
      </c>
      <c r="S12" s="43"/>
      <c r="T12" s="43">
        <v>34.945569999999996</v>
      </c>
      <c r="U12" s="43"/>
      <c r="V12" s="43">
        <v>2.4</v>
      </c>
      <c r="W12" s="43"/>
      <c r="X12" s="43">
        <v>146.28536</v>
      </c>
      <c r="Y12" s="43"/>
      <c r="Z12" s="43">
        <v>10.03027</v>
      </c>
      <c r="AA12" s="43">
        <v>4.4287000000000001</v>
      </c>
      <c r="AB12" s="43"/>
      <c r="AC12" s="43">
        <v>17.52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1.369</v>
      </c>
      <c r="AM12" s="43">
        <v>53.619860000000003</v>
      </c>
      <c r="AN12" s="43">
        <v>27.898679999999999</v>
      </c>
      <c r="AO12" s="43">
        <v>29.2135</v>
      </c>
      <c r="AP12" s="43">
        <v>0.41</v>
      </c>
      <c r="AQ12" s="43">
        <v>164.58</v>
      </c>
      <c r="AR12" s="43"/>
      <c r="AS12" s="43">
        <v>38.555</v>
      </c>
      <c r="AT12" s="43">
        <v>35.369999999999997</v>
      </c>
      <c r="AU12" s="43"/>
      <c r="AV12" s="43">
        <v>192.37411</v>
      </c>
      <c r="AW12" s="43">
        <v>33.257280000000002</v>
      </c>
      <c r="AX12" s="43"/>
      <c r="AY12" s="43">
        <v>5.13</v>
      </c>
      <c r="AZ12" s="43"/>
      <c r="BA12" s="43">
        <v>2.5</v>
      </c>
      <c r="BB12" s="43"/>
      <c r="BC12" s="43">
        <v>72.926320000000004</v>
      </c>
      <c r="BD12" s="43"/>
      <c r="BE12" s="43">
        <v>23.3</v>
      </c>
      <c r="BF12" s="43"/>
      <c r="BG12" s="43"/>
      <c r="BH12" s="43"/>
      <c r="BI12" s="43">
        <v>14.812670000000001</v>
      </c>
      <c r="BJ12" s="43"/>
      <c r="BK12" s="43">
        <v>4.4459900000000001</v>
      </c>
      <c r="BL12" s="43"/>
      <c r="BM12" s="43"/>
      <c r="BN12" s="43">
        <v>66.11</v>
      </c>
      <c r="BO12" s="43">
        <v>9.1960099999999994</v>
      </c>
      <c r="BP12" s="43">
        <v>148.51415</v>
      </c>
      <c r="BQ12" s="43">
        <v>1.7029000000000001</v>
      </c>
      <c r="BR12" s="43">
        <v>4.3061999999999996</v>
      </c>
      <c r="BS12" s="43">
        <v>129.09139999999999</v>
      </c>
      <c r="BT12" s="43">
        <v>16.732140000000001</v>
      </c>
      <c r="BU12" s="43"/>
      <c r="BV12" s="43"/>
      <c r="BW12" s="43">
        <v>3.87202</v>
      </c>
      <c r="BX12" s="43"/>
      <c r="BY12" s="43"/>
      <c r="BZ12" s="43">
        <v>85.014700000000005</v>
      </c>
      <c r="CA12" s="43">
        <v>18.161059999999999</v>
      </c>
      <c r="CB12" s="43">
        <v>0.39710000000000001</v>
      </c>
      <c r="CC12" s="43">
        <v>0.54200000000000004</v>
      </c>
      <c r="CD12" s="43">
        <v>32.03105</v>
      </c>
      <c r="CE12" s="43">
        <v>395.25256000000002</v>
      </c>
      <c r="CF12" s="43"/>
      <c r="CG12" s="43">
        <v>152.10290000000001</v>
      </c>
      <c r="CH12" s="43">
        <v>18.417000000000002</v>
      </c>
      <c r="CI12" s="43"/>
      <c r="CJ12" s="43"/>
      <c r="CK12" s="43">
        <v>17.043199999999999</v>
      </c>
      <c r="CL12" s="43">
        <v>4.4270699999999996</v>
      </c>
      <c r="CM12" s="43"/>
      <c r="CN12" s="43"/>
      <c r="CO12" s="43">
        <v>16.281079999999999</v>
      </c>
      <c r="CP12" s="43">
        <v>268.93</v>
      </c>
      <c r="CQ12" s="43"/>
      <c r="CR12" s="43">
        <v>25.9</v>
      </c>
      <c r="CS12" s="43"/>
      <c r="CT12" s="43">
        <v>39.131</v>
      </c>
    </row>
    <row r="13" spans="1:98" ht="15.6" x14ac:dyDescent="0.3">
      <c r="A13" s="1"/>
      <c r="B13" s="42" t="s">
        <v>813</v>
      </c>
      <c r="C13" s="43">
        <v>3.5215000000000001</v>
      </c>
      <c r="D13" s="43"/>
      <c r="E13" s="43">
        <v>22.318349999999999</v>
      </c>
      <c r="F13" s="43">
        <v>12.832000000000001</v>
      </c>
      <c r="G13" s="43"/>
      <c r="H13" s="43"/>
      <c r="I13" s="43"/>
      <c r="J13" s="43"/>
      <c r="K13" s="43">
        <v>20.015000000000001</v>
      </c>
      <c r="L13" s="43">
        <v>27.105899999999998</v>
      </c>
      <c r="M13" s="43">
        <v>15.468999999999999</v>
      </c>
      <c r="N13" s="43">
        <v>14.37</v>
      </c>
      <c r="O13" s="43">
        <v>31.202000000000002</v>
      </c>
      <c r="P13" s="43"/>
      <c r="Q13" s="43"/>
      <c r="R13" s="43">
        <v>48.914999999999999</v>
      </c>
      <c r="S13" s="43"/>
      <c r="T13" s="43">
        <v>40.513019999999997</v>
      </c>
      <c r="U13" s="43"/>
      <c r="V13" s="43">
        <v>2.5</v>
      </c>
      <c r="W13" s="43"/>
      <c r="X13" s="43">
        <v>147.51614000000001</v>
      </c>
      <c r="Y13" s="43"/>
      <c r="Z13" s="43">
        <v>9.8257399999999997</v>
      </c>
      <c r="AA13" s="43">
        <v>4.5812999999999997</v>
      </c>
      <c r="AB13" s="43"/>
      <c r="AC13" s="43">
        <v>17.37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1.3362000000000001</v>
      </c>
      <c r="AM13" s="43">
        <v>53.652459999999998</v>
      </c>
      <c r="AN13" s="43">
        <v>29.179290000000002</v>
      </c>
      <c r="AO13" s="43">
        <v>29.536000000000001</v>
      </c>
      <c r="AP13" s="43">
        <v>0.67</v>
      </c>
      <c r="AQ13" s="43">
        <v>164.06</v>
      </c>
      <c r="AR13" s="43"/>
      <c r="AS13" s="43">
        <v>38.399000000000001</v>
      </c>
      <c r="AT13" s="43">
        <v>35.07</v>
      </c>
      <c r="AU13" s="43"/>
      <c r="AV13" s="43">
        <v>191.29641000000001</v>
      </c>
      <c r="AW13" s="43">
        <v>33.20552</v>
      </c>
      <c r="AX13" s="43"/>
      <c r="AY13" s="43">
        <v>5.0599999999999996</v>
      </c>
      <c r="AZ13" s="43"/>
      <c r="BA13" s="43">
        <v>2.6</v>
      </c>
      <c r="BB13" s="43"/>
      <c r="BC13" s="43">
        <v>73.103819999999999</v>
      </c>
      <c r="BD13" s="43"/>
      <c r="BE13" s="43">
        <v>23.3</v>
      </c>
      <c r="BF13" s="43"/>
      <c r="BG13" s="43"/>
      <c r="BH13" s="43"/>
      <c r="BI13" s="43">
        <v>16.19753</v>
      </c>
      <c r="BJ13" s="43"/>
      <c r="BK13" s="43">
        <v>4.40585</v>
      </c>
      <c r="BL13" s="43"/>
      <c r="BM13" s="43"/>
      <c r="BN13" s="43">
        <v>65.760000000000005</v>
      </c>
      <c r="BO13" s="43">
        <v>9.5165900000000008</v>
      </c>
      <c r="BP13" s="43">
        <v>144.49497</v>
      </c>
      <c r="BQ13" s="43">
        <v>1.9513</v>
      </c>
      <c r="BR13" s="43">
        <v>4.3627000000000002</v>
      </c>
      <c r="BS13" s="43">
        <v>132.70974000000001</v>
      </c>
      <c r="BT13" s="43">
        <v>16.921900000000001</v>
      </c>
      <c r="BU13" s="43"/>
      <c r="BV13" s="43"/>
      <c r="BW13" s="43">
        <v>3.9659300000000002</v>
      </c>
      <c r="BX13" s="43"/>
      <c r="BY13" s="43"/>
      <c r="BZ13" s="43">
        <v>84.3917</v>
      </c>
      <c r="CA13" s="43">
        <v>18.274100000000001</v>
      </c>
      <c r="CB13" s="43">
        <v>0.39419999999999999</v>
      </c>
      <c r="CC13" s="43">
        <v>0.54300000000000004</v>
      </c>
      <c r="CD13" s="43">
        <v>32.3217</v>
      </c>
      <c r="CE13" s="43">
        <v>391.50231000000002</v>
      </c>
      <c r="CF13" s="43"/>
      <c r="CG13" s="43">
        <v>153.42160000000001</v>
      </c>
      <c r="CH13" s="43">
        <v>18.686</v>
      </c>
      <c r="CI13" s="43"/>
      <c r="CJ13" s="43"/>
      <c r="CK13" s="43">
        <v>18.376200000000001</v>
      </c>
      <c r="CL13" s="43">
        <v>4.4310700000000001</v>
      </c>
      <c r="CM13" s="43"/>
      <c r="CN13" s="43"/>
      <c r="CO13" s="43">
        <v>16.989979999999999</v>
      </c>
      <c r="CP13" s="43">
        <v>282.29000000000002</v>
      </c>
      <c r="CQ13" s="43"/>
      <c r="CR13" s="43">
        <v>25.138000000000002</v>
      </c>
      <c r="CS13" s="43"/>
      <c r="CT13" s="43">
        <v>38.770000000000003</v>
      </c>
    </row>
    <row r="14" spans="1:98" ht="15.6" x14ac:dyDescent="0.3">
      <c r="A14" s="1"/>
      <c r="B14" s="42" t="s">
        <v>814</v>
      </c>
      <c r="C14" s="43">
        <v>3.5407999999999999</v>
      </c>
      <c r="D14" s="43"/>
      <c r="E14" s="43">
        <v>22.071709999999999</v>
      </c>
      <c r="F14" s="43">
        <v>12.715999999999999</v>
      </c>
      <c r="G14" s="43"/>
      <c r="H14" s="43"/>
      <c r="I14" s="43"/>
      <c r="J14" s="43"/>
      <c r="K14" s="43">
        <v>20.581099999999999</v>
      </c>
      <c r="L14" s="43">
        <v>26.945499999999999</v>
      </c>
      <c r="M14" s="43">
        <v>15.5349</v>
      </c>
      <c r="N14" s="43">
        <v>14.28</v>
      </c>
      <c r="O14" s="43">
        <v>30.512</v>
      </c>
      <c r="P14" s="43"/>
      <c r="Q14" s="43"/>
      <c r="R14" s="43">
        <v>48.817999999999998</v>
      </c>
      <c r="S14" s="43"/>
      <c r="T14" s="43">
        <v>47.744929999999997</v>
      </c>
      <c r="U14" s="43"/>
      <c r="V14" s="43">
        <v>2.2999999999999998</v>
      </c>
      <c r="W14" s="43"/>
      <c r="X14" s="43">
        <v>128.15519</v>
      </c>
      <c r="Y14" s="43"/>
      <c r="Z14" s="43">
        <v>9.4488900000000005</v>
      </c>
      <c r="AA14" s="43">
        <v>5.6082000000000001</v>
      </c>
      <c r="AB14" s="43"/>
      <c r="AC14" s="43">
        <v>17.27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1.2930999999999999</v>
      </c>
      <c r="AM14" s="43">
        <v>53.544780000000003</v>
      </c>
      <c r="AN14" s="43">
        <v>30.164670000000001</v>
      </c>
      <c r="AO14" s="43">
        <v>29.192900000000002</v>
      </c>
      <c r="AP14" s="43">
        <v>0.48</v>
      </c>
      <c r="AQ14" s="43">
        <v>164.78</v>
      </c>
      <c r="AR14" s="43"/>
      <c r="AS14" s="43">
        <v>37.938000000000002</v>
      </c>
      <c r="AT14" s="43">
        <v>34.54</v>
      </c>
      <c r="AU14" s="43"/>
      <c r="AV14" s="43">
        <v>189.70343</v>
      </c>
      <c r="AW14" s="43">
        <v>33.069479999999999</v>
      </c>
      <c r="AX14" s="43"/>
      <c r="AY14" s="43">
        <v>5.72</v>
      </c>
      <c r="AZ14" s="43"/>
      <c r="BA14" s="43">
        <v>2.4</v>
      </c>
      <c r="BB14" s="43"/>
      <c r="BC14" s="43">
        <v>73.044470000000004</v>
      </c>
      <c r="BD14" s="43"/>
      <c r="BE14" s="43">
        <v>23.3</v>
      </c>
      <c r="BF14" s="43"/>
      <c r="BG14" s="43"/>
      <c r="BH14" s="43"/>
      <c r="BI14" s="43">
        <v>17.395389999999999</v>
      </c>
      <c r="BJ14" s="43"/>
      <c r="BK14" s="43">
        <v>4.4944899999999999</v>
      </c>
      <c r="BL14" s="43"/>
      <c r="BM14" s="43"/>
      <c r="BN14" s="43">
        <v>60.87</v>
      </c>
      <c r="BO14" s="43">
        <v>9.8790399999999998</v>
      </c>
      <c r="BP14" s="43">
        <v>147.76449</v>
      </c>
      <c r="BQ14" s="43">
        <v>1.8059000000000001</v>
      </c>
      <c r="BR14" s="43">
        <v>4.6044999999999998</v>
      </c>
      <c r="BS14" s="43">
        <v>130.22798</v>
      </c>
      <c r="BT14" s="43">
        <v>14.85702</v>
      </c>
      <c r="BU14" s="43"/>
      <c r="BV14" s="43"/>
      <c r="BW14" s="43">
        <v>4.0273599999999998</v>
      </c>
      <c r="BX14" s="43"/>
      <c r="BY14" s="43"/>
      <c r="BZ14" s="43">
        <v>85.896600000000007</v>
      </c>
      <c r="CA14" s="43">
        <v>18.20138</v>
      </c>
      <c r="CB14" s="43">
        <v>0.38500000000000001</v>
      </c>
      <c r="CC14" s="43">
        <v>0.55400000000000005</v>
      </c>
      <c r="CD14" s="43">
        <v>34.076410000000003</v>
      </c>
      <c r="CE14" s="43">
        <v>394.89082000000002</v>
      </c>
      <c r="CF14" s="43"/>
      <c r="CG14" s="43">
        <v>147.71770000000001</v>
      </c>
      <c r="CH14" s="43">
        <v>18.466999999999999</v>
      </c>
      <c r="CI14" s="43"/>
      <c r="CJ14" s="43"/>
      <c r="CK14" s="43">
        <v>17.276</v>
      </c>
      <c r="CL14" s="43">
        <v>4.4260799999999998</v>
      </c>
      <c r="CM14" s="43"/>
      <c r="CN14" s="43"/>
      <c r="CO14" s="43">
        <v>17.0367</v>
      </c>
      <c r="CP14" s="43">
        <v>273.10000000000002</v>
      </c>
      <c r="CQ14" s="43"/>
      <c r="CR14" s="43">
        <v>26.175999999999998</v>
      </c>
      <c r="CS14" s="43"/>
      <c r="CT14" s="43">
        <v>38.625999999999998</v>
      </c>
    </row>
    <row r="15" spans="1:98" ht="15.6" x14ac:dyDescent="0.3">
      <c r="A15" s="1"/>
      <c r="B15" s="42" t="s">
        <v>815</v>
      </c>
      <c r="C15" s="43">
        <v>3.1919</v>
      </c>
      <c r="D15" s="43"/>
      <c r="E15" s="43">
        <v>23.612179999999999</v>
      </c>
      <c r="F15" s="43">
        <v>13.054</v>
      </c>
      <c r="G15" s="43"/>
      <c r="H15" s="43"/>
      <c r="I15" s="43"/>
      <c r="J15" s="43"/>
      <c r="K15" s="43">
        <v>20.384</v>
      </c>
      <c r="L15" s="43">
        <v>26.834</v>
      </c>
      <c r="M15" s="43">
        <v>15.491899999999999</v>
      </c>
      <c r="N15" s="43">
        <v>14.61</v>
      </c>
      <c r="O15" s="43">
        <v>29.98</v>
      </c>
      <c r="P15" s="43"/>
      <c r="Q15" s="43"/>
      <c r="R15" s="43">
        <v>48.707999999999998</v>
      </c>
      <c r="S15" s="43"/>
      <c r="T15" s="43">
        <v>43.980049999999999</v>
      </c>
      <c r="U15" s="43"/>
      <c r="V15" s="43">
        <v>2</v>
      </c>
      <c r="W15" s="43"/>
      <c r="X15" s="43">
        <v>119.50103</v>
      </c>
      <c r="Y15" s="43"/>
      <c r="Z15" s="43">
        <v>9.2444600000000001</v>
      </c>
      <c r="AA15" s="43">
        <v>5.5792999999999999</v>
      </c>
      <c r="AB15" s="43"/>
      <c r="AC15" s="43">
        <v>17.440000000000001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1.2997000000000001</v>
      </c>
      <c r="AM15" s="43">
        <v>52.728619999999999</v>
      </c>
      <c r="AN15" s="43">
        <v>29.82751</v>
      </c>
      <c r="AO15" s="43">
        <v>29.4344</v>
      </c>
      <c r="AP15" s="43">
        <v>0.18</v>
      </c>
      <c r="AQ15" s="43">
        <v>162.41999999999999</v>
      </c>
      <c r="AR15" s="43"/>
      <c r="AS15" s="43">
        <v>36.607999999999997</v>
      </c>
      <c r="AT15" s="43">
        <v>33.07</v>
      </c>
      <c r="AU15" s="43"/>
      <c r="AV15" s="43">
        <v>189.57447999999999</v>
      </c>
      <c r="AW15" s="43">
        <v>33.956290000000003</v>
      </c>
      <c r="AX15" s="43"/>
      <c r="AY15" s="43">
        <v>6.14</v>
      </c>
      <c r="AZ15" s="43"/>
      <c r="BA15" s="43">
        <v>2.4</v>
      </c>
      <c r="BB15" s="43"/>
      <c r="BC15" s="43">
        <v>73.043599999999998</v>
      </c>
      <c r="BD15" s="43"/>
      <c r="BE15" s="43">
        <v>23.3</v>
      </c>
      <c r="BF15" s="43"/>
      <c r="BG15" s="43"/>
      <c r="BH15" s="43"/>
      <c r="BI15" s="43">
        <v>18.068899999999999</v>
      </c>
      <c r="BJ15" s="43"/>
      <c r="BK15" s="43">
        <v>4.6003999999999996</v>
      </c>
      <c r="BL15" s="43"/>
      <c r="BM15" s="43"/>
      <c r="BN15" s="43">
        <v>61.9</v>
      </c>
      <c r="BO15" s="43">
        <v>9.7409099999999995</v>
      </c>
      <c r="BP15" s="43">
        <v>149.12730999999999</v>
      </c>
      <c r="BQ15" s="43">
        <v>1.8604000000000001</v>
      </c>
      <c r="BR15" s="43">
        <v>4.5359999999999996</v>
      </c>
      <c r="BS15" s="43">
        <v>132.08698999999999</v>
      </c>
      <c r="BT15" s="43">
        <v>16.699000000000002</v>
      </c>
      <c r="BU15" s="43"/>
      <c r="BV15" s="43"/>
      <c r="BW15" s="43">
        <v>3.8865599999999998</v>
      </c>
      <c r="BX15" s="43"/>
      <c r="BY15" s="43"/>
      <c r="BZ15" s="43">
        <v>85.069900000000004</v>
      </c>
      <c r="CA15" s="43">
        <v>18.224550000000001</v>
      </c>
      <c r="CB15" s="43">
        <v>0.37659999999999999</v>
      </c>
      <c r="CC15" s="43">
        <v>0.57199999999999995</v>
      </c>
      <c r="CD15" s="43">
        <v>34.980829999999997</v>
      </c>
      <c r="CE15" s="43">
        <v>389.02814999999998</v>
      </c>
      <c r="CF15" s="43"/>
      <c r="CG15" s="43">
        <v>151.0839</v>
      </c>
      <c r="CH15" s="43">
        <v>18.317</v>
      </c>
      <c r="CI15" s="43"/>
      <c r="CJ15" s="43"/>
      <c r="CK15" s="43">
        <v>17.298500000000001</v>
      </c>
      <c r="CL15" s="43">
        <v>4.4345600000000003</v>
      </c>
      <c r="CM15" s="43"/>
      <c r="CN15" s="43"/>
      <c r="CO15" s="43">
        <v>16.713380000000001</v>
      </c>
      <c r="CP15" s="43">
        <v>274.72000000000003</v>
      </c>
      <c r="CQ15" s="43"/>
      <c r="CR15" s="43">
        <v>25.788</v>
      </c>
      <c r="CS15" s="43"/>
      <c r="CT15" s="43">
        <v>38.703000000000003</v>
      </c>
    </row>
    <row r="16" spans="1:98" ht="15.6" x14ac:dyDescent="0.3">
      <c r="A16" s="1"/>
      <c r="B16" s="42" t="s">
        <v>816</v>
      </c>
      <c r="C16" s="43">
        <v>2.9466999999999999</v>
      </c>
      <c r="D16" s="43"/>
      <c r="E16" s="43">
        <v>23.396750000000001</v>
      </c>
      <c r="F16" s="43">
        <v>12.545999999999999</v>
      </c>
      <c r="G16" s="43"/>
      <c r="H16" s="43"/>
      <c r="I16" s="43"/>
      <c r="J16" s="43"/>
      <c r="K16" s="43">
        <v>20.365400000000001</v>
      </c>
      <c r="L16" s="43">
        <v>26.6677</v>
      </c>
      <c r="M16" s="43">
        <v>16.0624</v>
      </c>
      <c r="N16" s="43">
        <v>14.55</v>
      </c>
      <c r="O16" s="43">
        <v>30.277999999999999</v>
      </c>
      <c r="P16" s="43"/>
      <c r="Q16" s="43"/>
      <c r="R16" s="43">
        <v>48.722999999999999</v>
      </c>
      <c r="S16" s="43"/>
      <c r="T16" s="43">
        <v>47.198500000000003</v>
      </c>
      <c r="U16" s="43"/>
      <c r="V16" s="43">
        <v>2</v>
      </c>
      <c r="W16" s="43"/>
      <c r="X16" s="43">
        <v>117.95255</v>
      </c>
      <c r="Y16" s="43"/>
      <c r="Z16" s="43">
        <v>9.4458400000000005</v>
      </c>
      <c r="AA16" s="43">
        <v>5.46</v>
      </c>
      <c r="AB16" s="43"/>
      <c r="AC16" s="43">
        <v>17.22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1.2879</v>
      </c>
      <c r="AM16" s="43">
        <v>52.448790000000002</v>
      </c>
      <c r="AN16" s="43">
        <v>29.07442</v>
      </c>
      <c r="AO16" s="43">
        <v>28.813500000000001</v>
      </c>
      <c r="AP16" s="43">
        <v>1.65</v>
      </c>
      <c r="AQ16" s="43">
        <v>162.84</v>
      </c>
      <c r="AR16" s="43"/>
      <c r="AS16" s="43">
        <v>36.381</v>
      </c>
      <c r="AT16" s="43">
        <v>33.69</v>
      </c>
      <c r="AU16" s="43"/>
      <c r="AV16" s="43">
        <v>189.01924</v>
      </c>
      <c r="AW16" s="43">
        <v>33.81073</v>
      </c>
      <c r="AX16" s="43"/>
      <c r="AY16" s="43">
        <v>5.68</v>
      </c>
      <c r="AZ16" s="43"/>
      <c r="BA16" s="43">
        <v>2.4</v>
      </c>
      <c r="BB16" s="43"/>
      <c r="BC16" s="43">
        <v>73.078749999999999</v>
      </c>
      <c r="BD16" s="43"/>
      <c r="BE16" s="43">
        <v>23.3</v>
      </c>
      <c r="BF16" s="43"/>
      <c r="BG16" s="43"/>
      <c r="BH16" s="43"/>
      <c r="BI16" s="43">
        <v>17.220800000000001</v>
      </c>
      <c r="BJ16" s="43"/>
      <c r="BK16" s="43">
        <v>4.5141400000000003</v>
      </c>
      <c r="BL16" s="43"/>
      <c r="BM16" s="43"/>
      <c r="BN16" s="43">
        <v>61.94</v>
      </c>
      <c r="BO16" s="43">
        <v>9.0166400000000007</v>
      </c>
      <c r="BP16" s="43">
        <v>149.68778</v>
      </c>
      <c r="BQ16" s="43">
        <v>1.8241000000000001</v>
      </c>
      <c r="BR16" s="43">
        <v>4.5972</v>
      </c>
      <c r="BS16" s="43">
        <v>130.84589</v>
      </c>
      <c r="BT16" s="43">
        <v>16.088529999999999</v>
      </c>
      <c r="BU16" s="43"/>
      <c r="BV16" s="43"/>
      <c r="BW16" s="43">
        <v>3.9036599999999999</v>
      </c>
      <c r="BX16" s="43"/>
      <c r="BY16" s="43"/>
      <c r="BZ16" s="43">
        <v>69.255099999999999</v>
      </c>
      <c r="CA16" s="43">
        <v>18.29325</v>
      </c>
      <c r="CB16" s="43">
        <v>0.36159999999999998</v>
      </c>
      <c r="CC16" s="43">
        <v>0.56200000000000006</v>
      </c>
      <c r="CD16" s="43">
        <v>33.263120000000001</v>
      </c>
      <c r="CE16" s="43">
        <v>355.70481999999998</v>
      </c>
      <c r="CF16" s="43"/>
      <c r="CG16" s="43">
        <v>143.77180000000001</v>
      </c>
      <c r="CH16" s="43">
        <v>18.824999999999999</v>
      </c>
      <c r="CI16" s="43"/>
      <c r="CJ16" s="43"/>
      <c r="CK16" s="43">
        <v>17.5108</v>
      </c>
      <c r="CL16" s="43">
        <v>4.7367299999999997</v>
      </c>
      <c r="CM16" s="43"/>
      <c r="CN16" s="43"/>
      <c r="CO16" s="43">
        <v>16.648309999999999</v>
      </c>
      <c r="CP16" s="43">
        <v>281.87</v>
      </c>
      <c r="CQ16" s="43"/>
      <c r="CR16" s="43">
        <v>25.747</v>
      </c>
      <c r="CS16" s="43"/>
      <c r="CT16" s="43">
        <v>38.832999999999998</v>
      </c>
    </row>
    <row r="17" spans="1:98" ht="15.6" x14ac:dyDescent="0.3">
      <c r="A17" s="1"/>
      <c r="B17" s="42" t="s">
        <v>817</v>
      </c>
      <c r="C17" s="43">
        <v>3.1015999999999999</v>
      </c>
      <c r="D17" s="43"/>
      <c r="E17" s="43">
        <v>23.349589999999999</v>
      </c>
      <c r="F17" s="43">
        <v>12.039</v>
      </c>
      <c r="G17" s="43"/>
      <c r="H17" s="43"/>
      <c r="I17" s="43"/>
      <c r="J17" s="43"/>
      <c r="K17" s="43">
        <v>20.2912</v>
      </c>
      <c r="L17" s="43">
        <v>27.3399</v>
      </c>
      <c r="M17" s="43">
        <v>16.157</v>
      </c>
      <c r="N17" s="43">
        <v>14.47</v>
      </c>
      <c r="O17" s="43">
        <v>30.696000000000002</v>
      </c>
      <c r="P17" s="43"/>
      <c r="Q17" s="43"/>
      <c r="R17" s="43">
        <v>48.686999999999998</v>
      </c>
      <c r="S17" s="43"/>
      <c r="T17" s="43">
        <v>42.786140000000003</v>
      </c>
      <c r="U17" s="43"/>
      <c r="V17" s="43">
        <v>1.5</v>
      </c>
      <c r="W17" s="43"/>
      <c r="X17" s="43">
        <v>157.91934000000001</v>
      </c>
      <c r="Y17" s="43"/>
      <c r="Z17" s="43">
        <v>9.77013</v>
      </c>
      <c r="AA17" s="43">
        <v>5.5949</v>
      </c>
      <c r="AB17" s="43"/>
      <c r="AC17" s="43">
        <v>16.82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1.2897000000000001</v>
      </c>
      <c r="AM17" s="43">
        <v>53.095370000000003</v>
      </c>
      <c r="AN17" s="43">
        <v>28.53858</v>
      </c>
      <c r="AO17" s="43">
        <v>28.695</v>
      </c>
      <c r="AP17" s="43">
        <v>2.1</v>
      </c>
      <c r="AQ17" s="43">
        <v>164.74</v>
      </c>
      <c r="AR17" s="43"/>
      <c r="AS17" s="43">
        <v>36.444000000000003</v>
      </c>
      <c r="AT17" s="43">
        <v>32.19</v>
      </c>
      <c r="AU17" s="43"/>
      <c r="AV17" s="43">
        <v>188.90128000000001</v>
      </c>
      <c r="AW17" s="43">
        <v>32.452590000000001</v>
      </c>
      <c r="AX17" s="43"/>
      <c r="AY17" s="43">
        <v>5.34</v>
      </c>
      <c r="AZ17" s="43"/>
      <c r="BA17" s="43">
        <v>2.4</v>
      </c>
      <c r="BB17" s="43"/>
      <c r="BC17" s="43">
        <v>72.933199999999999</v>
      </c>
      <c r="BD17" s="43"/>
      <c r="BE17" s="43">
        <v>23.3</v>
      </c>
      <c r="BF17" s="43"/>
      <c r="BG17" s="43"/>
      <c r="BH17" s="43"/>
      <c r="BI17" s="43">
        <v>13.36562</v>
      </c>
      <c r="BJ17" s="43"/>
      <c r="BK17" s="43">
        <v>4.5050299999999996</v>
      </c>
      <c r="BL17" s="43"/>
      <c r="BM17" s="43"/>
      <c r="BN17" s="43">
        <v>62.55</v>
      </c>
      <c r="BO17" s="43">
        <v>9.7488100000000006</v>
      </c>
      <c r="BP17" s="43">
        <v>148.88937000000001</v>
      </c>
      <c r="BQ17" s="43">
        <v>1.7392000000000001</v>
      </c>
      <c r="BR17" s="43">
        <v>4.6525999999999996</v>
      </c>
      <c r="BS17" s="43">
        <v>130.2713</v>
      </c>
      <c r="BT17" s="43">
        <v>15.67578</v>
      </c>
      <c r="BU17" s="43"/>
      <c r="BV17" s="43"/>
      <c r="BW17" s="43">
        <v>4.3754099999999996</v>
      </c>
      <c r="BX17" s="43"/>
      <c r="BY17" s="43"/>
      <c r="BZ17" s="43">
        <v>80.438699999999997</v>
      </c>
      <c r="CA17" s="43">
        <v>18.291820000000001</v>
      </c>
      <c r="CB17" s="43">
        <v>0.35880000000000001</v>
      </c>
      <c r="CC17" s="43">
        <v>0.48299999999999998</v>
      </c>
      <c r="CD17" s="43">
        <v>32.894759999999998</v>
      </c>
      <c r="CE17" s="43">
        <v>346.79557</v>
      </c>
      <c r="CF17" s="43"/>
      <c r="CG17" s="43">
        <v>151.708</v>
      </c>
      <c r="CH17" s="43">
        <v>19.126000000000001</v>
      </c>
      <c r="CI17" s="43"/>
      <c r="CJ17" s="43"/>
      <c r="CK17" s="43">
        <v>16.873100000000001</v>
      </c>
      <c r="CL17" s="43">
        <v>4.62385</v>
      </c>
      <c r="CM17" s="43"/>
      <c r="CN17" s="43"/>
      <c r="CO17" s="43">
        <v>15.422029999999999</v>
      </c>
      <c r="CP17" s="43">
        <v>276.57</v>
      </c>
      <c r="CQ17" s="43"/>
      <c r="CR17" s="43">
        <v>26.036000000000001</v>
      </c>
      <c r="CS17" s="43"/>
      <c r="CT17" s="43">
        <v>38.720999999999997</v>
      </c>
    </row>
    <row r="18" spans="1:98" ht="15.6" x14ac:dyDescent="0.3">
      <c r="A18" s="1"/>
      <c r="B18" s="42" t="s">
        <v>818</v>
      </c>
      <c r="C18" s="43">
        <v>3.0728</v>
      </c>
      <c r="D18" s="43"/>
      <c r="E18" s="43">
        <v>23.492730000000002</v>
      </c>
      <c r="F18" s="43">
        <v>10.715999999999999</v>
      </c>
      <c r="G18" s="43"/>
      <c r="H18" s="43"/>
      <c r="I18" s="43"/>
      <c r="J18" s="43"/>
      <c r="K18" s="43">
        <v>20.2879</v>
      </c>
      <c r="L18" s="43">
        <v>27.754100000000001</v>
      </c>
      <c r="M18" s="43">
        <v>16.018699999999999</v>
      </c>
      <c r="N18" s="43">
        <v>13.35</v>
      </c>
      <c r="O18" s="43">
        <v>30.782</v>
      </c>
      <c r="P18" s="43"/>
      <c r="Q18" s="43"/>
      <c r="R18" s="43">
        <v>48.612000000000002</v>
      </c>
      <c r="S18" s="43"/>
      <c r="T18" s="43">
        <v>32.320749999999997</v>
      </c>
      <c r="U18" s="43"/>
      <c r="V18" s="43">
        <v>1.5</v>
      </c>
      <c r="W18" s="43"/>
      <c r="X18" s="43">
        <v>155.12117000000001</v>
      </c>
      <c r="Y18" s="43"/>
      <c r="Z18" s="43">
        <v>9.7604500000000005</v>
      </c>
      <c r="AA18" s="43">
        <v>5.5118999999999998</v>
      </c>
      <c r="AB18" s="43"/>
      <c r="AC18" s="43">
        <v>16.97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1.2619</v>
      </c>
      <c r="AM18" s="43">
        <v>53.211179999999999</v>
      </c>
      <c r="AN18" s="43">
        <v>29.257570000000001</v>
      </c>
      <c r="AO18" s="43">
        <v>28.763200000000001</v>
      </c>
      <c r="AP18" s="43">
        <v>1.93</v>
      </c>
      <c r="AQ18" s="43">
        <v>162.36000000000001</v>
      </c>
      <c r="AR18" s="43"/>
      <c r="AS18" s="43">
        <v>35.662999999999997</v>
      </c>
      <c r="AT18" s="43">
        <v>32.479999999999997</v>
      </c>
      <c r="AU18" s="43"/>
      <c r="AV18" s="43">
        <v>188.90252000000001</v>
      </c>
      <c r="AW18" s="43">
        <v>32.460039999999999</v>
      </c>
      <c r="AX18" s="43"/>
      <c r="AY18" s="43">
        <v>6.02</v>
      </c>
      <c r="AZ18" s="43"/>
      <c r="BA18" s="43">
        <v>2.5</v>
      </c>
      <c r="BB18" s="43"/>
      <c r="BC18" s="43">
        <v>72.884550000000004</v>
      </c>
      <c r="BD18" s="43"/>
      <c r="BE18" s="43">
        <v>23.3</v>
      </c>
      <c r="BF18" s="43"/>
      <c r="BG18" s="43"/>
      <c r="BH18" s="43"/>
      <c r="BI18" s="43">
        <v>13.569940000000001</v>
      </c>
      <c r="BJ18" s="43"/>
      <c r="BK18" s="43">
        <v>4.4920999999999998</v>
      </c>
      <c r="BL18" s="43"/>
      <c r="BM18" s="43"/>
      <c r="BN18" s="43">
        <v>62.43</v>
      </c>
      <c r="BO18" s="43">
        <v>9.4270600000000009</v>
      </c>
      <c r="BP18" s="43">
        <v>145.23632000000001</v>
      </c>
      <c r="BQ18" s="43">
        <v>1.6241000000000001</v>
      </c>
      <c r="BR18" s="43">
        <v>4.657</v>
      </c>
      <c r="BS18" s="43">
        <v>132.18324000000001</v>
      </c>
      <c r="BT18" s="43">
        <v>14.95208</v>
      </c>
      <c r="BU18" s="43"/>
      <c r="BV18" s="43"/>
      <c r="BW18" s="43">
        <v>3.85894</v>
      </c>
      <c r="BX18" s="43"/>
      <c r="BY18" s="43"/>
      <c r="BZ18" s="43">
        <v>82.3095</v>
      </c>
      <c r="CA18" s="43">
        <v>18.270949999999999</v>
      </c>
      <c r="CB18" s="43">
        <v>0.35389999999999999</v>
      </c>
      <c r="CC18" s="43">
        <v>0.57899999999999996</v>
      </c>
      <c r="CD18" s="43">
        <v>31.933430000000001</v>
      </c>
      <c r="CE18" s="43">
        <v>339.18036000000001</v>
      </c>
      <c r="CF18" s="43"/>
      <c r="CG18" s="43">
        <v>149.66239999999999</v>
      </c>
      <c r="CH18" s="43">
        <v>18.948</v>
      </c>
      <c r="CI18" s="43"/>
      <c r="CJ18" s="43"/>
      <c r="CK18" s="43">
        <v>16.273399999999999</v>
      </c>
      <c r="CL18" s="43">
        <v>4.4592400000000003</v>
      </c>
      <c r="CM18" s="43"/>
      <c r="CN18" s="43"/>
      <c r="CO18" s="43">
        <v>14.444710000000001</v>
      </c>
      <c r="CP18" s="43">
        <v>273.23</v>
      </c>
      <c r="CQ18" s="43"/>
      <c r="CR18" s="43">
        <v>26.478999999999999</v>
      </c>
      <c r="CS18" s="43"/>
      <c r="CT18" s="43">
        <v>38.444000000000003</v>
      </c>
    </row>
    <row r="19" spans="1:98" ht="15.6" x14ac:dyDescent="0.3">
      <c r="A19" s="1"/>
      <c r="B19" s="42" t="s">
        <v>819</v>
      </c>
      <c r="C19" s="43">
        <v>3.1758000000000002</v>
      </c>
      <c r="D19" s="43"/>
      <c r="E19" s="43">
        <v>23.42144</v>
      </c>
      <c r="F19" s="43">
        <v>10.036</v>
      </c>
      <c r="G19" s="43"/>
      <c r="H19" s="43"/>
      <c r="I19" s="43"/>
      <c r="J19" s="43"/>
      <c r="K19" s="43">
        <v>21.772600000000001</v>
      </c>
      <c r="L19" s="43">
        <v>28.365100000000002</v>
      </c>
      <c r="M19" s="43">
        <v>15.7738</v>
      </c>
      <c r="N19" s="43">
        <v>13.54</v>
      </c>
      <c r="O19" s="43">
        <v>30.725999999999999</v>
      </c>
      <c r="P19" s="43"/>
      <c r="Q19" s="43"/>
      <c r="R19" s="43">
        <v>48.936999999999998</v>
      </c>
      <c r="S19" s="43"/>
      <c r="T19" s="43">
        <v>33.491039999999998</v>
      </c>
      <c r="U19" s="43"/>
      <c r="V19" s="43">
        <v>1.4</v>
      </c>
      <c r="W19" s="43"/>
      <c r="X19" s="43">
        <v>158.12588</v>
      </c>
      <c r="Y19" s="43"/>
      <c r="Z19" s="43">
        <v>9.7826299999999993</v>
      </c>
      <c r="AA19" s="43">
        <v>6.1712999999999996</v>
      </c>
      <c r="AB19" s="43"/>
      <c r="AC19" s="43">
        <v>17.8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1.421</v>
      </c>
      <c r="AM19" s="43">
        <v>53.528329999999997</v>
      </c>
      <c r="AN19" s="43">
        <v>28.335540000000002</v>
      </c>
      <c r="AO19" s="43">
        <v>24.305299999999999</v>
      </c>
      <c r="AP19" s="43">
        <v>1.54</v>
      </c>
      <c r="AQ19" s="43">
        <v>163.66</v>
      </c>
      <c r="AR19" s="43"/>
      <c r="AS19" s="43">
        <v>35.411000000000001</v>
      </c>
      <c r="AT19" s="43">
        <v>32.14</v>
      </c>
      <c r="AU19" s="43"/>
      <c r="AV19" s="43">
        <v>189.05099999999999</v>
      </c>
      <c r="AW19" s="43">
        <v>31.375910000000001</v>
      </c>
      <c r="AX19" s="43"/>
      <c r="AY19" s="43">
        <v>6.34</v>
      </c>
      <c r="AZ19" s="43"/>
      <c r="BA19" s="43">
        <v>2.4</v>
      </c>
      <c r="BB19" s="43"/>
      <c r="BC19" s="43">
        <v>72.965580000000003</v>
      </c>
      <c r="BD19" s="43"/>
      <c r="BE19" s="43">
        <v>23.3</v>
      </c>
      <c r="BF19" s="43"/>
      <c r="BG19" s="43"/>
      <c r="BH19" s="43"/>
      <c r="BI19" s="43">
        <v>13.095330000000001</v>
      </c>
      <c r="BJ19" s="43"/>
      <c r="BK19" s="43">
        <v>4.3890900000000004</v>
      </c>
      <c r="BL19" s="43"/>
      <c r="BM19" s="43"/>
      <c r="BN19" s="43">
        <v>60.02</v>
      </c>
      <c r="BO19" s="43">
        <v>9.4669699999999999</v>
      </c>
      <c r="BP19" s="43">
        <v>145.66981000000001</v>
      </c>
      <c r="BQ19" s="43">
        <v>1.3392999999999999</v>
      </c>
      <c r="BR19" s="43">
        <v>4.5457000000000001</v>
      </c>
      <c r="BS19" s="43">
        <v>130.48212000000001</v>
      </c>
      <c r="BT19" s="43">
        <v>14.30861</v>
      </c>
      <c r="BU19" s="43"/>
      <c r="BV19" s="43"/>
      <c r="BW19" s="43">
        <v>3.6508500000000002</v>
      </c>
      <c r="BX19" s="43"/>
      <c r="BY19" s="43"/>
      <c r="BZ19" s="43">
        <v>83.586799999999997</v>
      </c>
      <c r="CA19" s="43">
        <v>18.25478</v>
      </c>
      <c r="CB19" s="43">
        <v>0.35959999999999998</v>
      </c>
      <c r="CC19" s="43">
        <v>0.60799999999999998</v>
      </c>
      <c r="CD19" s="43">
        <v>31.31973</v>
      </c>
      <c r="CE19" s="43">
        <v>332.41946999999999</v>
      </c>
      <c r="CF19" s="43"/>
      <c r="CG19" s="43">
        <v>141.9496</v>
      </c>
      <c r="CH19" s="43">
        <v>18.629000000000001</v>
      </c>
      <c r="CI19" s="43"/>
      <c r="CJ19" s="43"/>
      <c r="CK19" s="43">
        <v>15.301500000000001</v>
      </c>
      <c r="CL19" s="43">
        <v>4.4242299999999997</v>
      </c>
      <c r="CM19" s="43"/>
      <c r="CN19" s="43"/>
      <c r="CO19" s="43">
        <v>14.24268</v>
      </c>
      <c r="CP19" s="43">
        <v>276.44</v>
      </c>
      <c r="CQ19" s="43"/>
      <c r="CR19" s="43">
        <v>26.297999999999998</v>
      </c>
      <c r="CS19" s="43"/>
      <c r="CT19" s="43">
        <v>38.040999999999997</v>
      </c>
    </row>
    <row r="20" spans="1:98" ht="15.6" x14ac:dyDescent="0.3">
      <c r="A20" s="1"/>
      <c r="B20" s="42" t="s">
        <v>820</v>
      </c>
      <c r="C20" s="43">
        <v>3.6185999999999998</v>
      </c>
      <c r="D20" s="43"/>
      <c r="E20" s="43">
        <v>23.44501</v>
      </c>
      <c r="F20" s="43">
        <v>8.9390000000000001</v>
      </c>
      <c r="G20" s="43"/>
      <c r="H20" s="43"/>
      <c r="I20" s="43"/>
      <c r="J20" s="43"/>
      <c r="K20" s="43">
        <v>21.6769</v>
      </c>
      <c r="L20" s="43">
        <v>29.0169</v>
      </c>
      <c r="M20" s="43">
        <v>14.9711</v>
      </c>
      <c r="N20" s="43">
        <v>14.99</v>
      </c>
      <c r="O20" s="43">
        <v>30.738</v>
      </c>
      <c r="P20" s="43"/>
      <c r="Q20" s="43"/>
      <c r="R20" s="43">
        <v>48.646999999999998</v>
      </c>
      <c r="S20" s="43"/>
      <c r="T20" s="43">
        <v>41.92989</v>
      </c>
      <c r="U20" s="43"/>
      <c r="V20" s="43">
        <v>1.5</v>
      </c>
      <c r="W20" s="43"/>
      <c r="X20" s="43">
        <v>148.52519000000001</v>
      </c>
      <c r="Y20" s="43"/>
      <c r="Z20" s="43">
        <v>9.8050899999999999</v>
      </c>
      <c r="AA20" s="43">
        <v>6.3362999999999996</v>
      </c>
      <c r="AB20" s="43"/>
      <c r="AC20" s="43">
        <v>17.62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1.6913</v>
      </c>
      <c r="AM20" s="43">
        <v>52.563960000000002</v>
      </c>
      <c r="AN20" s="43">
        <v>26.142230000000001</v>
      </c>
      <c r="AO20" s="43">
        <v>22.8718</v>
      </c>
      <c r="AP20" s="43">
        <v>0.55000000000000004</v>
      </c>
      <c r="AQ20" s="43">
        <v>163.38</v>
      </c>
      <c r="AR20" s="43"/>
      <c r="AS20" s="43">
        <v>34.655999999999999</v>
      </c>
      <c r="AT20" s="43">
        <v>31.83</v>
      </c>
      <c r="AU20" s="43"/>
      <c r="AV20" s="43">
        <v>188.67887999999999</v>
      </c>
      <c r="AW20" s="43">
        <v>30.505700000000001</v>
      </c>
      <c r="AX20" s="43"/>
      <c r="AY20" s="43">
        <v>5.99</v>
      </c>
      <c r="AZ20" s="43"/>
      <c r="BA20" s="43">
        <v>2.4</v>
      </c>
      <c r="BB20" s="43"/>
      <c r="BC20" s="43">
        <v>72.391930000000002</v>
      </c>
      <c r="BD20" s="43"/>
      <c r="BE20" s="43">
        <v>23.3</v>
      </c>
      <c r="BF20" s="43"/>
      <c r="BG20" s="43"/>
      <c r="BH20" s="43"/>
      <c r="BI20" s="43">
        <v>13.298780000000001</v>
      </c>
      <c r="BJ20" s="43"/>
      <c r="BK20" s="43">
        <v>4.4596999999999998</v>
      </c>
      <c r="BL20" s="43"/>
      <c r="BM20" s="43"/>
      <c r="BN20" s="43">
        <v>60.71</v>
      </c>
      <c r="BO20" s="43">
        <v>9.4339200000000005</v>
      </c>
      <c r="BP20" s="43">
        <v>147.17734999999999</v>
      </c>
      <c r="BQ20" s="43">
        <v>1.5938000000000001</v>
      </c>
      <c r="BR20" s="43">
        <v>4.2047999999999996</v>
      </c>
      <c r="BS20" s="43">
        <v>130.55994000000001</v>
      </c>
      <c r="BT20" s="43">
        <v>13.818899999999999</v>
      </c>
      <c r="BU20" s="43"/>
      <c r="BV20" s="43"/>
      <c r="BW20" s="43">
        <v>3.6075599999999999</v>
      </c>
      <c r="BX20" s="43"/>
      <c r="BY20" s="43"/>
      <c r="BZ20" s="43">
        <v>83.705100000000002</v>
      </c>
      <c r="CA20" s="43">
        <v>18.258949999999999</v>
      </c>
      <c r="CB20" s="43">
        <v>0.36940000000000001</v>
      </c>
      <c r="CC20" s="43">
        <v>0.57199999999999995</v>
      </c>
      <c r="CD20" s="43">
        <v>29.69351</v>
      </c>
      <c r="CE20" s="43">
        <v>318.64632</v>
      </c>
      <c r="CF20" s="43"/>
      <c r="CG20" s="43">
        <v>135.4007</v>
      </c>
      <c r="CH20" s="43">
        <v>18.274999999999999</v>
      </c>
      <c r="CI20" s="43"/>
      <c r="CJ20" s="43"/>
      <c r="CK20" s="43">
        <v>15.596399999999999</v>
      </c>
      <c r="CL20" s="43">
        <v>4.3401699999999996</v>
      </c>
      <c r="CM20" s="43"/>
      <c r="CN20" s="43"/>
      <c r="CO20" s="43">
        <v>14.08569</v>
      </c>
      <c r="CP20" s="43">
        <v>279.70999999999998</v>
      </c>
      <c r="CQ20" s="43"/>
      <c r="CR20" s="43">
        <v>26.184999999999999</v>
      </c>
      <c r="CS20" s="43"/>
      <c r="CT20" s="43">
        <v>37.582999999999998</v>
      </c>
    </row>
    <row r="21" spans="1:98" ht="15.6" x14ac:dyDescent="0.3">
      <c r="A21" s="1"/>
      <c r="B21" s="42" t="s">
        <v>821</v>
      </c>
      <c r="C21" s="43">
        <v>3.4199000000000002</v>
      </c>
      <c r="D21" s="43"/>
      <c r="E21" s="43">
        <v>22.63214</v>
      </c>
      <c r="F21" s="43">
        <v>9.0719999999999992</v>
      </c>
      <c r="G21" s="43"/>
      <c r="H21" s="43"/>
      <c r="I21" s="43"/>
      <c r="J21" s="43"/>
      <c r="K21" s="43">
        <v>21.5502</v>
      </c>
      <c r="L21" s="43">
        <v>28.8672</v>
      </c>
      <c r="M21" s="43">
        <v>12.285</v>
      </c>
      <c r="N21" s="43">
        <v>14.83</v>
      </c>
      <c r="O21" s="43">
        <v>29.942</v>
      </c>
      <c r="P21" s="43"/>
      <c r="Q21" s="43"/>
      <c r="R21" s="43">
        <v>48.124000000000002</v>
      </c>
      <c r="S21" s="43"/>
      <c r="T21" s="43">
        <v>37.794670000000004</v>
      </c>
      <c r="U21" s="43"/>
      <c r="V21" s="43">
        <v>1.3</v>
      </c>
      <c r="W21" s="43"/>
      <c r="X21" s="43">
        <v>153.59664000000001</v>
      </c>
      <c r="Y21" s="43"/>
      <c r="Z21" s="43">
        <v>9.6774500000000003</v>
      </c>
      <c r="AA21" s="43">
        <v>5.9641999999999999</v>
      </c>
      <c r="AB21" s="43"/>
      <c r="AC21" s="43">
        <v>17.3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1.6924999999999999</v>
      </c>
      <c r="AM21" s="43">
        <v>46.50967</v>
      </c>
      <c r="AN21" s="43">
        <v>25.35604</v>
      </c>
      <c r="AO21" s="43">
        <v>23.222000000000001</v>
      </c>
      <c r="AP21" s="43">
        <v>0.91</v>
      </c>
      <c r="AQ21" s="43">
        <v>162.06</v>
      </c>
      <c r="AR21" s="43"/>
      <c r="AS21" s="43">
        <v>32.478999999999999</v>
      </c>
      <c r="AT21" s="43">
        <v>31.93</v>
      </c>
      <c r="AU21" s="43"/>
      <c r="AV21" s="43">
        <v>189.20572999999999</v>
      </c>
      <c r="AW21" s="43">
        <v>28.994389999999999</v>
      </c>
      <c r="AX21" s="43"/>
      <c r="AY21" s="43">
        <v>5.78</v>
      </c>
      <c r="AZ21" s="43"/>
      <c r="BA21" s="43">
        <v>2.4</v>
      </c>
      <c r="BB21" s="43"/>
      <c r="BC21" s="43">
        <v>72.428210000000007</v>
      </c>
      <c r="BD21" s="43"/>
      <c r="BE21" s="43">
        <v>22.6</v>
      </c>
      <c r="BF21" s="43"/>
      <c r="BG21" s="43"/>
      <c r="BH21" s="43"/>
      <c r="BI21" s="43">
        <v>13.17473</v>
      </c>
      <c r="BJ21" s="43"/>
      <c r="BK21" s="43">
        <v>4.6095199999999998</v>
      </c>
      <c r="BL21" s="43"/>
      <c r="BM21" s="43"/>
      <c r="BN21" s="43">
        <v>56.11</v>
      </c>
      <c r="BO21" s="43">
        <v>10.11243</v>
      </c>
      <c r="BP21" s="43">
        <v>147.61165</v>
      </c>
      <c r="BQ21" s="43">
        <v>1.8180000000000001</v>
      </c>
      <c r="BR21" s="43">
        <v>4.1227999999999998</v>
      </c>
      <c r="BS21" s="43">
        <v>124.06867</v>
      </c>
      <c r="BT21" s="43">
        <v>12.28177</v>
      </c>
      <c r="BU21" s="43"/>
      <c r="BV21" s="43"/>
      <c r="BW21" s="43">
        <v>3.8024800000000001</v>
      </c>
      <c r="BX21" s="43"/>
      <c r="BY21" s="43"/>
      <c r="BZ21" s="43">
        <v>83.061599999999999</v>
      </c>
      <c r="CA21" s="43">
        <v>18.167290000000001</v>
      </c>
      <c r="CB21" s="43">
        <v>0.37659999999999999</v>
      </c>
      <c r="CC21" s="43">
        <v>0.55900000000000005</v>
      </c>
      <c r="CD21" s="43">
        <v>29.526710000000001</v>
      </c>
      <c r="CE21" s="43">
        <v>336.67541</v>
      </c>
      <c r="CF21" s="43"/>
      <c r="CG21" s="43">
        <v>151.26240000000001</v>
      </c>
      <c r="CH21" s="43">
        <v>17.646000000000001</v>
      </c>
      <c r="CI21" s="43"/>
      <c r="CJ21" s="43"/>
      <c r="CK21" s="43">
        <v>15.8385</v>
      </c>
      <c r="CL21" s="43">
        <v>4.2793900000000002</v>
      </c>
      <c r="CM21" s="43"/>
      <c r="CN21" s="43"/>
      <c r="CO21" s="43">
        <v>13.63265</v>
      </c>
      <c r="CP21" s="43">
        <v>272.3</v>
      </c>
      <c r="CQ21" s="43"/>
      <c r="CR21" s="43">
        <v>25.8</v>
      </c>
      <c r="CS21" s="43"/>
      <c r="CT21" s="43">
        <v>37.694000000000003</v>
      </c>
    </row>
    <row r="22" spans="1:98" ht="15.6" x14ac:dyDescent="0.3">
      <c r="A22" s="1"/>
      <c r="B22" s="42" t="s">
        <v>822</v>
      </c>
      <c r="C22" s="43">
        <v>3.5072999999999999</v>
      </c>
      <c r="D22" s="43"/>
      <c r="E22" s="43">
        <v>22.412890000000001</v>
      </c>
      <c r="F22" s="43">
        <v>11.504</v>
      </c>
      <c r="G22" s="43"/>
      <c r="H22" s="43"/>
      <c r="I22" s="43"/>
      <c r="J22" s="43"/>
      <c r="K22" s="43">
        <v>21.229500000000002</v>
      </c>
      <c r="L22" s="43">
        <v>28.8933</v>
      </c>
      <c r="M22" s="43">
        <v>12.161</v>
      </c>
      <c r="N22" s="43">
        <v>14.62</v>
      </c>
      <c r="O22" s="43">
        <v>30.547999999999998</v>
      </c>
      <c r="P22" s="43"/>
      <c r="Q22" s="43"/>
      <c r="R22" s="43">
        <v>48.183</v>
      </c>
      <c r="S22" s="43"/>
      <c r="T22" s="43">
        <v>45.474609999999998</v>
      </c>
      <c r="U22" s="43"/>
      <c r="V22" s="43">
        <v>1.2</v>
      </c>
      <c r="W22" s="43"/>
      <c r="X22" s="43">
        <v>127.62863</v>
      </c>
      <c r="Y22" s="43"/>
      <c r="Z22" s="43">
        <v>9.4777500000000003</v>
      </c>
      <c r="AA22" s="43">
        <v>4.7092000000000001</v>
      </c>
      <c r="AB22" s="43"/>
      <c r="AC22" s="43">
        <v>17.02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2.0693999999999999</v>
      </c>
      <c r="AM22" s="43">
        <v>51.18683</v>
      </c>
      <c r="AN22" s="43">
        <v>25.298089999999998</v>
      </c>
      <c r="AO22" s="43">
        <v>26.963100000000001</v>
      </c>
      <c r="AP22" s="43">
        <v>0.73</v>
      </c>
      <c r="AQ22" s="43">
        <v>160.76</v>
      </c>
      <c r="AR22" s="43"/>
      <c r="AS22" s="43">
        <v>33.064</v>
      </c>
      <c r="AT22" s="43">
        <v>32.880000000000003</v>
      </c>
      <c r="AU22" s="43"/>
      <c r="AV22" s="43">
        <v>189.06852000000001</v>
      </c>
      <c r="AW22" s="43">
        <v>29.19117</v>
      </c>
      <c r="AX22" s="43"/>
      <c r="AY22" s="43">
        <v>5.24</v>
      </c>
      <c r="AZ22" s="43"/>
      <c r="BA22" s="43">
        <v>2.4</v>
      </c>
      <c r="BB22" s="43"/>
      <c r="BC22" s="43">
        <v>72.616240000000005</v>
      </c>
      <c r="BD22" s="43"/>
      <c r="BE22" s="43">
        <v>22.6</v>
      </c>
      <c r="BF22" s="43"/>
      <c r="BG22" s="43"/>
      <c r="BH22" s="43"/>
      <c r="BI22" s="43">
        <v>13.25056</v>
      </c>
      <c r="BJ22" s="43"/>
      <c r="BK22" s="43">
        <v>4.6457800000000002</v>
      </c>
      <c r="BL22" s="43"/>
      <c r="BM22" s="43"/>
      <c r="BN22" s="43">
        <v>55.82</v>
      </c>
      <c r="BO22" s="43">
        <v>10.23307</v>
      </c>
      <c r="BP22" s="43">
        <v>143.89202</v>
      </c>
      <c r="BQ22" s="43">
        <v>1.7089000000000001</v>
      </c>
      <c r="BR22" s="43">
        <v>4.4797000000000002</v>
      </c>
      <c r="BS22" s="43">
        <v>126.91679000000001</v>
      </c>
      <c r="BT22" s="43">
        <v>12.370620000000001</v>
      </c>
      <c r="BU22" s="43"/>
      <c r="BV22" s="43"/>
      <c r="BW22" s="43">
        <v>3.7307000000000001</v>
      </c>
      <c r="BX22" s="43"/>
      <c r="BY22" s="43"/>
      <c r="BZ22" s="43">
        <v>84.188199999999995</v>
      </c>
      <c r="CA22" s="43">
        <v>18.16058</v>
      </c>
      <c r="CB22" s="43">
        <v>0.46110000000000001</v>
      </c>
      <c r="CC22" s="43">
        <v>0.54</v>
      </c>
      <c r="CD22" s="43">
        <v>30.13561</v>
      </c>
      <c r="CE22" s="43">
        <v>373.20803000000001</v>
      </c>
      <c r="CF22" s="43"/>
      <c r="CG22" s="43">
        <v>149.92769999999999</v>
      </c>
      <c r="CH22" s="43">
        <v>17.524999999999999</v>
      </c>
      <c r="CI22" s="43"/>
      <c r="CJ22" s="43"/>
      <c r="CK22" s="43">
        <v>15.6296</v>
      </c>
      <c r="CL22" s="43">
        <v>4.2666399999999998</v>
      </c>
      <c r="CM22" s="43"/>
      <c r="CN22" s="43"/>
      <c r="CO22" s="43">
        <v>13.962630000000001</v>
      </c>
      <c r="CP22" s="43">
        <v>273.70999999999998</v>
      </c>
      <c r="CQ22" s="43"/>
      <c r="CR22" s="43">
        <v>26.341999999999999</v>
      </c>
      <c r="CS22" s="43"/>
      <c r="CT22" s="43">
        <v>33.595999999999997</v>
      </c>
    </row>
    <row r="23" spans="1:98" ht="15.6" x14ac:dyDescent="0.3">
      <c r="A23" s="1"/>
      <c r="B23" s="42" t="s">
        <v>823</v>
      </c>
      <c r="C23" s="43">
        <v>3.2071000000000001</v>
      </c>
      <c r="D23" s="43"/>
      <c r="E23" s="43">
        <v>22.54382</v>
      </c>
      <c r="F23" s="43">
        <v>12.069000000000001</v>
      </c>
      <c r="G23" s="43"/>
      <c r="H23" s="43"/>
      <c r="I23" s="43"/>
      <c r="J23" s="43"/>
      <c r="K23" s="43">
        <v>20.622399999999999</v>
      </c>
      <c r="L23" s="43">
        <v>28.5655</v>
      </c>
      <c r="M23" s="43">
        <v>12.2395</v>
      </c>
      <c r="N23" s="43">
        <v>14.81</v>
      </c>
      <c r="O23" s="43">
        <v>30.552</v>
      </c>
      <c r="P23" s="43"/>
      <c r="Q23" s="43"/>
      <c r="R23" s="43">
        <v>48.286999999999999</v>
      </c>
      <c r="S23" s="43"/>
      <c r="T23" s="43">
        <v>31.673590000000001</v>
      </c>
      <c r="U23" s="43"/>
      <c r="V23" s="43">
        <v>1.2</v>
      </c>
      <c r="W23" s="43"/>
      <c r="X23" s="43">
        <v>118.12170999999999</v>
      </c>
      <c r="Y23" s="43"/>
      <c r="Z23" s="43">
        <v>9.8308099999999996</v>
      </c>
      <c r="AA23" s="43">
        <v>4.9623999999999997</v>
      </c>
      <c r="AB23" s="43"/>
      <c r="AC23" s="43">
        <v>15.88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2.3119999999999998</v>
      </c>
      <c r="AM23" s="43">
        <v>52.50103</v>
      </c>
      <c r="AN23" s="43">
        <v>25.840299999999999</v>
      </c>
      <c r="AO23" s="43">
        <v>27.3535</v>
      </c>
      <c r="AP23" s="43">
        <v>0.73</v>
      </c>
      <c r="AQ23" s="43">
        <v>158.37</v>
      </c>
      <c r="AR23" s="43"/>
      <c r="AS23" s="43">
        <v>34.651000000000003</v>
      </c>
      <c r="AT23" s="43">
        <v>34.159999999999997</v>
      </c>
      <c r="AU23" s="43"/>
      <c r="AV23" s="43">
        <v>188.52628000000001</v>
      </c>
      <c r="AW23" s="43">
        <v>29.761009999999999</v>
      </c>
      <c r="AX23" s="43"/>
      <c r="AY23" s="43">
        <v>5.3</v>
      </c>
      <c r="AZ23" s="43"/>
      <c r="BA23" s="43">
        <v>1.7</v>
      </c>
      <c r="BB23" s="43"/>
      <c r="BC23" s="43">
        <v>72.562250000000006</v>
      </c>
      <c r="BD23" s="43"/>
      <c r="BE23" s="43">
        <v>22.6</v>
      </c>
      <c r="BF23" s="43"/>
      <c r="BG23" s="43"/>
      <c r="BH23" s="43"/>
      <c r="BI23" s="43">
        <v>13.04325</v>
      </c>
      <c r="BJ23" s="43"/>
      <c r="BK23" s="43">
        <v>4.7238100000000003</v>
      </c>
      <c r="BL23" s="43"/>
      <c r="BM23" s="43"/>
      <c r="BN23" s="43">
        <v>55.4</v>
      </c>
      <c r="BO23" s="43">
        <v>9.4584499999999991</v>
      </c>
      <c r="BP23" s="43">
        <v>142.87450000000001</v>
      </c>
      <c r="BQ23" s="43">
        <v>1.4361999999999999</v>
      </c>
      <c r="BR23" s="43">
        <v>4.5974000000000004</v>
      </c>
      <c r="BS23" s="43">
        <v>124.62269000000001</v>
      </c>
      <c r="BT23" s="43">
        <v>12.53744</v>
      </c>
      <c r="BU23" s="43"/>
      <c r="BV23" s="43"/>
      <c r="BW23" s="43">
        <v>3.7307000000000001</v>
      </c>
      <c r="BX23" s="43"/>
      <c r="BY23" s="43"/>
      <c r="BZ23" s="43">
        <v>83.780100000000004</v>
      </c>
      <c r="CA23" s="43">
        <v>18.172740000000001</v>
      </c>
      <c r="CB23" s="43">
        <v>0.48270000000000002</v>
      </c>
      <c r="CC23" s="43">
        <v>0.55800000000000005</v>
      </c>
      <c r="CD23" s="43">
        <v>31.49935</v>
      </c>
      <c r="CE23" s="43">
        <v>390.88774999999998</v>
      </c>
      <c r="CF23" s="43"/>
      <c r="CG23" s="43">
        <v>154.30090000000001</v>
      </c>
      <c r="CH23" s="43">
        <v>18.085999999999999</v>
      </c>
      <c r="CI23" s="43"/>
      <c r="CJ23" s="43"/>
      <c r="CK23" s="43">
        <v>15.354200000000001</v>
      </c>
      <c r="CL23" s="43">
        <v>4.2854099999999997</v>
      </c>
      <c r="CM23" s="43"/>
      <c r="CN23" s="43"/>
      <c r="CO23" s="43">
        <v>13.723800000000001</v>
      </c>
      <c r="CP23" s="43">
        <v>274.36</v>
      </c>
      <c r="CQ23" s="43"/>
      <c r="CR23" s="43">
        <v>26.456</v>
      </c>
      <c r="CS23" s="43"/>
      <c r="CT23" s="43">
        <v>29.271000000000001</v>
      </c>
    </row>
    <row r="24" spans="1:98" ht="15.6" x14ac:dyDescent="0.3">
      <c r="A24" s="1"/>
      <c r="B24" s="42" t="s">
        <v>824</v>
      </c>
      <c r="C24" s="43">
        <v>3.226</v>
      </c>
      <c r="D24" s="43"/>
      <c r="E24" s="43">
        <v>23.60558</v>
      </c>
      <c r="F24" s="43">
        <v>12.932</v>
      </c>
      <c r="G24" s="43"/>
      <c r="H24" s="43"/>
      <c r="I24" s="43"/>
      <c r="J24" s="43"/>
      <c r="K24" s="43">
        <v>20.587599999999998</v>
      </c>
      <c r="L24" s="43">
        <v>28.098199999999999</v>
      </c>
      <c r="M24" s="43">
        <v>12.078200000000001</v>
      </c>
      <c r="N24" s="43">
        <v>14.97</v>
      </c>
      <c r="O24" s="43">
        <v>31.42</v>
      </c>
      <c r="P24" s="43"/>
      <c r="Q24" s="43"/>
      <c r="R24" s="43">
        <v>48.332000000000001</v>
      </c>
      <c r="S24" s="43"/>
      <c r="T24" s="43">
        <v>37.76146</v>
      </c>
      <c r="U24" s="43"/>
      <c r="V24" s="43">
        <v>1.2</v>
      </c>
      <c r="W24" s="43"/>
      <c r="X24" s="43">
        <v>116.13399</v>
      </c>
      <c r="Y24" s="43"/>
      <c r="Z24" s="43">
        <v>10.125579999999999</v>
      </c>
      <c r="AA24" s="43">
        <v>6.9889000000000001</v>
      </c>
      <c r="AB24" s="43"/>
      <c r="AC24" s="43">
        <v>17.149999999999999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3.3266</v>
      </c>
      <c r="AM24" s="43">
        <v>52.602800000000002</v>
      </c>
      <c r="AN24" s="43">
        <v>27.121500000000001</v>
      </c>
      <c r="AO24" s="43">
        <v>27.890799999999999</v>
      </c>
      <c r="AP24" s="43">
        <v>0.72</v>
      </c>
      <c r="AQ24" s="43">
        <v>156.52000000000001</v>
      </c>
      <c r="AR24" s="43"/>
      <c r="AS24" s="43">
        <v>35.426000000000002</v>
      </c>
      <c r="AT24" s="43">
        <v>34.340000000000003</v>
      </c>
      <c r="AU24" s="43"/>
      <c r="AV24" s="43">
        <v>189.78542999999999</v>
      </c>
      <c r="AW24" s="43">
        <v>30.543019999999999</v>
      </c>
      <c r="AX24" s="43"/>
      <c r="AY24" s="43">
        <v>5.85</v>
      </c>
      <c r="AZ24" s="43"/>
      <c r="BA24" s="43">
        <v>2.2999999999999998</v>
      </c>
      <c r="BB24" s="43"/>
      <c r="BC24" s="43">
        <v>72.487859999999998</v>
      </c>
      <c r="BD24" s="43"/>
      <c r="BE24" s="43">
        <v>22.6</v>
      </c>
      <c r="BF24" s="43"/>
      <c r="BG24" s="43"/>
      <c r="BH24" s="43"/>
      <c r="BI24" s="43">
        <v>13.237030000000001</v>
      </c>
      <c r="BJ24" s="43"/>
      <c r="BK24" s="43">
        <v>4.85799</v>
      </c>
      <c r="BL24" s="43"/>
      <c r="BM24" s="43"/>
      <c r="BN24" s="43">
        <v>53.83</v>
      </c>
      <c r="BO24" s="43">
        <v>9.1074699999999993</v>
      </c>
      <c r="BP24" s="43">
        <v>144.17596</v>
      </c>
      <c r="BQ24" s="43">
        <v>1.2362</v>
      </c>
      <c r="BR24" s="43">
        <v>4.4851999999999999</v>
      </c>
      <c r="BS24" s="43">
        <v>125.5831</v>
      </c>
      <c r="BT24" s="43">
        <v>13.061159999999999</v>
      </c>
      <c r="BU24" s="43"/>
      <c r="BV24" s="43"/>
      <c r="BW24" s="43">
        <v>3.87202</v>
      </c>
      <c r="BX24" s="43"/>
      <c r="BY24" s="43"/>
      <c r="BZ24" s="43">
        <v>83.151300000000006</v>
      </c>
      <c r="CA24" s="43">
        <v>17.91168</v>
      </c>
      <c r="CB24" s="43">
        <v>0.57240000000000002</v>
      </c>
      <c r="CC24" s="43">
        <v>0.52600000000000002</v>
      </c>
      <c r="CD24" s="43">
        <v>32.212539999999997</v>
      </c>
      <c r="CE24" s="43">
        <v>400.32173</v>
      </c>
      <c r="CF24" s="43"/>
      <c r="CG24" s="43">
        <v>154.17660000000001</v>
      </c>
      <c r="CH24" s="43">
        <v>18.123000000000001</v>
      </c>
      <c r="CI24" s="43"/>
      <c r="CJ24" s="43"/>
      <c r="CK24" s="43">
        <v>15.038399999999999</v>
      </c>
      <c r="CL24" s="43">
        <v>4.3258700000000001</v>
      </c>
      <c r="CM24" s="43"/>
      <c r="CN24" s="43"/>
      <c r="CO24" s="43">
        <v>14.569100000000001</v>
      </c>
      <c r="CP24" s="43">
        <v>274.60000000000002</v>
      </c>
      <c r="CQ24" s="43"/>
      <c r="CR24" s="43">
        <v>32.673000000000002</v>
      </c>
      <c r="CS24" s="43"/>
      <c r="CT24" s="43">
        <v>24.603000000000002</v>
      </c>
    </row>
    <row r="25" spans="1:98" ht="15.6" x14ac:dyDescent="0.3">
      <c r="A25" s="1"/>
      <c r="B25" s="42" t="s">
        <v>825</v>
      </c>
      <c r="C25" s="43">
        <v>2.6429</v>
      </c>
      <c r="D25" s="43"/>
      <c r="E25" s="43">
        <v>23.340949999999999</v>
      </c>
      <c r="F25" s="43">
        <v>12.845000000000001</v>
      </c>
      <c r="G25" s="43"/>
      <c r="H25" s="43"/>
      <c r="I25" s="43"/>
      <c r="J25" s="43"/>
      <c r="K25" s="43">
        <v>20.2074</v>
      </c>
      <c r="L25" s="43">
        <v>27.931699999999999</v>
      </c>
      <c r="M25" s="43">
        <v>11.2524</v>
      </c>
      <c r="N25" s="43">
        <v>14.62</v>
      </c>
      <c r="O25" s="43">
        <v>30.552</v>
      </c>
      <c r="P25" s="43"/>
      <c r="Q25" s="43"/>
      <c r="R25" s="43">
        <v>48.164000000000001</v>
      </c>
      <c r="S25" s="43"/>
      <c r="T25" s="43">
        <v>38.770350000000001</v>
      </c>
      <c r="U25" s="43"/>
      <c r="V25" s="43">
        <v>1.2</v>
      </c>
      <c r="W25" s="43"/>
      <c r="X25" s="43">
        <v>133.01578000000001</v>
      </c>
      <c r="Y25" s="43"/>
      <c r="Z25" s="43">
        <v>10.078010000000001</v>
      </c>
      <c r="AA25" s="43">
        <v>6.4135999999999997</v>
      </c>
      <c r="AB25" s="43"/>
      <c r="AC25" s="43">
        <v>17.350000000000001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3.7595000000000001</v>
      </c>
      <c r="AM25" s="43">
        <v>52.350589999999997</v>
      </c>
      <c r="AN25" s="43">
        <v>26.245000000000001</v>
      </c>
      <c r="AO25" s="43">
        <v>27.460100000000001</v>
      </c>
      <c r="AP25" s="43">
        <v>0.63</v>
      </c>
      <c r="AQ25" s="43">
        <v>158.58000000000001</v>
      </c>
      <c r="AR25" s="43"/>
      <c r="AS25" s="43">
        <v>37.055999999999997</v>
      </c>
      <c r="AT25" s="43">
        <v>34.840000000000003</v>
      </c>
      <c r="AU25" s="43"/>
      <c r="AV25" s="43">
        <v>190.06165999999999</v>
      </c>
      <c r="AW25" s="43">
        <v>31.326239999999999</v>
      </c>
      <c r="AX25" s="43"/>
      <c r="AY25" s="43">
        <v>5.37</v>
      </c>
      <c r="AZ25" s="43"/>
      <c r="BA25" s="43">
        <v>2.6</v>
      </c>
      <c r="BB25" s="43"/>
      <c r="BC25" s="43">
        <v>72.531180000000006</v>
      </c>
      <c r="BD25" s="43"/>
      <c r="BE25" s="43">
        <v>22.6</v>
      </c>
      <c r="BF25" s="43"/>
      <c r="BG25" s="43"/>
      <c r="BH25" s="43"/>
      <c r="BI25" s="43">
        <v>14.53084</v>
      </c>
      <c r="BJ25" s="43"/>
      <c r="BK25" s="43">
        <v>4.7964900000000004</v>
      </c>
      <c r="BL25" s="43"/>
      <c r="BM25" s="43"/>
      <c r="BN25" s="43">
        <v>53.06</v>
      </c>
      <c r="BO25" s="43">
        <v>9.3786000000000005</v>
      </c>
      <c r="BP25" s="43">
        <v>145.51264</v>
      </c>
      <c r="BQ25" s="43">
        <v>1.3452999999999999</v>
      </c>
      <c r="BR25" s="43">
        <v>4.5364000000000004</v>
      </c>
      <c r="BS25" s="43">
        <v>126.42285</v>
      </c>
      <c r="BT25" s="43">
        <v>14.078110000000001</v>
      </c>
      <c r="BU25" s="43"/>
      <c r="BV25" s="43"/>
      <c r="BW25" s="43">
        <v>3.9659300000000002</v>
      </c>
      <c r="BX25" s="43"/>
      <c r="BY25" s="43"/>
      <c r="BZ25" s="43">
        <v>83.293599999999998</v>
      </c>
      <c r="CA25" s="43">
        <v>17.892679999999999</v>
      </c>
      <c r="CB25" s="43">
        <v>0.6623</v>
      </c>
      <c r="CC25" s="43">
        <v>0.54700000000000004</v>
      </c>
      <c r="CD25" s="43">
        <v>32.438389999999998</v>
      </c>
      <c r="CE25" s="43">
        <v>405.83371</v>
      </c>
      <c r="CF25" s="43"/>
      <c r="CG25" s="43">
        <v>150.54050000000001</v>
      </c>
      <c r="CH25" s="43">
        <v>17.792000000000002</v>
      </c>
      <c r="CI25" s="43"/>
      <c r="CJ25" s="43"/>
      <c r="CK25" s="43">
        <v>15.0656</v>
      </c>
      <c r="CL25" s="43">
        <v>4.3289900000000001</v>
      </c>
      <c r="CM25" s="43"/>
      <c r="CN25" s="43"/>
      <c r="CO25" s="43">
        <v>14.65368</v>
      </c>
      <c r="CP25" s="43">
        <v>274.73</v>
      </c>
      <c r="CQ25" s="43"/>
      <c r="CR25" s="43">
        <v>33.003999999999998</v>
      </c>
      <c r="CS25" s="43"/>
      <c r="CT25" s="43">
        <v>21.43</v>
      </c>
    </row>
    <row r="26" spans="1:98" ht="15.6" x14ac:dyDescent="0.3">
      <c r="A26" s="1"/>
      <c r="B26" s="42" t="s">
        <v>826</v>
      </c>
      <c r="C26" s="43">
        <v>3.2976000000000001</v>
      </c>
      <c r="D26" s="43"/>
      <c r="E26" s="43">
        <v>23.423590000000001</v>
      </c>
      <c r="F26" s="43">
        <v>12.954000000000001</v>
      </c>
      <c r="G26" s="43"/>
      <c r="H26" s="43"/>
      <c r="I26" s="43"/>
      <c r="J26" s="43"/>
      <c r="K26" s="43">
        <v>19.896599999999999</v>
      </c>
      <c r="L26" s="43">
        <v>26.613499999999998</v>
      </c>
      <c r="M26" s="43">
        <v>11.3352</v>
      </c>
      <c r="N26" s="43">
        <v>14.68</v>
      </c>
      <c r="O26" s="43">
        <v>29.186</v>
      </c>
      <c r="P26" s="43"/>
      <c r="Q26" s="43"/>
      <c r="R26" s="43">
        <v>48.607999999999997</v>
      </c>
      <c r="S26" s="43"/>
      <c r="T26" s="43">
        <v>45.444499999999998</v>
      </c>
      <c r="U26" s="43"/>
      <c r="V26" s="43">
        <v>1.2</v>
      </c>
      <c r="W26" s="43"/>
      <c r="X26" s="43">
        <v>152.80070000000001</v>
      </c>
      <c r="Y26" s="43"/>
      <c r="Z26" s="43">
        <v>10.304819999999999</v>
      </c>
      <c r="AA26" s="43">
        <v>6.3482000000000003</v>
      </c>
      <c r="AB26" s="43"/>
      <c r="AC26" s="43">
        <v>18.07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4.0262000000000002</v>
      </c>
      <c r="AM26" s="43">
        <v>51.305869999999999</v>
      </c>
      <c r="AN26" s="43">
        <v>26.176200000000001</v>
      </c>
      <c r="AO26" s="43">
        <v>27.483000000000001</v>
      </c>
      <c r="AP26" s="43">
        <v>0.44</v>
      </c>
      <c r="AQ26" s="43">
        <v>158.13</v>
      </c>
      <c r="AR26" s="43"/>
      <c r="AS26" s="43">
        <v>37.146000000000001</v>
      </c>
      <c r="AT26" s="43">
        <v>34.81</v>
      </c>
      <c r="AU26" s="43"/>
      <c r="AV26" s="43">
        <v>189.85006999999999</v>
      </c>
      <c r="AW26" s="43">
        <v>32.425109999999997</v>
      </c>
      <c r="AX26" s="43"/>
      <c r="AY26" s="43">
        <v>5.61</v>
      </c>
      <c r="AZ26" s="43"/>
      <c r="BA26" s="43">
        <v>2.5</v>
      </c>
      <c r="BB26" s="43"/>
      <c r="BC26" s="43">
        <v>72.570959999999999</v>
      </c>
      <c r="BD26" s="43"/>
      <c r="BE26" s="43">
        <v>22.6</v>
      </c>
      <c r="BF26" s="43"/>
      <c r="BG26" s="43"/>
      <c r="BH26" s="43"/>
      <c r="BI26" s="43">
        <v>15.237360000000001</v>
      </c>
      <c r="BJ26" s="43"/>
      <c r="BK26" s="43">
        <v>4.8771100000000001</v>
      </c>
      <c r="BL26" s="43"/>
      <c r="BM26" s="43"/>
      <c r="BN26" s="43">
        <v>55.52</v>
      </c>
      <c r="BO26" s="43">
        <v>9.5207999999999995</v>
      </c>
      <c r="BP26" s="43">
        <v>144.99803</v>
      </c>
      <c r="BQ26" s="43">
        <v>1.2726</v>
      </c>
      <c r="BR26" s="43">
        <v>4.5494000000000003</v>
      </c>
      <c r="BS26" s="43">
        <v>125.61158</v>
      </c>
      <c r="BT26" s="43">
        <v>14.302379999999999</v>
      </c>
      <c r="BU26" s="43"/>
      <c r="BV26" s="43"/>
      <c r="BW26" s="43">
        <v>4.0273599999999998</v>
      </c>
      <c r="BX26" s="43"/>
      <c r="BY26" s="43"/>
      <c r="BZ26" s="43">
        <v>83.415000000000006</v>
      </c>
      <c r="CA26" s="43">
        <v>17.88129</v>
      </c>
      <c r="CB26" s="43">
        <v>0.81599999999999995</v>
      </c>
      <c r="CC26" s="43">
        <v>0.54800000000000004</v>
      </c>
      <c r="CD26" s="43">
        <v>32.580170000000003</v>
      </c>
      <c r="CE26" s="43">
        <v>415.32988999999998</v>
      </c>
      <c r="CF26" s="43"/>
      <c r="CG26" s="43">
        <v>149.58150000000001</v>
      </c>
      <c r="CH26" s="43">
        <v>17.664999999999999</v>
      </c>
      <c r="CI26" s="43"/>
      <c r="CJ26" s="43"/>
      <c r="CK26" s="43">
        <v>16.5838</v>
      </c>
      <c r="CL26" s="43">
        <v>4.3788200000000002</v>
      </c>
      <c r="CM26" s="43"/>
      <c r="CN26" s="43"/>
      <c r="CO26" s="43">
        <v>15.191129999999999</v>
      </c>
      <c r="CP26" s="43">
        <v>270.32</v>
      </c>
      <c r="CQ26" s="43"/>
      <c r="CR26" s="43">
        <v>33.07</v>
      </c>
      <c r="CS26" s="43"/>
      <c r="CT26" s="43">
        <v>21.100999999999999</v>
      </c>
    </row>
    <row r="27" spans="1:98" ht="15.6" x14ac:dyDescent="0.3">
      <c r="A27" s="1"/>
      <c r="B27" s="42" t="s">
        <v>827</v>
      </c>
      <c r="C27" s="43">
        <v>3.4796</v>
      </c>
      <c r="D27" s="43"/>
      <c r="E27" s="43">
        <v>23.647680000000001</v>
      </c>
      <c r="F27" s="43">
        <v>13.143000000000001</v>
      </c>
      <c r="G27" s="43"/>
      <c r="H27" s="43"/>
      <c r="I27" s="43"/>
      <c r="J27" s="43"/>
      <c r="K27" s="43">
        <v>19.698899999999998</v>
      </c>
      <c r="L27" s="43">
        <v>26.536999999999999</v>
      </c>
      <c r="M27" s="43">
        <v>11.356299999999999</v>
      </c>
      <c r="N27" s="43">
        <v>14.91</v>
      </c>
      <c r="O27" s="43">
        <v>27.917999999999999</v>
      </c>
      <c r="P27" s="43"/>
      <c r="Q27" s="43"/>
      <c r="R27" s="43">
        <v>48.587000000000003</v>
      </c>
      <c r="S27" s="43"/>
      <c r="T27" s="43">
        <v>44.277079999999998</v>
      </c>
      <c r="U27" s="43"/>
      <c r="V27" s="43">
        <v>1.2</v>
      </c>
      <c r="W27" s="43"/>
      <c r="X27" s="43">
        <v>135.71691999999999</v>
      </c>
      <c r="Y27" s="43"/>
      <c r="Z27" s="43">
        <v>10.216810000000001</v>
      </c>
      <c r="AA27" s="43">
        <v>5.5458999999999996</v>
      </c>
      <c r="AB27" s="43"/>
      <c r="AC27" s="43">
        <v>18.010000000000002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4.3532999999999999</v>
      </c>
      <c r="AM27" s="43">
        <v>49.856810000000003</v>
      </c>
      <c r="AN27" s="43">
        <v>25.737400000000001</v>
      </c>
      <c r="AO27" s="43">
        <v>28.075800000000001</v>
      </c>
      <c r="AP27" s="43">
        <v>0.24</v>
      </c>
      <c r="AQ27" s="43">
        <v>157.57</v>
      </c>
      <c r="AR27" s="43"/>
      <c r="AS27" s="43">
        <v>38.087000000000003</v>
      </c>
      <c r="AT27" s="43">
        <v>34.99</v>
      </c>
      <c r="AU27" s="43"/>
      <c r="AV27" s="43">
        <v>189.62405000000001</v>
      </c>
      <c r="AW27" s="43">
        <v>33.578800000000001</v>
      </c>
      <c r="AX27" s="43"/>
      <c r="AY27" s="43">
        <v>5.52</v>
      </c>
      <c r="AZ27" s="43"/>
      <c r="BA27" s="43">
        <v>2.5</v>
      </c>
      <c r="BB27" s="43"/>
      <c r="BC27" s="43">
        <v>71.61318</v>
      </c>
      <c r="BD27" s="43"/>
      <c r="BE27" s="43">
        <v>22.6</v>
      </c>
      <c r="BF27" s="43"/>
      <c r="BG27" s="43"/>
      <c r="BH27" s="43"/>
      <c r="BI27" s="43">
        <v>16.649629999999998</v>
      </c>
      <c r="BJ27" s="43"/>
      <c r="BK27" s="43">
        <v>4.9198199999999996</v>
      </c>
      <c r="BL27" s="43"/>
      <c r="BM27" s="43"/>
      <c r="BN27" s="43">
        <v>55.98</v>
      </c>
      <c r="BO27" s="43">
        <v>8.7568000000000001</v>
      </c>
      <c r="BP27" s="43">
        <v>145.83386999999999</v>
      </c>
      <c r="BQ27" s="43">
        <v>1.5028999999999999</v>
      </c>
      <c r="BR27" s="43">
        <v>4.4760999999999997</v>
      </c>
      <c r="BS27" s="43">
        <v>129.49281999999999</v>
      </c>
      <c r="BT27" s="43">
        <v>15.56087</v>
      </c>
      <c r="BU27" s="43"/>
      <c r="BV27" s="43"/>
      <c r="BW27" s="43">
        <v>3.8865599999999998</v>
      </c>
      <c r="BX27" s="43"/>
      <c r="BY27" s="43"/>
      <c r="BZ27" s="43">
        <v>82.7393</v>
      </c>
      <c r="CA27" s="43">
        <v>17.875900000000001</v>
      </c>
      <c r="CB27" s="43">
        <v>0.97840000000000005</v>
      </c>
      <c r="CC27" s="43">
        <v>0.54700000000000004</v>
      </c>
      <c r="CD27" s="43">
        <v>32.054360000000003</v>
      </c>
      <c r="CE27" s="43">
        <v>406.82949000000002</v>
      </c>
      <c r="CF27" s="43"/>
      <c r="CG27" s="43">
        <v>153.57900000000001</v>
      </c>
      <c r="CH27" s="43">
        <v>17.754999999999999</v>
      </c>
      <c r="CI27" s="43"/>
      <c r="CJ27" s="43"/>
      <c r="CK27" s="43">
        <v>17.354199999999999</v>
      </c>
      <c r="CL27" s="43">
        <v>4.4474099999999996</v>
      </c>
      <c r="CM27" s="43"/>
      <c r="CN27" s="43"/>
      <c r="CO27" s="43">
        <v>15.10009</v>
      </c>
      <c r="CP27" s="43">
        <v>270.98</v>
      </c>
      <c r="CQ27" s="43"/>
      <c r="CR27" s="43">
        <v>32.914999999999999</v>
      </c>
      <c r="CS27" s="43"/>
      <c r="CT27" s="43">
        <v>20.893000000000001</v>
      </c>
    </row>
    <row r="28" spans="1:98" ht="15.6" x14ac:dyDescent="0.3">
      <c r="A28" s="1"/>
      <c r="B28" s="42" t="s">
        <v>828</v>
      </c>
      <c r="C28" s="43">
        <v>3.3811</v>
      </c>
      <c r="D28" s="43"/>
      <c r="E28" s="43">
        <v>25.047969999999999</v>
      </c>
      <c r="F28" s="43">
        <v>13.81</v>
      </c>
      <c r="G28" s="43"/>
      <c r="H28" s="43"/>
      <c r="I28" s="43"/>
      <c r="J28" s="43"/>
      <c r="K28" s="43">
        <v>19.825600000000001</v>
      </c>
      <c r="L28" s="43">
        <v>27.999400000000001</v>
      </c>
      <c r="M28" s="43">
        <v>11.868600000000001</v>
      </c>
      <c r="N28" s="43">
        <v>14.45</v>
      </c>
      <c r="O28" s="43">
        <v>27.297999999999998</v>
      </c>
      <c r="P28" s="43"/>
      <c r="Q28" s="43"/>
      <c r="R28" s="43">
        <v>48.686</v>
      </c>
      <c r="S28" s="43"/>
      <c r="T28" s="43">
        <v>34.454520000000002</v>
      </c>
      <c r="U28" s="43"/>
      <c r="V28" s="43">
        <v>1.2</v>
      </c>
      <c r="W28" s="43"/>
      <c r="X28" s="43">
        <v>109.55086</v>
      </c>
      <c r="Y28" s="43"/>
      <c r="Z28" s="43">
        <v>10.08953</v>
      </c>
      <c r="AA28" s="43">
        <v>5.5936000000000003</v>
      </c>
      <c r="AB28" s="43"/>
      <c r="AC28" s="43">
        <v>18.18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4.9584000000000001</v>
      </c>
      <c r="AM28" s="43">
        <v>50.795459999999999</v>
      </c>
      <c r="AN28" s="43">
        <v>25.314299999999999</v>
      </c>
      <c r="AO28" s="43">
        <v>26.8688</v>
      </c>
      <c r="AP28" s="43">
        <v>0.57999999999999996</v>
      </c>
      <c r="AQ28" s="43">
        <v>156.69</v>
      </c>
      <c r="AR28" s="43"/>
      <c r="AS28" s="43">
        <v>39.14</v>
      </c>
      <c r="AT28" s="43">
        <v>34.46</v>
      </c>
      <c r="AU28" s="43"/>
      <c r="AV28" s="43">
        <v>189.73652999999999</v>
      </c>
      <c r="AW28" s="43">
        <v>34.194220000000001</v>
      </c>
      <c r="AX28" s="43"/>
      <c r="AY28" s="43">
        <v>5.44</v>
      </c>
      <c r="AZ28" s="43"/>
      <c r="BA28" s="43">
        <v>2.6</v>
      </c>
      <c r="BB28" s="43"/>
      <c r="BC28" s="43">
        <v>71.897909999999996</v>
      </c>
      <c r="BD28" s="43"/>
      <c r="BE28" s="43">
        <v>22.6</v>
      </c>
      <c r="BF28" s="43"/>
      <c r="BG28" s="43"/>
      <c r="BH28" s="43"/>
      <c r="BI28" s="43">
        <v>16.955909999999999</v>
      </c>
      <c r="BJ28" s="43"/>
      <c r="BK28" s="43">
        <v>4.9238900000000001</v>
      </c>
      <c r="BL28" s="43"/>
      <c r="BM28" s="43"/>
      <c r="BN28" s="43">
        <v>54.12</v>
      </c>
      <c r="BO28" s="43">
        <v>9.3141599999999993</v>
      </c>
      <c r="BP28" s="43">
        <v>141.83318</v>
      </c>
      <c r="BQ28" s="43">
        <v>1.5755999999999999</v>
      </c>
      <c r="BR28" s="43">
        <v>4.5678000000000001</v>
      </c>
      <c r="BS28" s="43">
        <v>78.656239999999997</v>
      </c>
      <c r="BT28" s="43">
        <v>15.05851</v>
      </c>
      <c r="BU28" s="43"/>
      <c r="BV28" s="43"/>
      <c r="BW28" s="43">
        <v>3.7307000000000001</v>
      </c>
      <c r="BX28" s="43"/>
      <c r="BY28" s="43"/>
      <c r="BZ28" s="43">
        <v>82.986500000000007</v>
      </c>
      <c r="CA28" s="43">
        <v>17.923660000000002</v>
      </c>
      <c r="CB28" s="43">
        <v>1.3163</v>
      </c>
      <c r="CC28" s="43">
        <v>0.57999999999999996</v>
      </c>
      <c r="CD28" s="43">
        <v>31.857399999999998</v>
      </c>
      <c r="CE28" s="43">
        <v>406.66620999999998</v>
      </c>
      <c r="CF28" s="43"/>
      <c r="CG28" s="43">
        <v>153.5155</v>
      </c>
      <c r="CH28" s="43">
        <v>17.858000000000001</v>
      </c>
      <c r="CI28" s="43"/>
      <c r="CJ28" s="43"/>
      <c r="CK28" s="43">
        <v>17.1158</v>
      </c>
      <c r="CL28" s="43">
        <v>4.0356699999999996</v>
      </c>
      <c r="CM28" s="43"/>
      <c r="CN28" s="43"/>
      <c r="CO28" s="43">
        <v>15.84615</v>
      </c>
      <c r="CP28" s="43">
        <v>253.26</v>
      </c>
      <c r="CQ28" s="43"/>
      <c r="CR28" s="43">
        <v>30.536000000000001</v>
      </c>
      <c r="CS28" s="43"/>
      <c r="CT28" s="43">
        <v>20.547999999999998</v>
      </c>
    </row>
    <row r="29" spans="1:98" ht="15.6" x14ac:dyDescent="0.3">
      <c r="A29" s="1"/>
      <c r="B29" s="42" t="s">
        <v>829</v>
      </c>
      <c r="C29" s="43">
        <v>3.4759000000000002</v>
      </c>
      <c r="D29" s="43"/>
      <c r="E29" s="43">
        <v>25.022359999999999</v>
      </c>
      <c r="F29" s="43">
        <v>13.303000000000001</v>
      </c>
      <c r="G29" s="43"/>
      <c r="H29" s="43"/>
      <c r="I29" s="43"/>
      <c r="J29" s="43"/>
      <c r="K29" s="43">
        <v>19.782900000000001</v>
      </c>
      <c r="L29" s="43">
        <v>28.590599999999998</v>
      </c>
      <c r="M29" s="43">
        <v>11.326700000000001</v>
      </c>
      <c r="N29" s="43">
        <v>14.58</v>
      </c>
      <c r="O29" s="43">
        <v>26.56</v>
      </c>
      <c r="P29" s="43"/>
      <c r="Q29" s="43"/>
      <c r="R29" s="43">
        <v>49.121000000000002</v>
      </c>
      <c r="S29" s="43"/>
      <c r="T29" s="43">
        <v>36.770420000000001</v>
      </c>
      <c r="U29" s="43"/>
      <c r="V29" s="43">
        <v>1.2</v>
      </c>
      <c r="W29" s="43"/>
      <c r="X29" s="43">
        <v>100.97642999999999</v>
      </c>
      <c r="Y29" s="43"/>
      <c r="Z29" s="43">
        <v>9.7927</v>
      </c>
      <c r="AA29" s="43">
        <v>5.9908000000000001</v>
      </c>
      <c r="AB29" s="43"/>
      <c r="AC29" s="43">
        <v>18.010000000000002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5.3223000000000003</v>
      </c>
      <c r="AM29" s="43">
        <v>49.247790000000002</v>
      </c>
      <c r="AN29" s="43">
        <v>25.3186</v>
      </c>
      <c r="AO29" s="43">
        <v>28.1343</v>
      </c>
      <c r="AP29" s="43">
        <v>1</v>
      </c>
      <c r="AQ29" s="43">
        <v>157.22999999999999</v>
      </c>
      <c r="AR29" s="43"/>
      <c r="AS29" s="43">
        <v>38.393999999999998</v>
      </c>
      <c r="AT29" s="43">
        <v>33.26</v>
      </c>
      <c r="AU29" s="43"/>
      <c r="AV29" s="43">
        <v>190.35923</v>
      </c>
      <c r="AW29" s="43">
        <v>34.728520000000003</v>
      </c>
      <c r="AX29" s="43"/>
      <c r="AY29" s="43">
        <v>5.0599999999999996</v>
      </c>
      <c r="AZ29" s="43"/>
      <c r="BA29" s="43">
        <v>2.6</v>
      </c>
      <c r="BB29" s="43"/>
      <c r="BC29" s="43">
        <v>72.561239999999998</v>
      </c>
      <c r="BD29" s="43"/>
      <c r="BE29" s="43">
        <v>22.6</v>
      </c>
      <c r="BF29" s="43"/>
      <c r="BG29" s="43"/>
      <c r="BH29" s="43"/>
      <c r="BI29" s="43">
        <v>17.64697</v>
      </c>
      <c r="BJ29" s="43"/>
      <c r="BK29" s="43">
        <v>4.9203099999999997</v>
      </c>
      <c r="BL29" s="43"/>
      <c r="BM29" s="43"/>
      <c r="BN29" s="43">
        <v>51.74</v>
      </c>
      <c r="BO29" s="43">
        <v>9.5111299999999996</v>
      </c>
      <c r="BP29" s="43">
        <v>141.11033</v>
      </c>
      <c r="BQ29" s="43">
        <v>1.7089000000000001</v>
      </c>
      <c r="BR29" s="43">
        <v>4.6109999999999998</v>
      </c>
      <c r="BS29" s="43">
        <v>75.730429999999998</v>
      </c>
      <c r="BT29" s="43">
        <v>15.52913</v>
      </c>
      <c r="BU29" s="43"/>
      <c r="BV29" s="43"/>
      <c r="BW29" s="43">
        <v>3.87202</v>
      </c>
      <c r="BX29" s="43"/>
      <c r="BY29" s="43"/>
      <c r="BZ29" s="43">
        <v>83.546000000000006</v>
      </c>
      <c r="CA29" s="43">
        <v>17.883970000000001</v>
      </c>
      <c r="CB29" s="43">
        <v>1.5125999999999999</v>
      </c>
      <c r="CC29" s="43">
        <v>0.49299999999999999</v>
      </c>
      <c r="CD29" s="43">
        <v>33.75123</v>
      </c>
      <c r="CE29" s="43">
        <v>394.68878000000001</v>
      </c>
      <c r="CF29" s="43"/>
      <c r="CG29" s="43">
        <v>148.95519999999999</v>
      </c>
      <c r="CH29" s="43">
        <v>17.600999999999999</v>
      </c>
      <c r="CI29" s="43"/>
      <c r="CJ29" s="43"/>
      <c r="CK29" s="43">
        <v>16.5608</v>
      </c>
      <c r="CL29" s="43">
        <v>3.5613600000000001</v>
      </c>
      <c r="CM29" s="43"/>
      <c r="CN29" s="43"/>
      <c r="CO29" s="43">
        <v>16.19455</v>
      </c>
      <c r="CP29" s="43">
        <v>248.27</v>
      </c>
      <c r="CQ29" s="43"/>
      <c r="CR29" s="43">
        <v>32.154000000000003</v>
      </c>
      <c r="CS29" s="43"/>
      <c r="CT29" s="43">
        <v>21.698</v>
      </c>
    </row>
    <row r="30" spans="1:98" ht="15.6" x14ac:dyDescent="0.3">
      <c r="A30" s="1"/>
      <c r="B30" s="42" t="s">
        <v>830</v>
      </c>
      <c r="C30" s="43">
        <v>3.7090999999999998</v>
      </c>
      <c r="D30" s="43"/>
      <c r="E30" s="43">
        <v>25.14171</v>
      </c>
      <c r="F30" s="43">
        <v>12.898999999999999</v>
      </c>
      <c r="G30" s="43"/>
      <c r="H30" s="43"/>
      <c r="I30" s="43"/>
      <c r="J30" s="43"/>
      <c r="K30" s="43">
        <v>19.8</v>
      </c>
      <c r="L30" s="43">
        <v>28.989699999999999</v>
      </c>
      <c r="M30" s="43">
        <v>11.8035</v>
      </c>
      <c r="N30" s="43">
        <v>14.67</v>
      </c>
      <c r="O30" s="43">
        <v>26.956</v>
      </c>
      <c r="P30" s="43"/>
      <c r="Q30" s="43"/>
      <c r="R30" s="43">
        <v>48.567</v>
      </c>
      <c r="S30" s="43"/>
      <c r="T30" s="43">
        <v>39.628720000000001</v>
      </c>
      <c r="U30" s="43"/>
      <c r="V30" s="43">
        <v>1.2</v>
      </c>
      <c r="W30" s="43"/>
      <c r="X30" s="43">
        <v>136.76516000000001</v>
      </c>
      <c r="Y30" s="43"/>
      <c r="Z30" s="43">
        <v>9.3677200000000003</v>
      </c>
      <c r="AA30" s="43">
        <v>5.9184999999999999</v>
      </c>
      <c r="AB30" s="43"/>
      <c r="AC30" s="43">
        <v>17.86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5.6391999999999998</v>
      </c>
      <c r="AM30" s="43">
        <v>47.794429999999998</v>
      </c>
      <c r="AN30" s="43">
        <v>25.5122</v>
      </c>
      <c r="AO30" s="43">
        <v>28.586300000000001</v>
      </c>
      <c r="AP30" s="43">
        <v>0.9</v>
      </c>
      <c r="AQ30" s="43">
        <v>154.69</v>
      </c>
      <c r="AR30" s="43"/>
      <c r="AS30" s="43">
        <v>38.89</v>
      </c>
      <c r="AT30" s="43">
        <v>33.1</v>
      </c>
      <c r="AU30" s="43"/>
      <c r="AV30" s="43">
        <v>190.01374000000001</v>
      </c>
      <c r="AW30" s="43">
        <v>34.596499999999999</v>
      </c>
      <c r="AX30" s="43"/>
      <c r="AY30" s="43">
        <v>5.64</v>
      </c>
      <c r="AZ30" s="43"/>
      <c r="BA30" s="43">
        <v>2.7</v>
      </c>
      <c r="BB30" s="43"/>
      <c r="BC30" s="43">
        <v>72.255409999999998</v>
      </c>
      <c r="BD30" s="43"/>
      <c r="BE30" s="43">
        <v>22.6</v>
      </c>
      <c r="BF30" s="43"/>
      <c r="BG30" s="43"/>
      <c r="BH30" s="43"/>
      <c r="BI30" s="43">
        <v>17.7713</v>
      </c>
      <c r="BJ30" s="43"/>
      <c r="BK30" s="43">
        <v>4.8956999999999997</v>
      </c>
      <c r="BL30" s="43"/>
      <c r="BM30" s="43"/>
      <c r="BN30" s="43">
        <v>48.59</v>
      </c>
      <c r="BO30" s="43">
        <v>9.6149000000000004</v>
      </c>
      <c r="BP30" s="43">
        <v>142.56264999999999</v>
      </c>
      <c r="BQ30" s="43">
        <v>1.7210000000000001</v>
      </c>
      <c r="BR30" s="43">
        <v>4.8680000000000003</v>
      </c>
      <c r="BS30" s="43">
        <v>73.847970000000004</v>
      </c>
      <c r="BT30" s="43">
        <v>15.713850000000001</v>
      </c>
      <c r="BU30" s="43"/>
      <c r="BV30" s="43"/>
      <c r="BW30" s="43">
        <v>3.9659300000000002</v>
      </c>
      <c r="BX30" s="43"/>
      <c r="BY30" s="43"/>
      <c r="BZ30" s="43">
        <v>82.894599999999997</v>
      </c>
      <c r="CA30" s="43">
        <v>17.881789999999999</v>
      </c>
      <c r="CB30" s="43">
        <v>1.6296999999999999</v>
      </c>
      <c r="CC30" s="43">
        <v>0.56100000000000005</v>
      </c>
      <c r="CD30" s="43">
        <v>33.352310000000003</v>
      </c>
      <c r="CE30" s="43">
        <v>381.18513000000002</v>
      </c>
      <c r="CF30" s="43"/>
      <c r="CG30" s="43">
        <v>150.76660000000001</v>
      </c>
      <c r="CH30" s="43">
        <v>17.844000000000001</v>
      </c>
      <c r="CI30" s="43"/>
      <c r="CJ30" s="43"/>
      <c r="CK30" s="43">
        <v>17.166</v>
      </c>
      <c r="CL30" s="43">
        <v>3.55871</v>
      </c>
      <c r="CM30" s="43"/>
      <c r="CN30" s="43"/>
      <c r="CO30" s="43">
        <v>16.261189999999999</v>
      </c>
      <c r="CP30" s="43">
        <v>248.53</v>
      </c>
      <c r="CQ30" s="43"/>
      <c r="CR30" s="43">
        <v>32.695</v>
      </c>
      <c r="CS30" s="43"/>
      <c r="CT30" s="43">
        <v>22.29</v>
      </c>
    </row>
    <row r="31" spans="1:98" ht="15.6" x14ac:dyDescent="0.3">
      <c r="A31" s="1"/>
      <c r="B31" s="42" t="s">
        <v>831</v>
      </c>
      <c r="C31" s="43">
        <v>3.6804999999999999</v>
      </c>
      <c r="D31" s="43"/>
      <c r="E31" s="43">
        <v>25.31194</v>
      </c>
      <c r="F31" s="43">
        <v>11.887</v>
      </c>
      <c r="G31" s="43"/>
      <c r="H31" s="43"/>
      <c r="I31" s="43"/>
      <c r="J31" s="43"/>
      <c r="K31" s="43">
        <v>21.2544</v>
      </c>
      <c r="L31" s="43">
        <v>28.7437</v>
      </c>
      <c r="M31" s="43">
        <v>12.2477</v>
      </c>
      <c r="N31" s="43">
        <v>14.68</v>
      </c>
      <c r="O31" s="43">
        <v>27.652000000000001</v>
      </c>
      <c r="P31" s="43"/>
      <c r="Q31" s="43"/>
      <c r="R31" s="43">
        <v>48.417000000000002</v>
      </c>
      <c r="S31" s="43"/>
      <c r="T31" s="43">
        <v>36.059959999999997</v>
      </c>
      <c r="U31" s="43"/>
      <c r="V31" s="43">
        <v>1.1000000000000001</v>
      </c>
      <c r="W31" s="43"/>
      <c r="X31" s="43">
        <v>155.36877999999999</v>
      </c>
      <c r="Y31" s="43"/>
      <c r="Z31" s="43">
        <v>9.2817799999999995</v>
      </c>
      <c r="AA31" s="43">
        <v>4.7869999999999999</v>
      </c>
      <c r="AB31" s="43"/>
      <c r="AC31" s="43">
        <v>17.64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5.7236000000000002</v>
      </c>
      <c r="AM31" s="43">
        <v>48.729199999999999</v>
      </c>
      <c r="AN31" s="43">
        <v>25.8949</v>
      </c>
      <c r="AO31" s="43">
        <v>28.0806</v>
      </c>
      <c r="AP31" s="43">
        <v>0.73</v>
      </c>
      <c r="AQ31" s="43">
        <v>156.53</v>
      </c>
      <c r="AR31" s="43"/>
      <c r="AS31" s="43">
        <v>38.642000000000003</v>
      </c>
      <c r="AT31" s="43">
        <v>33.94</v>
      </c>
      <c r="AU31" s="43"/>
      <c r="AV31" s="43">
        <v>189.98254</v>
      </c>
      <c r="AW31" s="43">
        <v>33.427630000000001</v>
      </c>
      <c r="AX31" s="43"/>
      <c r="AY31" s="43">
        <v>5.88</v>
      </c>
      <c r="AZ31" s="43"/>
      <c r="BA31" s="43">
        <v>2.4</v>
      </c>
      <c r="BB31" s="43"/>
      <c r="BC31" s="43">
        <v>72.134919999999994</v>
      </c>
      <c r="BD31" s="43"/>
      <c r="BE31" s="43">
        <v>22.6</v>
      </c>
      <c r="BF31" s="43"/>
      <c r="BG31" s="43"/>
      <c r="BH31" s="43"/>
      <c r="BI31" s="43">
        <v>17.81569</v>
      </c>
      <c r="BJ31" s="43"/>
      <c r="BK31" s="43">
        <v>4.8555200000000003</v>
      </c>
      <c r="BL31" s="43"/>
      <c r="BM31" s="43"/>
      <c r="BN31" s="43">
        <v>52.14</v>
      </c>
      <c r="BO31" s="43">
        <v>9.7135999999999996</v>
      </c>
      <c r="BP31" s="43">
        <v>147.25636</v>
      </c>
      <c r="BQ31" s="43">
        <v>1.6483000000000001</v>
      </c>
      <c r="BR31" s="43">
        <v>4.6924000000000001</v>
      </c>
      <c r="BS31" s="43">
        <v>115.94898999999999</v>
      </c>
      <c r="BT31" s="43">
        <v>15.088950000000001</v>
      </c>
      <c r="BU31" s="43"/>
      <c r="BV31" s="43"/>
      <c r="BW31" s="43">
        <v>3.9659300000000002</v>
      </c>
      <c r="BX31" s="43"/>
      <c r="BY31" s="43"/>
      <c r="BZ31" s="43">
        <v>81.507099999999994</v>
      </c>
      <c r="CA31" s="43">
        <v>17.84102</v>
      </c>
      <c r="CB31" s="43">
        <v>1.6412</v>
      </c>
      <c r="CC31" s="43">
        <v>0.54800000000000004</v>
      </c>
      <c r="CD31" s="43">
        <v>33.068100000000001</v>
      </c>
      <c r="CE31" s="43">
        <v>393.52395000000001</v>
      </c>
      <c r="CF31" s="43"/>
      <c r="CG31" s="43">
        <v>152.74</v>
      </c>
      <c r="CH31" s="43">
        <v>17.920000000000002</v>
      </c>
      <c r="CI31" s="43"/>
      <c r="CJ31" s="43"/>
      <c r="CK31" s="43">
        <v>16.440300000000001</v>
      </c>
      <c r="CL31" s="43">
        <v>4.15158</v>
      </c>
      <c r="CM31" s="43"/>
      <c r="CN31" s="43"/>
      <c r="CO31" s="43">
        <v>16.668410000000002</v>
      </c>
      <c r="CP31" s="43">
        <v>245.56</v>
      </c>
      <c r="CQ31" s="43"/>
      <c r="CR31" s="43">
        <v>32.07</v>
      </c>
      <c r="CS31" s="43"/>
      <c r="CT31" s="43">
        <v>21.882000000000001</v>
      </c>
    </row>
    <row r="32" spans="1:98" ht="15.6" x14ac:dyDescent="0.3">
      <c r="A32" s="1"/>
      <c r="B32" s="42" t="s">
        <v>832</v>
      </c>
      <c r="C32" s="43">
        <v>3.6414</v>
      </c>
      <c r="D32" s="43"/>
      <c r="E32" s="43">
        <v>21.68581</v>
      </c>
      <c r="F32" s="43">
        <v>11.705</v>
      </c>
      <c r="G32" s="43"/>
      <c r="H32" s="43"/>
      <c r="I32" s="43"/>
      <c r="J32" s="43"/>
      <c r="K32" s="43">
        <v>20.848199999999999</v>
      </c>
      <c r="L32" s="43">
        <v>28.479399999999998</v>
      </c>
      <c r="M32" s="43">
        <v>14.3536</v>
      </c>
      <c r="N32" s="43">
        <v>14.5</v>
      </c>
      <c r="O32" s="43">
        <v>27.847999999999999</v>
      </c>
      <c r="P32" s="43"/>
      <c r="Q32" s="43"/>
      <c r="R32" s="43">
        <v>48.29</v>
      </c>
      <c r="S32" s="43"/>
      <c r="T32" s="43">
        <v>38.634410000000003</v>
      </c>
      <c r="U32" s="43"/>
      <c r="V32" s="43">
        <v>1.1000000000000001</v>
      </c>
      <c r="W32" s="43"/>
      <c r="X32" s="43">
        <v>141.41219000000001</v>
      </c>
      <c r="Y32" s="43"/>
      <c r="Z32" s="43">
        <v>9.7924799999999994</v>
      </c>
      <c r="AA32" s="43">
        <v>4.8666999999999998</v>
      </c>
      <c r="AB32" s="43"/>
      <c r="AC32" s="43">
        <v>17.5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5.8369</v>
      </c>
      <c r="AM32" s="43">
        <v>49.557639999999999</v>
      </c>
      <c r="AN32" s="43">
        <v>25.593699999999998</v>
      </c>
      <c r="AO32" s="43">
        <v>27.155899999999999</v>
      </c>
      <c r="AP32" s="43">
        <v>0.78</v>
      </c>
      <c r="AQ32" s="43">
        <v>155.76</v>
      </c>
      <c r="AR32" s="43"/>
      <c r="AS32" s="43">
        <v>38.590000000000003</v>
      </c>
      <c r="AT32" s="43">
        <v>33</v>
      </c>
      <c r="AU32" s="43"/>
      <c r="AV32" s="43">
        <v>189.84381999999999</v>
      </c>
      <c r="AW32" s="43">
        <v>33.603140000000003</v>
      </c>
      <c r="AX32" s="43"/>
      <c r="AY32" s="43">
        <v>5.61</v>
      </c>
      <c r="AZ32" s="43"/>
      <c r="BA32" s="43">
        <v>2.4</v>
      </c>
      <c r="BB32" s="43"/>
      <c r="BC32" s="43">
        <v>72.423349999999999</v>
      </c>
      <c r="BD32" s="43"/>
      <c r="BE32" s="43">
        <v>22.6</v>
      </c>
      <c r="BF32" s="43"/>
      <c r="BG32" s="43"/>
      <c r="BH32" s="43"/>
      <c r="BI32" s="43">
        <v>17.91011</v>
      </c>
      <c r="BJ32" s="43"/>
      <c r="BK32" s="43">
        <v>4.7439</v>
      </c>
      <c r="BL32" s="43"/>
      <c r="BM32" s="43"/>
      <c r="BN32" s="43">
        <v>55.49</v>
      </c>
      <c r="BO32" s="43">
        <v>9.3979199999999992</v>
      </c>
      <c r="BP32" s="43">
        <v>147.48813999999999</v>
      </c>
      <c r="BQ32" s="43">
        <v>1.6665000000000001</v>
      </c>
      <c r="BR32" s="43">
        <v>4.5509000000000004</v>
      </c>
      <c r="BS32" s="43">
        <v>125.16500000000001</v>
      </c>
      <c r="BT32" s="43">
        <v>12.999599999999999</v>
      </c>
      <c r="BU32" s="43"/>
      <c r="BV32" s="43"/>
      <c r="BW32" s="43">
        <v>3.87202</v>
      </c>
      <c r="BX32" s="43"/>
      <c r="BY32" s="43"/>
      <c r="BZ32" s="43">
        <v>82.193899999999999</v>
      </c>
      <c r="CA32" s="43">
        <v>17.880739999999999</v>
      </c>
      <c r="CB32" s="43">
        <v>1.6728000000000001</v>
      </c>
      <c r="CC32" s="43">
        <v>0.56799999999999995</v>
      </c>
      <c r="CD32" s="43">
        <v>32.891620000000003</v>
      </c>
      <c r="CE32" s="43">
        <v>410.62779999999998</v>
      </c>
      <c r="CF32" s="43"/>
      <c r="CG32" s="43">
        <v>148.36799999999999</v>
      </c>
      <c r="CH32" s="43">
        <v>17.875</v>
      </c>
      <c r="CI32" s="43"/>
      <c r="CJ32" s="43"/>
      <c r="CK32" s="43">
        <v>16.2454</v>
      </c>
      <c r="CL32" s="43">
        <v>4.0791300000000001</v>
      </c>
      <c r="CM32" s="43"/>
      <c r="CN32" s="43"/>
      <c r="CO32" s="43">
        <v>15.731439999999999</v>
      </c>
      <c r="CP32" s="43">
        <v>252.55</v>
      </c>
      <c r="CQ32" s="43"/>
      <c r="CR32" s="43">
        <v>31.305</v>
      </c>
      <c r="CS32" s="43"/>
      <c r="CT32" s="43">
        <v>21.225999999999999</v>
      </c>
    </row>
    <row r="33" spans="1:98" ht="15.6" x14ac:dyDescent="0.3">
      <c r="A33" s="1"/>
      <c r="B33" s="42" t="s">
        <v>833</v>
      </c>
      <c r="C33" s="43">
        <v>3.7589999999999999</v>
      </c>
      <c r="D33" s="43"/>
      <c r="E33" s="43">
        <v>25.103729999999999</v>
      </c>
      <c r="F33" s="43">
        <v>11.926</v>
      </c>
      <c r="G33" s="43"/>
      <c r="H33" s="43"/>
      <c r="I33" s="43"/>
      <c r="J33" s="43"/>
      <c r="K33" s="43">
        <v>20.751100000000001</v>
      </c>
      <c r="L33" s="43">
        <v>28.058399999999999</v>
      </c>
      <c r="M33" s="43">
        <v>15.043100000000001</v>
      </c>
      <c r="N33" s="43">
        <v>14.63</v>
      </c>
      <c r="O33" s="43">
        <v>28.3</v>
      </c>
      <c r="P33" s="43"/>
      <c r="Q33" s="43"/>
      <c r="R33" s="43">
        <v>48.31</v>
      </c>
      <c r="S33" s="43"/>
      <c r="T33" s="43">
        <v>41.467080000000003</v>
      </c>
      <c r="U33" s="43"/>
      <c r="V33" s="43">
        <v>1.1000000000000001</v>
      </c>
      <c r="W33" s="43"/>
      <c r="X33" s="43">
        <v>132.57160999999999</v>
      </c>
      <c r="Y33" s="43"/>
      <c r="Z33" s="43">
        <v>9.95608</v>
      </c>
      <c r="AA33" s="43">
        <v>5.6696999999999997</v>
      </c>
      <c r="AB33" s="43"/>
      <c r="AC33" s="43">
        <v>17.73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5.8285999999999998</v>
      </c>
      <c r="AM33" s="43">
        <v>49.627890000000001</v>
      </c>
      <c r="AN33" s="43">
        <v>25.2606</v>
      </c>
      <c r="AO33" s="43">
        <v>27.341699999999999</v>
      </c>
      <c r="AP33" s="43">
        <v>0.64</v>
      </c>
      <c r="AQ33" s="43">
        <v>157.15</v>
      </c>
      <c r="AR33" s="43"/>
      <c r="AS33" s="43">
        <v>37.390999999999998</v>
      </c>
      <c r="AT33" s="43">
        <v>33.47</v>
      </c>
      <c r="AU33" s="43"/>
      <c r="AV33" s="43">
        <v>189.26202000000001</v>
      </c>
      <c r="AW33" s="43">
        <v>33.231540000000003</v>
      </c>
      <c r="AX33" s="43"/>
      <c r="AY33" s="43">
        <v>5.68</v>
      </c>
      <c r="AZ33" s="43"/>
      <c r="BA33" s="43">
        <v>2.6</v>
      </c>
      <c r="BB33" s="43"/>
      <c r="BC33" s="43">
        <v>72.559870000000004</v>
      </c>
      <c r="BD33" s="43"/>
      <c r="BE33" s="43">
        <v>22.6</v>
      </c>
      <c r="BF33" s="43"/>
      <c r="BG33" s="43"/>
      <c r="BH33" s="43"/>
      <c r="BI33" s="43">
        <v>17.925419999999999</v>
      </c>
      <c r="BJ33" s="43"/>
      <c r="BK33" s="43">
        <v>4.9545700000000004</v>
      </c>
      <c r="BL33" s="43"/>
      <c r="BM33" s="43"/>
      <c r="BN33" s="43">
        <v>55.39</v>
      </c>
      <c r="BO33" s="43">
        <v>9.4344900000000003</v>
      </c>
      <c r="BP33" s="43">
        <v>147.81321</v>
      </c>
      <c r="BQ33" s="43">
        <v>1.7877000000000001</v>
      </c>
      <c r="BR33" s="43">
        <v>4.5921000000000003</v>
      </c>
      <c r="BS33" s="43">
        <v>124.33847</v>
      </c>
      <c r="BT33" s="43">
        <v>10.36022</v>
      </c>
      <c r="BU33" s="43"/>
      <c r="BV33" s="43"/>
      <c r="BW33" s="43">
        <v>4.0072999999999999</v>
      </c>
      <c r="BX33" s="43"/>
      <c r="BY33" s="43"/>
      <c r="BZ33" s="43">
        <v>82.221199999999996</v>
      </c>
      <c r="CA33" s="43">
        <v>17.904910000000001</v>
      </c>
      <c r="CB33" s="43">
        <v>1.6521999999999999</v>
      </c>
      <c r="CC33" s="43">
        <v>0.58899999999999997</v>
      </c>
      <c r="CD33" s="43">
        <v>32.367649999999998</v>
      </c>
      <c r="CE33" s="43">
        <v>410.40386000000001</v>
      </c>
      <c r="CF33" s="43"/>
      <c r="CG33" s="43">
        <v>143.8835</v>
      </c>
      <c r="CH33" s="43">
        <v>17.72</v>
      </c>
      <c r="CI33" s="43"/>
      <c r="CJ33" s="43"/>
      <c r="CK33" s="43">
        <v>16.506799999999998</v>
      </c>
      <c r="CL33" s="43">
        <v>4.0601599999999998</v>
      </c>
      <c r="CM33" s="43"/>
      <c r="CN33" s="43"/>
      <c r="CO33" s="43">
        <v>15.9787</v>
      </c>
      <c r="CP33" s="43">
        <v>253.32</v>
      </c>
      <c r="CQ33" s="43"/>
      <c r="CR33" s="43">
        <v>29.614000000000001</v>
      </c>
      <c r="CS33" s="43"/>
      <c r="CT33" s="43">
        <v>15.42</v>
      </c>
    </row>
    <row r="34" spans="1:98" ht="15.6" x14ac:dyDescent="0.3">
      <c r="A34" s="1"/>
      <c r="B34" s="42" t="s">
        <v>834</v>
      </c>
      <c r="C34" s="43">
        <v>3.4693999999999998</v>
      </c>
      <c r="D34" s="43"/>
      <c r="E34" s="43">
        <v>24.59008</v>
      </c>
      <c r="F34" s="43">
        <v>12.821</v>
      </c>
      <c r="G34" s="43"/>
      <c r="H34" s="43"/>
      <c r="I34" s="43"/>
      <c r="J34" s="43"/>
      <c r="K34" s="43">
        <v>21.053699999999999</v>
      </c>
      <c r="L34" s="43">
        <v>28.458100000000002</v>
      </c>
      <c r="M34" s="43">
        <v>15.452500000000001</v>
      </c>
      <c r="N34" s="43">
        <v>14.76</v>
      </c>
      <c r="O34" s="43">
        <v>28.085999999999999</v>
      </c>
      <c r="P34" s="43"/>
      <c r="Q34" s="43"/>
      <c r="R34" s="43">
        <v>48.298999999999999</v>
      </c>
      <c r="S34" s="43"/>
      <c r="T34" s="43">
        <v>49.617229999999999</v>
      </c>
      <c r="U34" s="43"/>
      <c r="V34" s="43">
        <v>1</v>
      </c>
      <c r="W34" s="43"/>
      <c r="X34" s="43">
        <v>92.017979999999994</v>
      </c>
      <c r="Y34" s="43"/>
      <c r="Z34" s="43">
        <v>9.9570600000000002</v>
      </c>
      <c r="AA34" s="43">
        <v>5.9596</v>
      </c>
      <c r="AB34" s="43"/>
      <c r="AC34" s="43">
        <v>17.600000000000001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5.8030999999999997</v>
      </c>
      <c r="AM34" s="43">
        <v>50.326970000000003</v>
      </c>
      <c r="AN34" s="43">
        <v>26.223199999999999</v>
      </c>
      <c r="AO34" s="43">
        <v>27.488800000000001</v>
      </c>
      <c r="AP34" s="43">
        <v>0.45</v>
      </c>
      <c r="AQ34" s="43">
        <v>157.21</v>
      </c>
      <c r="AR34" s="43"/>
      <c r="AS34" s="43">
        <v>37.396000000000001</v>
      </c>
      <c r="AT34" s="43">
        <v>34.08</v>
      </c>
      <c r="AU34" s="43"/>
      <c r="AV34" s="43">
        <v>189.48392000000001</v>
      </c>
      <c r="AW34" s="43">
        <v>33.295070000000003</v>
      </c>
      <c r="AX34" s="43"/>
      <c r="AY34" s="43">
        <v>5.26</v>
      </c>
      <c r="AZ34" s="43"/>
      <c r="BA34" s="43">
        <v>2.5</v>
      </c>
      <c r="BB34" s="43"/>
      <c r="BC34" s="43">
        <v>72.812960000000004</v>
      </c>
      <c r="BD34" s="43"/>
      <c r="BE34" s="43">
        <v>22.6</v>
      </c>
      <c r="BF34" s="43"/>
      <c r="BG34" s="43"/>
      <c r="BH34" s="43"/>
      <c r="BI34" s="43">
        <v>18.237970000000001</v>
      </c>
      <c r="BJ34" s="43"/>
      <c r="BK34" s="43">
        <v>4.9793200000000004</v>
      </c>
      <c r="BL34" s="43"/>
      <c r="BM34" s="43"/>
      <c r="BN34" s="43">
        <v>55.7</v>
      </c>
      <c r="BO34" s="43">
        <v>9.5415700000000001</v>
      </c>
      <c r="BP34" s="43">
        <v>146.22793999999999</v>
      </c>
      <c r="BQ34" s="43">
        <v>1.7453000000000001</v>
      </c>
      <c r="BR34" s="43">
        <v>4.7069999999999999</v>
      </c>
      <c r="BS34" s="43">
        <v>125.49184</v>
      </c>
      <c r="BT34" s="43">
        <v>10.835990000000001</v>
      </c>
      <c r="BU34" s="43"/>
      <c r="BV34" s="43"/>
      <c r="BW34" s="43">
        <v>3.7307000000000001</v>
      </c>
      <c r="BX34" s="43"/>
      <c r="BY34" s="43"/>
      <c r="BZ34" s="43">
        <v>81.756200000000007</v>
      </c>
      <c r="CA34" s="43">
        <v>17.89405</v>
      </c>
      <c r="CB34" s="43">
        <v>1.6516999999999999</v>
      </c>
      <c r="CC34" s="43">
        <v>0.59499999999999997</v>
      </c>
      <c r="CD34" s="43">
        <v>32.210850000000001</v>
      </c>
      <c r="CE34" s="43">
        <v>412.72143</v>
      </c>
      <c r="CF34" s="43"/>
      <c r="CG34" s="43">
        <v>152.91300000000001</v>
      </c>
      <c r="CH34" s="43">
        <v>17.975000000000001</v>
      </c>
      <c r="CI34" s="43"/>
      <c r="CJ34" s="43"/>
      <c r="CK34" s="43">
        <v>16.940300000000001</v>
      </c>
      <c r="CL34" s="43">
        <v>4.0584499999999997</v>
      </c>
      <c r="CM34" s="43"/>
      <c r="CN34" s="43"/>
      <c r="CO34" s="43">
        <v>16.231539999999999</v>
      </c>
      <c r="CP34" s="43">
        <v>249.23</v>
      </c>
      <c r="CQ34" s="43"/>
      <c r="CR34" s="43">
        <v>29.498999999999999</v>
      </c>
      <c r="CS34" s="43"/>
      <c r="CT34" s="43">
        <v>3.6659999999999999</v>
      </c>
    </row>
    <row r="35" spans="1:98" ht="15.6" x14ac:dyDescent="0.3">
      <c r="A35" s="1"/>
      <c r="B35" s="42" t="s">
        <v>835</v>
      </c>
      <c r="C35" s="43">
        <v>3.6362000000000001</v>
      </c>
      <c r="D35" s="43"/>
      <c r="E35" s="43">
        <v>24.173690000000001</v>
      </c>
      <c r="F35" s="43">
        <v>12.313000000000001</v>
      </c>
      <c r="G35" s="43"/>
      <c r="H35" s="43"/>
      <c r="I35" s="43"/>
      <c r="J35" s="43"/>
      <c r="K35" s="43">
        <v>20.6098</v>
      </c>
      <c r="L35" s="43">
        <v>28.962599999999998</v>
      </c>
      <c r="M35" s="43">
        <v>16.0124</v>
      </c>
      <c r="N35" s="43">
        <v>14.64</v>
      </c>
      <c r="O35" s="43">
        <v>28.962</v>
      </c>
      <c r="P35" s="43"/>
      <c r="Q35" s="43"/>
      <c r="R35" s="43">
        <v>48.31</v>
      </c>
      <c r="S35" s="43"/>
      <c r="T35" s="43">
        <v>50.41234</v>
      </c>
      <c r="U35" s="43"/>
      <c r="V35" s="43">
        <v>1</v>
      </c>
      <c r="W35" s="43"/>
      <c r="X35" s="43">
        <v>121.21566</v>
      </c>
      <c r="Y35" s="43"/>
      <c r="Z35" s="43">
        <v>10.21081</v>
      </c>
      <c r="AA35" s="43">
        <v>5.5434999999999999</v>
      </c>
      <c r="AB35" s="43"/>
      <c r="AC35" s="43">
        <v>17.8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5.8906999999999998</v>
      </c>
      <c r="AM35" s="43">
        <v>50.870640000000002</v>
      </c>
      <c r="AN35" s="43">
        <v>26.086600000000001</v>
      </c>
      <c r="AO35" s="43">
        <v>27.140599999999999</v>
      </c>
      <c r="AP35" s="43">
        <v>0.73</v>
      </c>
      <c r="AQ35" s="43">
        <v>159.80000000000001</v>
      </c>
      <c r="AR35" s="43"/>
      <c r="AS35" s="43">
        <v>38.4</v>
      </c>
      <c r="AT35" s="43">
        <v>34.68</v>
      </c>
      <c r="AU35" s="43"/>
      <c r="AV35" s="43">
        <v>189.49629999999999</v>
      </c>
      <c r="AW35" s="43">
        <v>33.711709999999997</v>
      </c>
      <c r="AX35" s="43"/>
      <c r="AY35" s="43">
        <v>5.76</v>
      </c>
      <c r="AZ35" s="43"/>
      <c r="BA35" s="43">
        <v>2.7</v>
      </c>
      <c r="BB35" s="43"/>
      <c r="BC35" s="43">
        <v>71.019019999999998</v>
      </c>
      <c r="BD35" s="43"/>
      <c r="BE35" s="43">
        <v>22.6</v>
      </c>
      <c r="BF35" s="43"/>
      <c r="BG35" s="43"/>
      <c r="BH35" s="43"/>
      <c r="BI35" s="43">
        <v>18.287659999999999</v>
      </c>
      <c r="BJ35" s="43"/>
      <c r="BK35" s="43">
        <v>5.0438200000000002</v>
      </c>
      <c r="BL35" s="43"/>
      <c r="BM35" s="43"/>
      <c r="BN35" s="43">
        <v>55.83</v>
      </c>
      <c r="BO35" s="43">
        <v>9.7629900000000003</v>
      </c>
      <c r="BP35" s="43">
        <v>147.37153000000001</v>
      </c>
      <c r="BQ35" s="43">
        <v>1.6968000000000001</v>
      </c>
      <c r="BR35" s="43">
        <v>4.5425000000000004</v>
      </c>
      <c r="BS35" s="43">
        <v>127.59952</v>
      </c>
      <c r="BT35" s="43">
        <v>7.7338800000000001</v>
      </c>
      <c r="BU35" s="43"/>
      <c r="BV35" s="43"/>
      <c r="BW35" s="43">
        <v>3.87202</v>
      </c>
      <c r="BX35" s="43"/>
      <c r="BY35" s="43"/>
      <c r="BZ35" s="43">
        <v>80.895399999999995</v>
      </c>
      <c r="CA35" s="43">
        <v>17.898260000000001</v>
      </c>
      <c r="CB35" s="43">
        <v>1.6660999999999999</v>
      </c>
      <c r="CC35" s="43">
        <v>0.55700000000000005</v>
      </c>
      <c r="CD35" s="43">
        <v>32.286589999999997</v>
      </c>
      <c r="CE35" s="43">
        <v>412.17176999999998</v>
      </c>
      <c r="CF35" s="43"/>
      <c r="CG35" s="43">
        <v>154.3493</v>
      </c>
      <c r="CH35" s="43">
        <v>17.952999999999999</v>
      </c>
      <c r="CI35" s="43"/>
      <c r="CJ35" s="43"/>
      <c r="CK35" s="43">
        <v>17.9297</v>
      </c>
      <c r="CL35" s="43">
        <v>4.3804499999999997</v>
      </c>
      <c r="CM35" s="43"/>
      <c r="CN35" s="43"/>
      <c r="CO35" s="43">
        <v>16.17887</v>
      </c>
      <c r="CP35" s="43">
        <v>265.67</v>
      </c>
      <c r="CQ35" s="43"/>
      <c r="CR35" s="43">
        <v>31.239000000000001</v>
      </c>
      <c r="CS35" s="43"/>
      <c r="CT35" s="43">
        <v>3.9119999999999999</v>
      </c>
    </row>
    <row r="36" spans="1:98" ht="15.6" x14ac:dyDescent="0.3">
      <c r="A36" s="1"/>
      <c r="B36" s="42" t="s">
        <v>836</v>
      </c>
      <c r="C36" s="43">
        <v>3.5550999999999999</v>
      </c>
      <c r="D36" s="43"/>
      <c r="E36" s="43">
        <v>24.104690000000002</v>
      </c>
      <c r="F36" s="43">
        <v>12.98</v>
      </c>
      <c r="G36" s="43"/>
      <c r="H36" s="43"/>
      <c r="I36" s="43"/>
      <c r="J36" s="43"/>
      <c r="K36" s="43">
        <v>20.168099999999999</v>
      </c>
      <c r="L36" s="43">
        <v>28.744599999999998</v>
      </c>
      <c r="M36" s="43">
        <v>15.759</v>
      </c>
      <c r="N36" s="43">
        <v>14.59</v>
      </c>
      <c r="O36" s="43">
        <v>28.898</v>
      </c>
      <c r="P36" s="43"/>
      <c r="Q36" s="43"/>
      <c r="R36" s="43">
        <v>48.537999999999997</v>
      </c>
      <c r="S36" s="43"/>
      <c r="T36" s="43">
        <v>45.890790000000003</v>
      </c>
      <c r="U36" s="43"/>
      <c r="V36" s="43">
        <v>1</v>
      </c>
      <c r="W36" s="43"/>
      <c r="X36" s="43">
        <v>165.69578000000001</v>
      </c>
      <c r="Y36" s="43"/>
      <c r="Z36" s="43">
        <v>10.231439999999999</v>
      </c>
      <c r="AA36" s="43">
        <v>5.2037000000000004</v>
      </c>
      <c r="AB36" s="43"/>
      <c r="AC36" s="43">
        <v>17.63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5.9659000000000004</v>
      </c>
      <c r="AM36" s="43">
        <v>50.825679999999998</v>
      </c>
      <c r="AN36" s="43">
        <v>22.253599999999999</v>
      </c>
      <c r="AO36" s="43">
        <v>28.122</v>
      </c>
      <c r="AP36" s="43">
        <v>0.86</v>
      </c>
      <c r="AQ36" s="43">
        <v>159.41</v>
      </c>
      <c r="AR36" s="43"/>
      <c r="AS36" s="43">
        <v>38.127000000000002</v>
      </c>
      <c r="AT36" s="43">
        <v>35.659999999999997</v>
      </c>
      <c r="AU36" s="43"/>
      <c r="AV36" s="43">
        <v>189.7158</v>
      </c>
      <c r="AW36" s="43">
        <v>32.788609999999998</v>
      </c>
      <c r="AX36" s="43"/>
      <c r="AY36" s="43">
        <v>5.92</v>
      </c>
      <c r="AZ36" s="43"/>
      <c r="BA36" s="43">
        <v>2.6</v>
      </c>
      <c r="BB36" s="43"/>
      <c r="BC36" s="43">
        <v>70.12885</v>
      </c>
      <c r="BD36" s="43"/>
      <c r="BE36" s="43">
        <v>22.6</v>
      </c>
      <c r="BF36" s="43"/>
      <c r="BG36" s="43"/>
      <c r="BH36" s="43"/>
      <c r="BI36" s="43">
        <v>18.273510000000002</v>
      </c>
      <c r="BJ36" s="43"/>
      <c r="BK36" s="43">
        <v>5.1685999999999996</v>
      </c>
      <c r="BL36" s="43"/>
      <c r="BM36" s="43"/>
      <c r="BN36" s="43">
        <v>55.03</v>
      </c>
      <c r="BO36" s="43">
        <v>10.06897</v>
      </c>
      <c r="BP36" s="43">
        <v>149.01337000000001</v>
      </c>
      <c r="BQ36" s="43">
        <v>1.6241000000000001</v>
      </c>
      <c r="BR36" s="43">
        <v>4.6768000000000001</v>
      </c>
      <c r="BS36" s="43">
        <v>128.26191</v>
      </c>
      <c r="BT36" s="43">
        <v>11.24419</v>
      </c>
      <c r="BU36" s="43"/>
      <c r="BV36" s="43"/>
      <c r="BW36" s="43">
        <v>3.9659300000000002</v>
      </c>
      <c r="BX36" s="43"/>
      <c r="BY36" s="43"/>
      <c r="BZ36" s="43">
        <v>80.984899999999996</v>
      </c>
      <c r="CA36" s="43">
        <v>17.900099999999998</v>
      </c>
      <c r="CB36" s="43">
        <v>1.6509</v>
      </c>
      <c r="CC36" s="43">
        <v>0.55300000000000005</v>
      </c>
      <c r="CD36" s="43">
        <v>32.142229999999998</v>
      </c>
      <c r="CE36" s="43">
        <v>406.22942</v>
      </c>
      <c r="CF36" s="43"/>
      <c r="CG36" s="43">
        <v>149.77940000000001</v>
      </c>
      <c r="CH36" s="43">
        <v>17.954000000000001</v>
      </c>
      <c r="CI36" s="43"/>
      <c r="CJ36" s="43"/>
      <c r="CK36" s="43">
        <v>17.471</v>
      </c>
      <c r="CL36" s="43">
        <v>4.1642099999999997</v>
      </c>
      <c r="CM36" s="43"/>
      <c r="CN36" s="43"/>
      <c r="CO36" s="43">
        <v>17.02393</v>
      </c>
      <c r="CP36" s="43">
        <v>261.05</v>
      </c>
      <c r="CQ36" s="43"/>
      <c r="CR36" s="43">
        <v>32.326000000000001</v>
      </c>
      <c r="CS36" s="43"/>
      <c r="CT36" s="43">
        <v>10.913</v>
      </c>
    </row>
    <row r="37" spans="1:98" ht="15.6" x14ac:dyDescent="0.3">
      <c r="A37" s="1"/>
      <c r="B37" s="42" t="s">
        <v>837</v>
      </c>
      <c r="C37" s="43">
        <v>3.1274000000000002</v>
      </c>
      <c r="D37" s="43"/>
      <c r="E37" s="43">
        <v>23.93308</v>
      </c>
      <c r="F37" s="43">
        <v>13.651</v>
      </c>
      <c r="G37" s="43"/>
      <c r="H37" s="43"/>
      <c r="I37" s="43"/>
      <c r="J37" s="43"/>
      <c r="K37" s="43">
        <v>20.195900000000002</v>
      </c>
      <c r="L37" s="43">
        <v>28.820699999999999</v>
      </c>
      <c r="M37" s="43">
        <v>16.07</v>
      </c>
      <c r="N37" s="43">
        <v>14.07</v>
      </c>
      <c r="O37" s="43">
        <v>28.812000000000001</v>
      </c>
      <c r="P37" s="43"/>
      <c r="Q37" s="43"/>
      <c r="R37" s="43">
        <v>48.435000000000002</v>
      </c>
      <c r="S37" s="43"/>
      <c r="T37" s="43">
        <v>40.711959999999998</v>
      </c>
      <c r="U37" s="43"/>
      <c r="V37" s="43">
        <v>1</v>
      </c>
      <c r="W37" s="43"/>
      <c r="X37" s="43">
        <v>140.41821999999999</v>
      </c>
      <c r="Y37" s="43"/>
      <c r="Z37" s="43">
        <v>10.06898</v>
      </c>
      <c r="AA37" s="43">
        <v>4.8273000000000001</v>
      </c>
      <c r="AB37" s="43"/>
      <c r="AC37" s="43">
        <v>17.41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6.0425000000000004</v>
      </c>
      <c r="AM37" s="43">
        <v>46.717480000000002</v>
      </c>
      <c r="AN37" s="43">
        <v>21.586300000000001</v>
      </c>
      <c r="AO37" s="43">
        <v>28.8904</v>
      </c>
      <c r="AP37" s="43">
        <v>0.97</v>
      </c>
      <c r="AQ37" s="43">
        <v>163.27000000000001</v>
      </c>
      <c r="AR37" s="43"/>
      <c r="AS37" s="43">
        <v>38.704999999999998</v>
      </c>
      <c r="AT37" s="43">
        <v>35.01</v>
      </c>
      <c r="AU37" s="43"/>
      <c r="AV37" s="43">
        <v>189.84084999999999</v>
      </c>
      <c r="AW37" s="43">
        <v>32.499870000000001</v>
      </c>
      <c r="AX37" s="43"/>
      <c r="AY37" s="43">
        <v>5.79</v>
      </c>
      <c r="AZ37" s="43"/>
      <c r="BA37" s="43">
        <v>2.5</v>
      </c>
      <c r="BB37" s="43"/>
      <c r="BC37" s="43">
        <v>70.809510000000003</v>
      </c>
      <c r="BD37" s="43"/>
      <c r="BE37" s="43">
        <v>22.9</v>
      </c>
      <c r="BF37" s="43"/>
      <c r="BG37" s="43"/>
      <c r="BH37" s="43"/>
      <c r="BI37" s="43">
        <v>16.379619999999999</v>
      </c>
      <c r="BJ37" s="43"/>
      <c r="BK37" s="43">
        <v>5.1158099999999997</v>
      </c>
      <c r="BL37" s="43"/>
      <c r="BM37" s="43"/>
      <c r="BN37" s="43">
        <v>55.73</v>
      </c>
      <c r="BO37" s="43">
        <v>10.084099999999999</v>
      </c>
      <c r="BP37" s="43">
        <v>150.35614000000001</v>
      </c>
      <c r="BQ37" s="43">
        <v>1.6907000000000001</v>
      </c>
      <c r="BR37" s="43">
        <v>4.7001999999999997</v>
      </c>
      <c r="BS37" s="43">
        <v>129.31385</v>
      </c>
      <c r="BT37" s="43">
        <v>12.946759999999999</v>
      </c>
      <c r="BU37" s="43"/>
      <c r="BV37" s="43"/>
      <c r="BW37" s="43">
        <v>4.0273599999999998</v>
      </c>
      <c r="BX37" s="43"/>
      <c r="BY37" s="43"/>
      <c r="BZ37" s="43">
        <v>81.038600000000002</v>
      </c>
      <c r="CA37" s="43">
        <v>17.92792</v>
      </c>
      <c r="CB37" s="43">
        <v>1.6785000000000001</v>
      </c>
      <c r="CC37" s="43">
        <v>0.55600000000000005</v>
      </c>
      <c r="CD37" s="43">
        <v>33.37744</v>
      </c>
      <c r="CE37" s="43">
        <v>405.24725999999998</v>
      </c>
      <c r="CF37" s="43"/>
      <c r="CG37" s="43">
        <v>156.2586</v>
      </c>
      <c r="CH37" s="43">
        <v>17.925000000000001</v>
      </c>
      <c r="CI37" s="43"/>
      <c r="CJ37" s="43"/>
      <c r="CK37" s="43">
        <v>17.54</v>
      </c>
      <c r="CL37" s="43">
        <v>4.1014099999999996</v>
      </c>
      <c r="CM37" s="43"/>
      <c r="CN37" s="43"/>
      <c r="CO37" s="43">
        <v>17.49044</v>
      </c>
      <c r="CP37" s="43">
        <v>260.06</v>
      </c>
      <c r="CQ37" s="43"/>
      <c r="CR37" s="43">
        <v>30.364999999999998</v>
      </c>
      <c r="CS37" s="43"/>
      <c r="CT37" s="43">
        <v>18.655999999999999</v>
      </c>
    </row>
    <row r="38" spans="1:98" ht="15.6" x14ac:dyDescent="0.3">
      <c r="A38" s="1"/>
      <c r="B38" s="42" t="s">
        <v>838</v>
      </c>
      <c r="C38" s="43">
        <v>3.4855999999999998</v>
      </c>
      <c r="D38" s="43"/>
      <c r="E38" s="43">
        <v>23.892150000000001</v>
      </c>
      <c r="F38" s="43">
        <v>12.766999999999999</v>
      </c>
      <c r="G38" s="43"/>
      <c r="H38" s="43"/>
      <c r="I38" s="43"/>
      <c r="J38" s="43"/>
      <c r="K38" s="43">
        <v>20.4833</v>
      </c>
      <c r="L38" s="43">
        <v>28.382000000000001</v>
      </c>
      <c r="M38" s="43">
        <v>16.392399999999999</v>
      </c>
      <c r="N38" s="43">
        <v>14.81</v>
      </c>
      <c r="O38" s="43">
        <v>28.31</v>
      </c>
      <c r="P38" s="43"/>
      <c r="Q38" s="43"/>
      <c r="R38" s="43">
        <v>48.158999999999999</v>
      </c>
      <c r="S38" s="43"/>
      <c r="T38" s="43">
        <v>43.03783</v>
      </c>
      <c r="U38" s="43"/>
      <c r="V38" s="43">
        <v>1</v>
      </c>
      <c r="W38" s="43"/>
      <c r="X38" s="43">
        <v>140.48763</v>
      </c>
      <c r="Y38" s="43"/>
      <c r="Z38" s="43">
        <v>9.7047899999999991</v>
      </c>
      <c r="AA38" s="43">
        <v>5.6022999999999996</v>
      </c>
      <c r="AB38" s="43"/>
      <c r="AC38" s="43">
        <v>16.11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6.0340999999999996</v>
      </c>
      <c r="AM38" s="43">
        <v>46.997349999999997</v>
      </c>
      <c r="AN38" s="43">
        <v>17.813300000000002</v>
      </c>
      <c r="AO38" s="43">
        <v>29.039300000000001</v>
      </c>
      <c r="AP38" s="43">
        <v>0.6</v>
      </c>
      <c r="AQ38" s="43">
        <v>164.04</v>
      </c>
      <c r="AR38" s="43"/>
      <c r="AS38" s="43">
        <v>38.301000000000002</v>
      </c>
      <c r="AT38" s="43">
        <v>33.369999999999997</v>
      </c>
      <c r="AU38" s="43"/>
      <c r="AV38" s="43">
        <v>190.39287999999999</v>
      </c>
      <c r="AW38" s="43">
        <v>33.044110000000003</v>
      </c>
      <c r="AX38" s="43"/>
      <c r="AY38" s="43">
        <v>6.01</v>
      </c>
      <c r="AZ38" s="43"/>
      <c r="BA38" s="43">
        <v>2.5</v>
      </c>
      <c r="BB38" s="43"/>
      <c r="BC38" s="43">
        <v>71.001410000000007</v>
      </c>
      <c r="BD38" s="43"/>
      <c r="BE38" s="43">
        <v>22.9</v>
      </c>
      <c r="BF38" s="43"/>
      <c r="BG38" s="43"/>
      <c r="BH38" s="43"/>
      <c r="BI38" s="43">
        <v>15.488759999999999</v>
      </c>
      <c r="BJ38" s="43"/>
      <c r="BK38" s="43">
        <v>5.0813100000000002</v>
      </c>
      <c r="BL38" s="43"/>
      <c r="BM38" s="43"/>
      <c r="BN38" s="43">
        <v>55.78</v>
      </c>
      <c r="BO38" s="43">
        <v>9.4612400000000001</v>
      </c>
      <c r="BP38" s="43">
        <v>150.79175000000001</v>
      </c>
      <c r="BQ38" s="43">
        <v>1.6483000000000001</v>
      </c>
      <c r="BR38" s="43">
        <v>4.7366999999999999</v>
      </c>
      <c r="BS38" s="43">
        <v>129.04357999999999</v>
      </c>
      <c r="BT38" s="43">
        <v>14.303660000000001</v>
      </c>
      <c r="BU38" s="43"/>
      <c r="BV38" s="43"/>
      <c r="BW38" s="43">
        <v>3.8865599999999998</v>
      </c>
      <c r="BX38" s="43"/>
      <c r="BY38" s="43"/>
      <c r="BZ38" s="43">
        <v>80.953400000000002</v>
      </c>
      <c r="CA38" s="43">
        <v>17.965140000000002</v>
      </c>
      <c r="CB38" s="43">
        <v>1.6618999999999999</v>
      </c>
      <c r="CC38" s="43">
        <v>0.54</v>
      </c>
      <c r="CD38" s="43">
        <v>34.396090000000001</v>
      </c>
      <c r="CE38" s="43">
        <v>408.79665999999997</v>
      </c>
      <c r="CF38" s="43"/>
      <c r="CG38" s="43">
        <v>152.28829999999999</v>
      </c>
      <c r="CH38" s="43">
        <v>17.713999999999999</v>
      </c>
      <c r="CI38" s="43"/>
      <c r="CJ38" s="43"/>
      <c r="CK38" s="43">
        <v>16.9496</v>
      </c>
      <c r="CL38" s="43">
        <v>4.3577599999999999</v>
      </c>
      <c r="CM38" s="43"/>
      <c r="CN38" s="43"/>
      <c r="CO38" s="43">
        <v>16.922039999999999</v>
      </c>
      <c r="CP38" s="43">
        <v>263.66000000000003</v>
      </c>
      <c r="CQ38" s="43"/>
      <c r="CR38" s="43">
        <v>30.545000000000002</v>
      </c>
      <c r="CS38" s="43"/>
      <c r="CT38" s="43">
        <v>25.111999999999998</v>
      </c>
    </row>
    <row r="39" spans="1:98" ht="15.6" x14ac:dyDescent="0.3">
      <c r="A39" s="1"/>
      <c r="B39" s="42" t="s">
        <v>839</v>
      </c>
      <c r="C39" s="43">
        <v>3.3208000000000002</v>
      </c>
      <c r="D39" s="43"/>
      <c r="E39" s="43">
        <v>23.96837</v>
      </c>
      <c r="F39" s="43">
        <v>12.441000000000001</v>
      </c>
      <c r="G39" s="43"/>
      <c r="H39" s="43"/>
      <c r="I39" s="43"/>
      <c r="J39" s="43"/>
      <c r="K39" s="43">
        <v>20.0718</v>
      </c>
      <c r="L39" s="43">
        <v>28.519400000000001</v>
      </c>
      <c r="M39" s="43">
        <v>15.7759</v>
      </c>
      <c r="N39" s="43">
        <v>14.79</v>
      </c>
      <c r="O39" s="43">
        <v>27.754000000000001</v>
      </c>
      <c r="P39" s="43"/>
      <c r="Q39" s="43"/>
      <c r="R39" s="43">
        <v>48.51</v>
      </c>
      <c r="S39" s="43"/>
      <c r="T39" s="43">
        <v>32.355530000000002</v>
      </c>
      <c r="U39" s="43"/>
      <c r="V39" s="43">
        <v>1</v>
      </c>
      <c r="W39" s="43"/>
      <c r="X39" s="43">
        <v>90.410510000000002</v>
      </c>
      <c r="Y39" s="43"/>
      <c r="Z39" s="43">
        <v>10.270009999999999</v>
      </c>
      <c r="AA39" s="43">
        <v>4.4881000000000002</v>
      </c>
      <c r="AB39" s="43"/>
      <c r="AC39" s="43">
        <v>15.12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5.9953000000000003</v>
      </c>
      <c r="AM39" s="43">
        <v>48.611289999999997</v>
      </c>
      <c r="AN39" s="43">
        <v>20.603899999999999</v>
      </c>
      <c r="AO39" s="43">
        <v>28.3399</v>
      </c>
      <c r="AP39" s="43">
        <v>0.23</v>
      </c>
      <c r="AQ39" s="43">
        <v>164.55</v>
      </c>
      <c r="AR39" s="43"/>
      <c r="AS39" s="43">
        <v>38.476999999999997</v>
      </c>
      <c r="AT39" s="43">
        <v>32.979999999999997</v>
      </c>
      <c r="AU39" s="43"/>
      <c r="AV39" s="43">
        <v>190.46205</v>
      </c>
      <c r="AW39" s="43">
        <v>33.093829999999997</v>
      </c>
      <c r="AX39" s="43"/>
      <c r="AY39" s="43">
        <v>6.19</v>
      </c>
      <c r="AZ39" s="43"/>
      <c r="BA39" s="43">
        <v>2.4</v>
      </c>
      <c r="BB39" s="43"/>
      <c r="BC39" s="43">
        <v>70.250399999999999</v>
      </c>
      <c r="BD39" s="43"/>
      <c r="BE39" s="43">
        <v>22.9</v>
      </c>
      <c r="BF39" s="43"/>
      <c r="BG39" s="43"/>
      <c r="BH39" s="43"/>
      <c r="BI39" s="43">
        <v>16.29644</v>
      </c>
      <c r="BJ39" s="43"/>
      <c r="BK39" s="43">
        <v>5.1081399999999997</v>
      </c>
      <c r="BL39" s="43"/>
      <c r="BM39" s="43"/>
      <c r="BN39" s="43">
        <v>56.63</v>
      </c>
      <c r="BO39" s="43">
        <v>9.3150999999999993</v>
      </c>
      <c r="BP39" s="43">
        <v>150.94649000000001</v>
      </c>
      <c r="BQ39" s="43">
        <v>1.4604999999999999</v>
      </c>
      <c r="BR39" s="43">
        <v>4.4619999999999997</v>
      </c>
      <c r="BS39" s="43">
        <v>129.57225</v>
      </c>
      <c r="BT39" s="43">
        <v>16.595030000000001</v>
      </c>
      <c r="BU39" s="43"/>
      <c r="BV39" s="43"/>
      <c r="BW39" s="43">
        <v>3.9036599999999999</v>
      </c>
      <c r="BX39" s="43"/>
      <c r="BY39" s="43"/>
      <c r="BZ39" s="43">
        <v>80.394300000000001</v>
      </c>
      <c r="CA39" s="43">
        <v>18.000170000000001</v>
      </c>
      <c r="CB39" s="43">
        <v>1.6796</v>
      </c>
      <c r="CC39" s="43">
        <v>0.53400000000000003</v>
      </c>
      <c r="CD39" s="43">
        <v>34.547699999999999</v>
      </c>
      <c r="CE39" s="43">
        <v>417.25159000000002</v>
      </c>
      <c r="CF39" s="43"/>
      <c r="CG39" s="43">
        <v>158.03739999999999</v>
      </c>
      <c r="CH39" s="43">
        <v>17.93</v>
      </c>
      <c r="CI39" s="43"/>
      <c r="CJ39" s="43"/>
      <c r="CK39" s="43">
        <v>17.304400000000001</v>
      </c>
      <c r="CL39" s="43">
        <v>4.5011099999999997</v>
      </c>
      <c r="CM39" s="43"/>
      <c r="CN39" s="43"/>
      <c r="CO39" s="43">
        <v>17.038219999999999</v>
      </c>
      <c r="CP39" s="43">
        <v>262.97000000000003</v>
      </c>
      <c r="CQ39" s="43"/>
      <c r="CR39" s="43">
        <v>30.756</v>
      </c>
      <c r="CS39" s="43"/>
      <c r="CT39" s="43">
        <v>16.847999999999999</v>
      </c>
    </row>
    <row r="40" spans="1:98" ht="15.6" x14ac:dyDescent="0.3">
      <c r="A40" s="1"/>
      <c r="B40" s="42" t="s">
        <v>840</v>
      </c>
      <c r="C40" s="43">
        <v>3.2176999999999998</v>
      </c>
      <c r="D40" s="43"/>
      <c r="E40" s="43">
        <v>22.188559999999999</v>
      </c>
      <c r="F40" s="43">
        <v>13.034000000000001</v>
      </c>
      <c r="G40" s="43"/>
      <c r="H40" s="43"/>
      <c r="I40" s="43"/>
      <c r="J40" s="43"/>
      <c r="K40" s="43">
        <v>20.194600000000001</v>
      </c>
      <c r="L40" s="43">
        <v>28.845800000000001</v>
      </c>
      <c r="M40" s="43">
        <v>15.4893</v>
      </c>
      <c r="N40" s="43">
        <v>14.3</v>
      </c>
      <c r="O40" s="43">
        <v>28.224</v>
      </c>
      <c r="P40" s="43"/>
      <c r="Q40" s="43"/>
      <c r="R40" s="43">
        <v>48.048999999999999</v>
      </c>
      <c r="S40" s="43"/>
      <c r="T40" s="43">
        <v>35.077080000000002</v>
      </c>
      <c r="U40" s="43"/>
      <c r="V40" s="43">
        <v>1</v>
      </c>
      <c r="W40" s="43"/>
      <c r="X40" s="43">
        <v>119.89779</v>
      </c>
      <c r="Y40" s="43"/>
      <c r="Z40" s="43">
        <v>10.472519999999999</v>
      </c>
      <c r="AA40" s="43">
        <v>5.9295999999999998</v>
      </c>
      <c r="AB40" s="43"/>
      <c r="AC40" s="43">
        <v>16.38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6.0122999999999998</v>
      </c>
      <c r="AM40" s="43">
        <v>48.629519999999999</v>
      </c>
      <c r="AN40" s="43">
        <v>21.623000000000001</v>
      </c>
      <c r="AO40" s="43">
        <v>28.066400000000002</v>
      </c>
      <c r="AP40" s="43">
        <v>0.37</v>
      </c>
      <c r="AQ40" s="43">
        <v>164.75</v>
      </c>
      <c r="AR40" s="43"/>
      <c r="AS40" s="43">
        <v>37.786999999999999</v>
      </c>
      <c r="AT40" s="43">
        <v>32.06</v>
      </c>
      <c r="AU40" s="43"/>
      <c r="AV40" s="43">
        <v>190.06469000000001</v>
      </c>
      <c r="AW40" s="43">
        <v>33.440770000000001</v>
      </c>
      <c r="AX40" s="43"/>
      <c r="AY40" s="43">
        <v>5.25</v>
      </c>
      <c r="AZ40" s="43"/>
      <c r="BA40" s="43">
        <v>2.4</v>
      </c>
      <c r="BB40" s="43"/>
      <c r="BC40" s="43">
        <v>70.097329999999999</v>
      </c>
      <c r="BD40" s="43"/>
      <c r="BE40" s="43">
        <v>22.9</v>
      </c>
      <c r="BF40" s="43"/>
      <c r="BG40" s="43"/>
      <c r="BH40" s="43"/>
      <c r="BI40" s="43">
        <v>17.891660000000002</v>
      </c>
      <c r="BJ40" s="43"/>
      <c r="BK40" s="43">
        <v>5.1075299999999997</v>
      </c>
      <c r="BL40" s="43"/>
      <c r="BM40" s="43"/>
      <c r="BN40" s="43">
        <v>56.54</v>
      </c>
      <c r="BO40" s="43">
        <v>8.5616699999999994</v>
      </c>
      <c r="BP40" s="43">
        <v>150.30832000000001</v>
      </c>
      <c r="BQ40" s="43">
        <v>1.3513999999999999</v>
      </c>
      <c r="BR40" s="43">
        <v>4.0369000000000002</v>
      </c>
      <c r="BS40" s="43">
        <v>129.1259</v>
      </c>
      <c r="BT40" s="43">
        <v>18.164899999999999</v>
      </c>
      <c r="BU40" s="43"/>
      <c r="BV40" s="43"/>
      <c r="BW40" s="43">
        <v>4.3754099999999996</v>
      </c>
      <c r="BX40" s="43"/>
      <c r="BY40" s="43"/>
      <c r="BZ40" s="43">
        <v>80.3904</v>
      </c>
      <c r="CA40" s="43">
        <v>18.032050000000002</v>
      </c>
      <c r="CB40" s="43">
        <v>1.6858</v>
      </c>
      <c r="CC40" s="43">
        <v>0.56499999999999995</v>
      </c>
      <c r="CD40" s="43">
        <v>35.040109999999999</v>
      </c>
      <c r="CE40" s="43">
        <v>419.30185</v>
      </c>
      <c r="CF40" s="43"/>
      <c r="CG40" s="43">
        <v>155.30109999999999</v>
      </c>
      <c r="CH40" s="43">
        <v>18.257999999999999</v>
      </c>
      <c r="CI40" s="43"/>
      <c r="CJ40" s="43"/>
      <c r="CK40" s="43">
        <v>17.269400000000001</v>
      </c>
      <c r="CL40" s="43">
        <v>4.4970400000000001</v>
      </c>
      <c r="CM40" s="43"/>
      <c r="CN40" s="43"/>
      <c r="CO40" s="43">
        <v>16.784859999999998</v>
      </c>
      <c r="CP40" s="43">
        <v>260.64999999999998</v>
      </c>
      <c r="CQ40" s="43"/>
      <c r="CR40" s="43">
        <v>29.036000000000001</v>
      </c>
      <c r="CS40" s="43"/>
      <c r="CT40" s="43">
        <v>21.375</v>
      </c>
    </row>
    <row r="41" spans="1:98" ht="15.6" x14ac:dyDescent="0.3">
      <c r="A41" s="1"/>
      <c r="B41" s="42" t="s">
        <v>841</v>
      </c>
      <c r="C41" s="43">
        <v>3.4802</v>
      </c>
      <c r="D41" s="43"/>
      <c r="E41" s="43">
        <v>22.07648</v>
      </c>
      <c r="F41" s="43">
        <v>11.18</v>
      </c>
      <c r="G41" s="43"/>
      <c r="H41" s="43"/>
      <c r="I41" s="43"/>
      <c r="J41" s="43"/>
      <c r="K41" s="43">
        <v>20.1509</v>
      </c>
      <c r="L41" s="43">
        <v>28.796700000000001</v>
      </c>
      <c r="M41" s="43">
        <v>15.3337</v>
      </c>
      <c r="N41" s="43">
        <v>14.35</v>
      </c>
      <c r="O41" s="43">
        <v>28.847999999999999</v>
      </c>
      <c r="P41" s="43"/>
      <c r="Q41" s="43"/>
      <c r="R41" s="43">
        <v>48.073999999999998</v>
      </c>
      <c r="S41" s="43"/>
      <c r="T41" s="43">
        <v>43.194969999999998</v>
      </c>
      <c r="U41" s="43"/>
      <c r="V41" s="43">
        <v>1.1000000000000001</v>
      </c>
      <c r="W41" s="43"/>
      <c r="X41" s="43">
        <v>163.60431</v>
      </c>
      <c r="Y41" s="43"/>
      <c r="Z41" s="43">
        <v>10.54776</v>
      </c>
      <c r="AA41" s="43">
        <v>7.0382999999999996</v>
      </c>
      <c r="AB41" s="43"/>
      <c r="AC41" s="43">
        <v>16.78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6.0297999999999998</v>
      </c>
      <c r="AM41" s="43">
        <v>48.113729999999997</v>
      </c>
      <c r="AN41" s="43">
        <v>23.203600000000002</v>
      </c>
      <c r="AO41" s="43">
        <v>27.8322</v>
      </c>
      <c r="AP41" s="43">
        <v>0.4</v>
      </c>
      <c r="AQ41" s="43">
        <v>163.13999999999999</v>
      </c>
      <c r="AR41" s="43"/>
      <c r="AS41" s="43">
        <v>36.31</v>
      </c>
      <c r="AT41" s="43">
        <v>31.7</v>
      </c>
      <c r="AU41" s="43"/>
      <c r="AV41" s="43">
        <v>189.82346000000001</v>
      </c>
      <c r="AW41" s="43">
        <v>32.328679999999999</v>
      </c>
      <c r="AX41" s="43"/>
      <c r="AY41" s="43">
        <v>5.18</v>
      </c>
      <c r="AZ41" s="43"/>
      <c r="BA41" s="43">
        <v>2.5</v>
      </c>
      <c r="BB41" s="43"/>
      <c r="BC41" s="43">
        <v>72.073689999999999</v>
      </c>
      <c r="BD41" s="43"/>
      <c r="BE41" s="43">
        <v>22.9</v>
      </c>
      <c r="BF41" s="43"/>
      <c r="BG41" s="43"/>
      <c r="BH41" s="43"/>
      <c r="BI41" s="43">
        <v>18.321919999999999</v>
      </c>
      <c r="BJ41" s="43"/>
      <c r="BK41" s="43">
        <v>5.0319900000000004</v>
      </c>
      <c r="BL41" s="43"/>
      <c r="BM41" s="43"/>
      <c r="BN41" s="43">
        <v>55.86</v>
      </c>
      <c r="BO41" s="43">
        <v>9.1254899999999992</v>
      </c>
      <c r="BP41" s="43">
        <v>150.07866000000001</v>
      </c>
      <c r="BQ41" s="43">
        <v>1.2423</v>
      </c>
      <c r="BR41" s="43">
        <v>4.3322000000000003</v>
      </c>
      <c r="BS41" s="43">
        <v>131.47212999999999</v>
      </c>
      <c r="BT41" s="43">
        <v>17.866350000000001</v>
      </c>
      <c r="BU41" s="43"/>
      <c r="BV41" s="43"/>
      <c r="BW41" s="43">
        <v>3.85894</v>
      </c>
      <c r="BX41" s="43"/>
      <c r="BY41" s="43"/>
      <c r="BZ41" s="43">
        <v>23.151900000000001</v>
      </c>
      <c r="CA41" s="43">
        <v>18.073709999999998</v>
      </c>
      <c r="CB41" s="43">
        <v>1.6619999999999999</v>
      </c>
      <c r="CC41" s="43">
        <v>0.53700000000000003</v>
      </c>
      <c r="CD41" s="43">
        <v>35.112310000000001</v>
      </c>
      <c r="CE41" s="43">
        <v>421.32941</v>
      </c>
      <c r="CF41" s="43"/>
      <c r="CG41" s="43">
        <v>156.46350000000001</v>
      </c>
      <c r="CH41" s="43">
        <v>18.582000000000001</v>
      </c>
      <c r="CI41" s="43"/>
      <c r="CJ41" s="43"/>
      <c r="CK41" s="43">
        <v>17.7636</v>
      </c>
      <c r="CL41" s="43">
        <v>4.55267</v>
      </c>
      <c r="CM41" s="43"/>
      <c r="CN41" s="43"/>
      <c r="CO41" s="43">
        <v>16.596019999999999</v>
      </c>
      <c r="CP41" s="43">
        <v>262.55</v>
      </c>
      <c r="CQ41" s="43"/>
      <c r="CR41" s="43">
        <v>30.471</v>
      </c>
      <c r="CS41" s="43"/>
      <c r="CT41" s="43">
        <v>23.893999999999998</v>
      </c>
    </row>
    <row r="42" spans="1:98" ht="15.6" x14ac:dyDescent="0.3">
      <c r="A42" s="1"/>
      <c r="B42" s="42" t="s">
        <v>842</v>
      </c>
      <c r="C42" s="43">
        <v>3.3532999999999999</v>
      </c>
      <c r="D42" s="43"/>
      <c r="E42" s="43">
        <v>15.478400000000001</v>
      </c>
      <c r="F42" s="43">
        <v>10.292</v>
      </c>
      <c r="G42" s="43"/>
      <c r="H42" s="43"/>
      <c r="I42" s="43"/>
      <c r="J42" s="43"/>
      <c r="K42" s="43">
        <v>21.603899999999999</v>
      </c>
      <c r="L42" s="43">
        <v>28.391400000000001</v>
      </c>
      <c r="M42" s="43">
        <v>16.6663</v>
      </c>
      <c r="N42" s="43">
        <v>14.28</v>
      </c>
      <c r="O42" s="43">
        <v>29.37</v>
      </c>
      <c r="P42" s="43"/>
      <c r="Q42" s="43"/>
      <c r="R42" s="43">
        <v>47.845999999999997</v>
      </c>
      <c r="S42" s="43"/>
      <c r="T42" s="43">
        <v>43.193109999999997</v>
      </c>
      <c r="U42" s="43"/>
      <c r="V42" s="43">
        <v>1.2</v>
      </c>
      <c r="W42" s="43"/>
      <c r="X42" s="43">
        <v>143.87952999999999</v>
      </c>
      <c r="Y42" s="43"/>
      <c r="Z42" s="43">
        <v>10.36514</v>
      </c>
      <c r="AA42" s="43">
        <v>6.9848999999999997</v>
      </c>
      <c r="AB42" s="43"/>
      <c r="AC42" s="43">
        <v>17.2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5.9264000000000001</v>
      </c>
      <c r="AM42" s="43">
        <v>48.686010000000003</v>
      </c>
      <c r="AN42" s="43">
        <v>22.294809999999998</v>
      </c>
      <c r="AO42" s="43">
        <v>27.617100000000001</v>
      </c>
      <c r="AP42" s="43">
        <v>0.41</v>
      </c>
      <c r="AQ42" s="43">
        <v>164.26</v>
      </c>
      <c r="AR42" s="43"/>
      <c r="AS42" s="43">
        <v>35.628999999999998</v>
      </c>
      <c r="AT42" s="43">
        <v>31.61</v>
      </c>
      <c r="AU42" s="43"/>
      <c r="AV42" s="43">
        <v>189.69477000000001</v>
      </c>
      <c r="AW42" s="43">
        <v>31.599679999999999</v>
      </c>
      <c r="AX42" s="43"/>
      <c r="AY42" s="43">
        <v>5.72</v>
      </c>
      <c r="AZ42" s="43"/>
      <c r="BA42" s="43">
        <v>2.5</v>
      </c>
      <c r="BB42" s="43"/>
      <c r="BC42" s="43">
        <v>73.494100000000003</v>
      </c>
      <c r="BD42" s="43"/>
      <c r="BE42" s="43">
        <v>22.9</v>
      </c>
      <c r="BF42" s="43"/>
      <c r="BG42" s="43"/>
      <c r="BH42" s="43"/>
      <c r="BI42" s="43">
        <v>18.255890000000001</v>
      </c>
      <c r="BJ42" s="43"/>
      <c r="BK42" s="43">
        <v>4.9977099999999997</v>
      </c>
      <c r="BL42" s="43"/>
      <c r="BM42" s="43"/>
      <c r="BN42" s="43">
        <v>55.84</v>
      </c>
      <c r="BO42" s="43">
        <v>9.5383200000000006</v>
      </c>
      <c r="BP42" s="43">
        <v>148.34207000000001</v>
      </c>
      <c r="BQ42" s="43">
        <v>1.0787</v>
      </c>
      <c r="BR42" s="43">
        <v>4.6075999999999997</v>
      </c>
      <c r="BS42" s="43">
        <v>131.84408999999999</v>
      </c>
      <c r="BT42" s="43">
        <v>19.622039999999998</v>
      </c>
      <c r="BU42" s="43"/>
      <c r="BV42" s="43"/>
      <c r="BW42" s="43">
        <v>3.6508500000000002</v>
      </c>
      <c r="BX42" s="43"/>
      <c r="BY42" s="43"/>
      <c r="BZ42" s="43">
        <v>37.891500000000001</v>
      </c>
      <c r="CA42" s="43">
        <v>18.069870000000002</v>
      </c>
      <c r="CB42" s="43">
        <v>1.6952</v>
      </c>
      <c r="CC42" s="43">
        <v>0.59099999999999997</v>
      </c>
      <c r="CD42" s="43">
        <v>33.25855</v>
      </c>
      <c r="CE42" s="43">
        <v>418.25895000000003</v>
      </c>
      <c r="CF42" s="43"/>
      <c r="CG42" s="43">
        <v>145.6576</v>
      </c>
      <c r="CH42" s="43">
        <v>18.513999999999999</v>
      </c>
      <c r="CI42" s="43"/>
      <c r="CJ42" s="43"/>
      <c r="CK42" s="43">
        <v>17.214200000000002</v>
      </c>
      <c r="CL42" s="43">
        <v>4.78139</v>
      </c>
      <c r="CM42" s="43"/>
      <c r="CN42" s="43"/>
      <c r="CO42" s="43">
        <v>15.411809999999999</v>
      </c>
      <c r="CP42" s="43">
        <v>255.32</v>
      </c>
      <c r="CQ42" s="43"/>
      <c r="CR42" s="43">
        <v>31.265000000000001</v>
      </c>
      <c r="CS42" s="43"/>
      <c r="CT42" s="43">
        <v>21.286000000000001</v>
      </c>
    </row>
    <row r="43" spans="1:98" ht="15.6" x14ac:dyDescent="0.3">
      <c r="A43" s="1"/>
      <c r="B43" s="42" t="s">
        <v>843</v>
      </c>
      <c r="C43" s="43">
        <v>2.9428000000000001</v>
      </c>
      <c r="D43" s="43"/>
      <c r="E43" s="43">
        <v>10.42595</v>
      </c>
      <c r="F43" s="43">
        <v>9.7170000000000005</v>
      </c>
      <c r="G43" s="43"/>
      <c r="H43" s="43"/>
      <c r="I43" s="43"/>
      <c r="J43" s="43"/>
      <c r="K43" s="43">
        <v>21.440999999999999</v>
      </c>
      <c r="L43" s="43">
        <v>29.305299999999999</v>
      </c>
      <c r="M43" s="43">
        <v>16.7972</v>
      </c>
      <c r="N43" s="43">
        <v>14.73</v>
      </c>
      <c r="O43" s="43">
        <v>30.391999999999999</v>
      </c>
      <c r="P43" s="43"/>
      <c r="Q43" s="43"/>
      <c r="R43" s="43">
        <v>48.148000000000003</v>
      </c>
      <c r="S43" s="43"/>
      <c r="T43" s="43">
        <v>43.854799999999997</v>
      </c>
      <c r="U43" s="43"/>
      <c r="V43" s="43">
        <v>1</v>
      </c>
      <c r="W43" s="43"/>
      <c r="X43" s="43">
        <v>171.24453</v>
      </c>
      <c r="Y43" s="43"/>
      <c r="Z43" s="43">
        <v>10.41747</v>
      </c>
      <c r="AA43" s="43">
        <v>7.5754999999999999</v>
      </c>
      <c r="AB43" s="43"/>
      <c r="AC43" s="43">
        <v>18.170000000000002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5.9596999999999998</v>
      </c>
      <c r="AM43" s="43">
        <v>49.351500000000001</v>
      </c>
      <c r="AN43" s="43">
        <v>23.343589999999999</v>
      </c>
      <c r="AO43" s="43">
        <v>23.7363</v>
      </c>
      <c r="AP43" s="43">
        <v>0.46</v>
      </c>
      <c r="AQ43" s="43">
        <v>164.32</v>
      </c>
      <c r="AR43" s="43"/>
      <c r="AS43" s="43">
        <v>35.362000000000002</v>
      </c>
      <c r="AT43" s="43">
        <v>28.6</v>
      </c>
      <c r="AU43" s="43"/>
      <c r="AV43" s="43">
        <v>160.66728000000001</v>
      </c>
      <c r="AW43" s="43">
        <v>32.250030000000002</v>
      </c>
      <c r="AX43" s="43"/>
      <c r="AY43" s="43">
        <v>6.18</v>
      </c>
      <c r="AZ43" s="43"/>
      <c r="BA43" s="43">
        <v>2.6</v>
      </c>
      <c r="BB43" s="43"/>
      <c r="BC43" s="43">
        <v>43.079569999999997</v>
      </c>
      <c r="BD43" s="43"/>
      <c r="BE43" s="43">
        <v>22.9</v>
      </c>
      <c r="BF43" s="43"/>
      <c r="BG43" s="43"/>
      <c r="BH43" s="43"/>
      <c r="BI43" s="43">
        <v>17.41657</v>
      </c>
      <c r="BJ43" s="43"/>
      <c r="BK43" s="43">
        <v>4.8378800000000002</v>
      </c>
      <c r="BL43" s="43"/>
      <c r="BM43" s="43"/>
      <c r="BN43" s="43">
        <v>24.6</v>
      </c>
      <c r="BO43" s="43">
        <v>9.8509700000000002</v>
      </c>
      <c r="BP43" s="43">
        <v>145.61317</v>
      </c>
      <c r="BQ43" s="43">
        <v>1.2665</v>
      </c>
      <c r="BR43" s="43">
        <v>4.4917999999999996</v>
      </c>
      <c r="BS43" s="43">
        <v>133.40339</v>
      </c>
      <c r="BT43" s="43">
        <v>16.903500000000001</v>
      </c>
      <c r="BU43" s="43"/>
      <c r="BV43" s="43"/>
      <c r="BW43" s="43">
        <v>3.6075599999999999</v>
      </c>
      <c r="BX43" s="43"/>
      <c r="BY43" s="43"/>
      <c r="BZ43" s="43">
        <v>78.280799999999999</v>
      </c>
      <c r="CA43" s="43">
        <v>1.68895</v>
      </c>
      <c r="CB43" s="43">
        <v>1.7482</v>
      </c>
      <c r="CC43" s="43">
        <v>0.63300000000000001</v>
      </c>
      <c r="CD43" s="43">
        <v>32.261490000000002</v>
      </c>
      <c r="CE43" s="43">
        <v>410.65769</v>
      </c>
      <c r="CF43" s="43"/>
      <c r="CG43" s="43">
        <v>153.90989999999999</v>
      </c>
      <c r="CH43" s="43">
        <v>16.661000000000001</v>
      </c>
      <c r="CI43" s="43"/>
      <c r="CJ43" s="43"/>
      <c r="CK43" s="43">
        <v>16.417899999999999</v>
      </c>
      <c r="CL43" s="43">
        <v>4.7314100000000003</v>
      </c>
      <c r="CM43" s="43"/>
      <c r="CN43" s="43"/>
      <c r="CO43" s="43">
        <v>14.906499999999999</v>
      </c>
      <c r="CP43" s="43">
        <v>258.14999999999998</v>
      </c>
      <c r="CQ43" s="43"/>
      <c r="CR43" s="43">
        <v>30.359000000000002</v>
      </c>
      <c r="CS43" s="43"/>
      <c r="CT43" s="43">
        <v>20.719000000000001</v>
      </c>
    </row>
    <row r="44" spans="1:98" ht="15.6" x14ac:dyDescent="0.3">
      <c r="A44" s="1"/>
      <c r="B44" s="42" t="s">
        <v>844</v>
      </c>
      <c r="C44" s="43">
        <v>2.5876000000000001</v>
      </c>
      <c r="D44" s="43"/>
      <c r="E44" s="43">
        <v>4.7239800000000001</v>
      </c>
      <c r="F44" s="43">
        <v>9.3320000000000007</v>
      </c>
      <c r="G44" s="43"/>
      <c r="H44" s="43"/>
      <c r="I44" s="43"/>
      <c r="J44" s="43"/>
      <c r="K44" s="43">
        <v>21.354600000000001</v>
      </c>
      <c r="L44" s="43">
        <v>31.467500000000001</v>
      </c>
      <c r="M44" s="43">
        <v>16.6006</v>
      </c>
      <c r="N44" s="43">
        <v>14.69</v>
      </c>
      <c r="O44" s="43">
        <v>31.648</v>
      </c>
      <c r="P44" s="43"/>
      <c r="Q44" s="43"/>
      <c r="R44" s="43">
        <v>48.725000000000001</v>
      </c>
      <c r="S44" s="43"/>
      <c r="T44" s="43">
        <v>7.0573300000000003</v>
      </c>
      <c r="U44" s="43"/>
      <c r="V44" s="43">
        <v>1.2</v>
      </c>
      <c r="W44" s="43"/>
      <c r="X44" s="43">
        <v>42.597709999999999</v>
      </c>
      <c r="Y44" s="43"/>
      <c r="Z44" s="43">
        <v>9.9264799999999997</v>
      </c>
      <c r="AA44" s="43">
        <v>7.4854000000000003</v>
      </c>
      <c r="AB44" s="43"/>
      <c r="AC44" s="43">
        <v>18.13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5.9249000000000001</v>
      </c>
      <c r="AM44" s="43">
        <v>48.371229999999997</v>
      </c>
      <c r="AN44" s="43">
        <v>22.274439999999998</v>
      </c>
      <c r="AO44" s="43">
        <v>23.658100000000001</v>
      </c>
      <c r="AP44" s="43">
        <v>0.11</v>
      </c>
      <c r="AQ44" s="43">
        <v>162.75</v>
      </c>
      <c r="AR44" s="43"/>
      <c r="AS44" s="43">
        <v>31.451000000000001</v>
      </c>
      <c r="AT44" s="43">
        <v>28.36</v>
      </c>
      <c r="AU44" s="43"/>
      <c r="AV44" s="43">
        <v>58.055810000000001</v>
      </c>
      <c r="AW44" s="43">
        <v>31.368929999999999</v>
      </c>
      <c r="AX44" s="43"/>
      <c r="AY44" s="43">
        <v>5.93</v>
      </c>
      <c r="AZ44" s="43"/>
      <c r="BA44" s="43">
        <v>2.5</v>
      </c>
      <c r="BB44" s="43"/>
      <c r="BC44" s="43">
        <v>32.837000000000003</v>
      </c>
      <c r="BD44" s="43"/>
      <c r="BE44" s="43">
        <v>22.9</v>
      </c>
      <c r="BF44" s="43"/>
      <c r="BG44" s="43"/>
      <c r="BH44" s="43"/>
      <c r="BI44" s="43">
        <v>17.299379999999999</v>
      </c>
      <c r="BJ44" s="43"/>
      <c r="BK44" s="43">
        <v>4.84701</v>
      </c>
      <c r="BL44" s="43"/>
      <c r="BM44" s="43"/>
      <c r="BN44" s="43">
        <v>4.79</v>
      </c>
      <c r="BO44" s="43">
        <v>9.6637400000000007</v>
      </c>
      <c r="BP44" s="43">
        <v>143.11190999999999</v>
      </c>
      <c r="BQ44" s="43">
        <v>1.3028999999999999</v>
      </c>
      <c r="BR44" s="43">
        <v>4.4847000000000001</v>
      </c>
      <c r="BS44" s="43">
        <v>129.96033</v>
      </c>
      <c r="BT44" s="43">
        <v>15.194240000000001</v>
      </c>
      <c r="BU44" s="43"/>
      <c r="BV44" s="43"/>
      <c r="BW44" s="43">
        <v>3.8024800000000001</v>
      </c>
      <c r="BX44" s="43"/>
      <c r="BY44" s="43"/>
      <c r="BZ44" s="43">
        <v>79.101699999999994</v>
      </c>
      <c r="CA44" s="43">
        <v>1.6426400000000001</v>
      </c>
      <c r="CB44" s="43">
        <v>1.7703</v>
      </c>
      <c r="CC44" s="43">
        <v>0.60899999999999999</v>
      </c>
      <c r="CD44" s="43">
        <v>31.99483</v>
      </c>
      <c r="CE44" s="43">
        <v>415.28766999999999</v>
      </c>
      <c r="CF44" s="43"/>
      <c r="CG44" s="43">
        <v>146.21969999999999</v>
      </c>
      <c r="CH44" s="43">
        <v>16.420000000000002</v>
      </c>
      <c r="CI44" s="43"/>
      <c r="CJ44" s="43"/>
      <c r="CK44" s="43">
        <v>15.091100000000001</v>
      </c>
      <c r="CL44" s="43">
        <v>4.4903599999999999</v>
      </c>
      <c r="CM44" s="43"/>
      <c r="CN44" s="43"/>
      <c r="CO44" s="43">
        <v>13.503220000000001</v>
      </c>
      <c r="CP44" s="43">
        <v>266.95999999999998</v>
      </c>
      <c r="CQ44" s="43"/>
      <c r="CR44" s="43">
        <v>27.928000000000001</v>
      </c>
      <c r="CS44" s="43"/>
      <c r="CT44" s="43">
        <v>14.717000000000001</v>
      </c>
    </row>
    <row r="45" spans="1:98" ht="15.6" x14ac:dyDescent="0.3">
      <c r="A45" s="1"/>
      <c r="B45" s="42" t="s">
        <v>845</v>
      </c>
      <c r="C45" s="43">
        <v>2.4558</v>
      </c>
      <c r="D45" s="43"/>
      <c r="E45" s="43">
        <v>4.6575499999999996</v>
      </c>
      <c r="F45" s="43">
        <v>9.0739999999999998</v>
      </c>
      <c r="G45" s="43"/>
      <c r="H45" s="43"/>
      <c r="I45" s="43"/>
      <c r="J45" s="43"/>
      <c r="K45" s="43">
        <v>22.3064</v>
      </c>
      <c r="L45" s="43">
        <v>32.299599999999998</v>
      </c>
      <c r="M45" s="43">
        <v>15.8797</v>
      </c>
      <c r="N45" s="43">
        <v>15</v>
      </c>
      <c r="O45" s="43">
        <v>32.725999999999999</v>
      </c>
      <c r="P45" s="43"/>
      <c r="Q45" s="43"/>
      <c r="R45" s="43">
        <v>48.597999999999999</v>
      </c>
      <c r="S45" s="43"/>
      <c r="T45" s="43">
        <v>5.2433899999999998</v>
      </c>
      <c r="U45" s="43"/>
      <c r="V45" s="43">
        <v>1.1000000000000001</v>
      </c>
      <c r="W45" s="43"/>
      <c r="X45" s="43">
        <v>29.1204</v>
      </c>
      <c r="Y45" s="43"/>
      <c r="Z45" s="43">
        <v>8.30185</v>
      </c>
      <c r="AA45" s="43">
        <v>7.2782999999999998</v>
      </c>
      <c r="AB45" s="43"/>
      <c r="AC45" s="43">
        <v>17.86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5.8817000000000004</v>
      </c>
      <c r="AM45" s="43">
        <v>43.914790000000004</v>
      </c>
      <c r="AN45" s="43">
        <v>21.191800000000001</v>
      </c>
      <c r="AO45" s="43">
        <v>26.328299999999999</v>
      </c>
      <c r="AP45" s="43">
        <v>0.35</v>
      </c>
      <c r="AQ45" s="43">
        <v>161.16</v>
      </c>
      <c r="AR45" s="43"/>
      <c r="AS45" s="43">
        <v>28.981000000000002</v>
      </c>
      <c r="AT45" s="43">
        <v>30.29</v>
      </c>
      <c r="AU45" s="43"/>
      <c r="AV45" s="43">
        <v>57.996229999999997</v>
      </c>
      <c r="AW45" s="43">
        <v>30.951799999999999</v>
      </c>
      <c r="AX45" s="43"/>
      <c r="AY45" s="43">
        <v>5.45</v>
      </c>
      <c r="AZ45" s="43"/>
      <c r="BA45" s="43">
        <v>2.6</v>
      </c>
      <c r="BB45" s="43"/>
      <c r="BC45" s="43">
        <v>32.96584</v>
      </c>
      <c r="BD45" s="43"/>
      <c r="BE45" s="43">
        <v>22.9</v>
      </c>
      <c r="BF45" s="43"/>
      <c r="BG45" s="43"/>
      <c r="BH45" s="43"/>
      <c r="BI45" s="43">
        <v>18.01352</v>
      </c>
      <c r="BJ45" s="43"/>
      <c r="BK45" s="43">
        <v>4.77867</v>
      </c>
      <c r="BL45" s="43"/>
      <c r="BM45" s="43"/>
      <c r="BN45" s="43">
        <v>4.43</v>
      </c>
      <c r="BO45" s="43">
        <v>9.9455200000000001</v>
      </c>
      <c r="BP45" s="43">
        <v>144.87110000000001</v>
      </c>
      <c r="BQ45" s="43">
        <v>1.2786999999999999</v>
      </c>
      <c r="BR45" s="43">
        <v>4.5811000000000002</v>
      </c>
      <c r="BS45" s="43">
        <v>123.59796</v>
      </c>
      <c r="BT45" s="43">
        <v>13.796250000000001</v>
      </c>
      <c r="BU45" s="43"/>
      <c r="BV45" s="43"/>
      <c r="BW45" s="43">
        <v>3.7406999999999999</v>
      </c>
      <c r="BX45" s="43"/>
      <c r="BY45" s="43"/>
      <c r="BZ45" s="43">
        <v>80.636499999999998</v>
      </c>
      <c r="CA45" s="43">
        <v>1.6384700000000001</v>
      </c>
      <c r="CB45" s="43">
        <v>1.7537</v>
      </c>
      <c r="CC45" s="43">
        <v>0.60499999999999998</v>
      </c>
      <c r="CD45" s="43">
        <v>29.805389999999999</v>
      </c>
      <c r="CE45" s="43">
        <v>413.40571</v>
      </c>
      <c r="CF45" s="43"/>
      <c r="CG45" s="43">
        <v>144.08240000000001</v>
      </c>
      <c r="CH45" s="43">
        <v>16.120999999999999</v>
      </c>
      <c r="CI45" s="43"/>
      <c r="CJ45" s="43"/>
      <c r="CK45" s="43">
        <v>14.8644</v>
      </c>
      <c r="CL45" s="43">
        <v>4.4864300000000004</v>
      </c>
      <c r="CM45" s="43"/>
      <c r="CN45" s="43"/>
      <c r="CO45" s="43">
        <v>13.49349</v>
      </c>
      <c r="CP45" s="43">
        <v>260.52</v>
      </c>
      <c r="CQ45" s="43"/>
      <c r="CR45" s="43">
        <v>26.559000000000001</v>
      </c>
      <c r="CS45" s="43"/>
      <c r="CT45" s="43">
        <v>13.625</v>
      </c>
    </row>
    <row r="46" spans="1:98" ht="15.6" x14ac:dyDescent="0.3">
      <c r="A46" s="1"/>
      <c r="B46" s="42" t="s">
        <v>846</v>
      </c>
      <c r="C46" s="43">
        <v>2.8466999999999998</v>
      </c>
      <c r="D46" s="43"/>
      <c r="E46" s="43">
        <v>4.3620900000000002</v>
      </c>
      <c r="F46" s="43">
        <v>10.605</v>
      </c>
      <c r="G46" s="43"/>
      <c r="H46" s="43"/>
      <c r="I46" s="43"/>
      <c r="J46" s="43"/>
      <c r="K46" s="43">
        <v>21.200500000000002</v>
      </c>
      <c r="L46" s="43">
        <v>31.770299999999999</v>
      </c>
      <c r="M46" s="43">
        <v>14.7722</v>
      </c>
      <c r="N46" s="43">
        <v>14.59</v>
      </c>
      <c r="O46" s="43">
        <v>33.506</v>
      </c>
      <c r="P46" s="43"/>
      <c r="Q46" s="43"/>
      <c r="R46" s="43">
        <v>48.573999999999998</v>
      </c>
      <c r="S46" s="43"/>
      <c r="T46" s="43">
        <v>5.9457399999999998</v>
      </c>
      <c r="U46" s="43"/>
      <c r="V46" s="43">
        <v>1.1000000000000001</v>
      </c>
      <c r="W46" s="43"/>
      <c r="X46" s="43">
        <v>33.807810000000003</v>
      </c>
      <c r="Y46" s="43"/>
      <c r="Z46" s="43">
        <v>7.7345699999999997</v>
      </c>
      <c r="AA46" s="43">
        <v>7.6314000000000002</v>
      </c>
      <c r="AB46" s="43"/>
      <c r="AC46" s="43">
        <v>18.190000000000001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5.7690000000000001</v>
      </c>
      <c r="AM46" s="43">
        <v>46.508499999999998</v>
      </c>
      <c r="AN46" s="43">
        <v>25.871639999999999</v>
      </c>
      <c r="AO46" s="43">
        <v>27.700600000000001</v>
      </c>
      <c r="AP46" s="43">
        <v>0.46</v>
      </c>
      <c r="AQ46" s="43">
        <v>161.16</v>
      </c>
      <c r="AR46" s="43"/>
      <c r="AS46" s="43">
        <v>29.167000000000002</v>
      </c>
      <c r="AT46" s="43">
        <v>29.24</v>
      </c>
      <c r="AU46" s="43"/>
      <c r="AV46" s="43">
        <v>58.197499999999998</v>
      </c>
      <c r="AW46" s="43">
        <v>28.58342</v>
      </c>
      <c r="AX46" s="43"/>
      <c r="AY46" s="43">
        <v>5.1100000000000003</v>
      </c>
      <c r="AZ46" s="43"/>
      <c r="BA46" s="43">
        <v>2.6</v>
      </c>
      <c r="BB46" s="43"/>
      <c r="BC46" s="43">
        <v>33.229289999999999</v>
      </c>
      <c r="BD46" s="43"/>
      <c r="BE46" s="43">
        <v>22.9</v>
      </c>
      <c r="BF46" s="43"/>
      <c r="BG46" s="43"/>
      <c r="BH46" s="43"/>
      <c r="BI46" s="43">
        <v>16.911339999999999</v>
      </c>
      <c r="BJ46" s="43"/>
      <c r="BK46" s="43">
        <v>4.7968500000000001</v>
      </c>
      <c r="BL46" s="43"/>
      <c r="BM46" s="43"/>
      <c r="BN46" s="43">
        <v>5.22</v>
      </c>
      <c r="BO46" s="43">
        <v>9.08629</v>
      </c>
      <c r="BP46" s="43">
        <v>143.67671999999999</v>
      </c>
      <c r="BQ46" s="43">
        <v>1.2302</v>
      </c>
      <c r="BR46" s="43">
        <v>4.6708999999999996</v>
      </c>
      <c r="BS46" s="43">
        <v>132.57462000000001</v>
      </c>
      <c r="BT46" s="43">
        <v>14.04058</v>
      </c>
      <c r="BU46" s="43"/>
      <c r="BV46" s="43"/>
      <c r="BW46" s="43">
        <v>3.7400099999999998</v>
      </c>
      <c r="BX46" s="43"/>
      <c r="BY46" s="43"/>
      <c r="BZ46" s="43">
        <v>81.394499999999994</v>
      </c>
      <c r="CA46" s="43">
        <v>1.64154</v>
      </c>
      <c r="CB46" s="43">
        <v>1.7609999999999999</v>
      </c>
      <c r="CC46" s="43">
        <v>0.59899999999999998</v>
      </c>
      <c r="CD46" s="43">
        <v>29.977889999999999</v>
      </c>
      <c r="CE46" s="43">
        <v>377.93871000000001</v>
      </c>
      <c r="CF46" s="43"/>
      <c r="CG46" s="43">
        <v>145.61179999999999</v>
      </c>
      <c r="CH46" s="43">
        <v>15.817</v>
      </c>
      <c r="CI46" s="43"/>
      <c r="CJ46" s="43"/>
      <c r="CK46" s="43">
        <v>14.481</v>
      </c>
      <c r="CL46" s="43">
        <v>4.4840099999999996</v>
      </c>
      <c r="CM46" s="43"/>
      <c r="CN46" s="43"/>
      <c r="CO46" s="43">
        <v>13.58305</v>
      </c>
      <c r="CP46" s="43">
        <v>257.44</v>
      </c>
      <c r="CQ46" s="43"/>
      <c r="CR46" s="43">
        <v>25.507999999999999</v>
      </c>
      <c r="CS46" s="43"/>
      <c r="CT46" s="43">
        <v>13.346</v>
      </c>
    </row>
    <row r="47" spans="1:98" ht="15.6" x14ac:dyDescent="0.3">
      <c r="A47" s="1"/>
      <c r="B47" s="42" t="s">
        <v>847</v>
      </c>
      <c r="C47" s="43">
        <v>2.8151000000000002</v>
      </c>
      <c r="D47" s="43"/>
      <c r="E47" s="43">
        <v>4.45329</v>
      </c>
      <c r="F47" s="43">
        <v>11.472</v>
      </c>
      <c r="G47" s="43"/>
      <c r="H47" s="43"/>
      <c r="I47" s="43"/>
      <c r="J47" s="43"/>
      <c r="K47" s="43">
        <v>21.799499999999998</v>
      </c>
      <c r="L47" s="43">
        <v>32.478999999999999</v>
      </c>
      <c r="M47" s="43">
        <v>12.021000000000001</v>
      </c>
      <c r="N47" s="43">
        <v>14.69</v>
      </c>
      <c r="O47" s="43">
        <v>33.090000000000003</v>
      </c>
      <c r="P47" s="43"/>
      <c r="Q47" s="43"/>
      <c r="R47" s="43">
        <v>48.685000000000002</v>
      </c>
      <c r="S47" s="43"/>
      <c r="T47" s="43">
        <v>9.4146900000000002</v>
      </c>
      <c r="U47" s="43"/>
      <c r="V47" s="43">
        <v>1.1000000000000001</v>
      </c>
      <c r="W47" s="43"/>
      <c r="X47" s="43">
        <v>35.01193</v>
      </c>
      <c r="Y47" s="43"/>
      <c r="Z47" s="43">
        <v>7.5339700000000001</v>
      </c>
      <c r="AA47" s="43">
        <v>7.0453000000000001</v>
      </c>
      <c r="AB47" s="43"/>
      <c r="AC47" s="43">
        <v>18.260000000000002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5.7382999999999997</v>
      </c>
      <c r="AM47" s="43">
        <v>49.574750000000002</v>
      </c>
      <c r="AN47" s="43">
        <v>28.690989999999999</v>
      </c>
      <c r="AO47" s="43">
        <v>28.5901</v>
      </c>
      <c r="AP47" s="43">
        <v>0.37</v>
      </c>
      <c r="AQ47" s="43">
        <v>160.66999999999999</v>
      </c>
      <c r="AR47" s="43"/>
      <c r="AS47" s="43">
        <v>30.686</v>
      </c>
      <c r="AT47" s="43">
        <v>30.07</v>
      </c>
      <c r="AU47" s="43"/>
      <c r="AV47" s="43">
        <v>58.082120000000003</v>
      </c>
      <c r="AW47" s="43">
        <v>28.87341</v>
      </c>
      <c r="AX47" s="43"/>
      <c r="AY47" s="43">
        <v>5.01</v>
      </c>
      <c r="AZ47" s="43"/>
      <c r="BA47" s="43">
        <v>2.7</v>
      </c>
      <c r="BB47" s="43"/>
      <c r="BC47" s="43">
        <v>32.87189</v>
      </c>
      <c r="BD47" s="43"/>
      <c r="BE47" s="43">
        <v>22.9</v>
      </c>
      <c r="BF47" s="43"/>
      <c r="BG47" s="43"/>
      <c r="BH47" s="43"/>
      <c r="BI47" s="43">
        <v>17.515899999999998</v>
      </c>
      <c r="BJ47" s="43"/>
      <c r="BK47" s="43">
        <v>4.74329</v>
      </c>
      <c r="BL47" s="43"/>
      <c r="BM47" s="43"/>
      <c r="BN47" s="43">
        <v>5.7</v>
      </c>
      <c r="BO47" s="43">
        <v>7.9912599999999996</v>
      </c>
      <c r="BP47" s="43">
        <v>145.21941000000001</v>
      </c>
      <c r="BQ47" s="43">
        <v>1.109</v>
      </c>
      <c r="BR47" s="43">
        <v>4.5982000000000003</v>
      </c>
      <c r="BS47" s="43">
        <v>132.36202</v>
      </c>
      <c r="BT47" s="43">
        <v>14.29318</v>
      </c>
      <c r="BU47" s="43"/>
      <c r="BV47" s="43"/>
      <c r="BW47" s="43">
        <v>3.69495</v>
      </c>
      <c r="BX47" s="43"/>
      <c r="BY47" s="43"/>
      <c r="BZ47" s="43">
        <v>83.586699999999993</v>
      </c>
      <c r="CA47" s="43">
        <v>1.63948</v>
      </c>
      <c r="CB47" s="43">
        <v>1.7641</v>
      </c>
      <c r="CC47" s="43">
        <v>0.59899999999999998</v>
      </c>
      <c r="CD47" s="43">
        <v>31.071819999999999</v>
      </c>
      <c r="CE47" s="43">
        <v>413.32839999999999</v>
      </c>
      <c r="CF47" s="43"/>
      <c r="CG47" s="43">
        <v>149.0127</v>
      </c>
      <c r="CH47" s="43">
        <v>16.260000000000002</v>
      </c>
      <c r="CI47" s="43"/>
      <c r="CJ47" s="43"/>
      <c r="CK47" s="43">
        <v>14.6007</v>
      </c>
      <c r="CL47" s="43">
        <v>4.4743399999999998</v>
      </c>
      <c r="CM47" s="43"/>
      <c r="CN47" s="43"/>
      <c r="CO47" s="43">
        <v>14.61084</v>
      </c>
      <c r="CP47" s="43">
        <v>253.21</v>
      </c>
      <c r="CQ47" s="43"/>
      <c r="CR47" s="43">
        <v>25.591000000000001</v>
      </c>
      <c r="CS47" s="43"/>
      <c r="CT47" s="43">
        <v>17.963000000000001</v>
      </c>
    </row>
    <row r="48" spans="1:98" ht="15.6" x14ac:dyDescent="0.3">
      <c r="A48" s="1"/>
      <c r="B48" s="42" t="s">
        <v>848</v>
      </c>
      <c r="C48" s="43">
        <v>2.9944000000000002</v>
      </c>
      <c r="D48" s="43"/>
      <c r="E48" s="43">
        <v>4.2891399999999997</v>
      </c>
      <c r="F48" s="43">
        <v>11.492000000000001</v>
      </c>
      <c r="G48" s="43"/>
      <c r="H48" s="43"/>
      <c r="I48" s="43"/>
      <c r="J48" s="43"/>
      <c r="K48" s="43">
        <v>21.442499999999999</v>
      </c>
      <c r="L48" s="43">
        <v>32.737900000000003</v>
      </c>
      <c r="M48" s="43">
        <v>12.0061</v>
      </c>
      <c r="N48" s="43">
        <v>14.62</v>
      </c>
      <c r="O48" s="43">
        <v>32.369999999999997</v>
      </c>
      <c r="P48" s="43"/>
      <c r="Q48" s="43"/>
      <c r="R48" s="43">
        <v>48.606000000000002</v>
      </c>
      <c r="S48" s="43"/>
      <c r="T48" s="43">
        <v>9.7106399999999997</v>
      </c>
      <c r="U48" s="43"/>
      <c r="V48" s="43">
        <v>1.1000000000000001</v>
      </c>
      <c r="W48" s="43"/>
      <c r="X48" s="43">
        <v>33.209020000000002</v>
      </c>
      <c r="Y48" s="43"/>
      <c r="Z48" s="43">
        <v>7.8621600000000003</v>
      </c>
      <c r="AA48" s="43">
        <v>6.7458</v>
      </c>
      <c r="AB48" s="43"/>
      <c r="AC48" s="43">
        <v>18.329999999999998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5.7161</v>
      </c>
      <c r="AM48" s="43">
        <v>52.703530000000001</v>
      </c>
      <c r="AN48" s="43">
        <v>28.174700000000001</v>
      </c>
      <c r="AO48" s="43">
        <v>29.544</v>
      </c>
      <c r="AP48" s="43">
        <v>0.84</v>
      </c>
      <c r="AQ48" s="43">
        <v>159.03</v>
      </c>
      <c r="AR48" s="43"/>
      <c r="AS48" s="43">
        <v>36.020000000000003</v>
      </c>
      <c r="AT48" s="43">
        <v>30.91</v>
      </c>
      <c r="AU48" s="43"/>
      <c r="AV48" s="43">
        <v>73.088329999999999</v>
      </c>
      <c r="AW48" s="43">
        <v>28.93619</v>
      </c>
      <c r="AX48" s="43"/>
      <c r="AY48" s="43">
        <v>5.27</v>
      </c>
      <c r="AZ48" s="43"/>
      <c r="BA48" s="43">
        <v>2.7</v>
      </c>
      <c r="BB48" s="43"/>
      <c r="BC48" s="43">
        <v>32.92689</v>
      </c>
      <c r="BD48" s="43"/>
      <c r="BE48" s="43">
        <v>22.9</v>
      </c>
      <c r="BF48" s="43"/>
      <c r="BG48" s="43"/>
      <c r="BH48" s="43"/>
      <c r="BI48" s="43">
        <v>18.031020000000002</v>
      </c>
      <c r="BJ48" s="43"/>
      <c r="BK48" s="43">
        <v>4.7041300000000001</v>
      </c>
      <c r="BL48" s="43"/>
      <c r="BM48" s="43"/>
      <c r="BN48" s="43">
        <v>4.47</v>
      </c>
      <c r="BO48" s="43">
        <v>8.6960499999999996</v>
      </c>
      <c r="BP48" s="43">
        <v>147.94574</v>
      </c>
      <c r="BQ48" s="43">
        <v>0.92720000000000002</v>
      </c>
      <c r="BR48" s="43">
        <v>4.6227</v>
      </c>
      <c r="BS48" s="43">
        <v>132.0686</v>
      </c>
      <c r="BT48" s="43">
        <v>16.571470000000001</v>
      </c>
      <c r="BU48" s="43"/>
      <c r="BV48" s="43"/>
      <c r="BW48" s="43">
        <v>4.0013500000000004</v>
      </c>
      <c r="BX48" s="43"/>
      <c r="BY48" s="43"/>
      <c r="BZ48" s="43">
        <v>84.165499999999994</v>
      </c>
      <c r="CA48" s="43">
        <v>1.6677299999999999</v>
      </c>
      <c r="CB48" s="43">
        <v>1.7413000000000001</v>
      </c>
      <c r="CC48" s="43">
        <v>0.59299999999999997</v>
      </c>
      <c r="CD48" s="43">
        <v>30.3108</v>
      </c>
      <c r="CE48" s="43">
        <v>416.99489999999997</v>
      </c>
      <c r="CF48" s="43"/>
      <c r="CG48" s="43">
        <v>152.82599999999999</v>
      </c>
      <c r="CH48" s="43">
        <v>18.25</v>
      </c>
      <c r="CI48" s="43"/>
      <c r="CJ48" s="43"/>
      <c r="CK48" s="43">
        <v>16.5471</v>
      </c>
      <c r="CL48" s="43">
        <v>4.6026300000000004</v>
      </c>
      <c r="CM48" s="43"/>
      <c r="CN48" s="43"/>
      <c r="CO48" s="43">
        <v>15.337899999999999</v>
      </c>
      <c r="CP48" s="43">
        <v>257.63</v>
      </c>
      <c r="CQ48" s="43"/>
      <c r="CR48" s="43">
        <v>26.559000000000001</v>
      </c>
      <c r="CS48" s="43"/>
      <c r="CT48" s="43">
        <v>18.646999999999998</v>
      </c>
    </row>
    <row r="49" spans="1:98" ht="15.6" x14ac:dyDescent="0.3">
      <c r="A49" s="1"/>
      <c r="B49" s="42" t="s">
        <v>849</v>
      </c>
      <c r="C49" s="43">
        <v>3.0449999999999999</v>
      </c>
      <c r="D49" s="43"/>
      <c r="E49" s="43">
        <v>4.3423699999999998</v>
      </c>
      <c r="F49" s="43">
        <v>12.356</v>
      </c>
      <c r="G49" s="43"/>
      <c r="H49" s="43"/>
      <c r="I49" s="43"/>
      <c r="J49" s="43"/>
      <c r="K49" s="43">
        <v>21.113399999999999</v>
      </c>
      <c r="L49" s="43">
        <v>32.393099999999997</v>
      </c>
      <c r="M49" s="43">
        <v>11.8536</v>
      </c>
      <c r="N49" s="43">
        <v>14.32</v>
      </c>
      <c r="O49" s="43">
        <v>32.503999999999998</v>
      </c>
      <c r="P49" s="43"/>
      <c r="Q49" s="43"/>
      <c r="R49" s="43">
        <v>48.761000000000003</v>
      </c>
      <c r="S49" s="43"/>
      <c r="T49" s="43">
        <v>10.336959999999999</v>
      </c>
      <c r="U49" s="43"/>
      <c r="V49" s="43">
        <v>1.1000000000000001</v>
      </c>
      <c r="W49" s="43"/>
      <c r="X49" s="43">
        <v>34.080410000000001</v>
      </c>
      <c r="Y49" s="43"/>
      <c r="Z49" s="43">
        <v>8.5457699999999992</v>
      </c>
      <c r="AA49" s="43">
        <v>6.9603999999999999</v>
      </c>
      <c r="AB49" s="43"/>
      <c r="AC49" s="43">
        <v>18.3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5.6856</v>
      </c>
      <c r="AM49" s="43">
        <v>52.871549999999999</v>
      </c>
      <c r="AN49" s="43">
        <v>28.114360000000001</v>
      </c>
      <c r="AO49" s="43">
        <v>29.736000000000001</v>
      </c>
      <c r="AP49" s="43">
        <v>0.87</v>
      </c>
      <c r="AQ49" s="43">
        <v>165.74</v>
      </c>
      <c r="AR49" s="43"/>
      <c r="AS49" s="43">
        <v>36.518000000000001</v>
      </c>
      <c r="AT49" s="43">
        <v>31.01</v>
      </c>
      <c r="AU49" s="43"/>
      <c r="AV49" s="43">
        <v>73.029560000000004</v>
      </c>
      <c r="AW49" s="43">
        <v>32.074979999999996</v>
      </c>
      <c r="AX49" s="43"/>
      <c r="AY49" s="43">
        <v>5.26</v>
      </c>
      <c r="AZ49" s="43"/>
      <c r="BA49" s="43">
        <v>2.6</v>
      </c>
      <c r="BB49" s="43"/>
      <c r="BC49" s="43">
        <v>32.849200000000003</v>
      </c>
      <c r="BD49" s="43"/>
      <c r="BE49" s="43">
        <v>22.9</v>
      </c>
      <c r="BF49" s="43"/>
      <c r="BG49" s="43"/>
      <c r="BH49" s="43"/>
      <c r="BI49" s="43">
        <v>18.610690000000002</v>
      </c>
      <c r="BJ49" s="43"/>
      <c r="BK49" s="43">
        <v>4.7396200000000004</v>
      </c>
      <c r="BL49" s="43"/>
      <c r="BM49" s="43"/>
      <c r="BN49" s="43">
        <v>4.88</v>
      </c>
      <c r="BO49" s="43">
        <v>9.1980199999999996</v>
      </c>
      <c r="BP49" s="43">
        <v>148.30966000000001</v>
      </c>
      <c r="BQ49" s="43">
        <v>1.1453</v>
      </c>
      <c r="BR49" s="43">
        <v>4.7214</v>
      </c>
      <c r="BS49" s="43">
        <v>132.03138000000001</v>
      </c>
      <c r="BT49" s="43">
        <v>16.35622</v>
      </c>
      <c r="BU49" s="43"/>
      <c r="BV49" s="43"/>
      <c r="BW49" s="43">
        <v>4.0848199999999997</v>
      </c>
      <c r="BX49" s="43"/>
      <c r="BY49" s="43"/>
      <c r="BZ49" s="43">
        <v>84.712900000000005</v>
      </c>
      <c r="CA49" s="43">
        <v>1.6611400000000001</v>
      </c>
      <c r="CB49" s="43">
        <v>1.7174</v>
      </c>
      <c r="CC49" s="43">
        <v>0.60299999999999998</v>
      </c>
      <c r="CD49" s="43">
        <v>29.41169</v>
      </c>
      <c r="CE49" s="43">
        <v>426.22343999999998</v>
      </c>
      <c r="CF49" s="43"/>
      <c r="CG49" s="43">
        <v>147.84180000000001</v>
      </c>
      <c r="CH49" s="43">
        <v>18.321999999999999</v>
      </c>
      <c r="CI49" s="43"/>
      <c r="CJ49" s="43"/>
      <c r="CK49" s="43">
        <v>17.040400000000002</v>
      </c>
      <c r="CL49" s="43">
        <v>4.81311</v>
      </c>
      <c r="CM49" s="43"/>
      <c r="CN49" s="43"/>
      <c r="CO49" s="43">
        <v>15.27847</v>
      </c>
      <c r="CP49" s="43">
        <v>270.87</v>
      </c>
      <c r="CQ49" s="43"/>
      <c r="CR49" s="43">
        <v>26.29</v>
      </c>
      <c r="CS49" s="43"/>
      <c r="CT49" s="43">
        <v>18.768000000000001</v>
      </c>
    </row>
    <row r="50" spans="1:98" ht="15.6" x14ac:dyDescent="0.3">
      <c r="A50" s="1"/>
      <c r="B50" s="42" t="s">
        <v>850</v>
      </c>
      <c r="C50" s="43">
        <v>3.0144000000000002</v>
      </c>
      <c r="D50" s="43"/>
      <c r="E50" s="43">
        <v>4.4559899999999999</v>
      </c>
      <c r="F50" s="43">
        <v>11.917999999999999</v>
      </c>
      <c r="G50" s="43"/>
      <c r="H50" s="43"/>
      <c r="I50" s="43"/>
      <c r="J50" s="43"/>
      <c r="K50" s="43">
        <v>21.613399999999999</v>
      </c>
      <c r="L50" s="43">
        <v>31.786100000000001</v>
      </c>
      <c r="M50" s="43">
        <v>11.8668</v>
      </c>
      <c r="N50" s="43">
        <v>14.36</v>
      </c>
      <c r="O50" s="43">
        <v>33.125999999999998</v>
      </c>
      <c r="P50" s="43"/>
      <c r="Q50" s="43"/>
      <c r="R50" s="43">
        <v>49.360999999999997</v>
      </c>
      <c r="S50" s="43"/>
      <c r="T50" s="43">
        <v>22.541329999999999</v>
      </c>
      <c r="U50" s="43"/>
      <c r="V50" s="43">
        <v>1.1000000000000001</v>
      </c>
      <c r="W50" s="43"/>
      <c r="X50" s="43">
        <v>34.497700000000002</v>
      </c>
      <c r="Y50" s="43"/>
      <c r="Z50" s="43">
        <v>8.7941699999999994</v>
      </c>
      <c r="AA50" s="43">
        <v>7.1946000000000003</v>
      </c>
      <c r="AB50" s="43"/>
      <c r="AC50" s="43">
        <v>18.059999999999999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5.6013999999999999</v>
      </c>
      <c r="AM50" s="43">
        <v>53.200020000000002</v>
      </c>
      <c r="AN50" s="43">
        <v>28.12435</v>
      </c>
      <c r="AO50" s="43">
        <v>29.5413</v>
      </c>
      <c r="AP50" s="43">
        <v>0.94</v>
      </c>
      <c r="AQ50" s="43">
        <v>164.03</v>
      </c>
      <c r="AR50" s="43"/>
      <c r="AS50" s="43">
        <v>36.893999999999998</v>
      </c>
      <c r="AT50" s="43">
        <v>30.73</v>
      </c>
      <c r="AU50" s="43"/>
      <c r="AV50" s="43">
        <v>95.514039999999994</v>
      </c>
      <c r="AW50" s="43">
        <v>33.762700000000002</v>
      </c>
      <c r="AX50" s="43"/>
      <c r="AY50" s="43">
        <v>5.34</v>
      </c>
      <c r="AZ50" s="43"/>
      <c r="BA50" s="43">
        <v>2.6</v>
      </c>
      <c r="BB50" s="43"/>
      <c r="BC50" s="43">
        <v>38.992669999999997</v>
      </c>
      <c r="BD50" s="43"/>
      <c r="BE50" s="43">
        <v>22.9</v>
      </c>
      <c r="BF50" s="43"/>
      <c r="BG50" s="43"/>
      <c r="BH50" s="43"/>
      <c r="BI50" s="43">
        <v>18.3566</v>
      </c>
      <c r="BJ50" s="43"/>
      <c r="BK50" s="43">
        <v>4.76471</v>
      </c>
      <c r="BL50" s="43"/>
      <c r="BM50" s="43"/>
      <c r="BN50" s="43">
        <v>6.2</v>
      </c>
      <c r="BO50" s="43">
        <v>1.68225</v>
      </c>
      <c r="BP50" s="43">
        <v>149.05703</v>
      </c>
      <c r="BQ50" s="43">
        <v>1.1332</v>
      </c>
      <c r="BR50" s="43">
        <v>4.5544000000000002</v>
      </c>
      <c r="BS50" s="43">
        <v>134.41961000000001</v>
      </c>
      <c r="BT50" s="43">
        <v>17.128869999999999</v>
      </c>
      <c r="BU50" s="43"/>
      <c r="BV50" s="43"/>
      <c r="BW50" s="43">
        <v>4.1258100000000004</v>
      </c>
      <c r="BX50" s="43"/>
      <c r="BY50" s="43"/>
      <c r="BZ50" s="43">
        <v>84.709000000000003</v>
      </c>
      <c r="CA50" s="43">
        <v>5.0376700000000003</v>
      </c>
      <c r="CB50" s="43">
        <v>1.6587000000000001</v>
      </c>
      <c r="CC50" s="43">
        <v>0.624</v>
      </c>
      <c r="CD50" s="43">
        <v>31.679849999999998</v>
      </c>
      <c r="CE50" s="43">
        <v>426.07337000000001</v>
      </c>
      <c r="CF50" s="43"/>
      <c r="CG50" s="43">
        <v>156.67959999999999</v>
      </c>
      <c r="CH50" s="43">
        <v>18.452999999999999</v>
      </c>
      <c r="CI50" s="43"/>
      <c r="CJ50" s="43"/>
      <c r="CK50" s="43">
        <v>17.9207</v>
      </c>
      <c r="CL50" s="43">
        <v>4.9559300000000004</v>
      </c>
      <c r="CM50" s="43"/>
      <c r="CN50" s="43"/>
      <c r="CO50" s="43">
        <v>15.69523</v>
      </c>
      <c r="CP50" s="43">
        <v>284.7</v>
      </c>
      <c r="CQ50" s="43"/>
      <c r="CR50" s="43">
        <v>26.303999999999998</v>
      </c>
      <c r="CS50" s="43"/>
      <c r="CT50" s="43">
        <v>18.646000000000001</v>
      </c>
    </row>
    <row r="51" spans="1:98" ht="15.6" x14ac:dyDescent="0.3">
      <c r="A51" s="1"/>
      <c r="B51" s="42" t="s">
        <v>851</v>
      </c>
      <c r="C51" s="43">
        <v>3.3254000000000001</v>
      </c>
      <c r="D51" s="43"/>
      <c r="E51" s="43">
        <v>4.4412900000000004</v>
      </c>
      <c r="F51" s="43">
        <v>11.788</v>
      </c>
      <c r="G51" s="43"/>
      <c r="H51" s="43"/>
      <c r="I51" s="43"/>
      <c r="J51" s="43"/>
      <c r="K51" s="43">
        <v>20.797999999999998</v>
      </c>
      <c r="L51" s="43">
        <v>30.932600000000001</v>
      </c>
      <c r="M51" s="43">
        <v>11.793799999999999</v>
      </c>
      <c r="N51" s="43">
        <v>13.52</v>
      </c>
      <c r="O51" s="43">
        <v>33.265999999999998</v>
      </c>
      <c r="P51" s="43"/>
      <c r="Q51" s="43"/>
      <c r="R51" s="43">
        <v>48.512999999999998</v>
      </c>
      <c r="S51" s="43"/>
      <c r="T51" s="43">
        <v>42.044820000000001</v>
      </c>
      <c r="U51" s="43"/>
      <c r="V51" s="43">
        <v>1.1000000000000001</v>
      </c>
      <c r="W51" s="43"/>
      <c r="X51" s="43">
        <v>37.880879999999998</v>
      </c>
      <c r="Y51" s="43"/>
      <c r="Z51" s="43">
        <v>10.08381</v>
      </c>
      <c r="AA51" s="43">
        <v>7.0326000000000004</v>
      </c>
      <c r="AB51" s="43"/>
      <c r="AC51" s="43">
        <v>18.11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5.3912000000000004</v>
      </c>
      <c r="AM51" s="43">
        <v>52.686999999999998</v>
      </c>
      <c r="AN51" s="43">
        <v>28.824249999999999</v>
      </c>
      <c r="AO51" s="43">
        <v>29.8064</v>
      </c>
      <c r="AP51" s="43">
        <v>1.03</v>
      </c>
      <c r="AQ51" s="43">
        <v>164.41</v>
      </c>
      <c r="AR51" s="43"/>
      <c r="AS51" s="43">
        <v>37.637</v>
      </c>
      <c r="AT51" s="43">
        <v>31.9</v>
      </c>
      <c r="AU51" s="43"/>
      <c r="AV51" s="43">
        <v>193.59693999999999</v>
      </c>
      <c r="AW51" s="43">
        <v>33.747219999999999</v>
      </c>
      <c r="AX51" s="43"/>
      <c r="AY51" s="43">
        <v>5.29</v>
      </c>
      <c r="AZ51" s="43"/>
      <c r="BA51" s="43">
        <v>2.6</v>
      </c>
      <c r="BB51" s="43"/>
      <c r="BC51" s="43">
        <v>69.383129999999994</v>
      </c>
      <c r="BD51" s="43"/>
      <c r="BE51" s="43">
        <v>22.9</v>
      </c>
      <c r="BF51" s="43"/>
      <c r="BG51" s="43"/>
      <c r="BH51" s="43"/>
      <c r="BI51" s="43">
        <v>18.48527</v>
      </c>
      <c r="BJ51" s="43"/>
      <c r="BK51" s="43">
        <v>4.92197</v>
      </c>
      <c r="BL51" s="43"/>
      <c r="BM51" s="43"/>
      <c r="BN51" s="43">
        <v>6.31</v>
      </c>
      <c r="BO51" s="43">
        <v>4.64459</v>
      </c>
      <c r="BP51" s="43">
        <v>149.92865</v>
      </c>
      <c r="BQ51" s="43">
        <v>1.0363</v>
      </c>
      <c r="BR51" s="43">
        <v>4.6756000000000002</v>
      </c>
      <c r="BS51" s="43">
        <v>132.88068000000001</v>
      </c>
      <c r="BT51" s="43">
        <v>17.641960000000001</v>
      </c>
      <c r="BU51" s="43"/>
      <c r="BV51" s="43"/>
      <c r="BW51" s="43">
        <v>3.9547300000000001</v>
      </c>
      <c r="BX51" s="43"/>
      <c r="BY51" s="43"/>
      <c r="BZ51" s="43">
        <v>84.646199999999993</v>
      </c>
      <c r="CA51" s="43">
        <v>5.1260899999999996</v>
      </c>
      <c r="CB51" s="43">
        <v>1.4778</v>
      </c>
      <c r="CC51" s="43">
        <v>0.59199999999999997</v>
      </c>
      <c r="CD51" s="43">
        <v>32.342919999999999</v>
      </c>
      <c r="CE51" s="43">
        <v>416.19403999999997</v>
      </c>
      <c r="CF51" s="43"/>
      <c r="CG51" s="43">
        <v>156.36250000000001</v>
      </c>
      <c r="CH51" s="43">
        <v>18.390999999999998</v>
      </c>
      <c r="CI51" s="43"/>
      <c r="CJ51" s="43"/>
      <c r="CK51" s="43">
        <v>18.1511</v>
      </c>
      <c r="CL51" s="43">
        <v>5.0045000000000002</v>
      </c>
      <c r="CM51" s="43"/>
      <c r="CN51" s="43"/>
      <c r="CO51" s="43">
        <v>15.940530000000001</v>
      </c>
      <c r="CP51" s="43">
        <v>291.54000000000002</v>
      </c>
      <c r="CQ51" s="43"/>
      <c r="CR51" s="43">
        <v>26.51</v>
      </c>
      <c r="CS51" s="43"/>
      <c r="CT51" s="43">
        <v>18.725999999999999</v>
      </c>
    </row>
    <row r="52" spans="1:98" ht="15.6" x14ac:dyDescent="0.3">
      <c r="A52" s="1"/>
      <c r="B52" s="42" t="s">
        <v>852</v>
      </c>
      <c r="C52" s="43">
        <v>3.5001000000000002</v>
      </c>
      <c r="D52" s="43"/>
      <c r="E52" s="43">
        <v>5.7628300000000001</v>
      </c>
      <c r="F52" s="43">
        <v>12.996</v>
      </c>
      <c r="G52" s="43"/>
      <c r="H52" s="43"/>
      <c r="I52" s="43"/>
      <c r="J52" s="43"/>
      <c r="K52" s="43">
        <v>21.024799999999999</v>
      </c>
      <c r="L52" s="43">
        <v>30.3459</v>
      </c>
      <c r="M52" s="43">
        <v>11.904299999999999</v>
      </c>
      <c r="N52" s="43">
        <v>14.63</v>
      </c>
      <c r="O52" s="43">
        <v>32.963999999999999</v>
      </c>
      <c r="P52" s="43"/>
      <c r="Q52" s="43"/>
      <c r="R52" s="43">
        <v>48.622</v>
      </c>
      <c r="S52" s="43"/>
      <c r="T52" s="43">
        <v>42.083210000000001</v>
      </c>
      <c r="U52" s="43"/>
      <c r="V52" s="43">
        <v>1</v>
      </c>
      <c r="W52" s="43"/>
      <c r="X52" s="43">
        <v>41.915700000000001</v>
      </c>
      <c r="Y52" s="43"/>
      <c r="Z52" s="43">
        <v>10.21367</v>
      </c>
      <c r="AA52" s="43">
        <v>7.3</v>
      </c>
      <c r="AB52" s="43"/>
      <c r="AC52" s="43">
        <v>18.13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3.6596000000000002</v>
      </c>
      <c r="AM52" s="43">
        <v>53.149940000000001</v>
      </c>
      <c r="AN52" s="43">
        <v>29.10923</v>
      </c>
      <c r="AO52" s="43">
        <v>30.333400000000001</v>
      </c>
      <c r="AP52" s="43">
        <v>1.1499999999999999</v>
      </c>
      <c r="AQ52" s="43">
        <v>165.16</v>
      </c>
      <c r="AR52" s="43"/>
      <c r="AS52" s="43">
        <v>38.526000000000003</v>
      </c>
      <c r="AT52" s="43">
        <v>31.6</v>
      </c>
      <c r="AU52" s="43"/>
      <c r="AV52" s="43">
        <v>193.38746</v>
      </c>
      <c r="AW52" s="43">
        <v>33.504809999999999</v>
      </c>
      <c r="AX52" s="43"/>
      <c r="AY52" s="43">
        <v>5.58</v>
      </c>
      <c r="AZ52" s="43"/>
      <c r="BA52" s="43">
        <v>2.5</v>
      </c>
      <c r="BB52" s="43"/>
      <c r="BC52" s="43">
        <v>71.916420000000002</v>
      </c>
      <c r="BD52" s="43"/>
      <c r="BE52" s="43">
        <v>22.9</v>
      </c>
      <c r="BF52" s="43"/>
      <c r="BG52" s="43"/>
      <c r="BH52" s="43"/>
      <c r="BI52" s="43">
        <v>18.32724</v>
      </c>
      <c r="BJ52" s="43"/>
      <c r="BK52" s="43">
        <v>4.8705299999999996</v>
      </c>
      <c r="BL52" s="43"/>
      <c r="BM52" s="43"/>
      <c r="BN52" s="43">
        <v>28.37</v>
      </c>
      <c r="BO52" s="43">
        <v>8.8956700000000009</v>
      </c>
      <c r="BP52" s="43">
        <v>152.09535</v>
      </c>
      <c r="BQ52" s="43">
        <v>0.85450000000000004</v>
      </c>
      <c r="BR52" s="43">
        <v>4.6607000000000003</v>
      </c>
      <c r="BS52" s="43">
        <v>131.42257000000001</v>
      </c>
      <c r="BT52" s="43">
        <v>15.210380000000001</v>
      </c>
      <c r="BU52" s="43"/>
      <c r="BV52" s="43"/>
      <c r="BW52" s="43">
        <v>3.9614600000000002</v>
      </c>
      <c r="BX52" s="43"/>
      <c r="BY52" s="43"/>
      <c r="BZ52" s="43">
        <v>83.656400000000005</v>
      </c>
      <c r="CA52" s="43">
        <v>5.1993600000000004</v>
      </c>
      <c r="CB52" s="43">
        <v>1.0286</v>
      </c>
      <c r="CC52" s="43">
        <v>0.56799999999999995</v>
      </c>
      <c r="CD52" s="43">
        <v>32.666220000000003</v>
      </c>
      <c r="CE52" s="43">
        <v>409.96697999999998</v>
      </c>
      <c r="CF52" s="43"/>
      <c r="CG52" s="43">
        <v>160.81209999999999</v>
      </c>
      <c r="CH52" s="43">
        <v>18.434000000000001</v>
      </c>
      <c r="CI52" s="43"/>
      <c r="CJ52" s="43"/>
      <c r="CK52" s="43">
        <v>18.703800000000001</v>
      </c>
      <c r="CL52" s="43">
        <v>4.8914</v>
      </c>
      <c r="CM52" s="43"/>
      <c r="CN52" s="43"/>
      <c r="CO52" s="43">
        <v>16.532219999999999</v>
      </c>
      <c r="CP52" s="43">
        <v>291.44</v>
      </c>
      <c r="CQ52" s="43"/>
      <c r="CR52" s="43">
        <v>30.463999999999999</v>
      </c>
      <c r="CS52" s="43"/>
      <c r="CT52" s="43">
        <v>23.859000000000002</v>
      </c>
    </row>
    <row r="53" spans="1:98" ht="15.6" x14ac:dyDescent="0.3">
      <c r="A53" s="1"/>
      <c r="B53" s="42" t="s">
        <v>853</v>
      </c>
      <c r="C53" s="43">
        <v>3.3986999999999998</v>
      </c>
      <c r="D53" s="43"/>
      <c r="E53" s="43">
        <v>7.7868700000000004</v>
      </c>
      <c r="F53" s="43">
        <v>12.657999999999999</v>
      </c>
      <c r="G53" s="43"/>
      <c r="H53" s="43"/>
      <c r="I53" s="43"/>
      <c r="J53" s="43"/>
      <c r="K53" s="43">
        <v>21.361999999999998</v>
      </c>
      <c r="L53" s="43">
        <v>29.128799999999998</v>
      </c>
      <c r="M53" s="43">
        <v>12.1105</v>
      </c>
      <c r="N53" s="43">
        <v>14.96</v>
      </c>
      <c r="O53" s="43">
        <v>32.762</v>
      </c>
      <c r="P53" s="43"/>
      <c r="Q53" s="43"/>
      <c r="R53" s="43">
        <v>48.231000000000002</v>
      </c>
      <c r="S53" s="43"/>
      <c r="T53" s="43">
        <v>15.42544</v>
      </c>
      <c r="U53" s="43"/>
      <c r="V53" s="43">
        <v>0.9</v>
      </c>
      <c r="W53" s="43"/>
      <c r="X53" s="43">
        <v>97.198530000000005</v>
      </c>
      <c r="Y53" s="43"/>
      <c r="Z53" s="43">
        <v>10.35581</v>
      </c>
      <c r="AA53" s="43">
        <v>6.8834</v>
      </c>
      <c r="AB53" s="43"/>
      <c r="AC53" s="43">
        <v>18.46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3.0516000000000001</v>
      </c>
      <c r="AM53" s="43">
        <v>52.702770000000001</v>
      </c>
      <c r="AN53" s="43">
        <v>28.172830000000001</v>
      </c>
      <c r="AO53" s="43">
        <v>30.124400000000001</v>
      </c>
      <c r="AP53" s="43">
        <v>1.26</v>
      </c>
      <c r="AQ53" s="43">
        <v>163.65</v>
      </c>
      <c r="AR53" s="43"/>
      <c r="AS53" s="43">
        <v>39.856999999999999</v>
      </c>
      <c r="AT53" s="43">
        <v>31.45</v>
      </c>
      <c r="AU53" s="43"/>
      <c r="AV53" s="43">
        <v>193.61188000000001</v>
      </c>
      <c r="AW53" s="43">
        <v>33.237409999999997</v>
      </c>
      <c r="AX53" s="43"/>
      <c r="AY53" s="43">
        <v>5.85</v>
      </c>
      <c r="AZ53" s="43"/>
      <c r="BA53" s="43">
        <v>2.7</v>
      </c>
      <c r="BB53" s="43"/>
      <c r="BC53" s="43">
        <v>71.741029999999995</v>
      </c>
      <c r="BD53" s="43"/>
      <c r="BE53" s="43">
        <v>22.9</v>
      </c>
      <c r="BF53" s="43"/>
      <c r="BG53" s="43"/>
      <c r="BH53" s="43"/>
      <c r="BI53" s="43">
        <v>18.762930000000001</v>
      </c>
      <c r="BJ53" s="43"/>
      <c r="BK53" s="43">
        <v>4.8293299999999997</v>
      </c>
      <c r="BL53" s="43"/>
      <c r="BM53" s="43"/>
      <c r="BN53" s="43">
        <v>49.87</v>
      </c>
      <c r="BO53" s="43">
        <v>9.0747099999999996</v>
      </c>
      <c r="BP53" s="43">
        <v>150.83706000000001</v>
      </c>
      <c r="BQ53" s="43">
        <v>0.83630000000000004</v>
      </c>
      <c r="BR53" s="43">
        <v>4.7754000000000003</v>
      </c>
      <c r="BS53" s="43">
        <v>130.99475000000001</v>
      </c>
      <c r="BT53" s="43">
        <v>17.453230000000001</v>
      </c>
      <c r="BU53" s="43"/>
      <c r="BV53" s="43"/>
      <c r="BW53" s="43">
        <v>3.9545699999999999</v>
      </c>
      <c r="BX53" s="43"/>
      <c r="BY53" s="43"/>
      <c r="BZ53" s="43">
        <v>82.900599999999997</v>
      </c>
      <c r="CA53" s="43">
        <v>5.04887</v>
      </c>
      <c r="CB53" s="43">
        <v>0.79920000000000002</v>
      </c>
      <c r="CC53" s="43">
        <v>0.50900000000000001</v>
      </c>
      <c r="CD53" s="43">
        <v>32.47775</v>
      </c>
      <c r="CE53" s="43">
        <v>334.61725999999999</v>
      </c>
      <c r="CF53" s="43"/>
      <c r="CG53" s="43">
        <v>154.26779999999999</v>
      </c>
      <c r="CH53" s="43">
        <v>18.696000000000002</v>
      </c>
      <c r="CI53" s="43"/>
      <c r="CJ53" s="43"/>
      <c r="CK53" s="43">
        <v>17.845700000000001</v>
      </c>
      <c r="CL53" s="43">
        <v>4.9266699999999997</v>
      </c>
      <c r="CM53" s="43"/>
      <c r="CN53" s="43"/>
      <c r="CO53" s="43">
        <v>16.141169999999999</v>
      </c>
      <c r="CP53" s="43">
        <v>289.47000000000003</v>
      </c>
      <c r="CQ53" s="43"/>
      <c r="CR53" s="43">
        <v>30.712</v>
      </c>
      <c r="CS53" s="43"/>
      <c r="CT53" s="43">
        <v>24.129000000000001</v>
      </c>
    </row>
    <row r="54" spans="1:98" ht="15.6" x14ac:dyDescent="0.3">
      <c r="A54" s="1"/>
      <c r="B54" s="42" t="s">
        <v>854</v>
      </c>
      <c r="C54" s="43">
        <v>3.0773000000000001</v>
      </c>
      <c r="D54" s="43"/>
      <c r="E54" s="43">
        <v>11.457560000000001</v>
      </c>
      <c r="F54" s="43">
        <v>12.83</v>
      </c>
      <c r="G54" s="43"/>
      <c r="H54" s="43"/>
      <c r="I54" s="43"/>
      <c r="J54" s="43"/>
      <c r="K54" s="43">
        <v>21.734000000000002</v>
      </c>
      <c r="L54" s="43">
        <v>28.710699999999999</v>
      </c>
      <c r="M54" s="43">
        <v>12.635300000000001</v>
      </c>
      <c r="N54" s="43">
        <v>14.73</v>
      </c>
      <c r="O54" s="43">
        <v>32.164000000000001</v>
      </c>
      <c r="P54" s="43"/>
      <c r="Q54" s="43"/>
      <c r="R54" s="43">
        <v>48.207999999999998</v>
      </c>
      <c r="S54" s="43"/>
      <c r="T54" s="43">
        <v>43.757359999999998</v>
      </c>
      <c r="U54" s="43"/>
      <c r="V54" s="43">
        <v>0.9</v>
      </c>
      <c r="W54" s="43"/>
      <c r="X54" s="43">
        <v>128.53880000000001</v>
      </c>
      <c r="Y54" s="43"/>
      <c r="Z54" s="43">
        <v>10.14434</v>
      </c>
      <c r="AA54" s="43">
        <v>5.8137999999999996</v>
      </c>
      <c r="AB54" s="43"/>
      <c r="AC54" s="43">
        <v>18.62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2.5442999999999998</v>
      </c>
      <c r="AM54" s="43">
        <v>51.716450000000002</v>
      </c>
      <c r="AN54" s="43">
        <v>27.055630000000001</v>
      </c>
      <c r="AO54" s="43">
        <v>29.0825</v>
      </c>
      <c r="AP54" s="43">
        <v>1.2</v>
      </c>
      <c r="AQ54" s="43">
        <v>164.68</v>
      </c>
      <c r="AR54" s="43"/>
      <c r="AS54" s="43">
        <v>39.003999999999998</v>
      </c>
      <c r="AT54" s="43">
        <v>31.37</v>
      </c>
      <c r="AU54" s="43"/>
      <c r="AV54" s="43">
        <v>192.80616000000001</v>
      </c>
      <c r="AW54" s="43">
        <v>33.531509999999997</v>
      </c>
      <c r="AX54" s="43"/>
      <c r="AY54" s="43">
        <v>5.88</v>
      </c>
      <c r="AZ54" s="43"/>
      <c r="BA54" s="43">
        <v>2.6</v>
      </c>
      <c r="BB54" s="43"/>
      <c r="BC54" s="43">
        <v>71.003479999999996</v>
      </c>
      <c r="BD54" s="43"/>
      <c r="BE54" s="43">
        <v>22.9</v>
      </c>
      <c r="BF54" s="43"/>
      <c r="BG54" s="43"/>
      <c r="BH54" s="43"/>
      <c r="BI54" s="43">
        <v>18.805319999999998</v>
      </c>
      <c r="BJ54" s="43"/>
      <c r="BK54" s="43">
        <v>4.8583499999999997</v>
      </c>
      <c r="BL54" s="43"/>
      <c r="BM54" s="43"/>
      <c r="BN54" s="43">
        <v>50.25</v>
      </c>
      <c r="BO54" s="43">
        <v>8.9354399999999998</v>
      </c>
      <c r="BP54" s="43">
        <v>148.82697999999999</v>
      </c>
      <c r="BQ54" s="43">
        <v>0.73329999999999995</v>
      </c>
      <c r="BR54" s="43">
        <v>4.7944000000000004</v>
      </c>
      <c r="BS54" s="43">
        <v>131.81536</v>
      </c>
      <c r="BT54" s="43">
        <v>18.050719999999998</v>
      </c>
      <c r="BU54" s="43"/>
      <c r="BV54" s="43"/>
      <c r="BW54" s="43">
        <v>3.8564400000000001</v>
      </c>
      <c r="BX54" s="43"/>
      <c r="BY54" s="43"/>
      <c r="BZ54" s="43">
        <v>81.898899999999998</v>
      </c>
      <c r="CA54" s="43">
        <v>5.0531300000000003</v>
      </c>
      <c r="CB54" s="43">
        <v>0.69320000000000004</v>
      </c>
      <c r="CC54" s="43">
        <v>0.55700000000000005</v>
      </c>
      <c r="CD54" s="43">
        <v>31.651869999999999</v>
      </c>
      <c r="CE54" s="43">
        <v>391.24657000000002</v>
      </c>
      <c r="CF54" s="43"/>
      <c r="CG54" s="43">
        <v>155.40049999999999</v>
      </c>
      <c r="CH54" s="43">
        <v>18.709</v>
      </c>
      <c r="CI54" s="43"/>
      <c r="CJ54" s="43"/>
      <c r="CK54" s="43">
        <v>18.354600000000001</v>
      </c>
      <c r="CL54" s="43">
        <v>4.9250699999999998</v>
      </c>
      <c r="CM54" s="43"/>
      <c r="CN54" s="43"/>
      <c r="CO54" s="43">
        <v>17.020140000000001</v>
      </c>
      <c r="CP54" s="43">
        <v>287.51</v>
      </c>
      <c r="CQ54" s="43"/>
      <c r="CR54" s="43">
        <v>30.478000000000002</v>
      </c>
      <c r="CS54" s="43"/>
      <c r="CT54" s="43">
        <v>25.123999999999999</v>
      </c>
    </row>
    <row r="55" spans="1:98" ht="15.6" x14ac:dyDescent="0.3">
      <c r="A55" s="1"/>
      <c r="B55" s="42" t="s">
        <v>68</v>
      </c>
      <c r="C55" s="43">
        <v>2.9449999999999998</v>
      </c>
      <c r="D55" s="43"/>
      <c r="E55" s="43">
        <v>11.557029999999999</v>
      </c>
      <c r="F55" s="43">
        <v>12.090999999999999</v>
      </c>
      <c r="G55" s="43"/>
      <c r="H55" s="43"/>
      <c r="I55" s="43"/>
      <c r="J55" s="43"/>
      <c r="K55" s="43">
        <v>21.559799999999999</v>
      </c>
      <c r="L55" s="43">
        <v>27.969799999999999</v>
      </c>
      <c r="M55" s="43">
        <v>14.809100000000001</v>
      </c>
      <c r="N55" s="43">
        <v>14.43</v>
      </c>
      <c r="O55" s="43">
        <v>31.492000000000001</v>
      </c>
      <c r="P55" s="43"/>
      <c r="Q55" s="43"/>
      <c r="R55" s="43">
        <v>48.478999999999999</v>
      </c>
      <c r="S55" s="43"/>
      <c r="T55" s="43">
        <v>44.121270000000003</v>
      </c>
      <c r="U55" s="43"/>
      <c r="V55" s="43">
        <v>0.9</v>
      </c>
      <c r="W55" s="43"/>
      <c r="X55" s="43">
        <v>163.26258999999999</v>
      </c>
      <c r="Y55" s="43"/>
      <c r="Z55" s="43">
        <v>10.343999999999999</v>
      </c>
      <c r="AA55" s="43">
        <v>6.3254999999999999</v>
      </c>
      <c r="AB55" s="43"/>
      <c r="AC55" s="43">
        <v>18.37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2.1873999999999998</v>
      </c>
      <c r="AM55" s="43">
        <v>51.624749999999999</v>
      </c>
      <c r="AN55" s="43">
        <v>27.088249999999999</v>
      </c>
      <c r="AO55" s="43">
        <v>28.863499999999998</v>
      </c>
      <c r="AP55" s="43">
        <v>0.83</v>
      </c>
      <c r="AQ55" s="43">
        <v>163.30000000000001</v>
      </c>
      <c r="AR55" s="43"/>
      <c r="AS55" s="43">
        <v>39.03</v>
      </c>
      <c r="AT55" s="43">
        <v>30.76</v>
      </c>
      <c r="AU55" s="43"/>
      <c r="AV55" s="43">
        <v>191.92976999999999</v>
      </c>
      <c r="AW55" s="43">
        <v>34.166879999999999</v>
      </c>
      <c r="AX55" s="43"/>
      <c r="AY55" s="43">
        <v>5.41</v>
      </c>
      <c r="AZ55" s="43"/>
      <c r="BA55" s="43">
        <v>2.6</v>
      </c>
      <c r="BB55" s="43"/>
      <c r="BC55" s="43">
        <v>71.20411</v>
      </c>
      <c r="BD55" s="43"/>
      <c r="BE55" s="43">
        <v>22.9</v>
      </c>
      <c r="BF55" s="43"/>
      <c r="BG55" s="43"/>
      <c r="BH55" s="43"/>
      <c r="BI55" s="43">
        <v>18.536059999999999</v>
      </c>
      <c r="BJ55" s="43"/>
      <c r="BK55" s="43">
        <v>4.8994200000000001</v>
      </c>
      <c r="BL55" s="43"/>
      <c r="BM55" s="43"/>
      <c r="BN55" s="43">
        <v>50.86</v>
      </c>
      <c r="BO55" s="43">
        <v>8.7482600000000001</v>
      </c>
      <c r="BP55" s="43">
        <v>152.2859</v>
      </c>
      <c r="BQ55" s="43">
        <v>0.61209999999999998</v>
      </c>
      <c r="BR55" s="43">
        <v>4.5772000000000004</v>
      </c>
      <c r="BS55" s="43">
        <v>128.59350000000001</v>
      </c>
      <c r="BT55" s="43">
        <v>17.532699999999998</v>
      </c>
      <c r="BU55" s="43"/>
      <c r="BV55" s="43"/>
      <c r="BW55" s="43">
        <v>3.8369499999999999</v>
      </c>
      <c r="BX55" s="43"/>
      <c r="BY55" s="43"/>
      <c r="BZ55" s="43">
        <v>81.187799999999996</v>
      </c>
      <c r="CA55" s="43">
        <v>5.0629999999999997</v>
      </c>
      <c r="CB55" s="43">
        <v>0.63229999999999997</v>
      </c>
      <c r="CC55" s="43">
        <v>0.56000000000000005</v>
      </c>
      <c r="CD55" s="43">
        <v>31.85408</v>
      </c>
      <c r="CE55" s="43">
        <v>398.97483999999997</v>
      </c>
      <c r="CF55" s="43"/>
      <c r="CG55" s="43">
        <v>158.43879999999999</v>
      </c>
      <c r="CH55" s="43">
        <v>18.628</v>
      </c>
      <c r="CI55" s="43"/>
      <c r="CJ55" s="43"/>
      <c r="CK55" s="43">
        <v>18.456399999999999</v>
      </c>
      <c r="CL55" s="43">
        <v>4.8775500000000003</v>
      </c>
      <c r="CM55" s="43"/>
      <c r="CN55" s="43"/>
      <c r="CO55" s="43">
        <v>16.45112</v>
      </c>
      <c r="CP55" s="43">
        <v>288.20999999999998</v>
      </c>
      <c r="CQ55" s="43"/>
      <c r="CR55" s="43">
        <v>31.114999999999998</v>
      </c>
      <c r="CS55" s="43"/>
      <c r="CT55" s="43">
        <v>26.928999999999998</v>
      </c>
    </row>
    <row r="56" spans="1:98" ht="31.35" customHeight="1" x14ac:dyDescent="0.3">
      <c r="A56" s="1"/>
      <c r="B56" s="44" t="s">
        <v>945</v>
      </c>
      <c r="C56" s="45">
        <v>79.299149999999997</v>
      </c>
      <c r="D56" s="45">
        <v>0</v>
      </c>
      <c r="E56" s="45">
        <v>451.38627000000002</v>
      </c>
      <c r="F56" s="45">
        <v>287.64299999999997</v>
      </c>
      <c r="G56" s="45">
        <v>0</v>
      </c>
      <c r="H56" s="45">
        <v>0</v>
      </c>
      <c r="I56" s="45">
        <v>0</v>
      </c>
      <c r="J56" s="45">
        <v>0</v>
      </c>
      <c r="K56" s="45">
        <v>500.53120000000001</v>
      </c>
      <c r="L56" s="45">
        <v>690.81325000000004</v>
      </c>
      <c r="M56" s="45">
        <v>338.11775</v>
      </c>
      <c r="N56" s="45">
        <v>348.18</v>
      </c>
      <c r="O56" s="45">
        <v>727.71199999999999</v>
      </c>
      <c r="P56" s="45">
        <v>0</v>
      </c>
      <c r="Q56" s="45">
        <v>0</v>
      </c>
      <c r="R56" s="45">
        <v>1166.73</v>
      </c>
      <c r="S56" s="45">
        <v>0</v>
      </c>
      <c r="T56" s="45">
        <v>830.186915</v>
      </c>
      <c r="U56" s="45">
        <v>0</v>
      </c>
      <c r="V56" s="45">
        <v>42.8</v>
      </c>
      <c r="W56" s="45">
        <v>0</v>
      </c>
      <c r="X56" s="45">
        <v>2824.54385</v>
      </c>
      <c r="Y56" s="45">
        <v>0</v>
      </c>
      <c r="Z56" s="45">
        <v>233.45013499999999</v>
      </c>
      <c r="AA56" s="45">
        <v>145.8115</v>
      </c>
      <c r="AB56" s="45">
        <v>0</v>
      </c>
      <c r="AC56" s="45">
        <v>420.81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95.112750000000005</v>
      </c>
      <c r="AM56" s="45">
        <v>1212.56539</v>
      </c>
      <c r="AN56" s="45">
        <v>629.26723500000003</v>
      </c>
      <c r="AO56" s="45">
        <v>671.49935000000005</v>
      </c>
      <c r="AP56" s="45">
        <v>18.010000000000002</v>
      </c>
      <c r="AQ56" s="45">
        <v>3879.1350000000002</v>
      </c>
      <c r="AR56" s="45">
        <v>0</v>
      </c>
      <c r="AS56" s="45">
        <v>881.48149999999998</v>
      </c>
      <c r="AT56" s="45">
        <v>789.54499999999996</v>
      </c>
      <c r="AU56" s="45">
        <v>0</v>
      </c>
      <c r="AV56" s="45">
        <v>4105.9375950000003</v>
      </c>
      <c r="AW56" s="45">
        <v>778.351585</v>
      </c>
      <c r="AX56" s="45">
        <v>0</v>
      </c>
      <c r="AY56" s="45">
        <v>133.495</v>
      </c>
      <c r="AZ56" s="45">
        <v>0</v>
      </c>
      <c r="BA56" s="45">
        <v>60.25</v>
      </c>
      <c r="BB56" s="45">
        <v>0</v>
      </c>
      <c r="BC56" s="45">
        <v>1582.57293</v>
      </c>
      <c r="BD56" s="45">
        <v>0</v>
      </c>
      <c r="BE56" s="45">
        <v>549.79999999999995</v>
      </c>
      <c r="BF56" s="45">
        <v>0</v>
      </c>
      <c r="BG56" s="45">
        <v>0</v>
      </c>
      <c r="BH56" s="45">
        <v>0</v>
      </c>
      <c r="BI56" s="45">
        <v>397.93027000000001</v>
      </c>
      <c r="BJ56" s="45">
        <v>0</v>
      </c>
      <c r="BK56" s="45">
        <v>114.724125</v>
      </c>
      <c r="BL56" s="45">
        <v>0</v>
      </c>
      <c r="BM56" s="45">
        <v>0</v>
      </c>
      <c r="BN56" s="45">
        <v>1138.595</v>
      </c>
      <c r="BO56" s="45">
        <v>218.98509000000001</v>
      </c>
      <c r="BP56" s="45">
        <v>3530.5157850000001</v>
      </c>
      <c r="BQ56" s="45">
        <v>34.802700000000002</v>
      </c>
      <c r="BR56" s="45">
        <v>109.00225</v>
      </c>
      <c r="BS56" s="45">
        <v>3020.83194</v>
      </c>
      <c r="BT56" s="45">
        <v>360.53814999999997</v>
      </c>
      <c r="BU56" s="45">
        <v>0</v>
      </c>
      <c r="BV56" s="45">
        <v>0</v>
      </c>
      <c r="BW56" s="45">
        <v>93.385435000000001</v>
      </c>
      <c r="BX56" s="45">
        <v>0</v>
      </c>
      <c r="BY56" s="45">
        <v>0</v>
      </c>
      <c r="BZ56" s="45">
        <v>1929.33735</v>
      </c>
      <c r="CA56" s="45">
        <v>337.06028500000002</v>
      </c>
      <c r="CB56" s="45">
        <v>26.3658</v>
      </c>
      <c r="CC56" s="45">
        <v>13.555999999999999</v>
      </c>
      <c r="CD56" s="45">
        <v>776.14595499999996</v>
      </c>
      <c r="CE56" s="45">
        <v>9492.2989099999995</v>
      </c>
      <c r="CF56" s="45">
        <v>0</v>
      </c>
      <c r="CG56" s="45">
        <v>3630.8369499999999</v>
      </c>
      <c r="CH56" s="45">
        <v>432.24349999999998</v>
      </c>
      <c r="CI56" s="45">
        <v>0</v>
      </c>
      <c r="CJ56" s="45">
        <v>0</v>
      </c>
      <c r="CK56" s="45">
        <v>403.34775000000002</v>
      </c>
      <c r="CL56" s="45">
        <v>106.914225</v>
      </c>
      <c r="CM56" s="45">
        <v>0</v>
      </c>
      <c r="CN56" s="45">
        <v>0</v>
      </c>
      <c r="CO56" s="45">
        <v>375.58044999999998</v>
      </c>
      <c r="CP56" s="45">
        <v>6433.335</v>
      </c>
      <c r="CQ56" s="45">
        <v>0</v>
      </c>
      <c r="CR56" s="45">
        <v>686.22199999999998</v>
      </c>
      <c r="CS56" s="45">
        <v>0</v>
      </c>
      <c r="CT56" s="45">
        <v>608.31299999999999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946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947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948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949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showGridLines="0" zoomScale="55" zoomScaleNormal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8" sqref="O8:O54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590</v>
      </c>
      <c r="C6" s="48" t="s">
        <v>951</v>
      </c>
      <c r="D6" s="48" t="s">
        <v>952</v>
      </c>
      <c r="E6" s="48" t="s">
        <v>953</v>
      </c>
      <c r="F6" s="48" t="s">
        <v>954</v>
      </c>
      <c r="G6" s="48" t="s">
        <v>955</v>
      </c>
      <c r="H6" s="48" t="s">
        <v>956</v>
      </c>
      <c r="I6" s="48"/>
      <c r="J6" s="48" t="s">
        <v>957</v>
      </c>
      <c r="K6" s="48" t="s">
        <v>958</v>
      </c>
      <c r="L6" s="48" t="s">
        <v>959</v>
      </c>
      <c r="M6" s="48" t="s">
        <v>960</v>
      </c>
      <c r="N6" s="48" t="s">
        <v>3445</v>
      </c>
      <c r="O6" s="37" t="s">
        <v>961</v>
      </c>
      <c r="P6" s="1"/>
      <c r="Q6" s="1"/>
      <c r="R6" s="1"/>
      <c r="S6" s="1"/>
      <c r="T6" s="49" t="s">
        <v>3</v>
      </c>
      <c r="U6" s="49" t="s">
        <v>73</v>
      </c>
      <c r="V6" s="49" t="s">
        <v>962</v>
      </c>
      <c r="W6" s="49" t="s">
        <v>963</v>
      </c>
    </row>
    <row r="7" spans="1:23" x14ac:dyDescent="0.3">
      <c r="A7" s="1"/>
      <c r="B7" s="50" t="s">
        <v>808</v>
      </c>
      <c r="C7" s="51">
        <v>1057.4000000000001</v>
      </c>
      <c r="D7" s="51">
        <v>2537.4</v>
      </c>
      <c r="E7" s="51">
        <v>2953.5</v>
      </c>
      <c r="F7" s="51">
        <v>0</v>
      </c>
      <c r="G7" s="51">
        <v>0</v>
      </c>
      <c r="H7" s="51">
        <v>0</v>
      </c>
      <c r="I7" s="51"/>
      <c r="J7" s="51">
        <v>39.4</v>
      </c>
      <c r="K7" s="51">
        <v>2</v>
      </c>
      <c r="L7" s="51">
        <v>0</v>
      </c>
      <c r="M7" s="51">
        <v>79.599999999999994</v>
      </c>
      <c r="N7" s="51">
        <v>34.4</v>
      </c>
      <c r="O7" s="51">
        <f>SUM(C7:N7)</f>
        <v>6703.7</v>
      </c>
      <c r="P7" s="1"/>
      <c r="Q7" s="1"/>
      <c r="R7" s="1"/>
      <c r="S7" s="1"/>
      <c r="T7" s="213" t="s">
        <v>630</v>
      </c>
      <c r="U7" s="52" t="s">
        <v>964</v>
      </c>
      <c r="V7" s="53">
        <v>172.15</v>
      </c>
      <c r="W7" s="53" t="s">
        <v>965</v>
      </c>
    </row>
    <row r="8" spans="1:23" x14ac:dyDescent="0.3">
      <c r="A8" s="1"/>
      <c r="B8" s="54" t="s">
        <v>809</v>
      </c>
      <c r="C8" s="55">
        <v>1047.0999999999999</v>
      </c>
      <c r="D8" s="55">
        <v>2527.5</v>
      </c>
      <c r="E8" s="55">
        <v>2831.8</v>
      </c>
      <c r="F8" s="55">
        <v>0</v>
      </c>
      <c r="G8" s="55">
        <v>0</v>
      </c>
      <c r="H8" s="55">
        <v>0</v>
      </c>
      <c r="I8" s="55"/>
      <c r="J8" s="55">
        <v>39.1</v>
      </c>
      <c r="K8" s="55">
        <v>2</v>
      </c>
      <c r="L8" s="55">
        <v>0</v>
      </c>
      <c r="M8" s="55">
        <v>75.099999999999994</v>
      </c>
      <c r="N8" s="55">
        <v>34.299999999999997</v>
      </c>
      <c r="O8" s="55">
        <f t="shared" ref="O8:O54" si="0">SUM(C8:N8)</f>
        <v>6556.9000000000005</v>
      </c>
      <c r="P8" s="1"/>
      <c r="Q8" s="1"/>
      <c r="R8" s="1"/>
      <c r="S8" s="1"/>
      <c r="T8" s="213" t="s">
        <v>631</v>
      </c>
      <c r="U8" s="52" t="s">
        <v>966</v>
      </c>
      <c r="V8" s="53">
        <v>44.05</v>
      </c>
      <c r="W8" s="53" t="s">
        <v>965</v>
      </c>
    </row>
    <row r="9" spans="1:23" x14ac:dyDescent="0.3">
      <c r="A9" s="1"/>
      <c r="B9" s="54" t="s">
        <v>810</v>
      </c>
      <c r="C9" s="55">
        <v>1027.9000000000001</v>
      </c>
      <c r="D9" s="55">
        <v>2459.9</v>
      </c>
      <c r="E9" s="55">
        <v>2836</v>
      </c>
      <c r="F9" s="55">
        <v>0</v>
      </c>
      <c r="G9" s="55">
        <v>0</v>
      </c>
      <c r="H9" s="55">
        <v>0</v>
      </c>
      <c r="I9" s="55"/>
      <c r="J9" s="55">
        <v>39.5</v>
      </c>
      <c r="K9" s="55">
        <v>2</v>
      </c>
      <c r="L9" s="55">
        <v>0</v>
      </c>
      <c r="M9" s="55">
        <v>72.5</v>
      </c>
      <c r="N9" s="55">
        <v>34.1</v>
      </c>
      <c r="O9" s="55">
        <f t="shared" si="0"/>
        <v>6471.9000000000005</v>
      </c>
      <c r="P9" s="1"/>
      <c r="Q9" s="1"/>
      <c r="R9" s="1"/>
      <c r="S9" s="1"/>
      <c r="T9" s="213" t="s">
        <v>21</v>
      </c>
      <c r="U9" s="52" t="s">
        <v>967</v>
      </c>
      <c r="V9" s="53">
        <v>253.6</v>
      </c>
      <c r="W9" s="53" t="s">
        <v>965</v>
      </c>
    </row>
    <row r="10" spans="1:23" x14ac:dyDescent="0.3">
      <c r="A10" s="1"/>
      <c r="B10" s="54" t="s">
        <v>811</v>
      </c>
      <c r="C10" s="55">
        <v>1045.9000000000001</v>
      </c>
      <c r="D10" s="55">
        <v>2483.3000000000002</v>
      </c>
      <c r="E10" s="55">
        <v>2835.8</v>
      </c>
      <c r="F10" s="55">
        <v>0</v>
      </c>
      <c r="G10" s="55">
        <v>0</v>
      </c>
      <c r="H10" s="55">
        <v>0</v>
      </c>
      <c r="I10" s="55"/>
      <c r="J10" s="55">
        <v>39.6</v>
      </c>
      <c r="K10" s="55">
        <v>2</v>
      </c>
      <c r="L10" s="55">
        <v>0</v>
      </c>
      <c r="M10" s="55">
        <v>67.900000000000006</v>
      </c>
      <c r="N10" s="55">
        <v>33.6</v>
      </c>
      <c r="O10" s="55">
        <f t="shared" si="0"/>
        <v>6508.1</v>
      </c>
      <c r="P10" s="1"/>
      <c r="Q10" s="1"/>
      <c r="R10" s="1"/>
      <c r="S10" s="1"/>
      <c r="T10" s="213" t="s">
        <v>70</v>
      </c>
      <c r="U10" s="52" t="s">
        <v>71</v>
      </c>
      <c r="V10" s="53" t="s">
        <v>965</v>
      </c>
      <c r="W10" s="53">
        <v>3219.35</v>
      </c>
    </row>
    <row r="11" spans="1:23" x14ac:dyDescent="0.3">
      <c r="A11" s="1"/>
      <c r="B11" s="54" t="s">
        <v>812</v>
      </c>
      <c r="C11" s="55">
        <v>1041.9000000000001</v>
      </c>
      <c r="D11" s="55">
        <v>2524.1</v>
      </c>
      <c r="E11" s="55">
        <v>2750.2</v>
      </c>
      <c r="F11" s="55">
        <v>0</v>
      </c>
      <c r="G11" s="55">
        <v>0</v>
      </c>
      <c r="H11" s="55">
        <v>0</v>
      </c>
      <c r="I11" s="55"/>
      <c r="J11" s="55">
        <v>39.4</v>
      </c>
      <c r="K11" s="55">
        <v>2</v>
      </c>
      <c r="L11" s="55">
        <v>0</v>
      </c>
      <c r="M11" s="55">
        <v>80</v>
      </c>
      <c r="N11" s="55">
        <v>34.5</v>
      </c>
      <c r="O11" s="55">
        <f t="shared" si="0"/>
        <v>6472.0999999999995</v>
      </c>
      <c r="P11" s="1"/>
      <c r="Q11" s="1"/>
      <c r="R11" s="1"/>
      <c r="S11" s="1"/>
      <c r="T11" s="213" t="s">
        <v>608</v>
      </c>
      <c r="U11" s="52" t="s">
        <v>968</v>
      </c>
      <c r="V11" s="53">
        <v>451.2</v>
      </c>
      <c r="W11" s="53" t="s">
        <v>965</v>
      </c>
    </row>
    <row r="12" spans="1:23" x14ac:dyDescent="0.3">
      <c r="A12" s="1"/>
      <c r="B12" s="54" t="s">
        <v>813</v>
      </c>
      <c r="C12" s="55">
        <v>1047</v>
      </c>
      <c r="D12" s="55">
        <v>2394.1999999999998</v>
      </c>
      <c r="E12" s="55">
        <v>2819.7</v>
      </c>
      <c r="F12" s="55">
        <v>0</v>
      </c>
      <c r="G12" s="55">
        <v>0</v>
      </c>
      <c r="H12" s="55">
        <v>0</v>
      </c>
      <c r="I12" s="55"/>
      <c r="J12" s="55">
        <v>39.6</v>
      </c>
      <c r="K12" s="55">
        <v>2</v>
      </c>
      <c r="L12" s="55">
        <v>0</v>
      </c>
      <c r="M12" s="55">
        <v>87.9</v>
      </c>
      <c r="N12" s="55">
        <v>34.4</v>
      </c>
      <c r="O12" s="55">
        <f t="shared" si="0"/>
        <v>6424.7999999999993</v>
      </c>
      <c r="P12" s="1"/>
      <c r="Q12" s="1"/>
      <c r="R12" s="1"/>
      <c r="S12" s="1"/>
      <c r="T12" s="213" t="s">
        <v>606</v>
      </c>
      <c r="U12" s="52" t="s">
        <v>969</v>
      </c>
      <c r="V12" s="53" t="s">
        <v>965</v>
      </c>
      <c r="W12" s="53">
        <v>2121.4</v>
      </c>
    </row>
    <row r="13" spans="1:23" x14ac:dyDescent="0.3">
      <c r="A13" s="1"/>
      <c r="B13" s="54" t="s">
        <v>814</v>
      </c>
      <c r="C13" s="55">
        <v>1052.2</v>
      </c>
      <c r="D13" s="55">
        <v>2388.5</v>
      </c>
      <c r="E13" s="55">
        <v>2825.9</v>
      </c>
      <c r="F13" s="55">
        <v>0</v>
      </c>
      <c r="G13" s="55">
        <v>0</v>
      </c>
      <c r="H13" s="55">
        <v>0</v>
      </c>
      <c r="I13" s="55"/>
      <c r="J13" s="55">
        <v>39</v>
      </c>
      <c r="K13" s="55">
        <v>2</v>
      </c>
      <c r="L13" s="55">
        <v>0</v>
      </c>
      <c r="M13" s="55">
        <v>75.2</v>
      </c>
      <c r="N13" s="55">
        <v>33.9</v>
      </c>
      <c r="O13" s="55">
        <f t="shared" si="0"/>
        <v>6416.7</v>
      </c>
      <c r="P13" s="1"/>
      <c r="Q13" s="1"/>
      <c r="R13" s="1"/>
      <c r="S13" s="1"/>
      <c r="T13" s="213"/>
      <c r="U13" s="52" t="s">
        <v>970</v>
      </c>
      <c r="V13" s="53">
        <v>959.5</v>
      </c>
      <c r="W13" s="53" t="s">
        <v>965</v>
      </c>
    </row>
    <row r="14" spans="1:23" x14ac:dyDescent="0.3">
      <c r="A14" s="1"/>
      <c r="B14" s="56" t="s">
        <v>815</v>
      </c>
      <c r="C14" s="57">
        <v>1053.0999999999999</v>
      </c>
      <c r="D14" s="57">
        <v>2330.6</v>
      </c>
      <c r="E14" s="57">
        <v>2849.8</v>
      </c>
      <c r="F14" s="57">
        <v>0</v>
      </c>
      <c r="G14" s="57">
        <v>0</v>
      </c>
      <c r="H14" s="57">
        <v>0</v>
      </c>
      <c r="I14" s="57"/>
      <c r="J14" s="57">
        <v>38.9</v>
      </c>
      <c r="K14" s="57">
        <v>2</v>
      </c>
      <c r="L14" s="57">
        <v>0</v>
      </c>
      <c r="M14" s="57">
        <v>82.6</v>
      </c>
      <c r="N14" s="57">
        <v>34.700000000000003</v>
      </c>
      <c r="O14" s="57">
        <f t="shared" si="0"/>
        <v>6391.7</v>
      </c>
      <c r="P14" s="1"/>
      <c r="Q14" s="1"/>
      <c r="R14" s="1"/>
      <c r="S14" s="1"/>
      <c r="T14" s="213" t="s">
        <v>75</v>
      </c>
      <c r="U14" s="52" t="s">
        <v>971</v>
      </c>
      <c r="V14" s="53">
        <v>160.94999999999999</v>
      </c>
      <c r="W14" s="53" t="s">
        <v>965</v>
      </c>
    </row>
    <row r="15" spans="1:23" x14ac:dyDescent="0.3">
      <c r="A15" s="1"/>
      <c r="B15" s="50" t="s">
        <v>816</v>
      </c>
      <c r="C15" s="51">
        <v>1053.7</v>
      </c>
      <c r="D15" s="51">
        <v>2263.3000000000002</v>
      </c>
      <c r="E15" s="51">
        <v>2868.1</v>
      </c>
      <c r="F15" s="51">
        <v>0</v>
      </c>
      <c r="G15" s="51">
        <v>0</v>
      </c>
      <c r="H15" s="51">
        <v>0</v>
      </c>
      <c r="I15" s="51"/>
      <c r="J15" s="51">
        <v>39</v>
      </c>
      <c r="K15" s="51">
        <v>2</v>
      </c>
      <c r="L15" s="51">
        <v>0</v>
      </c>
      <c r="M15" s="51">
        <v>87.9</v>
      </c>
      <c r="N15" s="51">
        <v>34.5</v>
      </c>
      <c r="O15" s="51">
        <f t="shared" si="0"/>
        <v>6348.5</v>
      </c>
      <c r="P15" s="1"/>
      <c r="Q15" s="1"/>
      <c r="R15" s="1"/>
      <c r="S15" s="1"/>
      <c r="T15" s="213"/>
      <c r="U15" s="52" t="s">
        <v>972</v>
      </c>
      <c r="V15" s="53" t="s">
        <v>965</v>
      </c>
      <c r="W15" s="53">
        <v>1932.8</v>
      </c>
    </row>
    <row r="16" spans="1:23" x14ac:dyDescent="0.3">
      <c r="A16" s="1"/>
      <c r="B16" s="54" t="s">
        <v>817</v>
      </c>
      <c r="C16" s="55">
        <v>1038.5999999999999</v>
      </c>
      <c r="D16" s="55">
        <v>2243.6</v>
      </c>
      <c r="E16" s="55">
        <v>2860.6</v>
      </c>
      <c r="F16" s="55">
        <v>0</v>
      </c>
      <c r="G16" s="55">
        <v>0</v>
      </c>
      <c r="H16" s="55">
        <v>0</v>
      </c>
      <c r="I16" s="55"/>
      <c r="J16" s="55">
        <v>39.1</v>
      </c>
      <c r="K16" s="55">
        <v>2</v>
      </c>
      <c r="L16" s="55">
        <v>0</v>
      </c>
      <c r="M16" s="55">
        <v>94.4</v>
      </c>
      <c r="N16" s="55">
        <v>34.6</v>
      </c>
      <c r="O16" s="55">
        <f t="shared" si="0"/>
        <v>6312.9</v>
      </c>
      <c r="P16" s="1"/>
      <c r="Q16" s="1"/>
      <c r="R16" s="1"/>
      <c r="S16" s="1"/>
      <c r="T16" s="213" t="s">
        <v>634</v>
      </c>
      <c r="U16" s="52" t="s">
        <v>973</v>
      </c>
      <c r="V16" s="53">
        <v>343.1</v>
      </c>
      <c r="W16" s="53" t="s">
        <v>965</v>
      </c>
    </row>
    <row r="17" spans="1:23" x14ac:dyDescent="0.3">
      <c r="A17" s="1"/>
      <c r="B17" s="54" t="s">
        <v>818</v>
      </c>
      <c r="C17" s="55">
        <v>1026.2</v>
      </c>
      <c r="D17" s="55">
        <v>2353.6999999999998</v>
      </c>
      <c r="E17" s="55">
        <v>2912.2</v>
      </c>
      <c r="F17" s="55">
        <v>0</v>
      </c>
      <c r="G17" s="55">
        <v>0</v>
      </c>
      <c r="H17" s="55">
        <v>0</v>
      </c>
      <c r="I17" s="55"/>
      <c r="J17" s="55">
        <v>38.4</v>
      </c>
      <c r="K17" s="55">
        <v>2</v>
      </c>
      <c r="L17" s="55">
        <v>0</v>
      </c>
      <c r="M17" s="55">
        <v>112</v>
      </c>
      <c r="N17" s="55">
        <v>34.4</v>
      </c>
      <c r="O17" s="55">
        <f t="shared" si="0"/>
        <v>6478.8999999999987</v>
      </c>
      <c r="P17" s="1"/>
      <c r="Q17" s="1"/>
      <c r="R17" s="1"/>
      <c r="S17" s="1"/>
      <c r="T17" s="213"/>
      <c r="U17" s="52" t="s">
        <v>974</v>
      </c>
      <c r="V17" s="53">
        <v>198.2</v>
      </c>
      <c r="W17" s="53" t="s">
        <v>965</v>
      </c>
    </row>
    <row r="18" spans="1:23" x14ac:dyDescent="0.3">
      <c r="A18" s="1"/>
      <c r="B18" s="54" t="s">
        <v>819</v>
      </c>
      <c r="C18" s="55">
        <v>1063.5</v>
      </c>
      <c r="D18" s="55">
        <v>2558.5</v>
      </c>
      <c r="E18" s="55">
        <v>2888.9</v>
      </c>
      <c r="F18" s="55">
        <v>0</v>
      </c>
      <c r="G18" s="55">
        <v>0</v>
      </c>
      <c r="H18" s="55">
        <v>0</v>
      </c>
      <c r="I18" s="55"/>
      <c r="J18" s="55">
        <v>36.5</v>
      </c>
      <c r="K18" s="55">
        <v>2</v>
      </c>
      <c r="L18" s="55">
        <v>1.2</v>
      </c>
      <c r="M18" s="55">
        <v>122.5</v>
      </c>
      <c r="N18" s="55">
        <v>34.5</v>
      </c>
      <c r="O18" s="55">
        <f t="shared" si="0"/>
        <v>6707.5999999999995</v>
      </c>
      <c r="P18" s="1"/>
      <c r="Q18" s="1"/>
      <c r="R18" s="1"/>
      <c r="S18" s="1"/>
      <c r="T18" s="213"/>
      <c r="U18" s="52" t="s">
        <v>975</v>
      </c>
      <c r="V18" s="53">
        <v>289.89999999999998</v>
      </c>
      <c r="W18" s="53" t="s">
        <v>965</v>
      </c>
    </row>
    <row r="19" spans="1:23" x14ac:dyDescent="0.3">
      <c r="A19" s="1"/>
      <c r="B19" s="54" t="s">
        <v>820</v>
      </c>
      <c r="C19" s="55">
        <v>1066.8</v>
      </c>
      <c r="D19" s="55">
        <v>2659.3</v>
      </c>
      <c r="E19" s="55">
        <v>2888.8</v>
      </c>
      <c r="F19" s="55">
        <v>0</v>
      </c>
      <c r="G19" s="55">
        <v>0</v>
      </c>
      <c r="H19" s="55">
        <v>0</v>
      </c>
      <c r="I19" s="55"/>
      <c r="J19" s="55">
        <v>34</v>
      </c>
      <c r="K19" s="55">
        <v>2</v>
      </c>
      <c r="L19" s="55">
        <v>29.6</v>
      </c>
      <c r="M19" s="55">
        <v>135.6</v>
      </c>
      <c r="N19" s="55">
        <v>34.4</v>
      </c>
      <c r="O19" s="55">
        <f t="shared" si="0"/>
        <v>6850.5000000000009</v>
      </c>
      <c r="P19" s="1"/>
      <c r="Q19" s="1"/>
      <c r="R19" s="1"/>
      <c r="S19" s="1"/>
      <c r="T19" s="213"/>
      <c r="U19" s="52" t="s">
        <v>976</v>
      </c>
      <c r="V19" s="53">
        <v>117.7</v>
      </c>
      <c r="W19" s="53" t="s">
        <v>965</v>
      </c>
    </row>
    <row r="20" spans="1:23" x14ac:dyDescent="0.3">
      <c r="A20" s="1"/>
      <c r="B20" s="54" t="s">
        <v>821</v>
      </c>
      <c r="C20" s="55">
        <v>1071.4000000000001</v>
      </c>
      <c r="D20" s="55">
        <v>2380.5</v>
      </c>
      <c r="E20" s="55">
        <v>2919.9</v>
      </c>
      <c r="F20" s="55">
        <v>8.5</v>
      </c>
      <c r="G20" s="55">
        <v>0</v>
      </c>
      <c r="H20" s="55">
        <v>0</v>
      </c>
      <c r="I20" s="55"/>
      <c r="J20" s="55">
        <v>35.299999999999997</v>
      </c>
      <c r="K20" s="55">
        <v>2</v>
      </c>
      <c r="L20" s="55">
        <v>245.9</v>
      </c>
      <c r="M20" s="55">
        <v>148.1</v>
      </c>
      <c r="N20" s="55">
        <v>34.4</v>
      </c>
      <c r="O20" s="55">
        <f t="shared" si="0"/>
        <v>6846</v>
      </c>
      <c r="P20" s="1"/>
      <c r="Q20" s="1"/>
      <c r="R20" s="1"/>
      <c r="S20" s="1"/>
      <c r="T20" s="213" t="s">
        <v>602</v>
      </c>
      <c r="U20" s="52" t="s">
        <v>977</v>
      </c>
      <c r="V20" s="53">
        <v>3945.45</v>
      </c>
      <c r="W20" s="53" t="s">
        <v>965</v>
      </c>
    </row>
    <row r="21" spans="1:23" x14ac:dyDescent="0.3">
      <c r="A21" s="1"/>
      <c r="B21" s="54" t="s">
        <v>822</v>
      </c>
      <c r="C21" s="55">
        <v>1068.2</v>
      </c>
      <c r="D21" s="55">
        <v>2329.4</v>
      </c>
      <c r="E21" s="55">
        <v>2909</v>
      </c>
      <c r="F21" s="55">
        <v>44.7</v>
      </c>
      <c r="G21" s="55">
        <v>0</v>
      </c>
      <c r="H21" s="55">
        <v>0</v>
      </c>
      <c r="I21" s="55"/>
      <c r="J21" s="55">
        <v>35</v>
      </c>
      <c r="K21" s="55">
        <v>2</v>
      </c>
      <c r="L21" s="55">
        <v>496.7</v>
      </c>
      <c r="M21" s="55">
        <v>159.19999999999999</v>
      </c>
      <c r="N21" s="55">
        <v>34.5</v>
      </c>
      <c r="O21" s="55">
        <f t="shared" si="0"/>
        <v>7078.7</v>
      </c>
      <c r="P21" s="1"/>
      <c r="Q21" s="1"/>
      <c r="R21" s="1"/>
      <c r="S21" s="1"/>
      <c r="T21" s="213" t="s">
        <v>28</v>
      </c>
      <c r="U21" s="52" t="s">
        <v>978</v>
      </c>
      <c r="V21" s="53" t="s">
        <v>965</v>
      </c>
      <c r="W21" s="53">
        <v>183</v>
      </c>
    </row>
    <row r="22" spans="1:23" x14ac:dyDescent="0.3">
      <c r="A22" s="1"/>
      <c r="B22" s="56" t="s">
        <v>823</v>
      </c>
      <c r="C22" s="57">
        <v>1038</v>
      </c>
      <c r="D22" s="57">
        <v>2162</v>
      </c>
      <c r="E22" s="57">
        <v>2829.4</v>
      </c>
      <c r="F22" s="57">
        <v>45.4</v>
      </c>
      <c r="G22" s="57">
        <v>0</v>
      </c>
      <c r="H22" s="57">
        <v>0</v>
      </c>
      <c r="I22" s="57"/>
      <c r="J22" s="57">
        <v>35.5</v>
      </c>
      <c r="K22" s="57">
        <v>2</v>
      </c>
      <c r="L22" s="57">
        <v>727.9</v>
      </c>
      <c r="M22" s="57">
        <v>155</v>
      </c>
      <c r="N22" s="57">
        <v>34.5</v>
      </c>
      <c r="O22" s="57">
        <f t="shared" si="0"/>
        <v>7029.6999999999989</v>
      </c>
      <c r="P22" s="1"/>
      <c r="Q22" s="1"/>
      <c r="R22" s="1"/>
      <c r="S22" s="1"/>
      <c r="T22" s="213"/>
      <c r="U22" s="52" t="s">
        <v>979</v>
      </c>
      <c r="V22" s="53" t="s">
        <v>965</v>
      </c>
      <c r="W22" s="53">
        <v>128.35</v>
      </c>
    </row>
    <row r="23" spans="1:23" x14ac:dyDescent="0.3">
      <c r="A23" s="1"/>
      <c r="B23" s="50" t="s">
        <v>824</v>
      </c>
      <c r="C23" s="51">
        <v>1047.2</v>
      </c>
      <c r="D23" s="51">
        <v>2406.1</v>
      </c>
      <c r="E23" s="51">
        <v>2915</v>
      </c>
      <c r="F23" s="51">
        <v>45.7</v>
      </c>
      <c r="G23" s="51">
        <v>0</v>
      </c>
      <c r="H23" s="51">
        <v>0</v>
      </c>
      <c r="I23" s="51"/>
      <c r="J23" s="51">
        <v>35.200000000000003</v>
      </c>
      <c r="K23" s="51">
        <v>2</v>
      </c>
      <c r="L23" s="51">
        <v>758.3</v>
      </c>
      <c r="M23" s="51">
        <v>151.30000000000001</v>
      </c>
      <c r="N23" s="51">
        <v>34.299999999999997</v>
      </c>
      <c r="O23" s="51">
        <f t="shared" si="0"/>
        <v>7395.1</v>
      </c>
      <c r="P23" s="1"/>
      <c r="Q23" s="1"/>
      <c r="R23" s="1"/>
      <c r="S23" s="1"/>
      <c r="T23" s="213" t="s">
        <v>629</v>
      </c>
      <c r="U23" s="52" t="s">
        <v>980</v>
      </c>
      <c r="V23" s="53">
        <v>68.650000000000006</v>
      </c>
      <c r="W23" s="53" t="s">
        <v>965</v>
      </c>
    </row>
    <row r="24" spans="1:23" x14ac:dyDescent="0.3">
      <c r="A24" s="1"/>
      <c r="B24" s="54" t="s">
        <v>825</v>
      </c>
      <c r="C24" s="55">
        <v>1051.5999999999999</v>
      </c>
      <c r="D24" s="55">
        <v>2421</v>
      </c>
      <c r="E24" s="55">
        <v>2873.5</v>
      </c>
      <c r="F24" s="55">
        <v>45.2</v>
      </c>
      <c r="G24" s="55">
        <v>0</v>
      </c>
      <c r="H24" s="55">
        <v>0</v>
      </c>
      <c r="I24" s="55"/>
      <c r="J24" s="55">
        <v>36.200000000000003</v>
      </c>
      <c r="K24" s="55">
        <v>2</v>
      </c>
      <c r="L24" s="55">
        <v>787.7</v>
      </c>
      <c r="M24" s="55">
        <v>162.9</v>
      </c>
      <c r="N24" s="55">
        <v>34.5</v>
      </c>
      <c r="O24" s="55">
        <f t="shared" si="0"/>
        <v>7414.5999999999995</v>
      </c>
      <c r="P24" s="1"/>
      <c r="Q24" s="1"/>
      <c r="R24" s="1"/>
      <c r="S24" s="1"/>
      <c r="T24" s="213" t="s">
        <v>80</v>
      </c>
      <c r="U24" s="52" t="s">
        <v>81</v>
      </c>
      <c r="V24" s="53" t="s">
        <v>965</v>
      </c>
      <c r="W24" s="53">
        <v>15051</v>
      </c>
    </row>
    <row r="25" spans="1:23" x14ac:dyDescent="0.3">
      <c r="A25" s="1"/>
      <c r="B25" s="54" t="s">
        <v>826</v>
      </c>
      <c r="C25" s="55">
        <v>1043.5999999999999</v>
      </c>
      <c r="D25" s="55">
        <v>2611.3000000000002</v>
      </c>
      <c r="E25" s="55">
        <v>2917.2</v>
      </c>
      <c r="F25" s="55">
        <v>45.2</v>
      </c>
      <c r="G25" s="55">
        <v>0</v>
      </c>
      <c r="H25" s="55">
        <v>0</v>
      </c>
      <c r="I25" s="55"/>
      <c r="J25" s="55">
        <v>37</v>
      </c>
      <c r="K25" s="55">
        <v>2</v>
      </c>
      <c r="L25" s="55">
        <v>812.4</v>
      </c>
      <c r="M25" s="55">
        <v>171</v>
      </c>
      <c r="N25" s="55">
        <v>34.1</v>
      </c>
      <c r="O25" s="55">
        <f t="shared" si="0"/>
        <v>7673.8</v>
      </c>
      <c r="P25" s="1"/>
      <c r="Q25" s="1"/>
      <c r="R25" s="1"/>
      <c r="S25" s="1"/>
      <c r="T25" s="213"/>
      <c r="U25" s="52" t="s">
        <v>981</v>
      </c>
      <c r="V25" s="53">
        <v>5012.6499999999996</v>
      </c>
      <c r="W25" s="53" t="s">
        <v>965</v>
      </c>
    </row>
    <row r="26" spans="1:23" x14ac:dyDescent="0.3">
      <c r="A26" s="1"/>
      <c r="B26" s="54" t="s">
        <v>827</v>
      </c>
      <c r="C26" s="55">
        <v>1032.4000000000001</v>
      </c>
      <c r="D26" s="55">
        <v>2659.6</v>
      </c>
      <c r="E26" s="55">
        <v>2854.6</v>
      </c>
      <c r="F26" s="55">
        <v>45.3</v>
      </c>
      <c r="G26" s="55">
        <v>0</v>
      </c>
      <c r="H26" s="55">
        <v>0</v>
      </c>
      <c r="I26" s="55"/>
      <c r="J26" s="55">
        <v>39.299999999999997</v>
      </c>
      <c r="K26" s="55">
        <v>2</v>
      </c>
      <c r="L26" s="55">
        <v>819.3</v>
      </c>
      <c r="M26" s="55">
        <v>192.9</v>
      </c>
      <c r="N26" s="55">
        <v>34</v>
      </c>
      <c r="O26" s="55">
        <f t="shared" si="0"/>
        <v>7679.4000000000005</v>
      </c>
      <c r="P26" s="1"/>
      <c r="Q26" s="1"/>
      <c r="R26" s="1"/>
      <c r="S26" s="1"/>
      <c r="T26" s="213" t="s">
        <v>278</v>
      </c>
      <c r="U26" s="52" t="s">
        <v>982</v>
      </c>
      <c r="V26" s="53">
        <v>61.15</v>
      </c>
      <c r="W26" s="53" t="s">
        <v>965</v>
      </c>
    </row>
    <row r="27" spans="1:23" x14ac:dyDescent="0.3">
      <c r="A27" s="1"/>
      <c r="B27" s="54" t="s">
        <v>828</v>
      </c>
      <c r="C27" s="55">
        <v>1046.3</v>
      </c>
      <c r="D27" s="55">
        <v>2789</v>
      </c>
      <c r="E27" s="55">
        <v>2796.7</v>
      </c>
      <c r="F27" s="55">
        <v>44.7</v>
      </c>
      <c r="G27" s="55">
        <v>0</v>
      </c>
      <c r="H27" s="55">
        <v>0</v>
      </c>
      <c r="I27" s="55"/>
      <c r="J27" s="55">
        <v>39.1</v>
      </c>
      <c r="K27" s="55">
        <v>2</v>
      </c>
      <c r="L27" s="55">
        <v>818.4</v>
      </c>
      <c r="M27" s="55">
        <v>200.6</v>
      </c>
      <c r="N27" s="55">
        <v>34.200000000000003</v>
      </c>
      <c r="O27" s="55">
        <f t="shared" si="0"/>
        <v>7771</v>
      </c>
      <c r="P27" s="1"/>
      <c r="Q27" s="1"/>
      <c r="R27" s="1"/>
      <c r="S27" s="1"/>
      <c r="T27" s="213" t="s">
        <v>620</v>
      </c>
      <c r="U27" s="52" t="s">
        <v>983</v>
      </c>
      <c r="V27" s="53">
        <v>489.4</v>
      </c>
      <c r="W27" s="53" t="s">
        <v>965</v>
      </c>
    </row>
    <row r="28" spans="1:23" x14ac:dyDescent="0.3">
      <c r="A28" s="1"/>
      <c r="B28" s="54" t="s">
        <v>829</v>
      </c>
      <c r="C28" s="55">
        <v>1042.5999999999999</v>
      </c>
      <c r="D28" s="55">
        <v>2810.2</v>
      </c>
      <c r="E28" s="55">
        <v>2804.5</v>
      </c>
      <c r="F28" s="55">
        <v>44.4</v>
      </c>
      <c r="G28" s="55">
        <v>0</v>
      </c>
      <c r="H28" s="55">
        <v>0</v>
      </c>
      <c r="I28" s="55"/>
      <c r="J28" s="55">
        <v>39.700000000000003</v>
      </c>
      <c r="K28" s="55">
        <v>2</v>
      </c>
      <c r="L28" s="55">
        <v>817.4</v>
      </c>
      <c r="M28" s="55">
        <v>217.3</v>
      </c>
      <c r="N28" s="55">
        <v>33.799999999999997</v>
      </c>
      <c r="O28" s="55">
        <f t="shared" si="0"/>
        <v>7811.8999999999987</v>
      </c>
      <c r="P28" s="1"/>
      <c r="Q28" s="1"/>
      <c r="R28" s="1"/>
      <c r="S28" s="1"/>
      <c r="T28" s="213" t="s">
        <v>83</v>
      </c>
      <c r="U28" s="52" t="s">
        <v>84</v>
      </c>
      <c r="V28" s="53" t="s">
        <v>965</v>
      </c>
      <c r="W28" s="53">
        <v>5419.75</v>
      </c>
    </row>
    <row r="29" spans="1:23" x14ac:dyDescent="0.3">
      <c r="A29" s="1"/>
      <c r="B29" s="54" t="s">
        <v>830</v>
      </c>
      <c r="C29" s="55">
        <v>1043.5</v>
      </c>
      <c r="D29" s="55">
        <v>2795.7</v>
      </c>
      <c r="E29" s="55">
        <v>2787.8</v>
      </c>
      <c r="F29" s="55">
        <v>83.9</v>
      </c>
      <c r="G29" s="55">
        <v>0</v>
      </c>
      <c r="H29" s="55">
        <v>0</v>
      </c>
      <c r="I29" s="55"/>
      <c r="J29" s="55">
        <v>40.1</v>
      </c>
      <c r="K29" s="55">
        <v>2</v>
      </c>
      <c r="L29" s="55">
        <v>820.6</v>
      </c>
      <c r="M29" s="55">
        <v>242.8</v>
      </c>
      <c r="N29" s="55">
        <v>33.799999999999997</v>
      </c>
      <c r="O29" s="55">
        <f t="shared" si="0"/>
        <v>7850.2000000000007</v>
      </c>
      <c r="P29" s="1"/>
      <c r="Q29" s="1"/>
      <c r="R29" s="1"/>
      <c r="S29" s="1"/>
      <c r="T29" s="213"/>
      <c r="U29" s="52" t="s">
        <v>984</v>
      </c>
      <c r="V29" s="53">
        <v>155.94999999999999</v>
      </c>
      <c r="W29" s="53" t="s">
        <v>965</v>
      </c>
    </row>
    <row r="30" spans="1:23" x14ac:dyDescent="0.3">
      <c r="A30" s="1"/>
      <c r="B30" s="56" t="s">
        <v>831</v>
      </c>
      <c r="C30" s="57">
        <v>1032.2</v>
      </c>
      <c r="D30" s="57">
        <v>2854.8</v>
      </c>
      <c r="E30" s="57">
        <v>2792.3</v>
      </c>
      <c r="F30" s="57">
        <v>84</v>
      </c>
      <c r="G30" s="57">
        <v>0</v>
      </c>
      <c r="H30" s="57">
        <v>0</v>
      </c>
      <c r="I30" s="57"/>
      <c r="J30" s="57">
        <v>39.6</v>
      </c>
      <c r="K30" s="57">
        <v>2</v>
      </c>
      <c r="L30" s="57">
        <v>827.4</v>
      </c>
      <c r="M30" s="57">
        <v>279.3</v>
      </c>
      <c r="N30" s="57">
        <v>34</v>
      </c>
      <c r="O30" s="57">
        <f t="shared" si="0"/>
        <v>7945.6</v>
      </c>
      <c r="P30" s="1"/>
      <c r="Q30" s="1"/>
      <c r="R30" s="1"/>
      <c r="S30" s="1"/>
      <c r="T30" s="213" t="s">
        <v>286</v>
      </c>
      <c r="U30" s="52" t="s">
        <v>985</v>
      </c>
      <c r="V30" s="53" t="s">
        <v>965</v>
      </c>
      <c r="W30" s="53">
        <v>670.45</v>
      </c>
    </row>
    <row r="31" spans="1:23" x14ac:dyDescent="0.3">
      <c r="A31" s="1"/>
      <c r="B31" s="50" t="s">
        <v>832</v>
      </c>
      <c r="C31" s="51">
        <v>1032.9000000000001</v>
      </c>
      <c r="D31" s="51">
        <v>2746.8</v>
      </c>
      <c r="E31" s="51">
        <v>2786.1</v>
      </c>
      <c r="F31" s="51">
        <v>83.7</v>
      </c>
      <c r="G31" s="51">
        <v>0</v>
      </c>
      <c r="H31" s="51">
        <v>0</v>
      </c>
      <c r="I31" s="51"/>
      <c r="J31" s="51">
        <v>38.799999999999997</v>
      </c>
      <c r="K31" s="51">
        <v>2</v>
      </c>
      <c r="L31" s="51">
        <v>838.3</v>
      </c>
      <c r="M31" s="51">
        <v>336.2</v>
      </c>
      <c r="N31" s="51">
        <v>33.700000000000003</v>
      </c>
      <c r="O31" s="51">
        <f t="shared" si="0"/>
        <v>7898.5</v>
      </c>
      <c r="P31" s="1"/>
      <c r="Q31" s="1"/>
      <c r="R31" s="1"/>
      <c r="S31" s="1"/>
      <c r="T31" s="213" t="s">
        <v>621</v>
      </c>
      <c r="U31" s="52" t="s">
        <v>986</v>
      </c>
      <c r="V31" s="53">
        <v>233.5</v>
      </c>
      <c r="W31" s="53" t="s">
        <v>965</v>
      </c>
    </row>
    <row r="32" spans="1:23" x14ac:dyDescent="0.3">
      <c r="A32" s="1"/>
      <c r="B32" s="54" t="s">
        <v>833</v>
      </c>
      <c r="C32" s="55">
        <v>1033.0999999999999</v>
      </c>
      <c r="D32" s="55">
        <v>2473.6</v>
      </c>
      <c r="E32" s="55">
        <v>2866.6</v>
      </c>
      <c r="F32" s="55">
        <v>83.6</v>
      </c>
      <c r="G32" s="55">
        <v>0</v>
      </c>
      <c r="H32" s="55">
        <v>0</v>
      </c>
      <c r="I32" s="55"/>
      <c r="J32" s="55">
        <v>38.799999999999997</v>
      </c>
      <c r="K32" s="55">
        <v>2</v>
      </c>
      <c r="L32" s="55">
        <v>845.1</v>
      </c>
      <c r="M32" s="55">
        <v>396.3</v>
      </c>
      <c r="N32" s="55">
        <v>33.299999999999997</v>
      </c>
      <c r="O32" s="55">
        <f t="shared" si="0"/>
        <v>7772.4000000000005</v>
      </c>
      <c r="P32" s="1"/>
      <c r="Q32" s="1"/>
      <c r="R32" s="1"/>
      <c r="S32" s="1"/>
      <c r="T32" s="213" t="s">
        <v>622</v>
      </c>
      <c r="U32" s="52" t="s">
        <v>987</v>
      </c>
      <c r="V32" s="53">
        <v>162.85</v>
      </c>
      <c r="W32" s="53" t="s">
        <v>965</v>
      </c>
    </row>
    <row r="33" spans="1:23" x14ac:dyDescent="0.3">
      <c r="A33" s="1"/>
      <c r="B33" s="54" t="s">
        <v>834</v>
      </c>
      <c r="C33" s="55">
        <v>1029.4000000000001</v>
      </c>
      <c r="D33" s="55">
        <v>2413.6999999999998</v>
      </c>
      <c r="E33" s="55">
        <v>2859.1</v>
      </c>
      <c r="F33" s="55">
        <v>83.7</v>
      </c>
      <c r="G33" s="55">
        <v>52.3</v>
      </c>
      <c r="H33" s="55">
        <v>0</v>
      </c>
      <c r="I33" s="55"/>
      <c r="J33" s="55">
        <v>38.9</v>
      </c>
      <c r="K33" s="55">
        <v>2</v>
      </c>
      <c r="L33" s="55">
        <v>843.7</v>
      </c>
      <c r="M33" s="55">
        <v>417.6</v>
      </c>
      <c r="N33" s="55">
        <v>33.9</v>
      </c>
      <c r="O33" s="55">
        <f t="shared" si="0"/>
        <v>7774.2999999999993</v>
      </c>
      <c r="P33" s="1"/>
      <c r="Q33" s="1"/>
      <c r="R33" s="1"/>
      <c r="S33" s="1"/>
      <c r="T33" s="213" t="s">
        <v>93</v>
      </c>
      <c r="U33" s="52" t="s">
        <v>988</v>
      </c>
      <c r="V33" s="53" t="s">
        <v>965</v>
      </c>
      <c r="W33" s="53">
        <v>317.39999999999998</v>
      </c>
    </row>
    <row r="34" spans="1:23" x14ac:dyDescent="0.3">
      <c r="A34" s="1"/>
      <c r="B34" s="54" t="s">
        <v>835</v>
      </c>
      <c r="C34" s="55">
        <v>1045.4000000000001</v>
      </c>
      <c r="D34" s="55">
        <v>2454.1</v>
      </c>
      <c r="E34" s="55">
        <v>2822.5</v>
      </c>
      <c r="F34" s="55">
        <v>43.7</v>
      </c>
      <c r="G34" s="55">
        <v>80.7</v>
      </c>
      <c r="H34" s="55">
        <v>64</v>
      </c>
      <c r="I34" s="55"/>
      <c r="J34" s="55">
        <v>37.5</v>
      </c>
      <c r="K34" s="55">
        <v>2</v>
      </c>
      <c r="L34" s="55">
        <v>840.6</v>
      </c>
      <c r="M34" s="55">
        <v>417.4</v>
      </c>
      <c r="N34" s="55">
        <v>34.200000000000003</v>
      </c>
      <c r="O34" s="55">
        <f t="shared" si="0"/>
        <v>7842.0999999999995</v>
      </c>
      <c r="P34" s="1"/>
      <c r="Q34" s="1"/>
      <c r="R34" s="1"/>
      <c r="S34" s="1"/>
      <c r="T34" s="213"/>
      <c r="U34" s="52" t="s">
        <v>989</v>
      </c>
      <c r="V34" s="53" t="s">
        <v>965</v>
      </c>
      <c r="W34" s="53">
        <v>2885.6</v>
      </c>
    </row>
    <row r="35" spans="1:23" x14ac:dyDescent="0.3">
      <c r="A35" s="1"/>
      <c r="B35" s="54" t="s">
        <v>836</v>
      </c>
      <c r="C35" s="55">
        <v>1031.7</v>
      </c>
      <c r="D35" s="55">
        <v>2412</v>
      </c>
      <c r="E35" s="55">
        <v>2896</v>
      </c>
      <c r="F35" s="55">
        <v>43.6</v>
      </c>
      <c r="G35" s="55">
        <v>80.599999999999994</v>
      </c>
      <c r="H35" s="55">
        <v>107.3</v>
      </c>
      <c r="I35" s="55"/>
      <c r="J35" s="55">
        <v>36.700000000000003</v>
      </c>
      <c r="K35" s="55">
        <v>2</v>
      </c>
      <c r="L35" s="55">
        <v>836</v>
      </c>
      <c r="M35" s="55">
        <v>416.4</v>
      </c>
      <c r="N35" s="55">
        <v>34.200000000000003</v>
      </c>
      <c r="O35" s="55">
        <f t="shared" si="0"/>
        <v>7896.5</v>
      </c>
      <c r="P35" s="1"/>
      <c r="Q35" s="1"/>
      <c r="R35" s="1"/>
      <c r="S35" s="1"/>
      <c r="T35" s="213" t="s">
        <v>636</v>
      </c>
      <c r="U35" s="52" t="s">
        <v>990</v>
      </c>
      <c r="V35" s="53">
        <v>241.9</v>
      </c>
      <c r="W35" s="53" t="s">
        <v>965</v>
      </c>
    </row>
    <row r="36" spans="1:23" x14ac:dyDescent="0.3">
      <c r="A36" s="1"/>
      <c r="B36" s="54" t="s">
        <v>837</v>
      </c>
      <c r="C36" s="55">
        <v>1032.3</v>
      </c>
      <c r="D36" s="55">
        <v>2484.9</v>
      </c>
      <c r="E36" s="55">
        <v>2904.7</v>
      </c>
      <c r="F36" s="55">
        <v>43.8</v>
      </c>
      <c r="G36" s="55">
        <v>80.400000000000006</v>
      </c>
      <c r="H36" s="55">
        <v>113</v>
      </c>
      <c r="I36" s="55"/>
      <c r="J36" s="55">
        <v>34.700000000000003</v>
      </c>
      <c r="K36" s="55">
        <v>2</v>
      </c>
      <c r="L36" s="55">
        <v>815</v>
      </c>
      <c r="M36" s="55">
        <v>432.8</v>
      </c>
      <c r="N36" s="55">
        <v>34</v>
      </c>
      <c r="O36" s="55">
        <f t="shared" si="0"/>
        <v>7977.5999999999995</v>
      </c>
      <c r="P36" s="1"/>
      <c r="Q36" s="1"/>
      <c r="R36" s="1"/>
      <c r="S36" s="1"/>
      <c r="T36" s="213"/>
      <c r="U36" s="52" t="s">
        <v>991</v>
      </c>
      <c r="V36" s="53">
        <v>83.45</v>
      </c>
      <c r="W36" s="53" t="s">
        <v>965</v>
      </c>
    </row>
    <row r="37" spans="1:23" x14ac:dyDescent="0.3">
      <c r="A37" s="1"/>
      <c r="B37" s="54" t="s">
        <v>838</v>
      </c>
      <c r="C37" s="55">
        <v>1041</v>
      </c>
      <c r="D37" s="55">
        <v>2482.1</v>
      </c>
      <c r="E37" s="55">
        <v>2870.3</v>
      </c>
      <c r="F37" s="55">
        <v>43.7</v>
      </c>
      <c r="G37" s="55">
        <v>81.5</v>
      </c>
      <c r="H37" s="55">
        <v>116.3</v>
      </c>
      <c r="I37" s="55"/>
      <c r="J37" s="55">
        <v>37</v>
      </c>
      <c r="K37" s="55">
        <v>2</v>
      </c>
      <c r="L37" s="55">
        <v>772.3</v>
      </c>
      <c r="M37" s="55">
        <v>517.1</v>
      </c>
      <c r="N37" s="55">
        <v>33.5</v>
      </c>
      <c r="O37" s="55">
        <f t="shared" si="0"/>
        <v>7996.8</v>
      </c>
      <c r="P37" s="1"/>
      <c r="Q37" s="1"/>
      <c r="R37" s="1"/>
      <c r="S37" s="1"/>
      <c r="T37" s="213" t="s">
        <v>637</v>
      </c>
      <c r="U37" s="52" t="s">
        <v>992</v>
      </c>
      <c r="V37" s="53">
        <v>209.5</v>
      </c>
      <c r="W37" s="53" t="s">
        <v>965</v>
      </c>
    </row>
    <row r="38" spans="1:23" x14ac:dyDescent="0.3">
      <c r="A38" s="1"/>
      <c r="B38" s="56" t="s">
        <v>839</v>
      </c>
      <c r="C38" s="57">
        <v>1045.4000000000001</v>
      </c>
      <c r="D38" s="57">
        <v>2549.1999999999998</v>
      </c>
      <c r="E38" s="57">
        <v>2933.4</v>
      </c>
      <c r="F38" s="57">
        <v>43.7</v>
      </c>
      <c r="G38" s="57">
        <v>80.7</v>
      </c>
      <c r="H38" s="57">
        <v>121.3</v>
      </c>
      <c r="I38" s="57"/>
      <c r="J38" s="57">
        <v>36.299999999999997</v>
      </c>
      <c r="K38" s="57">
        <v>2</v>
      </c>
      <c r="L38" s="57">
        <v>607.70000000000005</v>
      </c>
      <c r="M38" s="57">
        <v>532.79999999999995</v>
      </c>
      <c r="N38" s="57">
        <v>34.1</v>
      </c>
      <c r="O38" s="57">
        <f t="shared" si="0"/>
        <v>7986.6</v>
      </c>
      <c r="P38" s="1"/>
      <c r="Q38" s="1"/>
      <c r="R38" s="1"/>
      <c r="S38" s="1"/>
      <c r="T38" s="213"/>
      <c r="U38" s="52" t="s">
        <v>993</v>
      </c>
      <c r="V38" s="53">
        <v>229.65</v>
      </c>
      <c r="W38" s="53" t="s">
        <v>965</v>
      </c>
    </row>
    <row r="39" spans="1:23" x14ac:dyDescent="0.3">
      <c r="A39" s="1"/>
      <c r="B39" s="50" t="s">
        <v>840</v>
      </c>
      <c r="C39" s="51">
        <v>1042.4000000000001</v>
      </c>
      <c r="D39" s="51">
        <v>2673</v>
      </c>
      <c r="E39" s="51">
        <v>3103.7</v>
      </c>
      <c r="F39" s="51">
        <v>43.9</v>
      </c>
      <c r="G39" s="51">
        <v>80.599999999999994</v>
      </c>
      <c r="H39" s="51">
        <v>119.8</v>
      </c>
      <c r="I39" s="51"/>
      <c r="J39" s="51">
        <v>36.6</v>
      </c>
      <c r="K39" s="51">
        <v>2</v>
      </c>
      <c r="L39" s="51">
        <v>306.89999999999998</v>
      </c>
      <c r="M39" s="51">
        <v>557</v>
      </c>
      <c r="N39" s="51">
        <v>34.200000000000003</v>
      </c>
      <c r="O39" s="51">
        <f t="shared" si="0"/>
        <v>8000.1</v>
      </c>
      <c r="P39" s="1"/>
      <c r="Q39" s="1"/>
      <c r="R39" s="1"/>
      <c r="S39" s="1"/>
      <c r="T39" s="213"/>
      <c r="U39" s="52" t="s">
        <v>994</v>
      </c>
      <c r="V39" s="53">
        <v>236.4</v>
      </c>
      <c r="W39" s="53" t="s">
        <v>965</v>
      </c>
    </row>
    <row r="40" spans="1:23" x14ac:dyDescent="0.3">
      <c r="A40" s="1"/>
      <c r="B40" s="54" t="s">
        <v>841</v>
      </c>
      <c r="C40" s="55">
        <v>1021.7</v>
      </c>
      <c r="D40" s="55">
        <v>2728.8</v>
      </c>
      <c r="E40" s="55">
        <v>3191.5</v>
      </c>
      <c r="F40" s="55">
        <v>43.5</v>
      </c>
      <c r="G40" s="55">
        <v>80.5</v>
      </c>
      <c r="H40" s="55">
        <v>99.1</v>
      </c>
      <c r="I40" s="55"/>
      <c r="J40" s="55">
        <v>36.6</v>
      </c>
      <c r="K40" s="55">
        <v>2</v>
      </c>
      <c r="L40" s="55">
        <v>36.700000000000003</v>
      </c>
      <c r="M40" s="55">
        <v>578.20000000000005</v>
      </c>
      <c r="N40" s="55">
        <v>34.4</v>
      </c>
      <c r="O40" s="55">
        <f t="shared" si="0"/>
        <v>7853</v>
      </c>
      <c r="P40" s="1"/>
      <c r="Q40" s="1"/>
      <c r="R40" s="1"/>
      <c r="S40" s="1"/>
      <c r="T40" s="213"/>
      <c r="U40" s="52" t="s">
        <v>995</v>
      </c>
      <c r="V40" s="53">
        <v>108.65</v>
      </c>
      <c r="W40" s="53" t="s">
        <v>965</v>
      </c>
    </row>
    <row r="41" spans="1:23" x14ac:dyDescent="0.3">
      <c r="A41" s="1"/>
      <c r="B41" s="54" t="s">
        <v>842</v>
      </c>
      <c r="C41" s="55">
        <v>1035.9000000000001</v>
      </c>
      <c r="D41" s="55">
        <v>2821.5</v>
      </c>
      <c r="E41" s="55">
        <v>3251</v>
      </c>
      <c r="F41" s="55">
        <v>43.8</v>
      </c>
      <c r="G41" s="55">
        <v>80.400000000000006</v>
      </c>
      <c r="H41" s="55">
        <v>76.8</v>
      </c>
      <c r="I41" s="55"/>
      <c r="J41" s="55">
        <v>38.200000000000003</v>
      </c>
      <c r="K41" s="55">
        <v>2</v>
      </c>
      <c r="L41" s="55">
        <v>0</v>
      </c>
      <c r="M41" s="55">
        <v>588.1</v>
      </c>
      <c r="N41" s="55">
        <v>34.299999999999997</v>
      </c>
      <c r="O41" s="55">
        <f t="shared" si="0"/>
        <v>7972</v>
      </c>
      <c r="P41" s="1"/>
      <c r="Q41" s="1"/>
      <c r="R41" s="1"/>
      <c r="S41" s="1"/>
      <c r="T41" s="213" t="s">
        <v>607</v>
      </c>
      <c r="U41" s="52" t="s">
        <v>996</v>
      </c>
      <c r="V41" s="53">
        <v>446.45</v>
      </c>
      <c r="W41" s="53" t="s">
        <v>965</v>
      </c>
    </row>
    <row r="42" spans="1:23" x14ac:dyDescent="0.3">
      <c r="A42" s="1"/>
      <c r="B42" s="54" t="s">
        <v>843</v>
      </c>
      <c r="C42" s="55">
        <v>1036.3</v>
      </c>
      <c r="D42" s="55">
        <v>2743.2</v>
      </c>
      <c r="E42" s="55">
        <v>3174.5</v>
      </c>
      <c r="F42" s="55">
        <v>43.7</v>
      </c>
      <c r="G42" s="55">
        <v>80.599999999999994</v>
      </c>
      <c r="H42" s="55">
        <v>75.900000000000006</v>
      </c>
      <c r="I42" s="55"/>
      <c r="J42" s="55">
        <v>38.4</v>
      </c>
      <c r="K42" s="55">
        <v>2</v>
      </c>
      <c r="L42" s="55">
        <v>0</v>
      </c>
      <c r="M42" s="55">
        <v>585.20000000000005</v>
      </c>
      <c r="N42" s="55">
        <v>34.5</v>
      </c>
      <c r="O42" s="55">
        <f t="shared" si="0"/>
        <v>7814.2999999999993</v>
      </c>
      <c r="P42" s="1"/>
      <c r="Q42" s="1"/>
      <c r="R42" s="1"/>
      <c r="S42" s="1"/>
      <c r="T42" s="213" t="s">
        <v>343</v>
      </c>
      <c r="U42" s="52" t="s">
        <v>997</v>
      </c>
      <c r="V42" s="53">
        <v>181.65</v>
      </c>
      <c r="W42" s="53" t="s">
        <v>965</v>
      </c>
    </row>
    <row r="43" spans="1:23" x14ac:dyDescent="0.3">
      <c r="A43" s="1"/>
      <c r="B43" s="54" t="s">
        <v>844</v>
      </c>
      <c r="C43" s="55">
        <v>1054.2</v>
      </c>
      <c r="D43" s="55">
        <v>2813.1</v>
      </c>
      <c r="E43" s="55">
        <v>3184.7</v>
      </c>
      <c r="F43" s="55">
        <v>44.6</v>
      </c>
      <c r="G43" s="55">
        <v>80.7</v>
      </c>
      <c r="H43" s="55">
        <v>76.3</v>
      </c>
      <c r="I43" s="55"/>
      <c r="J43" s="55">
        <v>38.4</v>
      </c>
      <c r="K43" s="55">
        <v>2</v>
      </c>
      <c r="L43" s="55">
        <v>0</v>
      </c>
      <c r="M43" s="55">
        <v>576.79999999999995</v>
      </c>
      <c r="N43" s="55">
        <v>34.299999999999997</v>
      </c>
      <c r="O43" s="55">
        <f t="shared" si="0"/>
        <v>7905.1</v>
      </c>
      <c r="P43" s="1"/>
      <c r="Q43" s="1"/>
      <c r="R43" s="1"/>
      <c r="S43" s="1"/>
      <c r="T43" s="213" t="s">
        <v>600</v>
      </c>
      <c r="U43" s="52" t="s">
        <v>998</v>
      </c>
      <c r="V43" s="53" t="s">
        <v>965</v>
      </c>
      <c r="W43" s="53">
        <v>2505.8000000000002</v>
      </c>
    </row>
    <row r="44" spans="1:23" x14ac:dyDescent="0.3">
      <c r="A44" s="1"/>
      <c r="B44" s="54" t="s">
        <v>845</v>
      </c>
      <c r="C44" s="55">
        <v>1053.5999999999999</v>
      </c>
      <c r="D44" s="55">
        <v>2744.6</v>
      </c>
      <c r="E44" s="55">
        <v>3171.2</v>
      </c>
      <c r="F44" s="55">
        <v>44.5</v>
      </c>
      <c r="G44" s="55">
        <v>80.599999999999994</v>
      </c>
      <c r="H44" s="55">
        <v>76.8</v>
      </c>
      <c r="I44" s="55"/>
      <c r="J44" s="55">
        <v>37.4</v>
      </c>
      <c r="K44" s="55">
        <v>2</v>
      </c>
      <c r="L44" s="55">
        <v>0</v>
      </c>
      <c r="M44" s="55">
        <v>586.70000000000005</v>
      </c>
      <c r="N44" s="55">
        <v>34.1</v>
      </c>
      <c r="O44" s="55">
        <f t="shared" si="0"/>
        <v>7831.5</v>
      </c>
      <c r="P44" s="1"/>
      <c r="Q44" s="1"/>
      <c r="R44" s="1"/>
      <c r="S44" s="1"/>
      <c r="T44" s="213" t="s">
        <v>609</v>
      </c>
      <c r="U44" s="52" t="s">
        <v>999</v>
      </c>
      <c r="V44" s="53">
        <v>2173.5500000000002</v>
      </c>
      <c r="W44" s="53" t="s">
        <v>965</v>
      </c>
    </row>
    <row r="45" spans="1:23" x14ac:dyDescent="0.3">
      <c r="A45" s="1"/>
      <c r="B45" s="54" t="s">
        <v>846</v>
      </c>
      <c r="C45" s="55">
        <v>1061.3</v>
      </c>
      <c r="D45" s="55">
        <v>3024.9</v>
      </c>
      <c r="E45" s="55">
        <v>2845.8</v>
      </c>
      <c r="F45" s="55">
        <v>44.8</v>
      </c>
      <c r="G45" s="55">
        <v>80.5</v>
      </c>
      <c r="H45" s="55">
        <v>116</v>
      </c>
      <c r="I45" s="55"/>
      <c r="J45" s="55">
        <v>36.1</v>
      </c>
      <c r="K45" s="55">
        <v>2</v>
      </c>
      <c r="L45" s="55">
        <v>0</v>
      </c>
      <c r="M45" s="55">
        <v>547.9</v>
      </c>
      <c r="N45" s="55">
        <v>34.299999999999997</v>
      </c>
      <c r="O45" s="55">
        <f t="shared" si="0"/>
        <v>7793.6</v>
      </c>
      <c r="P45" s="1"/>
      <c r="Q45" s="1"/>
      <c r="R45" s="1"/>
      <c r="S45" s="1"/>
      <c r="T45" s="213" t="s">
        <v>351</v>
      </c>
      <c r="U45" s="52" t="s">
        <v>1000</v>
      </c>
      <c r="V45" s="53">
        <v>69.099999999999994</v>
      </c>
      <c r="W45" s="53" t="s">
        <v>965</v>
      </c>
    </row>
    <row r="46" spans="1:23" x14ac:dyDescent="0.3">
      <c r="A46" s="1"/>
      <c r="B46" s="56" t="s">
        <v>847</v>
      </c>
      <c r="C46" s="57">
        <v>1066.9000000000001</v>
      </c>
      <c r="D46" s="57">
        <v>3120.7</v>
      </c>
      <c r="E46" s="57">
        <v>2831.6</v>
      </c>
      <c r="F46" s="57">
        <v>44.7</v>
      </c>
      <c r="G46" s="57">
        <v>80.400000000000006</v>
      </c>
      <c r="H46" s="57">
        <v>117.1</v>
      </c>
      <c r="I46" s="57"/>
      <c r="J46" s="57">
        <v>35</v>
      </c>
      <c r="K46" s="57">
        <v>2</v>
      </c>
      <c r="L46" s="57">
        <v>0</v>
      </c>
      <c r="M46" s="57">
        <v>520.5</v>
      </c>
      <c r="N46" s="57">
        <v>34.299999999999997</v>
      </c>
      <c r="O46" s="57">
        <f t="shared" si="0"/>
        <v>7853.2000000000007</v>
      </c>
      <c r="P46" s="1"/>
      <c r="Q46" s="1"/>
      <c r="R46" s="1"/>
      <c r="S46" s="1"/>
      <c r="T46" s="213" t="s">
        <v>106</v>
      </c>
      <c r="U46" s="52" t="s">
        <v>107</v>
      </c>
      <c r="V46" s="53" t="s">
        <v>965</v>
      </c>
      <c r="W46" s="53">
        <v>11610.95</v>
      </c>
    </row>
    <row r="47" spans="1:23" x14ac:dyDescent="0.3">
      <c r="A47" s="1"/>
      <c r="B47" s="50" t="s">
        <v>848</v>
      </c>
      <c r="C47" s="51">
        <v>1068.5999999999999</v>
      </c>
      <c r="D47" s="51">
        <v>3169.8</v>
      </c>
      <c r="E47" s="51">
        <v>2831.4</v>
      </c>
      <c r="F47" s="51">
        <v>81.900000000000006</v>
      </c>
      <c r="G47" s="51">
        <v>80.7</v>
      </c>
      <c r="H47" s="51">
        <v>74.099999999999994</v>
      </c>
      <c r="I47" s="51"/>
      <c r="J47" s="51">
        <v>34.1</v>
      </c>
      <c r="K47" s="51">
        <v>2</v>
      </c>
      <c r="L47" s="51">
        <v>0</v>
      </c>
      <c r="M47" s="51">
        <v>463.5</v>
      </c>
      <c r="N47" s="51">
        <v>34.1</v>
      </c>
      <c r="O47" s="51">
        <f t="shared" si="0"/>
        <v>7840.2</v>
      </c>
      <c r="P47" s="1"/>
      <c r="Q47" s="1"/>
      <c r="R47" s="1"/>
      <c r="S47" s="1"/>
      <c r="T47" s="213" t="s">
        <v>605</v>
      </c>
      <c r="U47" s="52" t="s">
        <v>1001</v>
      </c>
      <c r="V47" s="53" t="s">
        <v>965</v>
      </c>
      <c r="W47" s="53">
        <v>1507.8</v>
      </c>
    </row>
    <row r="48" spans="1:23" x14ac:dyDescent="0.3">
      <c r="A48" s="1"/>
      <c r="B48" s="54" t="s">
        <v>849</v>
      </c>
      <c r="C48" s="55">
        <v>1064</v>
      </c>
      <c r="D48" s="55">
        <v>3058.9</v>
      </c>
      <c r="E48" s="55">
        <v>2992</v>
      </c>
      <c r="F48" s="55">
        <v>82</v>
      </c>
      <c r="G48" s="55">
        <v>80.2</v>
      </c>
      <c r="H48" s="55">
        <v>9.9</v>
      </c>
      <c r="I48" s="55"/>
      <c r="J48" s="55">
        <v>38</v>
      </c>
      <c r="K48" s="55">
        <v>2</v>
      </c>
      <c r="L48" s="55">
        <v>0</v>
      </c>
      <c r="M48" s="55">
        <v>424.5</v>
      </c>
      <c r="N48" s="55">
        <v>33.799999999999997</v>
      </c>
      <c r="O48" s="55">
        <f t="shared" si="0"/>
        <v>7785.2999999999993</v>
      </c>
      <c r="P48" s="1"/>
      <c r="Q48" s="1"/>
      <c r="R48" s="1"/>
      <c r="S48" s="1"/>
      <c r="T48" s="213" t="s">
        <v>619</v>
      </c>
      <c r="U48" s="52" t="s">
        <v>1002</v>
      </c>
      <c r="V48" s="53">
        <v>55.45</v>
      </c>
      <c r="W48" s="53" t="s">
        <v>965</v>
      </c>
    </row>
    <row r="49" spans="1:23" x14ac:dyDescent="0.3">
      <c r="A49" s="1"/>
      <c r="B49" s="54" t="s">
        <v>850</v>
      </c>
      <c r="C49" s="55">
        <v>1065</v>
      </c>
      <c r="D49" s="55">
        <v>3124.3</v>
      </c>
      <c r="E49" s="55">
        <v>3043.6</v>
      </c>
      <c r="F49" s="55">
        <v>82.8</v>
      </c>
      <c r="G49" s="55">
        <v>52.1</v>
      </c>
      <c r="H49" s="55">
        <v>0</v>
      </c>
      <c r="I49" s="55"/>
      <c r="J49" s="55">
        <v>37.700000000000003</v>
      </c>
      <c r="K49" s="55">
        <v>2</v>
      </c>
      <c r="L49" s="55">
        <v>0</v>
      </c>
      <c r="M49" s="55">
        <v>333.4</v>
      </c>
      <c r="N49" s="55">
        <v>33.700000000000003</v>
      </c>
      <c r="O49" s="55">
        <f t="shared" si="0"/>
        <v>7774.5999999999995</v>
      </c>
      <c r="P49" s="1"/>
      <c r="Q49" s="1"/>
      <c r="R49" s="1"/>
      <c r="S49" s="1"/>
      <c r="T49" s="213" t="s">
        <v>122</v>
      </c>
      <c r="U49" s="52" t="s">
        <v>1003</v>
      </c>
      <c r="V49" s="53">
        <v>72.650000000000006</v>
      </c>
      <c r="W49" s="53" t="s">
        <v>965</v>
      </c>
    </row>
    <row r="50" spans="1:23" x14ac:dyDescent="0.3">
      <c r="A50" s="1"/>
      <c r="B50" s="54" t="s">
        <v>851</v>
      </c>
      <c r="C50" s="55">
        <v>1064.9000000000001</v>
      </c>
      <c r="D50" s="55">
        <v>2977.6</v>
      </c>
      <c r="E50" s="55">
        <v>3146.3</v>
      </c>
      <c r="F50" s="55">
        <v>81.5</v>
      </c>
      <c r="G50" s="55">
        <v>74.8</v>
      </c>
      <c r="H50" s="55">
        <v>0</v>
      </c>
      <c r="I50" s="55"/>
      <c r="J50" s="55">
        <v>38.799999999999997</v>
      </c>
      <c r="K50" s="55">
        <v>2</v>
      </c>
      <c r="L50" s="55">
        <v>0</v>
      </c>
      <c r="M50" s="55">
        <v>316.3</v>
      </c>
      <c r="N50" s="55">
        <v>33.5</v>
      </c>
      <c r="O50" s="55">
        <f t="shared" si="0"/>
        <v>7735.7000000000007</v>
      </c>
      <c r="P50" s="1"/>
      <c r="Q50" s="1"/>
      <c r="R50" s="1"/>
      <c r="S50" s="1"/>
      <c r="T50" s="213"/>
      <c r="U50" s="52" t="s">
        <v>1004</v>
      </c>
      <c r="V50" s="53" t="s">
        <v>965</v>
      </c>
      <c r="W50" s="53">
        <v>3076.8</v>
      </c>
    </row>
    <row r="51" spans="1:23" x14ac:dyDescent="0.3">
      <c r="A51" s="1"/>
      <c r="B51" s="54" t="s">
        <v>852</v>
      </c>
      <c r="C51" s="55">
        <v>1058.8</v>
      </c>
      <c r="D51" s="55">
        <v>3005.2</v>
      </c>
      <c r="E51" s="55">
        <v>2991</v>
      </c>
      <c r="F51" s="55">
        <v>80.099999999999994</v>
      </c>
      <c r="G51" s="55">
        <v>31.2</v>
      </c>
      <c r="H51" s="55">
        <v>0</v>
      </c>
      <c r="I51" s="55"/>
      <c r="J51" s="55">
        <v>38.799999999999997</v>
      </c>
      <c r="K51" s="55">
        <v>2</v>
      </c>
      <c r="L51" s="55">
        <v>0</v>
      </c>
      <c r="M51" s="55">
        <v>250.9</v>
      </c>
      <c r="N51" s="55">
        <v>34</v>
      </c>
      <c r="O51" s="55">
        <f t="shared" si="0"/>
        <v>7492</v>
      </c>
      <c r="P51" s="1"/>
      <c r="Q51" s="1"/>
      <c r="R51" s="1"/>
      <c r="S51" s="1"/>
      <c r="T51" s="213"/>
      <c r="U51" s="52" t="s">
        <v>128</v>
      </c>
      <c r="V51" s="53" t="s">
        <v>965</v>
      </c>
      <c r="W51" s="53">
        <v>1050.6500000000001</v>
      </c>
    </row>
    <row r="52" spans="1:23" x14ac:dyDescent="0.3">
      <c r="A52" s="1"/>
      <c r="B52" s="54" t="s">
        <v>853</v>
      </c>
      <c r="C52" s="55">
        <v>1067.9000000000001</v>
      </c>
      <c r="D52" s="55">
        <v>2921.4</v>
      </c>
      <c r="E52" s="55">
        <v>2925.9</v>
      </c>
      <c r="F52" s="55">
        <v>0</v>
      </c>
      <c r="G52" s="55">
        <v>31.1</v>
      </c>
      <c r="H52" s="55">
        <v>0</v>
      </c>
      <c r="I52" s="55"/>
      <c r="J52" s="55">
        <v>38.1</v>
      </c>
      <c r="K52" s="55">
        <v>2</v>
      </c>
      <c r="L52" s="55">
        <v>0</v>
      </c>
      <c r="M52" s="55">
        <v>212.8</v>
      </c>
      <c r="N52" s="55">
        <v>32.799999999999997</v>
      </c>
      <c r="O52" s="55">
        <f t="shared" si="0"/>
        <v>7232.0000000000018</v>
      </c>
      <c r="P52" s="1"/>
      <c r="Q52" s="1"/>
      <c r="R52" s="1"/>
      <c r="S52" s="1"/>
      <c r="T52" s="213"/>
      <c r="U52" s="52" t="s">
        <v>1005</v>
      </c>
      <c r="V52" s="53">
        <v>188.35</v>
      </c>
      <c r="W52" s="53" t="s">
        <v>965</v>
      </c>
    </row>
    <row r="53" spans="1:23" x14ac:dyDescent="0.3">
      <c r="A53" s="1"/>
      <c r="B53" s="54" t="s">
        <v>854</v>
      </c>
      <c r="C53" s="55">
        <v>1067</v>
      </c>
      <c r="D53" s="55">
        <v>2743.4</v>
      </c>
      <c r="E53" s="55">
        <v>2922.1</v>
      </c>
      <c r="F53" s="55">
        <v>0</v>
      </c>
      <c r="G53" s="55">
        <v>30.4</v>
      </c>
      <c r="H53" s="55">
        <v>0</v>
      </c>
      <c r="I53" s="55"/>
      <c r="J53" s="55">
        <v>37.1</v>
      </c>
      <c r="K53" s="55">
        <v>2</v>
      </c>
      <c r="L53" s="55">
        <v>0</v>
      </c>
      <c r="M53" s="55">
        <v>223.6</v>
      </c>
      <c r="N53" s="55">
        <v>33.200000000000003</v>
      </c>
      <c r="O53" s="55">
        <f t="shared" si="0"/>
        <v>7058.8</v>
      </c>
      <c r="P53" s="1"/>
      <c r="Q53" s="1"/>
      <c r="R53" s="1"/>
      <c r="S53" s="1"/>
      <c r="T53" s="213" t="s">
        <v>130</v>
      </c>
      <c r="U53" s="52" t="s">
        <v>1006</v>
      </c>
      <c r="V53" s="53" t="s">
        <v>965</v>
      </c>
      <c r="W53" s="53">
        <v>1599.75</v>
      </c>
    </row>
    <row r="54" spans="1:23" x14ac:dyDescent="0.3">
      <c r="A54" s="1"/>
      <c r="B54" s="56" t="s">
        <v>68</v>
      </c>
      <c r="C54" s="57">
        <v>1053.3</v>
      </c>
      <c r="D54" s="57">
        <v>2584.6</v>
      </c>
      <c r="E54" s="57">
        <v>2923.6</v>
      </c>
      <c r="F54" s="57">
        <v>0</v>
      </c>
      <c r="G54" s="57">
        <v>31.2</v>
      </c>
      <c r="H54" s="57">
        <v>0</v>
      </c>
      <c r="I54" s="57"/>
      <c r="J54" s="57">
        <v>37.1</v>
      </c>
      <c r="K54" s="57">
        <v>2</v>
      </c>
      <c r="L54" s="57">
        <v>0</v>
      </c>
      <c r="M54" s="57">
        <v>202</v>
      </c>
      <c r="N54" s="57">
        <v>33.700000000000003</v>
      </c>
      <c r="O54" s="57">
        <f t="shared" si="0"/>
        <v>6867.5</v>
      </c>
      <c r="P54" s="1"/>
      <c r="Q54" s="1"/>
      <c r="R54" s="1"/>
      <c r="S54" s="1"/>
      <c r="T54" s="213"/>
      <c r="U54" s="52" t="s">
        <v>1007</v>
      </c>
      <c r="V54" s="53">
        <v>14.4</v>
      </c>
      <c r="W54" s="53" t="s">
        <v>965</v>
      </c>
    </row>
    <row r="55" spans="1:23" x14ac:dyDescent="0.3">
      <c r="A55" s="1"/>
      <c r="B55" s="58" t="s">
        <v>1008</v>
      </c>
      <c r="C55" s="59">
        <f t="shared" ref="C55:M55" si="1">SUM(C7:C54)/2</f>
        <v>25155.650000000005</v>
      </c>
      <c r="D55" s="59">
        <f t="shared" si="1"/>
        <v>63107.45</v>
      </c>
      <c r="E55" s="59">
        <f t="shared" si="1"/>
        <v>69994.900000000009</v>
      </c>
      <c r="F55" s="59">
        <f t="shared" si="1"/>
        <v>884.15000000000009</v>
      </c>
      <c r="G55" s="59">
        <f t="shared" si="1"/>
        <v>756.1</v>
      </c>
      <c r="H55" s="59">
        <f t="shared" si="1"/>
        <v>681.84999999999991</v>
      </c>
      <c r="I55" s="59">
        <f t="shared" si="1"/>
        <v>0</v>
      </c>
      <c r="J55" s="59">
        <f t="shared" si="1"/>
        <v>904.29999999999984</v>
      </c>
      <c r="K55" s="59">
        <f t="shared" si="1"/>
        <v>48</v>
      </c>
      <c r="L55" s="59">
        <f t="shared" si="1"/>
        <v>7352.55</v>
      </c>
      <c r="M55" s="59">
        <f t="shared" si="1"/>
        <v>6843.7999999999993</v>
      </c>
      <c r="N55" s="59">
        <f t="shared" ref="N55" si="2">SUM(N7:N54)/2</f>
        <v>818.24999999999977</v>
      </c>
      <c r="O55" s="59">
        <f>SUM(O7:O54)/2</f>
        <v>176546.99999999997</v>
      </c>
      <c r="P55" s="1"/>
      <c r="Q55" s="1"/>
      <c r="R55" s="1"/>
      <c r="S55" s="1"/>
      <c r="T55" s="213"/>
      <c r="U55" s="52" t="s">
        <v>1009</v>
      </c>
      <c r="V55" s="53">
        <v>707.9</v>
      </c>
      <c r="W55" s="53" t="s">
        <v>965</v>
      </c>
    </row>
    <row r="56" spans="1:23" x14ac:dyDescent="0.3">
      <c r="A56" s="1"/>
      <c r="B56" s="58" t="s">
        <v>1010</v>
      </c>
      <c r="C56" s="59">
        <f t="shared" ref="C56:O56" si="3">C55*100/$O$55</f>
        <v>14.248698646819266</v>
      </c>
      <c r="D56" s="59">
        <f t="shared" si="3"/>
        <v>35.745410570556288</v>
      </c>
      <c r="E56" s="59">
        <f t="shared" si="3"/>
        <v>39.646609684673216</v>
      </c>
      <c r="F56" s="59">
        <f t="shared" si="3"/>
        <v>0.50080148628977006</v>
      </c>
      <c r="G56" s="59">
        <f t="shared" si="3"/>
        <v>0.4282712252261438</v>
      </c>
      <c r="H56" s="59">
        <f t="shared" si="3"/>
        <v>0.38621443581595832</v>
      </c>
      <c r="I56" s="59">
        <f t="shared" si="3"/>
        <v>0</v>
      </c>
      <c r="J56" s="59">
        <f t="shared" si="3"/>
        <v>0.51221487762465523</v>
      </c>
      <c r="K56" s="59">
        <f t="shared" si="3"/>
        <v>2.718822749749359E-2</v>
      </c>
      <c r="L56" s="59">
        <f t="shared" si="3"/>
        <v>4.1646417101395103</v>
      </c>
      <c r="M56" s="59">
        <f t="shared" si="3"/>
        <v>3.8764748197363876</v>
      </c>
      <c r="N56" s="59">
        <f t="shared" si="3"/>
        <v>0.4634743156213359</v>
      </c>
      <c r="O56" s="59">
        <f t="shared" si="3"/>
        <v>100</v>
      </c>
      <c r="P56" s="1"/>
      <c r="Q56" s="1"/>
      <c r="R56" s="1"/>
      <c r="S56" s="1"/>
      <c r="T56" s="213"/>
      <c r="U56" s="52" t="s">
        <v>131</v>
      </c>
      <c r="V56" s="53" t="s">
        <v>965</v>
      </c>
      <c r="W56" s="53">
        <v>2037.95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3"/>
      <c r="U57" s="52" t="s">
        <v>133</v>
      </c>
      <c r="V57" s="53" t="s">
        <v>965</v>
      </c>
      <c r="W57" s="53">
        <v>2504.5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3"/>
      <c r="U58" s="52" t="s">
        <v>1011</v>
      </c>
      <c r="V58" s="53">
        <v>1522.2</v>
      </c>
      <c r="W58" s="53" t="s">
        <v>965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3" t="s">
        <v>603</v>
      </c>
      <c r="U59" s="52" t="s">
        <v>1012</v>
      </c>
      <c r="V59" s="53" t="s">
        <v>965</v>
      </c>
      <c r="W59" s="53">
        <v>2325.9499999999998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3"/>
      <c r="U60" s="52" t="s">
        <v>1013</v>
      </c>
      <c r="V60" s="53">
        <v>31.2</v>
      </c>
      <c r="W60" s="53" t="s">
        <v>965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3" t="s">
        <v>1014</v>
      </c>
      <c r="U61" s="52" t="s">
        <v>1015</v>
      </c>
      <c r="V61" s="53">
        <v>468.65</v>
      </c>
      <c r="W61" s="53" t="s">
        <v>965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3"/>
      <c r="U62" s="52" t="s">
        <v>1016</v>
      </c>
      <c r="V62" s="53">
        <v>239.75</v>
      </c>
      <c r="W62" s="53" t="s">
        <v>965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3"/>
      <c r="U63" s="52" t="s">
        <v>1017</v>
      </c>
      <c r="V63" s="53">
        <v>447.4</v>
      </c>
      <c r="W63" s="53" t="s">
        <v>965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3" t="s">
        <v>151</v>
      </c>
      <c r="U64" s="52" t="s">
        <v>1018</v>
      </c>
      <c r="V64" s="53">
        <v>86.4</v>
      </c>
      <c r="W64" s="53" t="s">
        <v>965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3"/>
      <c r="U65" s="52" t="s">
        <v>152</v>
      </c>
      <c r="V65" s="53">
        <v>973.25</v>
      </c>
      <c r="W65" s="53" t="s">
        <v>965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3"/>
      <c r="U66" s="52" t="s">
        <v>154</v>
      </c>
      <c r="V66" s="53" t="s">
        <v>965</v>
      </c>
      <c r="W66" s="53">
        <v>2290.35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3"/>
      <c r="U67" s="52" t="s">
        <v>157</v>
      </c>
      <c r="V67" s="53" t="s">
        <v>965</v>
      </c>
      <c r="W67" s="53">
        <v>309.75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3"/>
      <c r="U68" s="52" t="s">
        <v>1019</v>
      </c>
      <c r="V68" s="53" t="s">
        <v>965</v>
      </c>
      <c r="W68" s="53">
        <v>358.1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3"/>
      <c r="U69" s="52" t="s">
        <v>1020</v>
      </c>
      <c r="V69" s="53">
        <v>2586.65</v>
      </c>
      <c r="W69" s="53" t="s">
        <v>965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3" t="s">
        <v>613</v>
      </c>
      <c r="U70" s="52" t="s">
        <v>1021</v>
      </c>
      <c r="V70" s="53">
        <v>188.45</v>
      </c>
      <c r="W70" s="53" t="s">
        <v>965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3"/>
      <c r="U71" s="52" t="s">
        <v>1022</v>
      </c>
      <c r="V71" s="53">
        <v>86.95</v>
      </c>
      <c r="W71" s="53" t="s">
        <v>965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3" t="s">
        <v>618</v>
      </c>
      <c r="U72" s="52" t="s">
        <v>1023</v>
      </c>
      <c r="V72" s="53">
        <v>385.75</v>
      </c>
      <c r="W72" s="53" t="s">
        <v>965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0" t="s">
        <v>1008</v>
      </c>
      <c r="U73" s="61"/>
      <c r="V73" s="62">
        <v>25155.65</v>
      </c>
      <c r="W73" s="62">
        <v>63107.45</v>
      </c>
    </row>
  </sheetData>
  <mergeCells count="37">
    <mergeCell ref="B3:G3"/>
    <mergeCell ref="T7"/>
    <mergeCell ref="T8"/>
    <mergeCell ref="T9"/>
    <mergeCell ref="T10"/>
    <mergeCell ref="T11"/>
    <mergeCell ref="T12:T13"/>
    <mergeCell ref="T14:T15"/>
    <mergeCell ref="T16:T19"/>
    <mergeCell ref="T20"/>
    <mergeCell ref="T21:T22"/>
    <mergeCell ref="T23"/>
    <mergeCell ref="T24:T25"/>
    <mergeCell ref="T26"/>
    <mergeCell ref="T27"/>
    <mergeCell ref="T28:T29"/>
    <mergeCell ref="T30"/>
    <mergeCell ref="T31"/>
    <mergeCell ref="T32"/>
    <mergeCell ref="T33:T34"/>
    <mergeCell ref="T35:T36"/>
    <mergeCell ref="T37:T40"/>
    <mergeCell ref="T41"/>
    <mergeCell ref="T42"/>
    <mergeCell ref="T43"/>
    <mergeCell ref="T44"/>
    <mergeCell ref="T45"/>
    <mergeCell ref="T46"/>
    <mergeCell ref="T47"/>
    <mergeCell ref="T48"/>
    <mergeCell ref="T70:T71"/>
    <mergeCell ref="T72"/>
    <mergeCell ref="T49:T52"/>
    <mergeCell ref="T53:T58"/>
    <mergeCell ref="T59:T60"/>
    <mergeCell ref="T61:T63"/>
    <mergeCell ref="T64:T6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5" t="s">
        <v>1024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</row>
    <row r="6" spans="1:79" ht="43.95" customHeight="1" x14ac:dyDescent="0.3">
      <c r="A6" s="1"/>
      <c r="B6" s="214" t="s">
        <v>590</v>
      </c>
      <c r="C6" s="214" t="s">
        <v>1025</v>
      </c>
      <c r="D6" s="214" t="s">
        <v>644</v>
      </c>
      <c r="E6" s="214" t="s">
        <v>181</v>
      </c>
      <c r="F6" s="214" t="s">
        <v>192</v>
      </c>
      <c r="G6" s="214" t="s">
        <v>645</v>
      </c>
      <c r="H6" s="214" t="s">
        <v>630</v>
      </c>
      <c r="I6" s="214" t="s">
        <v>631</v>
      </c>
      <c r="J6" s="214" t="s">
        <v>632</v>
      </c>
      <c r="K6" s="214" t="s">
        <v>642</v>
      </c>
      <c r="L6" s="214" t="s">
        <v>233</v>
      </c>
      <c r="M6" s="214" t="s">
        <v>21</v>
      </c>
      <c r="N6" s="214" t="s">
        <v>633</v>
      </c>
      <c r="O6" s="214" t="s">
        <v>614</v>
      </c>
      <c r="P6" s="214" t="s">
        <v>634</v>
      </c>
      <c r="Q6" s="214"/>
      <c r="R6" s="214"/>
      <c r="S6" s="214"/>
      <c r="T6" s="214"/>
      <c r="U6" s="214" t="s">
        <v>629</v>
      </c>
      <c r="V6" s="214" t="s">
        <v>278</v>
      </c>
      <c r="W6" s="214" t="s">
        <v>620</v>
      </c>
      <c r="X6" s="214" t="s">
        <v>621</v>
      </c>
      <c r="Y6" s="214" t="s">
        <v>622</v>
      </c>
      <c r="Z6" s="214" t="s">
        <v>635</v>
      </c>
      <c r="AA6" s="214"/>
      <c r="AB6" s="214" t="s">
        <v>615</v>
      </c>
      <c r="AC6" s="214" t="s">
        <v>1026</v>
      </c>
      <c r="AD6" s="214"/>
      <c r="AE6" s="214" t="s">
        <v>93</v>
      </c>
      <c r="AF6" s="214"/>
      <c r="AG6" s="214"/>
      <c r="AH6" s="214"/>
      <c r="AI6" s="214" t="s">
        <v>1027</v>
      </c>
      <c r="AJ6" s="214" t="s">
        <v>636</v>
      </c>
      <c r="AK6" s="214"/>
      <c r="AL6" s="214" t="s">
        <v>637</v>
      </c>
      <c r="AM6" s="214"/>
      <c r="AN6" s="214"/>
      <c r="AO6" s="214"/>
      <c r="AP6" s="214" t="s">
        <v>616</v>
      </c>
      <c r="AQ6" s="214" t="s">
        <v>327</v>
      </c>
      <c r="AR6" s="214" t="s">
        <v>331</v>
      </c>
      <c r="AS6" s="214" t="s">
        <v>1028</v>
      </c>
      <c r="AT6" s="214" t="s">
        <v>623</v>
      </c>
      <c r="AU6" s="214" t="s">
        <v>343</v>
      </c>
      <c r="AV6" s="214" t="s">
        <v>1029</v>
      </c>
      <c r="AW6" s="214" t="s">
        <v>638</v>
      </c>
      <c r="AX6" s="214" t="s">
        <v>106</v>
      </c>
      <c r="AY6" s="214"/>
      <c r="AZ6" s="214" t="s">
        <v>617</v>
      </c>
      <c r="BA6" s="214" t="s">
        <v>619</v>
      </c>
      <c r="BB6" s="214" t="s">
        <v>639</v>
      </c>
      <c r="BC6" s="214"/>
      <c r="BD6" s="214" t="s">
        <v>624</v>
      </c>
      <c r="BE6" s="214" t="s">
        <v>122</v>
      </c>
      <c r="BF6" s="214"/>
      <c r="BG6" s="214" t="s">
        <v>130</v>
      </c>
      <c r="BH6" s="214"/>
      <c r="BI6" s="214"/>
      <c r="BJ6" s="214"/>
      <c r="BK6" s="214"/>
      <c r="BL6" s="214"/>
      <c r="BM6" s="214" t="s">
        <v>625</v>
      </c>
      <c r="BN6" s="214" t="s">
        <v>626</v>
      </c>
      <c r="BO6" s="214" t="s">
        <v>627</v>
      </c>
      <c r="BP6" s="214" t="s">
        <v>402</v>
      </c>
      <c r="BQ6" s="214"/>
      <c r="BR6" s="214"/>
      <c r="BS6" s="214"/>
      <c r="BT6" s="214" t="s">
        <v>640</v>
      </c>
      <c r="BU6" s="214" t="s">
        <v>603</v>
      </c>
      <c r="BV6" s="214" t="s">
        <v>641</v>
      </c>
      <c r="BW6" s="214"/>
      <c r="BX6" s="214"/>
      <c r="BY6" s="214" t="s">
        <v>628</v>
      </c>
      <c r="BZ6" s="214" t="s">
        <v>618</v>
      </c>
      <c r="CA6" s="63" t="s">
        <v>1030</v>
      </c>
    </row>
    <row r="7" spans="1:79" ht="20.399999999999999" x14ac:dyDescent="0.3">
      <c r="A7" s="1"/>
      <c r="B7" s="214"/>
      <c r="C7" s="63" t="s">
        <v>1031</v>
      </c>
      <c r="D7" s="63" t="s">
        <v>1032</v>
      </c>
      <c r="E7" s="63" t="s">
        <v>1033</v>
      </c>
      <c r="F7" s="63" t="s">
        <v>1034</v>
      </c>
      <c r="G7" s="63" t="s">
        <v>1035</v>
      </c>
      <c r="H7" s="63" t="s">
        <v>1036</v>
      </c>
      <c r="I7" s="63" t="s">
        <v>966</v>
      </c>
      <c r="J7" s="63" t="s">
        <v>1037</v>
      </c>
      <c r="K7" s="63" t="s">
        <v>1038</v>
      </c>
      <c r="L7" s="63" t="s">
        <v>1039</v>
      </c>
      <c r="M7" s="63" t="s">
        <v>1040</v>
      </c>
      <c r="N7" s="63" t="s">
        <v>1041</v>
      </c>
      <c r="O7" s="63" t="s">
        <v>734</v>
      </c>
      <c r="P7" s="63" t="s">
        <v>973</v>
      </c>
      <c r="Q7" s="63" t="s">
        <v>1042</v>
      </c>
      <c r="R7" s="63" t="s">
        <v>974</v>
      </c>
      <c r="S7" s="63" t="s">
        <v>975</v>
      </c>
      <c r="T7" s="63" t="s">
        <v>1043</v>
      </c>
      <c r="U7" s="63" t="s">
        <v>980</v>
      </c>
      <c r="V7" s="63" t="s">
        <v>982</v>
      </c>
      <c r="W7" s="63" t="s">
        <v>983</v>
      </c>
      <c r="X7" s="63" t="s">
        <v>986</v>
      </c>
      <c r="Y7" s="63" t="s">
        <v>987</v>
      </c>
      <c r="Z7" s="63" t="s">
        <v>1044</v>
      </c>
      <c r="AA7" s="63" t="s">
        <v>1045</v>
      </c>
      <c r="AB7" s="63" t="s">
        <v>1046</v>
      </c>
      <c r="AC7" s="63" t="s">
        <v>1047</v>
      </c>
      <c r="AD7" s="63" t="s">
        <v>1048</v>
      </c>
      <c r="AE7" s="63" t="s">
        <v>1049</v>
      </c>
      <c r="AF7" s="63" t="s">
        <v>1050</v>
      </c>
      <c r="AG7" s="63" t="s">
        <v>1051</v>
      </c>
      <c r="AH7" s="63" t="s">
        <v>1052</v>
      </c>
      <c r="AI7" s="63" t="s">
        <v>1053</v>
      </c>
      <c r="AJ7" s="63" t="s">
        <v>990</v>
      </c>
      <c r="AK7" s="63" t="s">
        <v>991</v>
      </c>
      <c r="AL7" s="63" t="s">
        <v>1054</v>
      </c>
      <c r="AM7" s="63" t="s">
        <v>1055</v>
      </c>
      <c r="AN7" s="63" t="s">
        <v>1056</v>
      </c>
      <c r="AO7" s="63" t="s">
        <v>995</v>
      </c>
      <c r="AP7" s="63" t="s">
        <v>1057</v>
      </c>
      <c r="AQ7" s="63" t="s">
        <v>1058</v>
      </c>
      <c r="AR7" s="63" t="s">
        <v>1059</v>
      </c>
      <c r="AS7" s="63" t="s">
        <v>1060</v>
      </c>
      <c r="AT7" s="63" t="s">
        <v>1061</v>
      </c>
      <c r="AU7" s="63" t="s">
        <v>997</v>
      </c>
      <c r="AV7" s="63" t="s">
        <v>1062</v>
      </c>
      <c r="AW7" s="63" t="s">
        <v>1063</v>
      </c>
      <c r="AX7" s="63" t="s">
        <v>1064</v>
      </c>
      <c r="AY7" s="63" t="s">
        <v>1065</v>
      </c>
      <c r="AZ7" s="63" t="s">
        <v>738</v>
      </c>
      <c r="BA7" s="63" t="s">
        <v>1002</v>
      </c>
      <c r="BB7" s="63" t="s">
        <v>1066</v>
      </c>
      <c r="BC7" s="63" t="s">
        <v>1067</v>
      </c>
      <c r="BD7" s="63" t="s">
        <v>1068</v>
      </c>
      <c r="BE7" s="63" t="s">
        <v>1069</v>
      </c>
      <c r="BF7" s="63" t="s">
        <v>1070</v>
      </c>
      <c r="BG7" s="63" t="s">
        <v>1071</v>
      </c>
      <c r="BH7" s="63" t="s">
        <v>1072</v>
      </c>
      <c r="BI7" s="63" t="s">
        <v>1007</v>
      </c>
      <c r="BJ7" s="63" t="s">
        <v>1073</v>
      </c>
      <c r="BK7" s="63" t="s">
        <v>1074</v>
      </c>
      <c r="BL7" s="63" t="s">
        <v>1075</v>
      </c>
      <c r="BM7" s="63" t="s">
        <v>1076</v>
      </c>
      <c r="BN7" s="63" t="s">
        <v>1077</v>
      </c>
      <c r="BO7" s="63" t="s">
        <v>1078</v>
      </c>
      <c r="BP7" s="63" t="s">
        <v>1079</v>
      </c>
      <c r="BQ7" s="63" t="s">
        <v>1080</v>
      </c>
      <c r="BR7" s="63" t="s">
        <v>1081</v>
      </c>
      <c r="BS7" s="63" t="s">
        <v>1082</v>
      </c>
      <c r="BT7" s="63" t="s">
        <v>1083</v>
      </c>
      <c r="BU7" s="63" t="s">
        <v>1084</v>
      </c>
      <c r="BV7" s="63" t="s">
        <v>1015</v>
      </c>
      <c r="BW7" s="63" t="s">
        <v>1085</v>
      </c>
      <c r="BX7" s="63" t="s">
        <v>1017</v>
      </c>
      <c r="BY7" s="63" t="s">
        <v>1086</v>
      </c>
      <c r="BZ7" s="63" t="s">
        <v>1023</v>
      </c>
      <c r="CA7" s="63" t="s">
        <v>799</v>
      </c>
    </row>
    <row r="8" spans="1:79" x14ac:dyDescent="0.3">
      <c r="A8" s="1"/>
      <c r="B8" s="50" t="s">
        <v>1087</v>
      </c>
      <c r="C8" s="64"/>
      <c r="D8" s="64">
        <v>18.5</v>
      </c>
      <c r="E8" s="64"/>
      <c r="F8" s="64"/>
      <c r="G8" s="64">
        <v>10.8</v>
      </c>
      <c r="H8" s="64">
        <v>12.1</v>
      </c>
      <c r="I8" s="64">
        <v>2</v>
      </c>
      <c r="J8" s="64"/>
      <c r="K8" s="64">
        <v>10.1</v>
      </c>
      <c r="L8" s="64"/>
      <c r="M8" s="64">
        <v>11</v>
      </c>
      <c r="N8" s="64"/>
      <c r="O8" s="64"/>
      <c r="P8" s="64">
        <v>14.2</v>
      </c>
      <c r="Q8" s="64"/>
      <c r="R8" s="64">
        <v>8.3000000000000007</v>
      </c>
      <c r="S8" s="64">
        <v>12.3</v>
      </c>
      <c r="T8" s="64">
        <v>5.4</v>
      </c>
      <c r="U8" s="64">
        <v>2.5</v>
      </c>
      <c r="V8" s="64">
        <v>2.5</v>
      </c>
      <c r="W8" s="64">
        <v>20.399999999999999</v>
      </c>
      <c r="X8" s="64">
        <v>9.9</v>
      </c>
      <c r="Y8" s="64">
        <v>4.5</v>
      </c>
      <c r="Z8" s="64">
        <v>21.4</v>
      </c>
      <c r="AA8" s="64">
        <v>16.600000000000001</v>
      </c>
      <c r="AB8" s="64">
        <v>6</v>
      </c>
      <c r="AC8" s="64"/>
      <c r="AD8" s="64"/>
      <c r="AE8" s="64"/>
      <c r="AF8" s="64">
        <v>7</v>
      </c>
      <c r="AG8" s="64"/>
      <c r="AH8" s="64"/>
      <c r="AI8" s="64"/>
      <c r="AJ8" s="64">
        <v>10.5</v>
      </c>
      <c r="AK8" s="64">
        <v>3.6</v>
      </c>
      <c r="AL8" s="64">
        <v>9</v>
      </c>
      <c r="AM8" s="64">
        <v>9.6</v>
      </c>
      <c r="AN8" s="64">
        <v>10</v>
      </c>
      <c r="AO8" s="64">
        <v>4.4000000000000004</v>
      </c>
      <c r="AP8" s="64"/>
      <c r="AQ8" s="64">
        <v>12.3</v>
      </c>
      <c r="AR8" s="64">
        <v>14</v>
      </c>
      <c r="AS8" s="64"/>
      <c r="AT8" s="64"/>
      <c r="AU8" s="64">
        <v>7.5</v>
      </c>
      <c r="AV8" s="64"/>
      <c r="AW8" s="64"/>
      <c r="AX8" s="64"/>
      <c r="AY8" s="64"/>
      <c r="AZ8" s="64"/>
      <c r="BA8" s="64">
        <v>2.5</v>
      </c>
      <c r="BB8" s="64"/>
      <c r="BC8" s="64"/>
      <c r="BD8" s="64"/>
      <c r="BE8" s="64">
        <v>1.1000000000000001</v>
      </c>
      <c r="BF8" s="64">
        <v>9.9</v>
      </c>
      <c r="BG8" s="64"/>
      <c r="BH8" s="64"/>
      <c r="BI8" s="64">
        <v>0.6</v>
      </c>
      <c r="BJ8" s="64"/>
      <c r="BK8" s="64"/>
      <c r="BL8" s="64"/>
      <c r="BM8" s="64"/>
      <c r="BN8" s="64"/>
      <c r="BO8" s="64">
        <v>2.2999999999999998</v>
      </c>
      <c r="BP8" s="64"/>
      <c r="BQ8" s="64"/>
      <c r="BR8" s="64">
        <v>2</v>
      </c>
      <c r="BS8" s="64"/>
      <c r="BT8" s="64"/>
      <c r="BU8" s="64">
        <v>1.3</v>
      </c>
      <c r="BV8" s="64">
        <v>19.5</v>
      </c>
      <c r="BW8" s="64">
        <v>9.9</v>
      </c>
      <c r="BX8" s="64">
        <v>18.600000000000001</v>
      </c>
      <c r="BY8" s="64"/>
      <c r="BZ8" s="64">
        <v>16.2</v>
      </c>
      <c r="CA8" s="65">
        <v>360.3</v>
      </c>
    </row>
    <row r="9" spans="1:79" x14ac:dyDescent="0.3">
      <c r="A9" s="1"/>
      <c r="B9" s="54" t="s">
        <v>1088</v>
      </c>
      <c r="C9" s="66"/>
      <c r="D9" s="66">
        <v>18.2</v>
      </c>
      <c r="E9" s="66"/>
      <c r="F9" s="66"/>
      <c r="G9" s="66">
        <v>10.8</v>
      </c>
      <c r="H9" s="66">
        <v>12.1</v>
      </c>
      <c r="I9" s="66">
        <v>1.9</v>
      </c>
      <c r="J9" s="66"/>
      <c r="K9" s="66">
        <v>10.1</v>
      </c>
      <c r="L9" s="66"/>
      <c r="M9" s="66">
        <v>10.9</v>
      </c>
      <c r="N9" s="66"/>
      <c r="O9" s="66"/>
      <c r="P9" s="66">
        <v>14.2</v>
      </c>
      <c r="Q9" s="66"/>
      <c r="R9" s="66">
        <v>8.3000000000000007</v>
      </c>
      <c r="S9" s="66">
        <v>12.3</v>
      </c>
      <c r="T9" s="66">
        <v>5.2</v>
      </c>
      <c r="U9" s="66">
        <v>2.8</v>
      </c>
      <c r="V9" s="66">
        <v>2.6</v>
      </c>
      <c r="W9" s="66">
        <v>20.6</v>
      </c>
      <c r="X9" s="66">
        <v>9.9</v>
      </c>
      <c r="Y9" s="66">
        <v>4.5</v>
      </c>
      <c r="Z9" s="66">
        <v>21</v>
      </c>
      <c r="AA9" s="66">
        <v>17</v>
      </c>
      <c r="AB9" s="66">
        <v>4.2</v>
      </c>
      <c r="AC9" s="66"/>
      <c r="AD9" s="66"/>
      <c r="AE9" s="66"/>
      <c r="AF9" s="66">
        <v>5.5</v>
      </c>
      <c r="AG9" s="66"/>
      <c r="AH9" s="66"/>
      <c r="AI9" s="66"/>
      <c r="AJ9" s="66">
        <v>10.5</v>
      </c>
      <c r="AK9" s="66">
        <v>3.6</v>
      </c>
      <c r="AL9" s="66">
        <v>9</v>
      </c>
      <c r="AM9" s="66">
        <v>9.6</v>
      </c>
      <c r="AN9" s="66">
        <v>10</v>
      </c>
      <c r="AO9" s="66">
        <v>4.4000000000000004</v>
      </c>
      <c r="AP9" s="66"/>
      <c r="AQ9" s="66">
        <v>10.7</v>
      </c>
      <c r="AR9" s="66">
        <v>13.2</v>
      </c>
      <c r="AS9" s="66"/>
      <c r="AT9" s="66"/>
      <c r="AU9" s="66">
        <v>7.5</v>
      </c>
      <c r="AV9" s="66"/>
      <c r="AW9" s="66"/>
      <c r="AX9" s="66"/>
      <c r="AY9" s="66"/>
      <c r="AZ9" s="66"/>
      <c r="BA9" s="66">
        <v>2.5</v>
      </c>
      <c r="BB9" s="66"/>
      <c r="BC9" s="66"/>
      <c r="BD9" s="66"/>
      <c r="BE9" s="66"/>
      <c r="BF9" s="66"/>
      <c r="BG9" s="66"/>
      <c r="BH9" s="66"/>
      <c r="BI9" s="66">
        <v>0.6</v>
      </c>
      <c r="BJ9" s="66"/>
      <c r="BK9" s="66"/>
      <c r="BL9" s="66"/>
      <c r="BM9" s="66"/>
      <c r="BN9" s="66">
        <v>0.3</v>
      </c>
      <c r="BO9" s="66">
        <v>3.2</v>
      </c>
      <c r="BP9" s="66"/>
      <c r="BQ9" s="66"/>
      <c r="BR9" s="66">
        <v>2</v>
      </c>
      <c r="BS9" s="66"/>
      <c r="BT9" s="66"/>
      <c r="BU9" s="66">
        <v>1.3</v>
      </c>
      <c r="BV9" s="66">
        <v>19.5</v>
      </c>
      <c r="BW9" s="66">
        <v>10</v>
      </c>
      <c r="BX9" s="66">
        <v>18.600000000000001</v>
      </c>
      <c r="BY9" s="66"/>
      <c r="BZ9" s="66">
        <v>16.3</v>
      </c>
      <c r="CA9" s="67">
        <v>344.9</v>
      </c>
    </row>
    <row r="10" spans="1:79" x14ac:dyDescent="0.3">
      <c r="A10" s="1"/>
      <c r="B10" s="54" t="s">
        <v>1089</v>
      </c>
      <c r="C10" s="66"/>
      <c r="D10" s="66">
        <v>18.7</v>
      </c>
      <c r="E10" s="66"/>
      <c r="F10" s="66"/>
      <c r="G10" s="66">
        <v>10.8</v>
      </c>
      <c r="H10" s="66">
        <v>12.2</v>
      </c>
      <c r="I10" s="66">
        <v>1.9</v>
      </c>
      <c r="J10" s="66"/>
      <c r="K10" s="66">
        <v>10</v>
      </c>
      <c r="L10" s="66"/>
      <c r="M10" s="66">
        <v>10.4</v>
      </c>
      <c r="N10" s="66"/>
      <c r="O10" s="66"/>
      <c r="P10" s="66">
        <v>14.2</v>
      </c>
      <c r="Q10" s="66"/>
      <c r="R10" s="66">
        <v>8.1999999999999993</v>
      </c>
      <c r="S10" s="66">
        <v>11.8</v>
      </c>
      <c r="T10" s="66">
        <v>5.2</v>
      </c>
      <c r="U10" s="66">
        <v>2.7</v>
      </c>
      <c r="V10" s="66">
        <v>2.6</v>
      </c>
      <c r="W10" s="66">
        <v>19.899999999999999</v>
      </c>
      <c r="X10" s="66">
        <v>9.9</v>
      </c>
      <c r="Y10" s="66">
        <v>4.5</v>
      </c>
      <c r="Z10" s="66">
        <v>19.5</v>
      </c>
      <c r="AA10" s="66">
        <v>18.100000000000001</v>
      </c>
      <c r="AB10" s="66">
        <v>1.2</v>
      </c>
      <c r="AC10" s="66"/>
      <c r="AD10" s="66"/>
      <c r="AE10" s="66"/>
      <c r="AF10" s="66">
        <v>6</v>
      </c>
      <c r="AG10" s="66"/>
      <c r="AH10" s="66"/>
      <c r="AI10" s="66"/>
      <c r="AJ10" s="66">
        <v>10.5</v>
      </c>
      <c r="AK10" s="66">
        <v>3.6</v>
      </c>
      <c r="AL10" s="66">
        <v>9</v>
      </c>
      <c r="AM10" s="66">
        <v>9.6</v>
      </c>
      <c r="AN10" s="66">
        <v>10</v>
      </c>
      <c r="AO10" s="66">
        <v>4.5</v>
      </c>
      <c r="AP10" s="66"/>
      <c r="AQ10" s="66">
        <v>10.1</v>
      </c>
      <c r="AR10" s="66">
        <v>12.3</v>
      </c>
      <c r="AS10" s="66"/>
      <c r="AT10" s="66"/>
      <c r="AU10" s="66">
        <v>7.5</v>
      </c>
      <c r="AV10" s="66"/>
      <c r="AW10" s="66"/>
      <c r="AX10" s="66"/>
      <c r="AY10" s="66"/>
      <c r="AZ10" s="66"/>
      <c r="BA10" s="66">
        <v>2.5</v>
      </c>
      <c r="BB10" s="66"/>
      <c r="BC10" s="66"/>
      <c r="BD10" s="66"/>
      <c r="BE10" s="66"/>
      <c r="BF10" s="66"/>
      <c r="BG10" s="66"/>
      <c r="BH10" s="66"/>
      <c r="BI10" s="66">
        <v>0.6</v>
      </c>
      <c r="BJ10" s="66"/>
      <c r="BK10" s="66"/>
      <c r="BL10" s="66"/>
      <c r="BM10" s="66"/>
      <c r="BN10" s="66">
        <v>0.3</v>
      </c>
      <c r="BO10" s="66">
        <v>5</v>
      </c>
      <c r="BP10" s="66"/>
      <c r="BQ10" s="66"/>
      <c r="BR10" s="66">
        <v>2</v>
      </c>
      <c r="BS10" s="66"/>
      <c r="BT10" s="66"/>
      <c r="BU10" s="66">
        <v>1.3</v>
      </c>
      <c r="BV10" s="66">
        <v>19.600000000000001</v>
      </c>
      <c r="BW10" s="66">
        <v>10.1</v>
      </c>
      <c r="BX10" s="66">
        <v>18.600000000000001</v>
      </c>
      <c r="BY10" s="66"/>
      <c r="BZ10" s="66">
        <v>16.100000000000001</v>
      </c>
      <c r="CA10" s="67">
        <v>341</v>
      </c>
    </row>
    <row r="11" spans="1:79" x14ac:dyDescent="0.3">
      <c r="A11" s="1"/>
      <c r="B11" s="54" t="s">
        <v>1090</v>
      </c>
      <c r="C11" s="66"/>
      <c r="D11" s="66">
        <v>18.7</v>
      </c>
      <c r="E11" s="66"/>
      <c r="F11" s="66"/>
      <c r="G11" s="66">
        <v>10.8</v>
      </c>
      <c r="H11" s="66">
        <v>12.1</v>
      </c>
      <c r="I11" s="66">
        <v>1.9</v>
      </c>
      <c r="J11" s="66"/>
      <c r="K11" s="66">
        <v>10.1</v>
      </c>
      <c r="L11" s="66"/>
      <c r="M11" s="66">
        <v>10.8</v>
      </c>
      <c r="N11" s="66"/>
      <c r="O11" s="66"/>
      <c r="P11" s="66">
        <v>14.2</v>
      </c>
      <c r="Q11" s="66"/>
      <c r="R11" s="66">
        <v>8.3000000000000007</v>
      </c>
      <c r="S11" s="66">
        <v>12.4</v>
      </c>
      <c r="T11" s="66">
        <v>5.2</v>
      </c>
      <c r="U11" s="66">
        <v>2.8</v>
      </c>
      <c r="V11" s="66">
        <v>2.6</v>
      </c>
      <c r="W11" s="66">
        <v>20.5</v>
      </c>
      <c r="X11" s="66">
        <v>9.9</v>
      </c>
      <c r="Y11" s="66">
        <v>4.5</v>
      </c>
      <c r="Z11" s="66">
        <v>17.600000000000001</v>
      </c>
      <c r="AA11" s="66">
        <v>23.6</v>
      </c>
      <c r="AB11" s="66">
        <v>1.3</v>
      </c>
      <c r="AC11" s="66"/>
      <c r="AD11" s="66"/>
      <c r="AE11" s="66"/>
      <c r="AF11" s="66">
        <v>4.0999999999999996</v>
      </c>
      <c r="AG11" s="66"/>
      <c r="AH11" s="66"/>
      <c r="AI11" s="66"/>
      <c r="AJ11" s="66">
        <v>10.5</v>
      </c>
      <c r="AK11" s="66">
        <v>3.6</v>
      </c>
      <c r="AL11" s="66">
        <v>9</v>
      </c>
      <c r="AM11" s="66">
        <v>9.6</v>
      </c>
      <c r="AN11" s="66">
        <v>10</v>
      </c>
      <c r="AO11" s="66">
        <v>4.5</v>
      </c>
      <c r="AP11" s="66"/>
      <c r="AQ11" s="66">
        <v>9.4</v>
      </c>
      <c r="AR11" s="66">
        <v>11.1</v>
      </c>
      <c r="AS11" s="66"/>
      <c r="AT11" s="66"/>
      <c r="AU11" s="66">
        <v>7.5</v>
      </c>
      <c r="AV11" s="66"/>
      <c r="AW11" s="66"/>
      <c r="AX11" s="66"/>
      <c r="AY11" s="66"/>
      <c r="AZ11" s="66"/>
      <c r="BA11" s="66">
        <v>2.5</v>
      </c>
      <c r="BB11" s="66"/>
      <c r="BC11" s="66"/>
      <c r="BD11" s="66"/>
      <c r="BE11" s="66"/>
      <c r="BF11" s="66"/>
      <c r="BG11" s="66"/>
      <c r="BH11" s="66"/>
      <c r="BI11" s="66">
        <v>0.6</v>
      </c>
      <c r="BJ11" s="66"/>
      <c r="BK11" s="66"/>
      <c r="BL11" s="66"/>
      <c r="BM11" s="66"/>
      <c r="BN11" s="66"/>
      <c r="BO11" s="66">
        <v>0.8</v>
      </c>
      <c r="BP11" s="66"/>
      <c r="BQ11" s="66"/>
      <c r="BR11" s="66">
        <v>2</v>
      </c>
      <c r="BS11" s="66"/>
      <c r="BT11" s="66"/>
      <c r="BU11" s="66">
        <v>1.3</v>
      </c>
      <c r="BV11" s="66">
        <v>19.5</v>
      </c>
      <c r="BW11" s="66">
        <v>10</v>
      </c>
      <c r="BX11" s="66">
        <v>18.600000000000001</v>
      </c>
      <c r="BY11" s="66"/>
      <c r="BZ11" s="66">
        <v>16.3</v>
      </c>
      <c r="CA11" s="67">
        <v>338.2</v>
      </c>
    </row>
    <row r="12" spans="1:79" x14ac:dyDescent="0.3">
      <c r="A12" s="1"/>
      <c r="B12" s="54" t="s">
        <v>1091</v>
      </c>
      <c r="C12" s="66"/>
      <c r="D12" s="66">
        <v>18.5</v>
      </c>
      <c r="E12" s="66"/>
      <c r="F12" s="66"/>
      <c r="G12" s="66">
        <v>11.2</v>
      </c>
      <c r="H12" s="66">
        <v>12.1</v>
      </c>
      <c r="I12" s="66">
        <v>1.8</v>
      </c>
      <c r="J12" s="66"/>
      <c r="K12" s="66">
        <v>9.6999999999999993</v>
      </c>
      <c r="L12" s="66"/>
      <c r="M12" s="66">
        <v>11</v>
      </c>
      <c r="N12" s="66"/>
      <c r="O12" s="66"/>
      <c r="P12" s="66">
        <v>14.2</v>
      </c>
      <c r="Q12" s="66"/>
      <c r="R12" s="66">
        <v>8.3000000000000007</v>
      </c>
      <c r="S12" s="66">
        <v>12.4</v>
      </c>
      <c r="T12" s="66">
        <v>5.2</v>
      </c>
      <c r="U12" s="66">
        <v>2.8</v>
      </c>
      <c r="V12" s="66">
        <v>2.5</v>
      </c>
      <c r="W12" s="66">
        <v>20.399999999999999</v>
      </c>
      <c r="X12" s="66">
        <v>9.9</v>
      </c>
      <c r="Y12" s="66">
        <v>4.4000000000000004</v>
      </c>
      <c r="Z12" s="66">
        <v>17.100000000000001</v>
      </c>
      <c r="AA12" s="66">
        <v>28.2</v>
      </c>
      <c r="AB12" s="66">
        <v>3.1</v>
      </c>
      <c r="AC12" s="66"/>
      <c r="AD12" s="66"/>
      <c r="AE12" s="66">
        <v>0.1</v>
      </c>
      <c r="AF12" s="66">
        <v>10.9</v>
      </c>
      <c r="AG12" s="66"/>
      <c r="AH12" s="66"/>
      <c r="AI12" s="66"/>
      <c r="AJ12" s="66">
        <v>10.4</v>
      </c>
      <c r="AK12" s="66">
        <v>3.6</v>
      </c>
      <c r="AL12" s="66">
        <v>9</v>
      </c>
      <c r="AM12" s="66">
        <v>9.6</v>
      </c>
      <c r="AN12" s="66">
        <v>10</v>
      </c>
      <c r="AO12" s="66">
        <v>4.5</v>
      </c>
      <c r="AP12" s="66"/>
      <c r="AQ12" s="66">
        <v>8.9</v>
      </c>
      <c r="AR12" s="66">
        <v>11.7</v>
      </c>
      <c r="AS12" s="66"/>
      <c r="AT12" s="66"/>
      <c r="AU12" s="66">
        <v>7.5</v>
      </c>
      <c r="AV12" s="66"/>
      <c r="AW12" s="66"/>
      <c r="AX12" s="66"/>
      <c r="AY12" s="66"/>
      <c r="AZ12" s="66"/>
      <c r="BA12" s="66">
        <v>2.4</v>
      </c>
      <c r="BB12" s="66"/>
      <c r="BC12" s="66"/>
      <c r="BD12" s="66"/>
      <c r="BE12" s="66"/>
      <c r="BF12" s="66"/>
      <c r="BG12" s="66"/>
      <c r="BH12" s="66"/>
      <c r="BI12" s="66">
        <v>0.6</v>
      </c>
      <c r="BJ12" s="66"/>
      <c r="BK12" s="66"/>
      <c r="BL12" s="66"/>
      <c r="BM12" s="66"/>
      <c r="BN12" s="66"/>
      <c r="BO12" s="66"/>
      <c r="BP12" s="66"/>
      <c r="BQ12" s="66"/>
      <c r="BR12" s="66">
        <v>2</v>
      </c>
      <c r="BS12" s="66"/>
      <c r="BT12" s="66"/>
      <c r="BU12" s="66">
        <v>1.3</v>
      </c>
      <c r="BV12" s="66">
        <v>19.5</v>
      </c>
      <c r="BW12" s="66">
        <v>10</v>
      </c>
      <c r="BX12" s="66">
        <v>18.600000000000001</v>
      </c>
      <c r="BY12" s="66"/>
      <c r="BZ12" s="66">
        <v>16.3</v>
      </c>
      <c r="CA12" s="67">
        <v>349.7</v>
      </c>
    </row>
    <row r="13" spans="1:79" x14ac:dyDescent="0.3">
      <c r="A13" s="1"/>
      <c r="B13" s="54" t="s">
        <v>1092</v>
      </c>
      <c r="C13" s="66"/>
      <c r="D13" s="66">
        <v>18.5</v>
      </c>
      <c r="E13" s="66"/>
      <c r="F13" s="66"/>
      <c r="G13" s="66">
        <v>11.2</v>
      </c>
      <c r="H13" s="66">
        <v>12.1</v>
      </c>
      <c r="I13" s="66">
        <v>1.8</v>
      </c>
      <c r="J13" s="66"/>
      <c r="K13" s="66">
        <v>9.9</v>
      </c>
      <c r="L13" s="66"/>
      <c r="M13" s="66">
        <v>10.9</v>
      </c>
      <c r="N13" s="66"/>
      <c r="O13" s="66"/>
      <c r="P13" s="66">
        <v>14.2</v>
      </c>
      <c r="Q13" s="66"/>
      <c r="R13" s="66">
        <v>8.3000000000000007</v>
      </c>
      <c r="S13" s="66">
        <v>12.5</v>
      </c>
      <c r="T13" s="66">
        <v>5.3</v>
      </c>
      <c r="U13" s="66">
        <v>2.8</v>
      </c>
      <c r="V13" s="66">
        <v>2.6</v>
      </c>
      <c r="W13" s="66">
        <v>20.2</v>
      </c>
      <c r="X13" s="66">
        <v>9.9</v>
      </c>
      <c r="Y13" s="66">
        <v>8.3000000000000007</v>
      </c>
      <c r="Z13" s="66">
        <v>13.1</v>
      </c>
      <c r="AA13" s="66">
        <v>27.8</v>
      </c>
      <c r="AB13" s="66">
        <v>5.3</v>
      </c>
      <c r="AC13" s="66"/>
      <c r="AD13" s="66"/>
      <c r="AE13" s="66"/>
      <c r="AF13" s="66">
        <v>20.3</v>
      </c>
      <c r="AG13" s="66"/>
      <c r="AH13" s="66"/>
      <c r="AI13" s="66"/>
      <c r="AJ13" s="66">
        <v>10.4</v>
      </c>
      <c r="AK13" s="66">
        <v>3.6</v>
      </c>
      <c r="AL13" s="66">
        <v>9</v>
      </c>
      <c r="AM13" s="66">
        <v>9.8000000000000007</v>
      </c>
      <c r="AN13" s="66">
        <v>10.1</v>
      </c>
      <c r="AO13" s="66">
        <v>4.5</v>
      </c>
      <c r="AP13" s="66"/>
      <c r="AQ13" s="66">
        <v>9.3000000000000007</v>
      </c>
      <c r="AR13" s="66">
        <v>12.1</v>
      </c>
      <c r="AS13" s="66"/>
      <c r="AT13" s="66"/>
      <c r="AU13" s="66">
        <v>7.5</v>
      </c>
      <c r="AV13" s="66"/>
      <c r="AW13" s="66"/>
      <c r="AX13" s="66"/>
      <c r="AY13" s="66"/>
      <c r="AZ13" s="66"/>
      <c r="BA13" s="66">
        <v>2.4</v>
      </c>
      <c r="BB13" s="66"/>
      <c r="BC13" s="66"/>
      <c r="BD13" s="66"/>
      <c r="BE13" s="66"/>
      <c r="BF13" s="66"/>
      <c r="BG13" s="66"/>
      <c r="BH13" s="66"/>
      <c r="BI13" s="66">
        <v>0.6</v>
      </c>
      <c r="BJ13" s="66"/>
      <c r="BK13" s="66"/>
      <c r="BL13" s="66"/>
      <c r="BM13" s="66"/>
      <c r="BN13" s="66"/>
      <c r="BO13" s="66"/>
      <c r="BP13" s="66"/>
      <c r="BQ13" s="66"/>
      <c r="BR13" s="66">
        <v>2</v>
      </c>
      <c r="BS13" s="66"/>
      <c r="BT13" s="66"/>
      <c r="BU13" s="66">
        <v>1.3</v>
      </c>
      <c r="BV13" s="66">
        <v>19.5</v>
      </c>
      <c r="BW13" s="66">
        <v>10</v>
      </c>
      <c r="BX13" s="66">
        <v>18.7</v>
      </c>
      <c r="BY13" s="66"/>
      <c r="BZ13" s="66">
        <v>16.2</v>
      </c>
      <c r="CA13" s="67">
        <v>362</v>
      </c>
    </row>
    <row r="14" spans="1:79" x14ac:dyDescent="0.3">
      <c r="A14" s="1"/>
      <c r="B14" s="54" t="s">
        <v>1093</v>
      </c>
      <c r="C14" s="66"/>
      <c r="D14" s="66">
        <v>18</v>
      </c>
      <c r="E14" s="66"/>
      <c r="F14" s="66"/>
      <c r="G14" s="66">
        <v>11.2</v>
      </c>
      <c r="H14" s="66">
        <v>12.1</v>
      </c>
      <c r="I14" s="66">
        <v>1.8</v>
      </c>
      <c r="J14" s="66"/>
      <c r="K14" s="66">
        <v>9.8000000000000007</v>
      </c>
      <c r="L14" s="66"/>
      <c r="M14" s="66">
        <v>10.8</v>
      </c>
      <c r="N14" s="66"/>
      <c r="O14" s="66"/>
      <c r="P14" s="66">
        <v>14.2</v>
      </c>
      <c r="Q14" s="66"/>
      <c r="R14" s="66">
        <v>8.3000000000000007</v>
      </c>
      <c r="S14" s="66">
        <v>12.5</v>
      </c>
      <c r="T14" s="66">
        <v>5.4</v>
      </c>
      <c r="U14" s="66">
        <v>2.8</v>
      </c>
      <c r="V14" s="66">
        <v>2.6</v>
      </c>
      <c r="W14" s="66">
        <v>20.6</v>
      </c>
      <c r="X14" s="66">
        <v>9.9</v>
      </c>
      <c r="Y14" s="66">
        <v>8.3000000000000007</v>
      </c>
      <c r="Z14" s="66">
        <v>14.2</v>
      </c>
      <c r="AA14" s="66">
        <v>23.3</v>
      </c>
      <c r="AB14" s="66">
        <v>3.2</v>
      </c>
      <c r="AC14" s="66"/>
      <c r="AD14" s="66"/>
      <c r="AE14" s="66"/>
      <c r="AF14" s="66">
        <v>15.5</v>
      </c>
      <c r="AG14" s="66"/>
      <c r="AH14" s="66"/>
      <c r="AI14" s="66"/>
      <c r="AJ14" s="66">
        <v>10.4</v>
      </c>
      <c r="AK14" s="66">
        <v>3.6</v>
      </c>
      <c r="AL14" s="66">
        <v>9</v>
      </c>
      <c r="AM14" s="66">
        <v>9.8000000000000007</v>
      </c>
      <c r="AN14" s="66">
        <v>10.1</v>
      </c>
      <c r="AO14" s="66">
        <v>4.5</v>
      </c>
      <c r="AP14" s="66"/>
      <c r="AQ14" s="66">
        <v>7</v>
      </c>
      <c r="AR14" s="66">
        <v>12</v>
      </c>
      <c r="AS14" s="66"/>
      <c r="AT14" s="66"/>
      <c r="AU14" s="66">
        <v>7.5</v>
      </c>
      <c r="AV14" s="66"/>
      <c r="AW14" s="66"/>
      <c r="AX14" s="66"/>
      <c r="AY14" s="66"/>
      <c r="AZ14" s="66"/>
      <c r="BA14" s="66">
        <v>2.4</v>
      </c>
      <c r="BB14" s="66"/>
      <c r="BC14" s="66"/>
      <c r="BD14" s="66"/>
      <c r="BE14" s="66"/>
      <c r="BF14" s="66"/>
      <c r="BG14" s="66"/>
      <c r="BH14" s="66"/>
      <c r="BI14" s="66">
        <v>0.6</v>
      </c>
      <c r="BJ14" s="66"/>
      <c r="BK14" s="66"/>
      <c r="BL14" s="66"/>
      <c r="BM14" s="66"/>
      <c r="BN14" s="66"/>
      <c r="BO14" s="66"/>
      <c r="BP14" s="66"/>
      <c r="BQ14" s="66"/>
      <c r="BR14" s="66">
        <v>2</v>
      </c>
      <c r="BS14" s="66"/>
      <c r="BT14" s="66"/>
      <c r="BU14" s="66">
        <v>1.3</v>
      </c>
      <c r="BV14" s="66">
        <v>19.5</v>
      </c>
      <c r="BW14" s="66">
        <v>10</v>
      </c>
      <c r="BX14" s="66">
        <v>18.7</v>
      </c>
      <c r="BY14" s="66"/>
      <c r="BZ14" s="66">
        <v>16.3</v>
      </c>
      <c r="CA14" s="67">
        <v>349.2</v>
      </c>
    </row>
    <row r="15" spans="1:79" x14ac:dyDescent="0.3">
      <c r="A15" s="1"/>
      <c r="B15" s="56" t="s">
        <v>1094</v>
      </c>
      <c r="C15" s="68"/>
      <c r="D15" s="68">
        <v>18.399999999999999</v>
      </c>
      <c r="E15" s="68"/>
      <c r="F15" s="68"/>
      <c r="G15" s="68">
        <v>10.9</v>
      </c>
      <c r="H15" s="68">
        <v>12.1</v>
      </c>
      <c r="I15" s="68">
        <v>1.8</v>
      </c>
      <c r="J15" s="68"/>
      <c r="K15" s="68">
        <v>9.6</v>
      </c>
      <c r="L15" s="68"/>
      <c r="M15" s="68">
        <v>11.1</v>
      </c>
      <c r="N15" s="68"/>
      <c r="O15" s="68"/>
      <c r="P15" s="68">
        <v>14.2</v>
      </c>
      <c r="Q15" s="68"/>
      <c r="R15" s="68">
        <v>8.4</v>
      </c>
      <c r="S15" s="68">
        <v>12.5</v>
      </c>
      <c r="T15" s="68">
        <v>5.5</v>
      </c>
      <c r="U15" s="68">
        <v>2.8</v>
      </c>
      <c r="V15" s="68">
        <v>2.6</v>
      </c>
      <c r="W15" s="68">
        <v>20.5</v>
      </c>
      <c r="X15" s="68">
        <v>9.9</v>
      </c>
      <c r="Y15" s="68">
        <v>8.3000000000000007</v>
      </c>
      <c r="Z15" s="68">
        <v>20.399999999999999</v>
      </c>
      <c r="AA15" s="68">
        <v>19.5</v>
      </c>
      <c r="AB15" s="68">
        <v>5.2</v>
      </c>
      <c r="AC15" s="68"/>
      <c r="AD15" s="68"/>
      <c r="AE15" s="68"/>
      <c r="AF15" s="68">
        <v>15.5</v>
      </c>
      <c r="AG15" s="68"/>
      <c r="AH15" s="68"/>
      <c r="AI15" s="68"/>
      <c r="AJ15" s="68">
        <v>10.4</v>
      </c>
      <c r="AK15" s="68">
        <v>3.6</v>
      </c>
      <c r="AL15" s="68">
        <v>9</v>
      </c>
      <c r="AM15" s="68">
        <v>9.8000000000000007</v>
      </c>
      <c r="AN15" s="68">
        <v>10.1</v>
      </c>
      <c r="AO15" s="68">
        <v>4.5</v>
      </c>
      <c r="AP15" s="68"/>
      <c r="AQ15" s="68">
        <v>9.8000000000000007</v>
      </c>
      <c r="AR15" s="68">
        <v>12.2</v>
      </c>
      <c r="AS15" s="68"/>
      <c r="AT15" s="68"/>
      <c r="AU15" s="68">
        <v>7.5</v>
      </c>
      <c r="AV15" s="68"/>
      <c r="AW15" s="68"/>
      <c r="AX15" s="68"/>
      <c r="AY15" s="68"/>
      <c r="AZ15" s="68"/>
      <c r="BA15" s="68">
        <v>2.4</v>
      </c>
      <c r="BB15" s="68"/>
      <c r="BC15" s="68"/>
      <c r="BD15" s="68"/>
      <c r="BE15" s="68"/>
      <c r="BF15" s="68"/>
      <c r="BG15" s="68"/>
      <c r="BH15" s="68"/>
      <c r="BI15" s="68">
        <v>0.6</v>
      </c>
      <c r="BJ15" s="68"/>
      <c r="BK15" s="68"/>
      <c r="BL15" s="68"/>
      <c r="BM15" s="68"/>
      <c r="BN15" s="68"/>
      <c r="BO15" s="68"/>
      <c r="BP15" s="68"/>
      <c r="BQ15" s="68"/>
      <c r="BR15" s="68">
        <v>2</v>
      </c>
      <c r="BS15" s="68"/>
      <c r="BT15" s="68"/>
      <c r="BU15" s="68">
        <v>1.3</v>
      </c>
      <c r="BV15" s="68">
        <v>19.5</v>
      </c>
      <c r="BW15" s="68">
        <v>9.9</v>
      </c>
      <c r="BX15" s="68">
        <v>18.7</v>
      </c>
      <c r="BY15" s="68"/>
      <c r="BZ15" s="68">
        <v>16.3</v>
      </c>
      <c r="CA15" s="69">
        <v>356.8</v>
      </c>
    </row>
    <row r="16" spans="1:79" x14ac:dyDescent="0.3">
      <c r="A16" s="1"/>
      <c r="B16" s="50" t="s">
        <v>1095</v>
      </c>
      <c r="C16" s="64"/>
      <c r="D16" s="64">
        <v>18.5</v>
      </c>
      <c r="E16" s="64"/>
      <c r="F16" s="64"/>
      <c r="G16" s="64">
        <v>11.3</v>
      </c>
      <c r="H16" s="64">
        <v>12.1</v>
      </c>
      <c r="I16" s="64">
        <v>1.8</v>
      </c>
      <c r="J16" s="64"/>
      <c r="K16" s="64">
        <v>9.1999999999999993</v>
      </c>
      <c r="L16" s="64"/>
      <c r="M16" s="64">
        <v>10.9</v>
      </c>
      <c r="N16" s="64"/>
      <c r="O16" s="64"/>
      <c r="P16" s="64">
        <v>14.2</v>
      </c>
      <c r="Q16" s="64"/>
      <c r="R16" s="64">
        <v>8.3000000000000007</v>
      </c>
      <c r="S16" s="64">
        <v>12.6</v>
      </c>
      <c r="T16" s="64">
        <v>5.4</v>
      </c>
      <c r="U16" s="64">
        <v>2.8</v>
      </c>
      <c r="V16" s="64">
        <v>2.6</v>
      </c>
      <c r="W16" s="64">
        <v>20.6</v>
      </c>
      <c r="X16" s="64">
        <v>9.9</v>
      </c>
      <c r="Y16" s="64">
        <v>8.3000000000000007</v>
      </c>
      <c r="Z16" s="64">
        <v>25.1</v>
      </c>
      <c r="AA16" s="64">
        <v>13.8</v>
      </c>
      <c r="AB16" s="64">
        <v>4.8</v>
      </c>
      <c r="AC16" s="64"/>
      <c r="AD16" s="64"/>
      <c r="AE16" s="64">
        <v>0.3</v>
      </c>
      <c r="AF16" s="64">
        <v>18</v>
      </c>
      <c r="AG16" s="64"/>
      <c r="AH16" s="64"/>
      <c r="AI16" s="64"/>
      <c r="AJ16" s="64">
        <v>10.3</v>
      </c>
      <c r="AK16" s="64">
        <v>3.6</v>
      </c>
      <c r="AL16" s="64">
        <v>9</v>
      </c>
      <c r="AM16" s="64">
        <v>9.8000000000000007</v>
      </c>
      <c r="AN16" s="64">
        <v>10.1</v>
      </c>
      <c r="AO16" s="64">
        <v>4.5</v>
      </c>
      <c r="AP16" s="64"/>
      <c r="AQ16" s="64">
        <v>12.1</v>
      </c>
      <c r="AR16" s="64">
        <v>13.6</v>
      </c>
      <c r="AS16" s="64"/>
      <c r="AT16" s="64"/>
      <c r="AU16" s="64">
        <v>7.5</v>
      </c>
      <c r="AV16" s="64"/>
      <c r="AW16" s="64"/>
      <c r="AX16" s="64"/>
      <c r="AY16" s="64"/>
      <c r="AZ16" s="64"/>
      <c r="BA16" s="64">
        <v>2.4</v>
      </c>
      <c r="BB16" s="64"/>
      <c r="BC16" s="64"/>
      <c r="BD16" s="64"/>
      <c r="BE16" s="64"/>
      <c r="BF16" s="64"/>
      <c r="BG16" s="64"/>
      <c r="BH16" s="64"/>
      <c r="BI16" s="64">
        <v>0.6</v>
      </c>
      <c r="BJ16" s="64"/>
      <c r="BK16" s="64"/>
      <c r="BL16" s="64"/>
      <c r="BM16" s="64"/>
      <c r="BN16" s="64">
        <v>0.2</v>
      </c>
      <c r="BO16" s="64"/>
      <c r="BP16" s="64"/>
      <c r="BQ16" s="64"/>
      <c r="BR16" s="64">
        <v>2</v>
      </c>
      <c r="BS16" s="64"/>
      <c r="BT16" s="64"/>
      <c r="BU16" s="64">
        <v>1.3</v>
      </c>
      <c r="BV16" s="64">
        <v>19.600000000000001</v>
      </c>
      <c r="BW16" s="64">
        <v>10</v>
      </c>
      <c r="BX16" s="64">
        <v>18.8</v>
      </c>
      <c r="BY16" s="64"/>
      <c r="BZ16" s="64">
        <v>16.3</v>
      </c>
      <c r="CA16" s="65">
        <v>362.2</v>
      </c>
    </row>
    <row r="17" spans="1:79" x14ac:dyDescent="0.3">
      <c r="A17" s="1"/>
      <c r="B17" s="54" t="s">
        <v>1096</v>
      </c>
      <c r="C17" s="66"/>
      <c r="D17" s="66">
        <v>18.8</v>
      </c>
      <c r="E17" s="66"/>
      <c r="F17" s="66"/>
      <c r="G17" s="66">
        <v>11.3</v>
      </c>
      <c r="H17" s="66">
        <v>12.1</v>
      </c>
      <c r="I17" s="66">
        <v>1.8</v>
      </c>
      <c r="J17" s="66"/>
      <c r="K17" s="66">
        <v>9</v>
      </c>
      <c r="L17" s="66"/>
      <c r="M17" s="66">
        <v>10.7</v>
      </c>
      <c r="N17" s="66"/>
      <c r="O17" s="66"/>
      <c r="P17" s="66">
        <v>14.2</v>
      </c>
      <c r="Q17" s="66"/>
      <c r="R17" s="66">
        <v>8.1999999999999993</v>
      </c>
      <c r="S17" s="66">
        <v>12.2</v>
      </c>
      <c r="T17" s="66">
        <v>5.5</v>
      </c>
      <c r="U17" s="66">
        <v>2.8</v>
      </c>
      <c r="V17" s="66">
        <v>2.5</v>
      </c>
      <c r="W17" s="66">
        <v>20.2</v>
      </c>
      <c r="X17" s="66">
        <v>9.9</v>
      </c>
      <c r="Y17" s="66">
        <v>8.3000000000000007</v>
      </c>
      <c r="Z17" s="66">
        <v>31.7</v>
      </c>
      <c r="AA17" s="66">
        <v>21.2</v>
      </c>
      <c r="AB17" s="66">
        <v>4.5999999999999996</v>
      </c>
      <c r="AC17" s="66"/>
      <c r="AD17" s="66"/>
      <c r="AE17" s="66"/>
      <c r="AF17" s="66">
        <v>14.1</v>
      </c>
      <c r="AG17" s="66"/>
      <c r="AH17" s="66"/>
      <c r="AI17" s="66"/>
      <c r="AJ17" s="66">
        <v>10.3</v>
      </c>
      <c r="AK17" s="66">
        <v>3.6</v>
      </c>
      <c r="AL17" s="66">
        <v>9</v>
      </c>
      <c r="AM17" s="66">
        <v>9.8000000000000007</v>
      </c>
      <c r="AN17" s="66">
        <v>10.1</v>
      </c>
      <c r="AO17" s="66">
        <v>4.5</v>
      </c>
      <c r="AP17" s="66"/>
      <c r="AQ17" s="66">
        <v>11.7</v>
      </c>
      <c r="AR17" s="66">
        <v>10.8</v>
      </c>
      <c r="AS17" s="66"/>
      <c r="AT17" s="66"/>
      <c r="AU17" s="66">
        <v>7.5</v>
      </c>
      <c r="AV17" s="66"/>
      <c r="AW17" s="66"/>
      <c r="AX17" s="66"/>
      <c r="AY17" s="66"/>
      <c r="AZ17" s="66"/>
      <c r="BA17" s="66">
        <v>2.4</v>
      </c>
      <c r="BB17" s="66"/>
      <c r="BC17" s="66"/>
      <c r="BD17" s="66"/>
      <c r="BE17" s="66"/>
      <c r="BF17" s="66"/>
      <c r="BG17" s="66"/>
      <c r="BH17" s="66"/>
      <c r="BI17" s="66">
        <v>0.6</v>
      </c>
      <c r="BJ17" s="66"/>
      <c r="BK17" s="66"/>
      <c r="BL17" s="66"/>
      <c r="BM17" s="66"/>
      <c r="BN17" s="66">
        <v>0.3</v>
      </c>
      <c r="BO17" s="66"/>
      <c r="BP17" s="66"/>
      <c r="BQ17" s="66"/>
      <c r="BR17" s="66">
        <v>2</v>
      </c>
      <c r="BS17" s="66"/>
      <c r="BT17" s="66"/>
      <c r="BU17" s="66">
        <v>1.3</v>
      </c>
      <c r="BV17" s="66">
        <v>19.600000000000001</v>
      </c>
      <c r="BW17" s="66">
        <v>10</v>
      </c>
      <c r="BX17" s="66">
        <v>18.8</v>
      </c>
      <c r="BY17" s="66"/>
      <c r="BZ17" s="66">
        <v>16.2</v>
      </c>
      <c r="CA17" s="67">
        <v>367.6</v>
      </c>
    </row>
    <row r="18" spans="1:79" x14ac:dyDescent="0.3">
      <c r="A18" s="1"/>
      <c r="B18" s="54" t="s">
        <v>1097</v>
      </c>
      <c r="C18" s="66"/>
      <c r="D18" s="66">
        <v>18.899999999999999</v>
      </c>
      <c r="E18" s="66"/>
      <c r="F18" s="66"/>
      <c r="G18" s="66">
        <v>11.3</v>
      </c>
      <c r="H18" s="66">
        <v>12.1</v>
      </c>
      <c r="I18" s="66">
        <v>1.8</v>
      </c>
      <c r="J18" s="66"/>
      <c r="K18" s="66">
        <v>8.1999999999999993</v>
      </c>
      <c r="L18" s="66"/>
      <c r="M18" s="66">
        <v>10.4</v>
      </c>
      <c r="N18" s="66"/>
      <c r="O18" s="66"/>
      <c r="P18" s="66">
        <v>14.2</v>
      </c>
      <c r="Q18" s="66"/>
      <c r="R18" s="66">
        <v>8.1</v>
      </c>
      <c r="S18" s="66">
        <v>11.9</v>
      </c>
      <c r="T18" s="66">
        <v>5.4</v>
      </c>
      <c r="U18" s="66">
        <v>2.8</v>
      </c>
      <c r="V18" s="66">
        <v>2.5</v>
      </c>
      <c r="W18" s="66">
        <v>19.7</v>
      </c>
      <c r="X18" s="66">
        <v>9.9</v>
      </c>
      <c r="Y18" s="66">
        <v>8.3000000000000007</v>
      </c>
      <c r="Z18" s="66">
        <v>36.5</v>
      </c>
      <c r="AA18" s="66">
        <v>20.8</v>
      </c>
      <c r="AB18" s="66">
        <v>12.1</v>
      </c>
      <c r="AC18" s="66"/>
      <c r="AD18" s="66"/>
      <c r="AE18" s="66">
        <v>0.1</v>
      </c>
      <c r="AF18" s="66">
        <v>16.2</v>
      </c>
      <c r="AG18" s="66"/>
      <c r="AH18" s="66"/>
      <c r="AI18" s="66"/>
      <c r="AJ18" s="66">
        <v>10.3</v>
      </c>
      <c r="AK18" s="66">
        <v>3.6</v>
      </c>
      <c r="AL18" s="66">
        <v>9</v>
      </c>
      <c r="AM18" s="66">
        <v>9.8000000000000007</v>
      </c>
      <c r="AN18" s="66">
        <v>10.1</v>
      </c>
      <c r="AO18" s="66">
        <v>4.5</v>
      </c>
      <c r="AP18" s="66"/>
      <c r="AQ18" s="66">
        <v>12.7</v>
      </c>
      <c r="AR18" s="66">
        <v>11.5</v>
      </c>
      <c r="AS18" s="66"/>
      <c r="AT18" s="66"/>
      <c r="AU18" s="66">
        <v>7.5</v>
      </c>
      <c r="AV18" s="66"/>
      <c r="AW18" s="66"/>
      <c r="AX18" s="66"/>
      <c r="AY18" s="66"/>
      <c r="AZ18" s="66"/>
      <c r="BA18" s="66">
        <v>2.4</v>
      </c>
      <c r="BB18" s="66"/>
      <c r="BC18" s="66"/>
      <c r="BD18" s="66"/>
      <c r="BE18" s="66"/>
      <c r="BF18" s="66"/>
      <c r="BG18" s="66"/>
      <c r="BH18" s="66"/>
      <c r="BI18" s="66">
        <v>0.6</v>
      </c>
      <c r="BJ18" s="66"/>
      <c r="BK18" s="66"/>
      <c r="BL18" s="66"/>
      <c r="BM18" s="66"/>
      <c r="BN18" s="66">
        <v>0.9</v>
      </c>
      <c r="BO18" s="66">
        <v>1.2</v>
      </c>
      <c r="BP18" s="66"/>
      <c r="BQ18" s="66"/>
      <c r="BR18" s="66">
        <v>2</v>
      </c>
      <c r="BS18" s="66"/>
      <c r="BT18" s="66"/>
      <c r="BU18" s="66">
        <v>1.3</v>
      </c>
      <c r="BV18" s="66">
        <v>19.600000000000001</v>
      </c>
      <c r="BW18" s="66">
        <v>10</v>
      </c>
      <c r="BX18" s="66">
        <v>18.899999999999999</v>
      </c>
      <c r="BY18" s="66"/>
      <c r="BZ18" s="66">
        <v>15.9</v>
      </c>
      <c r="CA18" s="67">
        <v>383</v>
      </c>
    </row>
    <row r="19" spans="1:79" x14ac:dyDescent="0.3">
      <c r="A19" s="1"/>
      <c r="B19" s="54" t="s">
        <v>1098</v>
      </c>
      <c r="C19" s="66"/>
      <c r="D19" s="66">
        <v>18.7</v>
      </c>
      <c r="E19" s="66"/>
      <c r="F19" s="66"/>
      <c r="G19" s="66">
        <v>11.3</v>
      </c>
      <c r="H19" s="66">
        <v>12.1</v>
      </c>
      <c r="I19" s="66">
        <v>1.8</v>
      </c>
      <c r="J19" s="66"/>
      <c r="K19" s="66">
        <v>6.5</v>
      </c>
      <c r="L19" s="66"/>
      <c r="M19" s="66">
        <v>11.1</v>
      </c>
      <c r="N19" s="66"/>
      <c r="O19" s="66"/>
      <c r="P19" s="66">
        <v>14.3</v>
      </c>
      <c r="Q19" s="66"/>
      <c r="R19" s="66">
        <v>8.4</v>
      </c>
      <c r="S19" s="66">
        <v>12.2</v>
      </c>
      <c r="T19" s="66">
        <v>5.2</v>
      </c>
      <c r="U19" s="66">
        <v>2.8</v>
      </c>
      <c r="V19" s="66">
        <v>2.5</v>
      </c>
      <c r="W19" s="66">
        <v>20.6</v>
      </c>
      <c r="X19" s="66">
        <v>9.9</v>
      </c>
      <c r="Y19" s="66">
        <v>8.1999999999999993</v>
      </c>
      <c r="Z19" s="66">
        <v>37.4</v>
      </c>
      <c r="AA19" s="66">
        <v>20.2</v>
      </c>
      <c r="AB19" s="66">
        <v>12.7</v>
      </c>
      <c r="AC19" s="66"/>
      <c r="AD19" s="66"/>
      <c r="AE19" s="66">
        <v>0.9</v>
      </c>
      <c r="AF19" s="66">
        <v>24.3</v>
      </c>
      <c r="AG19" s="66"/>
      <c r="AH19" s="66"/>
      <c r="AI19" s="66"/>
      <c r="AJ19" s="66">
        <v>10.3</v>
      </c>
      <c r="AK19" s="66">
        <v>3.6</v>
      </c>
      <c r="AL19" s="66">
        <v>9</v>
      </c>
      <c r="AM19" s="66">
        <v>9.8000000000000007</v>
      </c>
      <c r="AN19" s="66">
        <v>10.1</v>
      </c>
      <c r="AO19" s="66">
        <v>4.5</v>
      </c>
      <c r="AP19" s="66"/>
      <c r="AQ19" s="66">
        <v>12.6</v>
      </c>
      <c r="AR19" s="66">
        <v>11.8</v>
      </c>
      <c r="AS19" s="66"/>
      <c r="AT19" s="66"/>
      <c r="AU19" s="66">
        <v>7.5</v>
      </c>
      <c r="AV19" s="66"/>
      <c r="AW19" s="66">
        <v>1.2</v>
      </c>
      <c r="AX19" s="66"/>
      <c r="AY19" s="66"/>
      <c r="AZ19" s="66"/>
      <c r="BA19" s="66">
        <v>2.4</v>
      </c>
      <c r="BB19" s="66"/>
      <c r="BC19" s="66"/>
      <c r="BD19" s="66"/>
      <c r="BE19" s="66"/>
      <c r="BF19" s="66">
        <v>10</v>
      </c>
      <c r="BG19" s="66"/>
      <c r="BH19" s="66"/>
      <c r="BI19" s="66">
        <v>0.6</v>
      </c>
      <c r="BJ19" s="66"/>
      <c r="BK19" s="66"/>
      <c r="BL19" s="66"/>
      <c r="BM19" s="66"/>
      <c r="BN19" s="66">
        <v>1</v>
      </c>
      <c r="BO19" s="66">
        <v>1.6</v>
      </c>
      <c r="BP19" s="66"/>
      <c r="BQ19" s="66"/>
      <c r="BR19" s="66">
        <v>2</v>
      </c>
      <c r="BS19" s="66"/>
      <c r="BT19" s="66"/>
      <c r="BU19" s="66">
        <v>1.3</v>
      </c>
      <c r="BV19" s="66">
        <v>19.600000000000001</v>
      </c>
      <c r="BW19" s="66">
        <v>10</v>
      </c>
      <c r="BX19" s="66">
        <v>18.8</v>
      </c>
      <c r="BY19" s="66"/>
      <c r="BZ19" s="66">
        <v>16.3</v>
      </c>
      <c r="CA19" s="67">
        <v>405.1</v>
      </c>
    </row>
    <row r="20" spans="1:79" x14ac:dyDescent="0.3">
      <c r="A20" s="1"/>
      <c r="B20" s="54" t="s">
        <v>1099</v>
      </c>
      <c r="C20" s="66"/>
      <c r="D20" s="66">
        <v>16.5</v>
      </c>
      <c r="E20" s="66"/>
      <c r="F20" s="66"/>
      <c r="G20" s="66">
        <v>11.3</v>
      </c>
      <c r="H20" s="66">
        <v>12.1</v>
      </c>
      <c r="I20" s="66">
        <v>1.7</v>
      </c>
      <c r="J20" s="66"/>
      <c r="K20" s="66">
        <v>6.2</v>
      </c>
      <c r="L20" s="66"/>
      <c r="M20" s="66">
        <v>10.9</v>
      </c>
      <c r="N20" s="66"/>
      <c r="O20" s="66"/>
      <c r="P20" s="66">
        <v>15.6</v>
      </c>
      <c r="Q20" s="66"/>
      <c r="R20" s="66">
        <v>8.3000000000000007</v>
      </c>
      <c r="S20" s="66">
        <v>11.5</v>
      </c>
      <c r="T20" s="66">
        <v>5</v>
      </c>
      <c r="U20" s="66">
        <v>2.8</v>
      </c>
      <c r="V20" s="66">
        <v>2.5</v>
      </c>
      <c r="W20" s="66">
        <v>20.3</v>
      </c>
      <c r="X20" s="66">
        <v>9.9</v>
      </c>
      <c r="Y20" s="66">
        <v>4.5</v>
      </c>
      <c r="Z20" s="66">
        <v>41.5</v>
      </c>
      <c r="AA20" s="66">
        <v>24.1</v>
      </c>
      <c r="AB20" s="66">
        <v>19.100000000000001</v>
      </c>
      <c r="AC20" s="66"/>
      <c r="AD20" s="66"/>
      <c r="AE20" s="66">
        <v>0.3</v>
      </c>
      <c r="AF20" s="66">
        <v>21.3</v>
      </c>
      <c r="AG20" s="66">
        <v>0.4</v>
      </c>
      <c r="AH20" s="66"/>
      <c r="AI20" s="66"/>
      <c r="AJ20" s="66">
        <v>10.3</v>
      </c>
      <c r="AK20" s="66">
        <v>3.5</v>
      </c>
      <c r="AL20" s="66">
        <v>9</v>
      </c>
      <c r="AM20" s="66">
        <v>9.8000000000000007</v>
      </c>
      <c r="AN20" s="66">
        <v>10.1</v>
      </c>
      <c r="AO20" s="66">
        <v>4.7</v>
      </c>
      <c r="AP20" s="66">
        <v>2.7</v>
      </c>
      <c r="AQ20" s="66">
        <v>12</v>
      </c>
      <c r="AR20" s="66">
        <v>11.5</v>
      </c>
      <c r="AS20" s="66"/>
      <c r="AT20" s="66"/>
      <c r="AU20" s="66">
        <v>7.5</v>
      </c>
      <c r="AV20" s="66"/>
      <c r="AW20" s="66">
        <v>7.7</v>
      </c>
      <c r="AX20" s="66">
        <v>5.7</v>
      </c>
      <c r="AY20" s="66">
        <v>2.6</v>
      </c>
      <c r="AZ20" s="66"/>
      <c r="BA20" s="66">
        <v>2.4</v>
      </c>
      <c r="BB20" s="66"/>
      <c r="BC20" s="66"/>
      <c r="BD20" s="66">
        <v>0.1</v>
      </c>
      <c r="BE20" s="66">
        <v>4.4000000000000004</v>
      </c>
      <c r="BF20" s="66">
        <v>9.9</v>
      </c>
      <c r="BG20" s="66">
        <v>0.3</v>
      </c>
      <c r="BH20" s="66"/>
      <c r="BI20" s="66">
        <v>0.6</v>
      </c>
      <c r="BJ20" s="66">
        <v>4.5999999999999996</v>
      </c>
      <c r="BK20" s="66">
        <v>5.8</v>
      </c>
      <c r="BL20" s="66"/>
      <c r="BM20" s="66"/>
      <c r="BN20" s="66">
        <v>1.9</v>
      </c>
      <c r="BO20" s="66">
        <v>3.6</v>
      </c>
      <c r="BP20" s="66"/>
      <c r="BQ20" s="66"/>
      <c r="BR20" s="66">
        <v>2</v>
      </c>
      <c r="BS20" s="66"/>
      <c r="BT20" s="66"/>
      <c r="BU20" s="66">
        <v>1.3</v>
      </c>
      <c r="BV20" s="66">
        <v>19.600000000000001</v>
      </c>
      <c r="BW20" s="66">
        <v>10</v>
      </c>
      <c r="BX20" s="66">
        <v>18.899999999999999</v>
      </c>
      <c r="BY20" s="66"/>
      <c r="BZ20" s="66">
        <v>16.3</v>
      </c>
      <c r="CA20" s="67">
        <v>444.6</v>
      </c>
    </row>
    <row r="21" spans="1:79" x14ac:dyDescent="0.3">
      <c r="A21" s="1"/>
      <c r="B21" s="54" t="s">
        <v>1100</v>
      </c>
      <c r="C21" s="66"/>
      <c r="D21" s="66">
        <v>18.2</v>
      </c>
      <c r="E21" s="66"/>
      <c r="F21" s="66"/>
      <c r="G21" s="66">
        <v>11</v>
      </c>
      <c r="H21" s="66">
        <v>12.2</v>
      </c>
      <c r="I21" s="66">
        <v>1.8</v>
      </c>
      <c r="J21" s="66"/>
      <c r="K21" s="66">
        <v>6.1</v>
      </c>
      <c r="L21" s="66"/>
      <c r="M21" s="66">
        <v>11.1</v>
      </c>
      <c r="N21" s="66"/>
      <c r="O21" s="66"/>
      <c r="P21" s="66">
        <v>15.9</v>
      </c>
      <c r="Q21" s="66"/>
      <c r="R21" s="66">
        <v>8.4</v>
      </c>
      <c r="S21" s="66">
        <v>11.6</v>
      </c>
      <c r="T21" s="66">
        <v>4.9000000000000004</v>
      </c>
      <c r="U21" s="66">
        <v>2.8</v>
      </c>
      <c r="V21" s="66">
        <v>2.5</v>
      </c>
      <c r="W21" s="66">
        <v>20.6</v>
      </c>
      <c r="X21" s="66">
        <v>9.9</v>
      </c>
      <c r="Y21" s="66">
        <v>4.4000000000000004</v>
      </c>
      <c r="Z21" s="66">
        <v>37.1</v>
      </c>
      <c r="AA21" s="66">
        <v>24.3</v>
      </c>
      <c r="AB21" s="66">
        <v>22.3</v>
      </c>
      <c r="AC21" s="66"/>
      <c r="AD21" s="66"/>
      <c r="AE21" s="66">
        <v>1</v>
      </c>
      <c r="AF21" s="66">
        <v>32.1</v>
      </c>
      <c r="AG21" s="66">
        <v>7.8</v>
      </c>
      <c r="AH21" s="66">
        <v>0.3</v>
      </c>
      <c r="AI21" s="66"/>
      <c r="AJ21" s="66">
        <v>10.199999999999999</v>
      </c>
      <c r="AK21" s="66">
        <v>3.5</v>
      </c>
      <c r="AL21" s="66">
        <v>9</v>
      </c>
      <c r="AM21" s="66">
        <v>9.8000000000000007</v>
      </c>
      <c r="AN21" s="66">
        <v>10.1</v>
      </c>
      <c r="AO21" s="66">
        <v>4.7</v>
      </c>
      <c r="AP21" s="66">
        <v>21.7</v>
      </c>
      <c r="AQ21" s="66">
        <v>11.6</v>
      </c>
      <c r="AR21" s="66">
        <v>10.1</v>
      </c>
      <c r="AS21" s="66"/>
      <c r="AT21" s="66"/>
      <c r="AU21" s="66">
        <v>7.5</v>
      </c>
      <c r="AV21" s="66"/>
      <c r="AW21" s="66">
        <v>70.2</v>
      </c>
      <c r="AX21" s="66">
        <v>40.9</v>
      </c>
      <c r="AY21" s="66">
        <v>22.6</v>
      </c>
      <c r="AZ21" s="66"/>
      <c r="BA21" s="66">
        <v>2.4</v>
      </c>
      <c r="BB21" s="66">
        <v>3</v>
      </c>
      <c r="BC21" s="66"/>
      <c r="BD21" s="66">
        <v>0.7</v>
      </c>
      <c r="BE21" s="66">
        <v>4.2</v>
      </c>
      <c r="BF21" s="66">
        <v>9.9</v>
      </c>
      <c r="BG21" s="66">
        <v>1.5</v>
      </c>
      <c r="BH21" s="66"/>
      <c r="BI21" s="66">
        <v>0.6</v>
      </c>
      <c r="BJ21" s="66">
        <v>33.799999999999997</v>
      </c>
      <c r="BK21" s="66">
        <v>41.1</v>
      </c>
      <c r="BL21" s="66"/>
      <c r="BM21" s="66">
        <v>0.5</v>
      </c>
      <c r="BN21" s="66">
        <v>2.8</v>
      </c>
      <c r="BO21" s="66">
        <v>5.3</v>
      </c>
      <c r="BP21" s="66"/>
      <c r="BQ21" s="66"/>
      <c r="BR21" s="66">
        <v>2</v>
      </c>
      <c r="BS21" s="66"/>
      <c r="BT21" s="66">
        <v>2.9</v>
      </c>
      <c r="BU21" s="66">
        <v>1.3</v>
      </c>
      <c r="BV21" s="66">
        <v>19.5</v>
      </c>
      <c r="BW21" s="66">
        <v>10</v>
      </c>
      <c r="BX21" s="66">
        <v>18.899999999999999</v>
      </c>
      <c r="BY21" s="66">
        <v>0.4</v>
      </c>
      <c r="BZ21" s="66">
        <v>16.3</v>
      </c>
      <c r="CA21" s="67">
        <v>675.3</v>
      </c>
    </row>
    <row r="22" spans="1:79" x14ac:dyDescent="0.3">
      <c r="A22" s="1"/>
      <c r="B22" s="54" t="s">
        <v>1101</v>
      </c>
      <c r="C22" s="66"/>
      <c r="D22" s="66">
        <v>18.399999999999999</v>
      </c>
      <c r="E22" s="66"/>
      <c r="F22" s="66"/>
      <c r="G22" s="66">
        <v>11.4</v>
      </c>
      <c r="H22" s="66">
        <v>12.2</v>
      </c>
      <c r="I22" s="66">
        <v>1.7</v>
      </c>
      <c r="J22" s="66"/>
      <c r="K22" s="66">
        <v>5.2</v>
      </c>
      <c r="L22" s="66"/>
      <c r="M22" s="66">
        <v>11.1</v>
      </c>
      <c r="N22" s="66"/>
      <c r="O22" s="66">
        <v>0.1</v>
      </c>
      <c r="P22" s="66">
        <v>15.6</v>
      </c>
      <c r="Q22" s="66"/>
      <c r="R22" s="66">
        <v>8.4</v>
      </c>
      <c r="S22" s="66">
        <v>11.8</v>
      </c>
      <c r="T22" s="66">
        <v>4.9000000000000004</v>
      </c>
      <c r="U22" s="66">
        <v>2.8</v>
      </c>
      <c r="V22" s="66">
        <v>2.5</v>
      </c>
      <c r="W22" s="66">
        <v>20.8</v>
      </c>
      <c r="X22" s="66">
        <v>9.9</v>
      </c>
      <c r="Y22" s="66">
        <v>4.5</v>
      </c>
      <c r="Z22" s="66">
        <v>24.1</v>
      </c>
      <c r="AA22" s="66">
        <v>23.3</v>
      </c>
      <c r="AB22" s="66">
        <v>19.2</v>
      </c>
      <c r="AC22" s="66"/>
      <c r="AD22" s="66"/>
      <c r="AE22" s="66">
        <v>0.8</v>
      </c>
      <c r="AF22" s="66">
        <v>41.2</v>
      </c>
      <c r="AG22" s="66">
        <v>17.7</v>
      </c>
      <c r="AH22" s="66">
        <v>0.9</v>
      </c>
      <c r="AI22" s="66"/>
      <c r="AJ22" s="66">
        <v>10.1</v>
      </c>
      <c r="AK22" s="66">
        <v>3.5</v>
      </c>
      <c r="AL22" s="66">
        <v>9</v>
      </c>
      <c r="AM22" s="66">
        <v>9.6</v>
      </c>
      <c r="AN22" s="66">
        <v>9.9</v>
      </c>
      <c r="AO22" s="66">
        <v>4.7</v>
      </c>
      <c r="AP22" s="66">
        <v>44.5</v>
      </c>
      <c r="AQ22" s="66">
        <v>13.1</v>
      </c>
      <c r="AR22" s="66">
        <v>11.5</v>
      </c>
      <c r="AS22" s="66"/>
      <c r="AT22" s="66"/>
      <c r="AU22" s="66">
        <v>7.5</v>
      </c>
      <c r="AV22" s="66"/>
      <c r="AW22" s="66">
        <v>146.19999999999999</v>
      </c>
      <c r="AX22" s="66">
        <v>76.900000000000006</v>
      </c>
      <c r="AY22" s="66">
        <v>44.9</v>
      </c>
      <c r="AZ22" s="66"/>
      <c r="BA22" s="66">
        <v>2.4</v>
      </c>
      <c r="BB22" s="66">
        <v>5.4</v>
      </c>
      <c r="BC22" s="66"/>
      <c r="BD22" s="66">
        <v>1.7</v>
      </c>
      <c r="BE22" s="66">
        <v>4.2</v>
      </c>
      <c r="BF22" s="66">
        <v>9.9</v>
      </c>
      <c r="BG22" s="66">
        <v>9.6999999999999993</v>
      </c>
      <c r="BH22" s="66">
        <v>7</v>
      </c>
      <c r="BI22" s="66">
        <v>0.6</v>
      </c>
      <c r="BJ22" s="66">
        <v>67.400000000000006</v>
      </c>
      <c r="BK22" s="66">
        <v>83.2</v>
      </c>
      <c r="BL22" s="66"/>
      <c r="BM22" s="66">
        <v>1.6</v>
      </c>
      <c r="BN22" s="66">
        <v>2.4</v>
      </c>
      <c r="BO22" s="66">
        <v>6.9</v>
      </c>
      <c r="BP22" s="66"/>
      <c r="BQ22" s="66"/>
      <c r="BR22" s="66">
        <v>2</v>
      </c>
      <c r="BS22" s="66"/>
      <c r="BT22" s="66">
        <v>5.4</v>
      </c>
      <c r="BU22" s="66">
        <v>1.3</v>
      </c>
      <c r="BV22" s="66">
        <v>19.8</v>
      </c>
      <c r="BW22" s="66">
        <v>10</v>
      </c>
      <c r="BX22" s="66">
        <v>19.3</v>
      </c>
      <c r="BY22" s="66">
        <v>0.8</v>
      </c>
      <c r="BZ22" s="66">
        <v>16.399999999999999</v>
      </c>
      <c r="CA22" s="67">
        <v>937.3</v>
      </c>
    </row>
    <row r="23" spans="1:79" x14ac:dyDescent="0.3">
      <c r="A23" s="1"/>
      <c r="B23" s="56" t="s">
        <v>1102</v>
      </c>
      <c r="C23" s="68"/>
      <c r="D23" s="68">
        <v>18.600000000000001</v>
      </c>
      <c r="E23" s="68"/>
      <c r="F23" s="68"/>
      <c r="G23" s="68">
        <v>11.4</v>
      </c>
      <c r="H23" s="68">
        <v>12.2</v>
      </c>
      <c r="I23" s="68">
        <v>1.7</v>
      </c>
      <c r="J23" s="68"/>
      <c r="K23" s="68">
        <v>5.5</v>
      </c>
      <c r="L23" s="68"/>
      <c r="M23" s="68">
        <v>10.7</v>
      </c>
      <c r="N23" s="68">
        <v>0.1</v>
      </c>
      <c r="O23" s="68">
        <v>0.3</v>
      </c>
      <c r="P23" s="68">
        <v>14.8</v>
      </c>
      <c r="Q23" s="68"/>
      <c r="R23" s="68">
        <v>8.1999999999999993</v>
      </c>
      <c r="S23" s="68">
        <v>11.2</v>
      </c>
      <c r="T23" s="68">
        <v>4.5999999999999996</v>
      </c>
      <c r="U23" s="68">
        <v>2.8</v>
      </c>
      <c r="V23" s="68">
        <v>2.5</v>
      </c>
      <c r="W23" s="68">
        <v>20.2</v>
      </c>
      <c r="X23" s="68">
        <v>9.9</v>
      </c>
      <c r="Y23" s="68">
        <v>4.5</v>
      </c>
      <c r="Z23" s="68">
        <v>20.2</v>
      </c>
      <c r="AA23" s="68">
        <v>21.4</v>
      </c>
      <c r="AB23" s="68">
        <v>14.6</v>
      </c>
      <c r="AC23" s="68"/>
      <c r="AD23" s="68"/>
      <c r="AE23" s="68">
        <v>2.4</v>
      </c>
      <c r="AF23" s="68">
        <v>42.5</v>
      </c>
      <c r="AG23" s="68">
        <v>26.3</v>
      </c>
      <c r="AH23" s="68">
        <v>1.1000000000000001</v>
      </c>
      <c r="AI23" s="68"/>
      <c r="AJ23" s="68">
        <v>10</v>
      </c>
      <c r="AK23" s="68">
        <v>3.5</v>
      </c>
      <c r="AL23" s="68">
        <v>8.8000000000000007</v>
      </c>
      <c r="AM23" s="68">
        <v>9.6</v>
      </c>
      <c r="AN23" s="68">
        <v>9.9</v>
      </c>
      <c r="AO23" s="68">
        <v>4.7</v>
      </c>
      <c r="AP23" s="68">
        <v>63.6</v>
      </c>
      <c r="AQ23" s="68">
        <v>13</v>
      </c>
      <c r="AR23" s="68">
        <v>10.5</v>
      </c>
      <c r="AS23" s="68"/>
      <c r="AT23" s="68"/>
      <c r="AU23" s="68">
        <v>7.5</v>
      </c>
      <c r="AV23" s="68"/>
      <c r="AW23" s="68">
        <v>191.5</v>
      </c>
      <c r="AX23" s="68">
        <v>152.69999999999999</v>
      </c>
      <c r="AY23" s="68">
        <v>77.599999999999994</v>
      </c>
      <c r="AZ23" s="68">
        <v>0.1</v>
      </c>
      <c r="BA23" s="68">
        <v>2.4</v>
      </c>
      <c r="BB23" s="68">
        <v>7.8</v>
      </c>
      <c r="BC23" s="68"/>
      <c r="BD23" s="68">
        <v>2.8</v>
      </c>
      <c r="BE23" s="68">
        <v>4</v>
      </c>
      <c r="BF23" s="68">
        <v>9.9</v>
      </c>
      <c r="BG23" s="68">
        <v>11</v>
      </c>
      <c r="BH23" s="68">
        <v>12.6</v>
      </c>
      <c r="BI23" s="68">
        <v>0.6</v>
      </c>
      <c r="BJ23" s="68">
        <v>81.3</v>
      </c>
      <c r="BK23" s="68">
        <v>111.8</v>
      </c>
      <c r="BL23" s="68"/>
      <c r="BM23" s="68">
        <v>2.4</v>
      </c>
      <c r="BN23" s="68">
        <v>1.8</v>
      </c>
      <c r="BO23" s="68">
        <v>5</v>
      </c>
      <c r="BP23" s="68"/>
      <c r="BQ23" s="68"/>
      <c r="BR23" s="68">
        <v>2</v>
      </c>
      <c r="BS23" s="68"/>
      <c r="BT23" s="68">
        <v>7.2</v>
      </c>
      <c r="BU23" s="68">
        <v>1.3</v>
      </c>
      <c r="BV23" s="68">
        <v>19.600000000000001</v>
      </c>
      <c r="BW23" s="68">
        <v>10</v>
      </c>
      <c r="BX23" s="68">
        <v>19</v>
      </c>
      <c r="BY23" s="68">
        <v>1.3</v>
      </c>
      <c r="BZ23" s="68">
        <v>16.2</v>
      </c>
      <c r="CA23" s="69">
        <v>1160.7</v>
      </c>
    </row>
    <row r="24" spans="1:79" x14ac:dyDescent="0.3">
      <c r="A24" s="1"/>
      <c r="B24" s="50" t="s">
        <v>1103</v>
      </c>
      <c r="C24" s="64"/>
      <c r="D24" s="64">
        <v>18.3</v>
      </c>
      <c r="E24" s="64"/>
      <c r="F24" s="64"/>
      <c r="G24" s="64">
        <v>11.3</v>
      </c>
      <c r="H24" s="64">
        <v>2.8</v>
      </c>
      <c r="I24" s="64">
        <v>1.7</v>
      </c>
      <c r="J24" s="64"/>
      <c r="K24" s="64">
        <v>5.6</v>
      </c>
      <c r="L24" s="64"/>
      <c r="M24" s="64">
        <v>10.8</v>
      </c>
      <c r="N24" s="64">
        <v>0.2</v>
      </c>
      <c r="O24" s="64">
        <v>0.7</v>
      </c>
      <c r="P24" s="64">
        <v>14.7</v>
      </c>
      <c r="Q24" s="64"/>
      <c r="R24" s="64">
        <v>8.3000000000000007</v>
      </c>
      <c r="S24" s="64">
        <v>11.5</v>
      </c>
      <c r="T24" s="64">
        <v>4.5</v>
      </c>
      <c r="U24" s="64">
        <v>2.8</v>
      </c>
      <c r="V24" s="64">
        <v>2.5</v>
      </c>
      <c r="W24" s="64">
        <v>20.3</v>
      </c>
      <c r="X24" s="64">
        <v>9.9</v>
      </c>
      <c r="Y24" s="64">
        <v>8.3000000000000007</v>
      </c>
      <c r="Z24" s="64">
        <v>15.5</v>
      </c>
      <c r="AA24" s="64">
        <v>22.5</v>
      </c>
      <c r="AB24" s="64">
        <v>21.9</v>
      </c>
      <c r="AC24" s="64"/>
      <c r="AD24" s="64"/>
      <c r="AE24" s="64">
        <v>4.4000000000000004</v>
      </c>
      <c r="AF24" s="64">
        <v>37.200000000000003</v>
      </c>
      <c r="AG24" s="64">
        <v>29</v>
      </c>
      <c r="AH24" s="64">
        <v>1.2</v>
      </c>
      <c r="AI24" s="64"/>
      <c r="AJ24" s="64">
        <v>10</v>
      </c>
      <c r="AK24" s="64">
        <v>3.5</v>
      </c>
      <c r="AL24" s="64">
        <v>8.6</v>
      </c>
      <c r="AM24" s="64">
        <v>9.6</v>
      </c>
      <c r="AN24" s="64">
        <v>9.9</v>
      </c>
      <c r="AO24" s="64">
        <v>4.5</v>
      </c>
      <c r="AP24" s="64">
        <v>65.599999999999994</v>
      </c>
      <c r="AQ24" s="64">
        <v>15.6</v>
      </c>
      <c r="AR24" s="64">
        <v>12.8</v>
      </c>
      <c r="AS24" s="64"/>
      <c r="AT24" s="64"/>
      <c r="AU24" s="64">
        <v>7.5</v>
      </c>
      <c r="AV24" s="64"/>
      <c r="AW24" s="64">
        <v>196.8</v>
      </c>
      <c r="AX24" s="64">
        <v>156.9</v>
      </c>
      <c r="AY24" s="64">
        <v>80.3</v>
      </c>
      <c r="AZ24" s="64">
        <v>0.1</v>
      </c>
      <c r="BA24" s="64">
        <v>2.4</v>
      </c>
      <c r="BB24" s="64">
        <v>9.9</v>
      </c>
      <c r="BC24" s="64"/>
      <c r="BD24" s="64">
        <v>4.2</v>
      </c>
      <c r="BE24" s="64">
        <v>4.2</v>
      </c>
      <c r="BF24" s="64">
        <v>10</v>
      </c>
      <c r="BG24" s="64">
        <v>9.6999999999999993</v>
      </c>
      <c r="BH24" s="64">
        <v>6.9</v>
      </c>
      <c r="BI24" s="64">
        <v>0.6</v>
      </c>
      <c r="BJ24" s="64">
        <v>83.9</v>
      </c>
      <c r="BK24" s="64">
        <v>113.2</v>
      </c>
      <c r="BL24" s="64"/>
      <c r="BM24" s="64">
        <v>4.2</v>
      </c>
      <c r="BN24" s="64">
        <v>1.6</v>
      </c>
      <c r="BO24" s="64">
        <v>3.2</v>
      </c>
      <c r="BP24" s="64"/>
      <c r="BQ24" s="64"/>
      <c r="BR24" s="64">
        <v>2</v>
      </c>
      <c r="BS24" s="64"/>
      <c r="BT24" s="64">
        <v>9.1999999999999993</v>
      </c>
      <c r="BU24" s="64">
        <v>1.3</v>
      </c>
      <c r="BV24" s="64">
        <v>19.8</v>
      </c>
      <c r="BW24" s="64">
        <v>10</v>
      </c>
      <c r="BX24" s="64">
        <v>19.2</v>
      </c>
      <c r="BY24" s="64">
        <v>2.9</v>
      </c>
      <c r="BZ24" s="64">
        <v>15.8</v>
      </c>
      <c r="CA24" s="65">
        <v>1181.8</v>
      </c>
    </row>
    <row r="25" spans="1:79" x14ac:dyDescent="0.3">
      <c r="A25" s="1"/>
      <c r="B25" s="54" t="s">
        <v>1104</v>
      </c>
      <c r="C25" s="66"/>
      <c r="D25" s="66">
        <v>18.3</v>
      </c>
      <c r="E25" s="66"/>
      <c r="F25" s="66"/>
      <c r="G25" s="66">
        <v>11.4</v>
      </c>
      <c r="H25" s="66"/>
      <c r="I25" s="66">
        <v>1.7</v>
      </c>
      <c r="J25" s="66"/>
      <c r="K25" s="66">
        <v>6.5</v>
      </c>
      <c r="L25" s="66"/>
      <c r="M25" s="66">
        <v>11.2</v>
      </c>
      <c r="N25" s="66">
        <v>0.3</v>
      </c>
      <c r="O25" s="66">
        <v>0.8</v>
      </c>
      <c r="P25" s="66">
        <v>14.7</v>
      </c>
      <c r="Q25" s="66"/>
      <c r="R25" s="66">
        <v>8.4</v>
      </c>
      <c r="S25" s="66">
        <v>11.5</v>
      </c>
      <c r="T25" s="66">
        <v>4.5</v>
      </c>
      <c r="U25" s="66">
        <v>2.8</v>
      </c>
      <c r="V25" s="66">
        <v>2.5</v>
      </c>
      <c r="W25" s="66">
        <v>20.6</v>
      </c>
      <c r="X25" s="66">
        <v>9.9</v>
      </c>
      <c r="Y25" s="66">
        <v>8.3000000000000007</v>
      </c>
      <c r="Z25" s="66">
        <v>15.7</v>
      </c>
      <c r="AA25" s="66">
        <v>23.7</v>
      </c>
      <c r="AB25" s="66">
        <v>21.1</v>
      </c>
      <c r="AC25" s="66"/>
      <c r="AD25" s="66"/>
      <c r="AE25" s="66">
        <v>5.4</v>
      </c>
      <c r="AF25" s="66">
        <v>56.7</v>
      </c>
      <c r="AG25" s="66">
        <v>29.1</v>
      </c>
      <c r="AH25" s="66">
        <v>1.2</v>
      </c>
      <c r="AI25" s="66"/>
      <c r="AJ25" s="66">
        <v>10</v>
      </c>
      <c r="AK25" s="66">
        <v>3.5</v>
      </c>
      <c r="AL25" s="66">
        <v>8.6</v>
      </c>
      <c r="AM25" s="66">
        <v>9.6</v>
      </c>
      <c r="AN25" s="66">
        <v>9.9</v>
      </c>
      <c r="AO25" s="66">
        <v>4.5</v>
      </c>
      <c r="AP25" s="66">
        <v>65.8</v>
      </c>
      <c r="AQ25" s="66">
        <v>15.3</v>
      </c>
      <c r="AR25" s="66">
        <v>11.9</v>
      </c>
      <c r="AS25" s="66"/>
      <c r="AT25" s="66"/>
      <c r="AU25" s="66">
        <v>7.5</v>
      </c>
      <c r="AV25" s="66"/>
      <c r="AW25" s="66">
        <v>203.1</v>
      </c>
      <c r="AX25" s="66">
        <v>162.1</v>
      </c>
      <c r="AY25" s="66">
        <v>83</v>
      </c>
      <c r="AZ25" s="66">
        <v>0.2</v>
      </c>
      <c r="BA25" s="66">
        <v>2</v>
      </c>
      <c r="BB25" s="66">
        <v>11.8</v>
      </c>
      <c r="BC25" s="66"/>
      <c r="BD25" s="66">
        <v>6.2</v>
      </c>
      <c r="BE25" s="66">
        <v>4.2</v>
      </c>
      <c r="BF25" s="66">
        <v>10</v>
      </c>
      <c r="BG25" s="66">
        <v>5.8</v>
      </c>
      <c r="BH25" s="66">
        <v>3.6</v>
      </c>
      <c r="BI25" s="66">
        <v>0.6</v>
      </c>
      <c r="BJ25" s="66">
        <v>84.8</v>
      </c>
      <c r="BK25" s="66">
        <v>114.7</v>
      </c>
      <c r="BL25" s="66"/>
      <c r="BM25" s="66">
        <v>9.4</v>
      </c>
      <c r="BN25" s="66">
        <v>1</v>
      </c>
      <c r="BO25" s="66">
        <v>2.7</v>
      </c>
      <c r="BP25" s="66"/>
      <c r="BQ25" s="66"/>
      <c r="BR25" s="66">
        <v>2</v>
      </c>
      <c r="BS25" s="66"/>
      <c r="BT25" s="66">
        <v>10.9</v>
      </c>
      <c r="BU25" s="66">
        <v>1.3</v>
      </c>
      <c r="BV25" s="66">
        <v>19.600000000000001</v>
      </c>
      <c r="BW25" s="66">
        <v>10</v>
      </c>
      <c r="BX25" s="66">
        <v>18.899999999999999</v>
      </c>
      <c r="BY25" s="66">
        <v>4.3</v>
      </c>
      <c r="BZ25" s="66">
        <v>15.8</v>
      </c>
      <c r="CA25" s="67">
        <v>1220.9000000000001</v>
      </c>
    </row>
    <row r="26" spans="1:79" x14ac:dyDescent="0.3">
      <c r="A26" s="1"/>
      <c r="B26" s="54" t="s">
        <v>1105</v>
      </c>
      <c r="C26" s="66"/>
      <c r="D26" s="66">
        <v>18</v>
      </c>
      <c r="E26" s="66"/>
      <c r="F26" s="66"/>
      <c r="G26" s="66">
        <v>11.4</v>
      </c>
      <c r="H26" s="66"/>
      <c r="I26" s="66">
        <v>1.7</v>
      </c>
      <c r="J26" s="66"/>
      <c r="K26" s="66">
        <v>7.6</v>
      </c>
      <c r="L26" s="66"/>
      <c r="M26" s="66">
        <v>11</v>
      </c>
      <c r="N26" s="66">
        <v>0.3</v>
      </c>
      <c r="O26" s="66">
        <v>1</v>
      </c>
      <c r="P26" s="66">
        <v>14.3</v>
      </c>
      <c r="Q26" s="66"/>
      <c r="R26" s="66">
        <v>8.3000000000000007</v>
      </c>
      <c r="S26" s="66">
        <v>11.4</v>
      </c>
      <c r="T26" s="66">
        <v>4.5</v>
      </c>
      <c r="U26" s="66">
        <v>2.9</v>
      </c>
      <c r="V26" s="66">
        <v>2.5</v>
      </c>
      <c r="W26" s="66">
        <v>20.2</v>
      </c>
      <c r="X26" s="66">
        <v>10</v>
      </c>
      <c r="Y26" s="66">
        <v>8.3000000000000007</v>
      </c>
      <c r="Z26" s="66">
        <v>20.9</v>
      </c>
      <c r="AA26" s="66">
        <v>23.5</v>
      </c>
      <c r="AB26" s="66">
        <v>20</v>
      </c>
      <c r="AC26" s="66"/>
      <c r="AD26" s="66"/>
      <c r="AE26" s="66">
        <v>5.6</v>
      </c>
      <c r="AF26" s="66">
        <v>60.8</v>
      </c>
      <c r="AG26" s="66">
        <v>29</v>
      </c>
      <c r="AH26" s="66">
        <v>1.3</v>
      </c>
      <c r="AI26" s="66"/>
      <c r="AJ26" s="66">
        <v>10</v>
      </c>
      <c r="AK26" s="66">
        <v>3.5</v>
      </c>
      <c r="AL26" s="66">
        <v>8.6</v>
      </c>
      <c r="AM26" s="66">
        <v>9.6</v>
      </c>
      <c r="AN26" s="66">
        <v>9.9</v>
      </c>
      <c r="AO26" s="66">
        <v>4.5</v>
      </c>
      <c r="AP26" s="66">
        <v>66.5</v>
      </c>
      <c r="AQ26" s="66">
        <v>15.5</v>
      </c>
      <c r="AR26" s="66">
        <v>12.3</v>
      </c>
      <c r="AS26" s="66"/>
      <c r="AT26" s="66"/>
      <c r="AU26" s="66">
        <v>7.5</v>
      </c>
      <c r="AV26" s="66"/>
      <c r="AW26" s="66">
        <v>204.3</v>
      </c>
      <c r="AX26" s="66">
        <v>164.4</v>
      </c>
      <c r="AY26" s="66">
        <v>83.8</v>
      </c>
      <c r="AZ26" s="66">
        <v>0.3</v>
      </c>
      <c r="BA26" s="66">
        <v>2.1</v>
      </c>
      <c r="BB26" s="66">
        <v>13.2</v>
      </c>
      <c r="BC26" s="66"/>
      <c r="BD26" s="66">
        <v>11.9</v>
      </c>
      <c r="BE26" s="66">
        <v>5.4</v>
      </c>
      <c r="BF26" s="66">
        <v>9.9</v>
      </c>
      <c r="BG26" s="66">
        <v>4.4000000000000004</v>
      </c>
      <c r="BH26" s="66">
        <v>2</v>
      </c>
      <c r="BI26" s="66">
        <v>0.6</v>
      </c>
      <c r="BJ26" s="66">
        <v>83.8</v>
      </c>
      <c r="BK26" s="66">
        <v>113.2</v>
      </c>
      <c r="BL26" s="66"/>
      <c r="BM26" s="66">
        <v>16.2</v>
      </c>
      <c r="BN26" s="66">
        <v>1.7</v>
      </c>
      <c r="BO26" s="66">
        <v>4.3</v>
      </c>
      <c r="BP26" s="66"/>
      <c r="BQ26" s="66"/>
      <c r="BR26" s="66">
        <v>2</v>
      </c>
      <c r="BS26" s="66"/>
      <c r="BT26" s="66">
        <v>12.3</v>
      </c>
      <c r="BU26" s="66">
        <v>1.3</v>
      </c>
      <c r="BV26" s="66">
        <v>19.7</v>
      </c>
      <c r="BW26" s="66">
        <v>10</v>
      </c>
      <c r="BX26" s="66">
        <v>19</v>
      </c>
      <c r="BY26" s="66">
        <v>10.9</v>
      </c>
      <c r="BZ26" s="66">
        <v>15.7</v>
      </c>
      <c r="CA26" s="67">
        <v>1254.8</v>
      </c>
    </row>
    <row r="27" spans="1:79" x14ac:dyDescent="0.3">
      <c r="A27" s="1"/>
      <c r="B27" s="54" t="s">
        <v>827</v>
      </c>
      <c r="C27" s="66"/>
      <c r="D27" s="66">
        <v>18</v>
      </c>
      <c r="E27" s="66"/>
      <c r="F27" s="66"/>
      <c r="G27" s="66">
        <v>11.4</v>
      </c>
      <c r="H27" s="66"/>
      <c r="I27" s="66">
        <v>1.7</v>
      </c>
      <c r="J27" s="66"/>
      <c r="K27" s="66">
        <v>9.9</v>
      </c>
      <c r="L27" s="66"/>
      <c r="M27" s="66">
        <v>10.7</v>
      </c>
      <c r="N27" s="66">
        <v>0.3</v>
      </c>
      <c r="O27" s="66">
        <v>1</v>
      </c>
      <c r="P27" s="66">
        <v>14.3</v>
      </c>
      <c r="Q27" s="66"/>
      <c r="R27" s="66">
        <v>8.1999999999999993</v>
      </c>
      <c r="S27" s="66">
        <v>11.3</v>
      </c>
      <c r="T27" s="66">
        <v>4.5999999999999996</v>
      </c>
      <c r="U27" s="66">
        <v>2.8</v>
      </c>
      <c r="V27" s="66">
        <v>2.6</v>
      </c>
      <c r="W27" s="66">
        <v>19.899999999999999</v>
      </c>
      <c r="X27" s="66">
        <v>9.9</v>
      </c>
      <c r="Y27" s="66">
        <v>8.3000000000000007</v>
      </c>
      <c r="Z27" s="66">
        <v>26.6</v>
      </c>
      <c r="AA27" s="66">
        <v>21.4</v>
      </c>
      <c r="AB27" s="66">
        <v>21.2</v>
      </c>
      <c r="AC27" s="66"/>
      <c r="AD27" s="66"/>
      <c r="AE27" s="66">
        <v>7.4</v>
      </c>
      <c r="AF27" s="66">
        <v>72.2</v>
      </c>
      <c r="AG27" s="66">
        <v>28.9</v>
      </c>
      <c r="AH27" s="66">
        <v>1.2</v>
      </c>
      <c r="AI27" s="66"/>
      <c r="AJ27" s="66">
        <v>10</v>
      </c>
      <c r="AK27" s="66">
        <v>3.3</v>
      </c>
      <c r="AL27" s="66">
        <v>8.6</v>
      </c>
      <c r="AM27" s="66">
        <v>9.6</v>
      </c>
      <c r="AN27" s="66">
        <v>9.9</v>
      </c>
      <c r="AO27" s="66">
        <v>4.5</v>
      </c>
      <c r="AP27" s="66">
        <v>67.2</v>
      </c>
      <c r="AQ27" s="66">
        <v>15.6</v>
      </c>
      <c r="AR27" s="66">
        <v>13</v>
      </c>
      <c r="AS27" s="66"/>
      <c r="AT27" s="66"/>
      <c r="AU27" s="66">
        <v>7.5</v>
      </c>
      <c r="AV27" s="66"/>
      <c r="AW27" s="66">
        <v>204.2</v>
      </c>
      <c r="AX27" s="66">
        <v>163.80000000000001</v>
      </c>
      <c r="AY27" s="66">
        <v>83.7</v>
      </c>
      <c r="AZ27" s="66">
        <v>0.3</v>
      </c>
      <c r="BA27" s="66">
        <v>2.1</v>
      </c>
      <c r="BB27" s="66">
        <v>14.3</v>
      </c>
      <c r="BC27" s="66"/>
      <c r="BD27" s="66">
        <v>13</v>
      </c>
      <c r="BE27" s="66">
        <v>5.5</v>
      </c>
      <c r="BF27" s="66">
        <v>10</v>
      </c>
      <c r="BG27" s="66">
        <v>2.7</v>
      </c>
      <c r="BH27" s="66"/>
      <c r="BI27" s="66">
        <v>0.6</v>
      </c>
      <c r="BJ27" s="66">
        <v>83.9</v>
      </c>
      <c r="BK27" s="66">
        <v>112.5</v>
      </c>
      <c r="BL27" s="66"/>
      <c r="BM27" s="66">
        <v>16.3</v>
      </c>
      <c r="BN27" s="66">
        <v>5.0999999999999996</v>
      </c>
      <c r="BO27" s="66">
        <v>7.7</v>
      </c>
      <c r="BP27" s="66"/>
      <c r="BQ27" s="66"/>
      <c r="BR27" s="66">
        <v>2</v>
      </c>
      <c r="BS27" s="66"/>
      <c r="BT27" s="66">
        <v>13.7</v>
      </c>
      <c r="BU27" s="66">
        <v>1.3</v>
      </c>
      <c r="BV27" s="66">
        <v>19.600000000000001</v>
      </c>
      <c r="BW27" s="66">
        <v>9.9</v>
      </c>
      <c r="BX27" s="66">
        <v>18.899999999999999</v>
      </c>
      <c r="BY27" s="66">
        <v>15</v>
      </c>
      <c r="BZ27" s="66">
        <v>15.6</v>
      </c>
      <c r="CA27" s="67">
        <v>1284.7</v>
      </c>
    </row>
    <row r="28" spans="1:79" x14ac:dyDescent="0.3">
      <c r="A28" s="1"/>
      <c r="B28" s="54" t="s">
        <v>828</v>
      </c>
      <c r="C28" s="66"/>
      <c r="D28" s="66">
        <v>18.100000000000001</v>
      </c>
      <c r="E28" s="66"/>
      <c r="F28" s="66"/>
      <c r="G28" s="66">
        <v>11.1</v>
      </c>
      <c r="H28" s="66"/>
      <c r="I28" s="66">
        <v>1.7</v>
      </c>
      <c r="J28" s="66"/>
      <c r="K28" s="66">
        <v>9.9</v>
      </c>
      <c r="L28" s="66"/>
      <c r="M28" s="66">
        <v>11</v>
      </c>
      <c r="N28" s="66">
        <v>0.3</v>
      </c>
      <c r="O28" s="66">
        <v>1.1000000000000001</v>
      </c>
      <c r="P28" s="66">
        <v>14.4</v>
      </c>
      <c r="Q28" s="66"/>
      <c r="R28" s="66">
        <v>8.3000000000000007</v>
      </c>
      <c r="S28" s="66">
        <v>11.7</v>
      </c>
      <c r="T28" s="66">
        <v>4.8</v>
      </c>
      <c r="U28" s="66">
        <v>2.8</v>
      </c>
      <c r="V28" s="66">
        <v>2.6</v>
      </c>
      <c r="W28" s="66">
        <v>20.5</v>
      </c>
      <c r="X28" s="66">
        <v>9.9</v>
      </c>
      <c r="Y28" s="66">
        <v>8.3000000000000007</v>
      </c>
      <c r="Z28" s="66">
        <v>32.4</v>
      </c>
      <c r="AA28" s="66">
        <v>20.2</v>
      </c>
      <c r="AB28" s="66">
        <v>31.5</v>
      </c>
      <c r="AC28" s="66"/>
      <c r="AD28" s="66"/>
      <c r="AE28" s="66">
        <v>7.4</v>
      </c>
      <c r="AF28" s="66">
        <v>56.8</v>
      </c>
      <c r="AG28" s="66">
        <v>28.6</v>
      </c>
      <c r="AH28" s="66">
        <v>1.2</v>
      </c>
      <c r="AI28" s="66"/>
      <c r="AJ28" s="66">
        <v>10</v>
      </c>
      <c r="AK28" s="66">
        <v>3.3</v>
      </c>
      <c r="AL28" s="66">
        <v>8.6</v>
      </c>
      <c r="AM28" s="66">
        <v>9.6</v>
      </c>
      <c r="AN28" s="66">
        <v>9.9</v>
      </c>
      <c r="AO28" s="66">
        <v>4.5</v>
      </c>
      <c r="AP28" s="66">
        <v>67</v>
      </c>
      <c r="AQ28" s="66">
        <v>15.6</v>
      </c>
      <c r="AR28" s="66">
        <v>13</v>
      </c>
      <c r="AS28" s="66"/>
      <c r="AT28" s="66"/>
      <c r="AU28" s="66">
        <v>7.5</v>
      </c>
      <c r="AV28" s="66"/>
      <c r="AW28" s="66">
        <v>203</v>
      </c>
      <c r="AX28" s="66">
        <v>163.80000000000001</v>
      </c>
      <c r="AY28" s="66">
        <v>83.7</v>
      </c>
      <c r="AZ28" s="66">
        <v>0.3</v>
      </c>
      <c r="BA28" s="66">
        <v>2.1</v>
      </c>
      <c r="BB28" s="66">
        <v>15.1</v>
      </c>
      <c r="BC28" s="66"/>
      <c r="BD28" s="66">
        <v>12.7</v>
      </c>
      <c r="BE28" s="66">
        <v>5.3</v>
      </c>
      <c r="BF28" s="66">
        <v>9.9</v>
      </c>
      <c r="BG28" s="66">
        <v>1.1000000000000001</v>
      </c>
      <c r="BH28" s="66"/>
      <c r="BI28" s="66">
        <v>0.6</v>
      </c>
      <c r="BJ28" s="66">
        <v>83.9</v>
      </c>
      <c r="BK28" s="66">
        <v>112</v>
      </c>
      <c r="BL28" s="66"/>
      <c r="BM28" s="66">
        <v>16</v>
      </c>
      <c r="BN28" s="66">
        <v>8.6</v>
      </c>
      <c r="BO28" s="66">
        <v>14</v>
      </c>
      <c r="BP28" s="66"/>
      <c r="BQ28" s="66"/>
      <c r="BR28" s="66">
        <v>2</v>
      </c>
      <c r="BS28" s="66"/>
      <c r="BT28" s="66">
        <v>14.6</v>
      </c>
      <c r="BU28" s="66">
        <v>1.3</v>
      </c>
      <c r="BV28" s="66">
        <v>19.600000000000001</v>
      </c>
      <c r="BW28" s="66">
        <v>10</v>
      </c>
      <c r="BX28" s="66">
        <v>18.899999999999999</v>
      </c>
      <c r="BY28" s="66">
        <v>15.1</v>
      </c>
      <c r="BZ28" s="66">
        <v>15.8</v>
      </c>
      <c r="CA28" s="67">
        <v>1293</v>
      </c>
    </row>
    <row r="29" spans="1:79" x14ac:dyDescent="0.3">
      <c r="A29" s="1"/>
      <c r="B29" s="54" t="s">
        <v>829</v>
      </c>
      <c r="C29" s="66"/>
      <c r="D29" s="66">
        <v>18.2</v>
      </c>
      <c r="E29" s="66"/>
      <c r="F29" s="66"/>
      <c r="G29" s="66">
        <v>11.1</v>
      </c>
      <c r="H29" s="66"/>
      <c r="I29" s="66">
        <v>1.7</v>
      </c>
      <c r="J29" s="66"/>
      <c r="K29" s="66">
        <v>10.4</v>
      </c>
      <c r="L29" s="66"/>
      <c r="M29" s="66">
        <v>10.8</v>
      </c>
      <c r="N29" s="66">
        <v>0.4</v>
      </c>
      <c r="O29" s="66">
        <v>1.2</v>
      </c>
      <c r="P29" s="66">
        <v>14.6</v>
      </c>
      <c r="Q29" s="66"/>
      <c r="R29" s="66">
        <v>8.3000000000000007</v>
      </c>
      <c r="S29" s="66">
        <v>12.7</v>
      </c>
      <c r="T29" s="66">
        <v>5.2</v>
      </c>
      <c r="U29" s="66">
        <v>2.8</v>
      </c>
      <c r="V29" s="66">
        <v>2.5</v>
      </c>
      <c r="W29" s="66">
        <v>20.2</v>
      </c>
      <c r="X29" s="66">
        <v>9.9</v>
      </c>
      <c r="Y29" s="66">
        <v>8.3000000000000007</v>
      </c>
      <c r="Z29" s="66">
        <v>29.9</v>
      </c>
      <c r="AA29" s="66">
        <v>20.100000000000001</v>
      </c>
      <c r="AB29" s="66">
        <v>30.7</v>
      </c>
      <c r="AC29" s="66"/>
      <c r="AD29" s="66"/>
      <c r="AE29" s="66">
        <v>6.7</v>
      </c>
      <c r="AF29" s="66">
        <v>60.4</v>
      </c>
      <c r="AG29" s="66">
        <v>28.4</v>
      </c>
      <c r="AH29" s="66">
        <v>1.1000000000000001</v>
      </c>
      <c r="AI29" s="66"/>
      <c r="AJ29" s="66">
        <v>10</v>
      </c>
      <c r="AK29" s="66">
        <v>3.3</v>
      </c>
      <c r="AL29" s="66">
        <v>8.6</v>
      </c>
      <c r="AM29" s="66">
        <v>9.6</v>
      </c>
      <c r="AN29" s="66">
        <v>9.9</v>
      </c>
      <c r="AO29" s="66">
        <v>4.5999999999999996</v>
      </c>
      <c r="AP29" s="66">
        <v>66.8</v>
      </c>
      <c r="AQ29" s="66">
        <v>15.6</v>
      </c>
      <c r="AR29" s="66">
        <v>13</v>
      </c>
      <c r="AS29" s="66"/>
      <c r="AT29" s="66"/>
      <c r="AU29" s="66">
        <v>7.5</v>
      </c>
      <c r="AV29" s="66"/>
      <c r="AW29" s="66">
        <v>204.1</v>
      </c>
      <c r="AX29" s="66">
        <v>164.5</v>
      </c>
      <c r="AY29" s="66">
        <v>84</v>
      </c>
      <c r="AZ29" s="66">
        <v>0.1</v>
      </c>
      <c r="BA29" s="66">
        <v>2.1</v>
      </c>
      <c r="BB29" s="66">
        <v>15.7</v>
      </c>
      <c r="BC29" s="66"/>
      <c r="BD29" s="66">
        <v>12.2</v>
      </c>
      <c r="BE29" s="66">
        <v>5.4</v>
      </c>
      <c r="BF29" s="66">
        <v>9.9</v>
      </c>
      <c r="BG29" s="66">
        <v>9.9</v>
      </c>
      <c r="BH29" s="66">
        <v>0.2</v>
      </c>
      <c r="BI29" s="66">
        <v>0.6</v>
      </c>
      <c r="BJ29" s="66">
        <v>83</v>
      </c>
      <c r="BK29" s="66">
        <v>110.2</v>
      </c>
      <c r="BL29" s="66"/>
      <c r="BM29" s="66">
        <v>15.3</v>
      </c>
      <c r="BN29" s="66">
        <v>8</v>
      </c>
      <c r="BO29" s="66">
        <v>22.8</v>
      </c>
      <c r="BP29" s="66"/>
      <c r="BQ29" s="66"/>
      <c r="BR29" s="66">
        <v>2</v>
      </c>
      <c r="BS29" s="66"/>
      <c r="BT29" s="66">
        <v>15.3</v>
      </c>
      <c r="BU29" s="66">
        <v>1.3</v>
      </c>
      <c r="BV29" s="66">
        <v>19.600000000000001</v>
      </c>
      <c r="BW29" s="66">
        <v>9.9</v>
      </c>
      <c r="BX29" s="66">
        <v>18.899999999999999</v>
      </c>
      <c r="BY29" s="66">
        <v>15.1</v>
      </c>
      <c r="BZ29" s="66">
        <v>15.7</v>
      </c>
      <c r="CA29" s="67">
        <v>1310.3</v>
      </c>
    </row>
    <row r="30" spans="1:79" x14ac:dyDescent="0.3">
      <c r="A30" s="1"/>
      <c r="B30" s="54" t="s">
        <v>830</v>
      </c>
      <c r="C30" s="66"/>
      <c r="D30" s="66">
        <v>18.7</v>
      </c>
      <c r="E30" s="66"/>
      <c r="F30" s="66"/>
      <c r="G30" s="66">
        <v>11.2</v>
      </c>
      <c r="H30" s="66"/>
      <c r="I30" s="66">
        <v>1.6</v>
      </c>
      <c r="J30" s="66"/>
      <c r="K30" s="66">
        <v>10.199999999999999</v>
      </c>
      <c r="L30" s="66"/>
      <c r="M30" s="66">
        <v>10.9</v>
      </c>
      <c r="N30" s="66">
        <v>0.4</v>
      </c>
      <c r="O30" s="66">
        <v>1.2</v>
      </c>
      <c r="P30" s="66">
        <v>14.7</v>
      </c>
      <c r="Q30" s="66"/>
      <c r="R30" s="66">
        <v>8.3000000000000007</v>
      </c>
      <c r="S30" s="66">
        <v>13.5</v>
      </c>
      <c r="T30" s="66">
        <v>5.0999999999999996</v>
      </c>
      <c r="U30" s="66">
        <v>2.8</v>
      </c>
      <c r="V30" s="66">
        <v>2.5</v>
      </c>
      <c r="W30" s="66">
        <v>20.399999999999999</v>
      </c>
      <c r="X30" s="66">
        <v>9.9</v>
      </c>
      <c r="Y30" s="66">
        <v>4.5</v>
      </c>
      <c r="Z30" s="66">
        <v>27.6</v>
      </c>
      <c r="AA30" s="66">
        <v>17.7</v>
      </c>
      <c r="AB30" s="66">
        <v>37.9</v>
      </c>
      <c r="AC30" s="66"/>
      <c r="AD30" s="66"/>
      <c r="AE30" s="66">
        <v>6.3</v>
      </c>
      <c r="AF30" s="66">
        <v>60.4</v>
      </c>
      <c r="AG30" s="66">
        <v>28.4</v>
      </c>
      <c r="AH30" s="66">
        <v>1.2</v>
      </c>
      <c r="AI30" s="66"/>
      <c r="AJ30" s="66">
        <v>10</v>
      </c>
      <c r="AK30" s="66">
        <v>3.3</v>
      </c>
      <c r="AL30" s="66">
        <v>8.6</v>
      </c>
      <c r="AM30" s="66">
        <v>9.6</v>
      </c>
      <c r="AN30" s="66">
        <v>9.9</v>
      </c>
      <c r="AO30" s="66">
        <v>4.5999999999999996</v>
      </c>
      <c r="AP30" s="66">
        <v>66.099999999999994</v>
      </c>
      <c r="AQ30" s="66">
        <v>15.5</v>
      </c>
      <c r="AR30" s="66">
        <v>12</v>
      </c>
      <c r="AS30" s="66"/>
      <c r="AT30" s="66"/>
      <c r="AU30" s="66">
        <v>7.5</v>
      </c>
      <c r="AV30" s="66"/>
      <c r="AW30" s="66">
        <v>205.2</v>
      </c>
      <c r="AX30" s="66">
        <v>165</v>
      </c>
      <c r="AY30" s="66">
        <v>84.3</v>
      </c>
      <c r="AZ30" s="66">
        <v>0.4</v>
      </c>
      <c r="BA30" s="66">
        <v>2.1</v>
      </c>
      <c r="BB30" s="66">
        <v>16.2</v>
      </c>
      <c r="BC30" s="66"/>
      <c r="BD30" s="66">
        <v>12.2</v>
      </c>
      <c r="BE30" s="66">
        <v>5.4</v>
      </c>
      <c r="BF30" s="66">
        <v>9.9</v>
      </c>
      <c r="BG30" s="66">
        <v>23.4</v>
      </c>
      <c r="BH30" s="66">
        <v>5.8</v>
      </c>
      <c r="BI30" s="66">
        <v>0.6</v>
      </c>
      <c r="BJ30" s="66">
        <v>83.3</v>
      </c>
      <c r="BK30" s="66">
        <v>110.4</v>
      </c>
      <c r="BL30" s="66"/>
      <c r="BM30" s="66">
        <v>15.5</v>
      </c>
      <c r="BN30" s="66">
        <v>8.1999999999999993</v>
      </c>
      <c r="BO30" s="66">
        <v>28</v>
      </c>
      <c r="BP30" s="66"/>
      <c r="BQ30" s="66"/>
      <c r="BR30" s="66">
        <v>2</v>
      </c>
      <c r="BS30" s="66"/>
      <c r="BT30" s="66">
        <v>15.8</v>
      </c>
      <c r="BU30" s="66">
        <v>1.3</v>
      </c>
      <c r="BV30" s="66">
        <v>19.600000000000001</v>
      </c>
      <c r="BW30" s="66">
        <v>10</v>
      </c>
      <c r="BX30" s="66">
        <v>18.899999999999999</v>
      </c>
      <c r="BY30" s="66">
        <v>15</v>
      </c>
      <c r="BZ30" s="66">
        <v>15.8</v>
      </c>
      <c r="CA30" s="67">
        <v>1336.8</v>
      </c>
    </row>
    <row r="31" spans="1:79" x14ac:dyDescent="0.3">
      <c r="A31" s="1"/>
      <c r="B31" s="56" t="s">
        <v>831</v>
      </c>
      <c r="C31" s="68"/>
      <c r="D31" s="68">
        <v>18.5</v>
      </c>
      <c r="E31" s="68"/>
      <c r="F31" s="68"/>
      <c r="G31" s="68">
        <v>11.2</v>
      </c>
      <c r="H31" s="68"/>
      <c r="I31" s="68">
        <v>1.7</v>
      </c>
      <c r="J31" s="68"/>
      <c r="K31" s="68">
        <v>9.9</v>
      </c>
      <c r="L31" s="68"/>
      <c r="M31" s="68">
        <v>10.7</v>
      </c>
      <c r="N31" s="68">
        <v>0.4</v>
      </c>
      <c r="O31" s="68">
        <v>1.2</v>
      </c>
      <c r="P31" s="68">
        <v>14.6</v>
      </c>
      <c r="Q31" s="68"/>
      <c r="R31" s="68">
        <v>8.3000000000000007</v>
      </c>
      <c r="S31" s="68">
        <v>12.9</v>
      </c>
      <c r="T31" s="68">
        <v>4.8</v>
      </c>
      <c r="U31" s="68">
        <v>2.8</v>
      </c>
      <c r="V31" s="68">
        <v>2.5</v>
      </c>
      <c r="W31" s="68">
        <v>20.100000000000001</v>
      </c>
      <c r="X31" s="68">
        <v>9.9</v>
      </c>
      <c r="Y31" s="68">
        <v>4.5</v>
      </c>
      <c r="Z31" s="68">
        <v>26.5</v>
      </c>
      <c r="AA31" s="68">
        <v>15.4</v>
      </c>
      <c r="AB31" s="68">
        <v>40.1</v>
      </c>
      <c r="AC31" s="68"/>
      <c r="AD31" s="68"/>
      <c r="AE31" s="68">
        <v>6.3</v>
      </c>
      <c r="AF31" s="68">
        <v>61.2</v>
      </c>
      <c r="AG31" s="68">
        <v>29.1</v>
      </c>
      <c r="AH31" s="68">
        <v>0.2</v>
      </c>
      <c r="AI31" s="68"/>
      <c r="AJ31" s="68">
        <v>10</v>
      </c>
      <c r="AK31" s="68">
        <v>3.3</v>
      </c>
      <c r="AL31" s="68">
        <v>8.6</v>
      </c>
      <c r="AM31" s="68">
        <v>9.6</v>
      </c>
      <c r="AN31" s="68">
        <v>9.9</v>
      </c>
      <c r="AO31" s="68">
        <v>4.5999999999999996</v>
      </c>
      <c r="AP31" s="68">
        <v>66.8</v>
      </c>
      <c r="AQ31" s="68">
        <v>15.2</v>
      </c>
      <c r="AR31" s="68">
        <v>12.9</v>
      </c>
      <c r="AS31" s="68"/>
      <c r="AT31" s="68"/>
      <c r="AU31" s="68">
        <v>7.5</v>
      </c>
      <c r="AV31" s="68"/>
      <c r="AW31" s="68">
        <v>207.8</v>
      </c>
      <c r="AX31" s="68">
        <v>166.2</v>
      </c>
      <c r="AY31" s="68">
        <v>84.7</v>
      </c>
      <c r="AZ31" s="68">
        <v>0.5</v>
      </c>
      <c r="BA31" s="68">
        <v>2.1</v>
      </c>
      <c r="BB31" s="68">
        <v>16.7</v>
      </c>
      <c r="BC31" s="68"/>
      <c r="BD31" s="68">
        <v>12.2</v>
      </c>
      <c r="BE31" s="68">
        <v>5.4</v>
      </c>
      <c r="BF31" s="68">
        <v>9.8000000000000007</v>
      </c>
      <c r="BG31" s="68">
        <v>51.5</v>
      </c>
      <c r="BH31" s="68">
        <v>9.3000000000000007</v>
      </c>
      <c r="BI31" s="68">
        <v>0.6</v>
      </c>
      <c r="BJ31" s="68">
        <v>83.8</v>
      </c>
      <c r="BK31" s="68">
        <v>111.2</v>
      </c>
      <c r="BL31" s="68"/>
      <c r="BM31" s="68">
        <v>15.6</v>
      </c>
      <c r="BN31" s="68">
        <v>10.5</v>
      </c>
      <c r="BO31" s="68">
        <v>30.4</v>
      </c>
      <c r="BP31" s="68"/>
      <c r="BQ31" s="68"/>
      <c r="BR31" s="68">
        <v>2</v>
      </c>
      <c r="BS31" s="68"/>
      <c r="BT31" s="68">
        <v>15.9</v>
      </c>
      <c r="BU31" s="68">
        <v>1.3</v>
      </c>
      <c r="BV31" s="68">
        <v>19.600000000000001</v>
      </c>
      <c r="BW31" s="68">
        <v>10</v>
      </c>
      <c r="BX31" s="68">
        <v>18.7</v>
      </c>
      <c r="BY31" s="68">
        <v>15.1</v>
      </c>
      <c r="BZ31" s="68">
        <v>15.8</v>
      </c>
      <c r="CA31" s="69">
        <v>1377.9</v>
      </c>
    </row>
    <row r="32" spans="1:79" x14ac:dyDescent="0.3">
      <c r="A32" s="1"/>
      <c r="B32" s="50" t="s">
        <v>832</v>
      </c>
      <c r="C32" s="64"/>
      <c r="D32" s="64">
        <v>18.100000000000001</v>
      </c>
      <c r="E32" s="64"/>
      <c r="F32" s="64"/>
      <c r="G32" s="64">
        <v>11.4</v>
      </c>
      <c r="H32" s="64"/>
      <c r="I32" s="64">
        <v>1.7</v>
      </c>
      <c r="J32" s="64"/>
      <c r="K32" s="64">
        <v>9.3000000000000007</v>
      </c>
      <c r="L32" s="64"/>
      <c r="M32" s="64">
        <v>10</v>
      </c>
      <c r="N32" s="64">
        <v>0.4</v>
      </c>
      <c r="O32" s="64">
        <v>1.2</v>
      </c>
      <c r="P32" s="64">
        <v>14.6</v>
      </c>
      <c r="Q32" s="64"/>
      <c r="R32" s="64">
        <v>8.3000000000000007</v>
      </c>
      <c r="S32" s="64">
        <v>12.9</v>
      </c>
      <c r="T32" s="64">
        <v>4.4000000000000004</v>
      </c>
      <c r="U32" s="64">
        <v>2.8</v>
      </c>
      <c r="V32" s="64">
        <v>2.5</v>
      </c>
      <c r="W32" s="64">
        <v>20.399999999999999</v>
      </c>
      <c r="X32" s="64">
        <v>9.9</v>
      </c>
      <c r="Y32" s="64">
        <v>4.5</v>
      </c>
      <c r="Z32" s="64">
        <v>20.7</v>
      </c>
      <c r="AA32" s="64">
        <v>13.1</v>
      </c>
      <c r="AB32" s="64">
        <v>51.9</v>
      </c>
      <c r="AC32" s="64"/>
      <c r="AD32" s="64"/>
      <c r="AE32" s="64">
        <v>5.8</v>
      </c>
      <c r="AF32" s="64">
        <v>71.7</v>
      </c>
      <c r="AG32" s="64">
        <v>28.7</v>
      </c>
      <c r="AH32" s="64">
        <v>1.3</v>
      </c>
      <c r="AI32" s="64"/>
      <c r="AJ32" s="64">
        <v>10</v>
      </c>
      <c r="AK32" s="64">
        <v>3.3</v>
      </c>
      <c r="AL32" s="64">
        <v>8.6</v>
      </c>
      <c r="AM32" s="64">
        <v>9.4</v>
      </c>
      <c r="AN32" s="64">
        <v>9.6999999999999993</v>
      </c>
      <c r="AO32" s="64">
        <v>4.5999999999999996</v>
      </c>
      <c r="AP32" s="64">
        <v>69.400000000000006</v>
      </c>
      <c r="AQ32" s="64">
        <v>15.4</v>
      </c>
      <c r="AR32" s="64">
        <v>13</v>
      </c>
      <c r="AS32" s="64"/>
      <c r="AT32" s="64"/>
      <c r="AU32" s="64">
        <v>7.5</v>
      </c>
      <c r="AV32" s="64"/>
      <c r="AW32" s="64">
        <v>211.3</v>
      </c>
      <c r="AX32" s="64">
        <v>166.9</v>
      </c>
      <c r="AY32" s="64">
        <v>84.6</v>
      </c>
      <c r="AZ32" s="64">
        <v>0.4</v>
      </c>
      <c r="BA32" s="64">
        <v>2.1</v>
      </c>
      <c r="BB32" s="64">
        <v>16.5</v>
      </c>
      <c r="BC32" s="64"/>
      <c r="BD32" s="64">
        <v>12.3</v>
      </c>
      <c r="BE32" s="64">
        <v>5.4</v>
      </c>
      <c r="BF32" s="64">
        <v>9.9</v>
      </c>
      <c r="BG32" s="64">
        <v>67.2</v>
      </c>
      <c r="BH32" s="64">
        <v>24.5</v>
      </c>
      <c r="BI32" s="64">
        <v>0.6</v>
      </c>
      <c r="BJ32" s="64">
        <v>85.9</v>
      </c>
      <c r="BK32" s="64">
        <v>113.3</v>
      </c>
      <c r="BL32" s="64"/>
      <c r="BM32" s="64">
        <v>15.4</v>
      </c>
      <c r="BN32" s="64">
        <v>14.5</v>
      </c>
      <c r="BO32" s="64">
        <v>38.4</v>
      </c>
      <c r="BP32" s="64"/>
      <c r="BQ32" s="64"/>
      <c r="BR32" s="64">
        <v>2</v>
      </c>
      <c r="BS32" s="64"/>
      <c r="BT32" s="64">
        <v>15.6</v>
      </c>
      <c r="BU32" s="64">
        <v>1.3</v>
      </c>
      <c r="BV32" s="64">
        <v>19.399999999999999</v>
      </c>
      <c r="BW32" s="64">
        <v>10</v>
      </c>
      <c r="BX32" s="64">
        <v>18.3</v>
      </c>
      <c r="BY32" s="64">
        <v>15.1</v>
      </c>
      <c r="BZ32" s="64">
        <v>16</v>
      </c>
      <c r="CA32" s="65">
        <v>1443.4</v>
      </c>
    </row>
    <row r="33" spans="1:79" x14ac:dyDescent="0.3">
      <c r="A33" s="1"/>
      <c r="B33" s="54" t="s">
        <v>833</v>
      </c>
      <c r="C33" s="66"/>
      <c r="D33" s="66">
        <v>18</v>
      </c>
      <c r="E33" s="66"/>
      <c r="F33" s="66"/>
      <c r="G33" s="66">
        <v>11.4</v>
      </c>
      <c r="H33" s="66"/>
      <c r="I33" s="66">
        <v>1.6</v>
      </c>
      <c r="J33" s="66"/>
      <c r="K33" s="66">
        <v>9.4</v>
      </c>
      <c r="L33" s="66"/>
      <c r="M33" s="66">
        <v>11.1</v>
      </c>
      <c r="N33" s="66">
        <v>0.4</v>
      </c>
      <c r="O33" s="66">
        <v>1.2</v>
      </c>
      <c r="P33" s="66">
        <v>14.6</v>
      </c>
      <c r="Q33" s="66"/>
      <c r="R33" s="66">
        <v>8.1999999999999993</v>
      </c>
      <c r="S33" s="66">
        <v>12.7</v>
      </c>
      <c r="T33" s="66">
        <v>4.2</v>
      </c>
      <c r="U33" s="66">
        <v>2.8</v>
      </c>
      <c r="V33" s="66">
        <v>2.5</v>
      </c>
      <c r="W33" s="66">
        <v>20.2</v>
      </c>
      <c r="X33" s="66">
        <v>10</v>
      </c>
      <c r="Y33" s="66">
        <v>8.3000000000000007</v>
      </c>
      <c r="Z33" s="66">
        <v>21.2</v>
      </c>
      <c r="AA33" s="66">
        <v>9.8000000000000007</v>
      </c>
      <c r="AB33" s="66">
        <v>58.8</v>
      </c>
      <c r="AC33" s="66"/>
      <c r="AD33" s="66"/>
      <c r="AE33" s="66">
        <v>8</v>
      </c>
      <c r="AF33" s="66">
        <v>77.7</v>
      </c>
      <c r="AG33" s="66">
        <v>28.8</v>
      </c>
      <c r="AH33" s="66">
        <v>1.1000000000000001</v>
      </c>
      <c r="AI33" s="66"/>
      <c r="AJ33" s="66">
        <v>10</v>
      </c>
      <c r="AK33" s="66">
        <v>3.4</v>
      </c>
      <c r="AL33" s="66">
        <v>8.6</v>
      </c>
      <c r="AM33" s="66">
        <v>9.4</v>
      </c>
      <c r="AN33" s="66">
        <v>9.6999999999999993</v>
      </c>
      <c r="AO33" s="66">
        <v>4.4000000000000004</v>
      </c>
      <c r="AP33" s="66">
        <v>69.599999999999994</v>
      </c>
      <c r="AQ33" s="66">
        <v>15.2</v>
      </c>
      <c r="AR33" s="66">
        <v>12.9</v>
      </c>
      <c r="AS33" s="66"/>
      <c r="AT33" s="66"/>
      <c r="AU33" s="66">
        <v>7.5</v>
      </c>
      <c r="AV33" s="66"/>
      <c r="AW33" s="66">
        <v>213.3</v>
      </c>
      <c r="AX33" s="66">
        <v>170.6</v>
      </c>
      <c r="AY33" s="66">
        <v>86.9</v>
      </c>
      <c r="AZ33" s="66">
        <v>0.4</v>
      </c>
      <c r="BA33" s="66">
        <v>2.1</v>
      </c>
      <c r="BB33" s="66">
        <v>15.9</v>
      </c>
      <c r="BC33" s="66"/>
      <c r="BD33" s="66">
        <v>12.4</v>
      </c>
      <c r="BE33" s="66">
        <v>5.2</v>
      </c>
      <c r="BF33" s="66">
        <v>9.9</v>
      </c>
      <c r="BG33" s="66">
        <v>85.5</v>
      </c>
      <c r="BH33" s="66">
        <v>48.1</v>
      </c>
      <c r="BI33" s="66">
        <v>0.6</v>
      </c>
      <c r="BJ33" s="66">
        <v>85.9</v>
      </c>
      <c r="BK33" s="66">
        <v>113.2</v>
      </c>
      <c r="BL33" s="66"/>
      <c r="BM33" s="66">
        <v>15.4</v>
      </c>
      <c r="BN33" s="66">
        <v>16.399999999999999</v>
      </c>
      <c r="BO33" s="66">
        <v>42.7</v>
      </c>
      <c r="BP33" s="66"/>
      <c r="BQ33" s="66"/>
      <c r="BR33" s="66">
        <v>2</v>
      </c>
      <c r="BS33" s="66"/>
      <c r="BT33" s="66">
        <v>14.9</v>
      </c>
      <c r="BU33" s="66">
        <v>1.3</v>
      </c>
      <c r="BV33" s="66">
        <v>19.600000000000001</v>
      </c>
      <c r="BW33" s="66">
        <v>10</v>
      </c>
      <c r="BX33" s="66">
        <v>18.7</v>
      </c>
      <c r="BY33" s="66">
        <v>15.1</v>
      </c>
      <c r="BZ33" s="66">
        <v>16</v>
      </c>
      <c r="CA33" s="67">
        <v>1514.8</v>
      </c>
    </row>
    <row r="34" spans="1:79" x14ac:dyDescent="0.3">
      <c r="A34" s="1"/>
      <c r="B34" s="54" t="s">
        <v>834</v>
      </c>
      <c r="C34" s="66"/>
      <c r="D34" s="66">
        <v>18.2</v>
      </c>
      <c r="E34" s="66"/>
      <c r="F34" s="66"/>
      <c r="G34" s="66">
        <v>11</v>
      </c>
      <c r="H34" s="66"/>
      <c r="I34" s="66">
        <v>1.6</v>
      </c>
      <c r="J34" s="66"/>
      <c r="K34" s="66">
        <v>9.6999999999999993</v>
      </c>
      <c r="L34" s="66"/>
      <c r="M34" s="66">
        <v>11.6</v>
      </c>
      <c r="N34" s="66">
        <v>0.4</v>
      </c>
      <c r="O34" s="66">
        <v>0.9</v>
      </c>
      <c r="P34" s="66">
        <v>14.5</v>
      </c>
      <c r="Q34" s="66"/>
      <c r="R34" s="66">
        <v>8.1999999999999993</v>
      </c>
      <c r="S34" s="66">
        <v>12.8</v>
      </c>
      <c r="T34" s="66">
        <v>4.4000000000000004</v>
      </c>
      <c r="U34" s="66">
        <v>2.9</v>
      </c>
      <c r="V34" s="66">
        <v>2.5</v>
      </c>
      <c r="W34" s="66">
        <v>20.2</v>
      </c>
      <c r="X34" s="66">
        <v>9.9</v>
      </c>
      <c r="Y34" s="66">
        <v>8.3000000000000007</v>
      </c>
      <c r="Z34" s="66">
        <v>18.100000000000001</v>
      </c>
      <c r="AA34" s="66">
        <v>7.3</v>
      </c>
      <c r="AB34" s="66">
        <v>69.099999999999994</v>
      </c>
      <c r="AC34" s="66"/>
      <c r="AD34" s="66"/>
      <c r="AE34" s="66">
        <v>10.3</v>
      </c>
      <c r="AF34" s="66">
        <v>83.5</v>
      </c>
      <c r="AG34" s="66">
        <v>29</v>
      </c>
      <c r="AH34" s="66">
        <v>1.4</v>
      </c>
      <c r="AI34" s="66"/>
      <c r="AJ34" s="66">
        <v>10.1</v>
      </c>
      <c r="AK34" s="66">
        <v>3.4</v>
      </c>
      <c r="AL34" s="66">
        <v>8.6</v>
      </c>
      <c r="AM34" s="66">
        <v>9.4</v>
      </c>
      <c r="AN34" s="66">
        <v>9.6999999999999993</v>
      </c>
      <c r="AO34" s="66">
        <v>4.4000000000000004</v>
      </c>
      <c r="AP34" s="66">
        <v>69.2</v>
      </c>
      <c r="AQ34" s="66">
        <v>15.6</v>
      </c>
      <c r="AR34" s="66">
        <v>12.9</v>
      </c>
      <c r="AS34" s="66"/>
      <c r="AT34" s="66"/>
      <c r="AU34" s="66">
        <v>7.5</v>
      </c>
      <c r="AV34" s="66"/>
      <c r="AW34" s="66">
        <v>212.5</v>
      </c>
      <c r="AX34" s="66">
        <v>170</v>
      </c>
      <c r="AY34" s="66">
        <v>86.7</v>
      </c>
      <c r="AZ34" s="66">
        <v>0.4</v>
      </c>
      <c r="BA34" s="66">
        <v>2</v>
      </c>
      <c r="BB34" s="66">
        <v>14.9</v>
      </c>
      <c r="BC34" s="66"/>
      <c r="BD34" s="66">
        <v>12.6</v>
      </c>
      <c r="BE34" s="66">
        <v>3.7</v>
      </c>
      <c r="BF34" s="66">
        <v>9.9</v>
      </c>
      <c r="BG34" s="66">
        <v>77</v>
      </c>
      <c r="BH34" s="66">
        <v>56.7</v>
      </c>
      <c r="BI34" s="66">
        <v>0.6</v>
      </c>
      <c r="BJ34" s="66">
        <v>85.7</v>
      </c>
      <c r="BK34" s="66">
        <v>114.6</v>
      </c>
      <c r="BL34" s="66"/>
      <c r="BM34" s="66">
        <v>15.7</v>
      </c>
      <c r="BN34" s="66">
        <v>17.600000000000001</v>
      </c>
      <c r="BO34" s="66">
        <v>49.5</v>
      </c>
      <c r="BP34" s="66"/>
      <c r="BQ34" s="66"/>
      <c r="BR34" s="66">
        <v>2</v>
      </c>
      <c r="BS34" s="66"/>
      <c r="BT34" s="66">
        <v>14.4</v>
      </c>
      <c r="BU34" s="66">
        <v>1.3</v>
      </c>
      <c r="BV34" s="66">
        <v>19.399999999999999</v>
      </c>
      <c r="BW34" s="66">
        <v>10</v>
      </c>
      <c r="BX34" s="66">
        <v>18.600000000000001</v>
      </c>
      <c r="BY34" s="66">
        <v>15.3</v>
      </c>
      <c r="BZ34" s="66">
        <v>16</v>
      </c>
      <c r="CA34" s="67">
        <v>1533.7</v>
      </c>
    </row>
    <row r="35" spans="1:79" x14ac:dyDescent="0.3">
      <c r="A35" s="1"/>
      <c r="B35" s="54" t="s">
        <v>835</v>
      </c>
      <c r="C35" s="66"/>
      <c r="D35" s="66">
        <v>18</v>
      </c>
      <c r="E35" s="66"/>
      <c r="F35" s="66"/>
      <c r="G35" s="66">
        <v>10.9</v>
      </c>
      <c r="H35" s="66"/>
      <c r="I35" s="66">
        <v>1.6</v>
      </c>
      <c r="J35" s="66"/>
      <c r="K35" s="66">
        <v>8.6</v>
      </c>
      <c r="L35" s="66"/>
      <c r="M35" s="66">
        <v>10.9</v>
      </c>
      <c r="N35" s="66">
        <v>0.4</v>
      </c>
      <c r="O35" s="66">
        <v>1.1000000000000001</v>
      </c>
      <c r="P35" s="66">
        <v>14.5</v>
      </c>
      <c r="Q35" s="66"/>
      <c r="R35" s="66">
        <v>8.4</v>
      </c>
      <c r="S35" s="66">
        <v>13.1</v>
      </c>
      <c r="T35" s="66">
        <v>4.4000000000000004</v>
      </c>
      <c r="U35" s="66">
        <v>2.9</v>
      </c>
      <c r="V35" s="66">
        <v>2.6</v>
      </c>
      <c r="W35" s="66">
        <v>20.8</v>
      </c>
      <c r="X35" s="66">
        <v>9.9</v>
      </c>
      <c r="Y35" s="66">
        <v>8.3000000000000007</v>
      </c>
      <c r="Z35" s="66">
        <v>20.8</v>
      </c>
      <c r="AA35" s="66">
        <v>9.6</v>
      </c>
      <c r="AB35" s="66">
        <v>64.5</v>
      </c>
      <c r="AC35" s="66"/>
      <c r="AD35" s="66"/>
      <c r="AE35" s="66">
        <v>11.3</v>
      </c>
      <c r="AF35" s="66">
        <v>88.5</v>
      </c>
      <c r="AG35" s="66">
        <v>29</v>
      </c>
      <c r="AH35" s="66">
        <v>1.5</v>
      </c>
      <c r="AI35" s="66"/>
      <c r="AJ35" s="66">
        <v>10.199999999999999</v>
      </c>
      <c r="AK35" s="66">
        <v>3.4</v>
      </c>
      <c r="AL35" s="66">
        <v>8.6</v>
      </c>
      <c r="AM35" s="66">
        <v>9.4</v>
      </c>
      <c r="AN35" s="66">
        <v>9.6999999999999993</v>
      </c>
      <c r="AO35" s="66">
        <v>4.4000000000000004</v>
      </c>
      <c r="AP35" s="66">
        <v>69</v>
      </c>
      <c r="AQ35" s="66">
        <v>15.5</v>
      </c>
      <c r="AR35" s="66">
        <v>12.7</v>
      </c>
      <c r="AS35" s="66"/>
      <c r="AT35" s="66"/>
      <c r="AU35" s="66">
        <v>7.5</v>
      </c>
      <c r="AV35" s="66"/>
      <c r="AW35" s="66">
        <v>211.9</v>
      </c>
      <c r="AX35" s="66">
        <v>169.2</v>
      </c>
      <c r="AY35" s="66">
        <v>86.3</v>
      </c>
      <c r="AZ35" s="66">
        <v>0.4</v>
      </c>
      <c r="BA35" s="66">
        <v>2</v>
      </c>
      <c r="BB35" s="66">
        <v>13.6</v>
      </c>
      <c r="BC35" s="66"/>
      <c r="BD35" s="66">
        <v>12.7</v>
      </c>
      <c r="BE35" s="66">
        <v>3.5</v>
      </c>
      <c r="BF35" s="66">
        <v>9.9</v>
      </c>
      <c r="BG35" s="66">
        <v>77.2</v>
      </c>
      <c r="BH35" s="66">
        <v>56.3</v>
      </c>
      <c r="BI35" s="66">
        <v>0.6</v>
      </c>
      <c r="BJ35" s="66">
        <v>85.6</v>
      </c>
      <c r="BK35" s="66">
        <v>115.4</v>
      </c>
      <c r="BL35" s="66"/>
      <c r="BM35" s="66">
        <v>16</v>
      </c>
      <c r="BN35" s="66">
        <v>15.5</v>
      </c>
      <c r="BO35" s="66">
        <v>45.5</v>
      </c>
      <c r="BP35" s="66"/>
      <c r="BQ35" s="66"/>
      <c r="BR35" s="66">
        <v>2</v>
      </c>
      <c r="BS35" s="66"/>
      <c r="BT35" s="66">
        <v>13.2</v>
      </c>
      <c r="BU35" s="66">
        <v>1.3</v>
      </c>
      <c r="BV35" s="66">
        <v>19.2</v>
      </c>
      <c r="BW35" s="66">
        <v>9.9</v>
      </c>
      <c r="BX35" s="66">
        <v>18.399999999999999</v>
      </c>
      <c r="BY35" s="66">
        <v>15.3</v>
      </c>
      <c r="BZ35" s="66">
        <v>16.3</v>
      </c>
      <c r="CA35" s="67">
        <v>1529.2</v>
      </c>
    </row>
    <row r="36" spans="1:79" x14ac:dyDescent="0.3">
      <c r="A36" s="1"/>
      <c r="B36" s="54" t="s">
        <v>836</v>
      </c>
      <c r="C36" s="66"/>
      <c r="D36" s="66">
        <v>18.8</v>
      </c>
      <c r="E36" s="66"/>
      <c r="F36" s="66"/>
      <c r="G36" s="66">
        <v>10.9</v>
      </c>
      <c r="H36" s="66"/>
      <c r="I36" s="66">
        <v>1.6</v>
      </c>
      <c r="J36" s="66"/>
      <c r="K36" s="66">
        <v>7</v>
      </c>
      <c r="L36" s="66"/>
      <c r="M36" s="66">
        <v>10.6</v>
      </c>
      <c r="N36" s="66">
        <v>0.3</v>
      </c>
      <c r="O36" s="66">
        <v>0.9</v>
      </c>
      <c r="P36" s="66">
        <v>14.4</v>
      </c>
      <c r="Q36" s="66"/>
      <c r="R36" s="66">
        <v>8.3000000000000007</v>
      </c>
      <c r="S36" s="66">
        <v>12.6</v>
      </c>
      <c r="T36" s="66">
        <v>4.5999999999999996</v>
      </c>
      <c r="U36" s="66">
        <v>3</v>
      </c>
      <c r="V36" s="66">
        <v>2.6</v>
      </c>
      <c r="W36" s="66">
        <v>20.2</v>
      </c>
      <c r="X36" s="66">
        <v>10</v>
      </c>
      <c r="Y36" s="66">
        <v>8.3000000000000007</v>
      </c>
      <c r="Z36" s="66">
        <v>25.4</v>
      </c>
      <c r="AA36" s="66">
        <v>16.600000000000001</v>
      </c>
      <c r="AB36" s="66">
        <v>50.8</v>
      </c>
      <c r="AC36" s="66"/>
      <c r="AD36" s="66"/>
      <c r="AE36" s="66">
        <v>9.9</v>
      </c>
      <c r="AF36" s="66">
        <v>86.4</v>
      </c>
      <c r="AG36" s="66">
        <v>29.4</v>
      </c>
      <c r="AH36" s="66">
        <v>1.4</v>
      </c>
      <c r="AI36" s="66"/>
      <c r="AJ36" s="66">
        <v>9.9</v>
      </c>
      <c r="AK36" s="66">
        <v>3.4</v>
      </c>
      <c r="AL36" s="66">
        <v>8.6</v>
      </c>
      <c r="AM36" s="66">
        <v>9.4</v>
      </c>
      <c r="AN36" s="66">
        <v>9.6999999999999993</v>
      </c>
      <c r="AO36" s="66">
        <v>4.4000000000000004</v>
      </c>
      <c r="AP36" s="66">
        <v>68.599999999999994</v>
      </c>
      <c r="AQ36" s="66">
        <v>15.6</v>
      </c>
      <c r="AR36" s="66">
        <v>12.9</v>
      </c>
      <c r="AS36" s="66"/>
      <c r="AT36" s="66"/>
      <c r="AU36" s="66">
        <v>7.5</v>
      </c>
      <c r="AV36" s="66"/>
      <c r="AW36" s="66">
        <v>212.7</v>
      </c>
      <c r="AX36" s="66">
        <v>168.8</v>
      </c>
      <c r="AY36" s="66">
        <v>86</v>
      </c>
      <c r="AZ36" s="66">
        <v>0.3</v>
      </c>
      <c r="BA36" s="66">
        <v>2</v>
      </c>
      <c r="BB36" s="66">
        <v>12.1</v>
      </c>
      <c r="BC36" s="66"/>
      <c r="BD36" s="66">
        <v>12.7</v>
      </c>
      <c r="BE36" s="66">
        <v>3.5</v>
      </c>
      <c r="BF36" s="66">
        <v>9.9</v>
      </c>
      <c r="BG36" s="66">
        <v>84.4</v>
      </c>
      <c r="BH36" s="66">
        <v>60</v>
      </c>
      <c r="BI36" s="66">
        <v>0.6</v>
      </c>
      <c r="BJ36" s="66">
        <v>84.9</v>
      </c>
      <c r="BK36" s="66">
        <v>115.1</v>
      </c>
      <c r="BL36" s="66"/>
      <c r="BM36" s="66">
        <v>16</v>
      </c>
      <c r="BN36" s="66">
        <v>14.2</v>
      </c>
      <c r="BO36" s="66">
        <v>40.200000000000003</v>
      </c>
      <c r="BP36" s="66"/>
      <c r="BQ36" s="66"/>
      <c r="BR36" s="66">
        <v>2</v>
      </c>
      <c r="BS36" s="66"/>
      <c r="BT36" s="66">
        <v>11.7</v>
      </c>
      <c r="BU36" s="66">
        <v>1.3</v>
      </c>
      <c r="BV36" s="66">
        <v>19.5</v>
      </c>
      <c r="BW36" s="66">
        <v>10</v>
      </c>
      <c r="BX36" s="66">
        <v>18.399999999999999</v>
      </c>
      <c r="BY36" s="66">
        <v>15.1</v>
      </c>
      <c r="BZ36" s="66">
        <v>16</v>
      </c>
      <c r="CA36" s="67">
        <v>1521.4</v>
      </c>
    </row>
    <row r="37" spans="1:79" x14ac:dyDescent="0.3">
      <c r="A37" s="1"/>
      <c r="B37" s="54" t="s">
        <v>837</v>
      </c>
      <c r="C37" s="66"/>
      <c r="D37" s="66">
        <v>18.100000000000001</v>
      </c>
      <c r="E37" s="66"/>
      <c r="F37" s="66"/>
      <c r="G37" s="66">
        <v>10.9</v>
      </c>
      <c r="H37" s="66"/>
      <c r="I37" s="66">
        <v>1.7</v>
      </c>
      <c r="J37" s="66"/>
      <c r="K37" s="66">
        <v>5.7</v>
      </c>
      <c r="L37" s="66"/>
      <c r="M37" s="66">
        <v>9.9</v>
      </c>
      <c r="N37" s="66">
        <v>0.3</v>
      </c>
      <c r="O37" s="66">
        <v>0.8</v>
      </c>
      <c r="P37" s="66">
        <v>14.1</v>
      </c>
      <c r="Q37" s="66"/>
      <c r="R37" s="66">
        <v>8.3000000000000007</v>
      </c>
      <c r="S37" s="66">
        <v>12.9</v>
      </c>
      <c r="T37" s="66">
        <v>4.2</v>
      </c>
      <c r="U37" s="66">
        <v>3</v>
      </c>
      <c r="V37" s="66">
        <v>2.6</v>
      </c>
      <c r="W37" s="66">
        <v>20.399999999999999</v>
      </c>
      <c r="X37" s="66">
        <v>10</v>
      </c>
      <c r="Y37" s="66">
        <v>8.3000000000000007</v>
      </c>
      <c r="Z37" s="66">
        <v>21</v>
      </c>
      <c r="AA37" s="66">
        <v>15.6</v>
      </c>
      <c r="AB37" s="66">
        <v>58.3</v>
      </c>
      <c r="AC37" s="66"/>
      <c r="AD37" s="66"/>
      <c r="AE37" s="66">
        <v>11.2</v>
      </c>
      <c r="AF37" s="66">
        <v>80</v>
      </c>
      <c r="AG37" s="66">
        <v>29.1</v>
      </c>
      <c r="AH37" s="66">
        <v>1.3</v>
      </c>
      <c r="AI37" s="66"/>
      <c r="AJ37" s="66">
        <v>9.9</v>
      </c>
      <c r="AK37" s="66">
        <v>3.4</v>
      </c>
      <c r="AL37" s="66">
        <v>8.6</v>
      </c>
      <c r="AM37" s="66">
        <v>9.4</v>
      </c>
      <c r="AN37" s="66">
        <v>9.6999999999999993</v>
      </c>
      <c r="AO37" s="66">
        <v>4.4000000000000004</v>
      </c>
      <c r="AP37" s="66">
        <v>67.2</v>
      </c>
      <c r="AQ37" s="66">
        <v>15.6</v>
      </c>
      <c r="AR37" s="66">
        <v>13</v>
      </c>
      <c r="AS37" s="66"/>
      <c r="AT37" s="66"/>
      <c r="AU37" s="66">
        <v>7.5</v>
      </c>
      <c r="AV37" s="66"/>
      <c r="AW37" s="66">
        <v>207.4</v>
      </c>
      <c r="AX37" s="66">
        <v>163.5</v>
      </c>
      <c r="AY37" s="66">
        <v>82.8</v>
      </c>
      <c r="AZ37" s="66">
        <v>0.3</v>
      </c>
      <c r="BA37" s="66">
        <v>2.1</v>
      </c>
      <c r="BB37" s="66">
        <v>10.199999999999999</v>
      </c>
      <c r="BC37" s="66"/>
      <c r="BD37" s="66">
        <v>12.6</v>
      </c>
      <c r="BE37" s="66">
        <v>1.6</v>
      </c>
      <c r="BF37" s="66">
        <v>9.9</v>
      </c>
      <c r="BG37" s="66">
        <v>82.6</v>
      </c>
      <c r="BH37" s="66">
        <v>73.099999999999994</v>
      </c>
      <c r="BI37" s="66">
        <v>0.6</v>
      </c>
      <c r="BJ37" s="66">
        <v>84</v>
      </c>
      <c r="BK37" s="66">
        <v>115.1</v>
      </c>
      <c r="BL37" s="66"/>
      <c r="BM37" s="66">
        <v>15.9</v>
      </c>
      <c r="BN37" s="66">
        <v>15.2</v>
      </c>
      <c r="BO37" s="66">
        <v>47.2</v>
      </c>
      <c r="BP37" s="66"/>
      <c r="BQ37" s="66"/>
      <c r="BR37" s="66">
        <v>2</v>
      </c>
      <c r="BS37" s="66"/>
      <c r="BT37" s="66">
        <v>10</v>
      </c>
      <c r="BU37" s="66">
        <v>1.3</v>
      </c>
      <c r="BV37" s="66">
        <v>19.8</v>
      </c>
      <c r="BW37" s="66">
        <v>10</v>
      </c>
      <c r="BX37" s="66">
        <v>19</v>
      </c>
      <c r="BY37" s="66">
        <v>14.5</v>
      </c>
      <c r="BZ37" s="66">
        <v>16</v>
      </c>
      <c r="CA37" s="67">
        <v>1513.1</v>
      </c>
    </row>
    <row r="38" spans="1:79" x14ac:dyDescent="0.3">
      <c r="A38" s="1"/>
      <c r="B38" s="54" t="s">
        <v>838</v>
      </c>
      <c r="C38" s="66"/>
      <c r="D38" s="66">
        <v>18.399999999999999</v>
      </c>
      <c r="E38" s="66"/>
      <c r="F38" s="66"/>
      <c r="G38" s="66">
        <v>10.3</v>
      </c>
      <c r="H38" s="66"/>
      <c r="I38" s="66">
        <v>1.7</v>
      </c>
      <c r="J38" s="66"/>
      <c r="K38" s="66">
        <v>8.3000000000000007</v>
      </c>
      <c r="L38" s="66"/>
      <c r="M38" s="66">
        <v>10</v>
      </c>
      <c r="N38" s="66">
        <v>0.2</v>
      </c>
      <c r="O38" s="66">
        <v>0.7</v>
      </c>
      <c r="P38" s="66">
        <v>14.1</v>
      </c>
      <c r="Q38" s="66"/>
      <c r="R38" s="66">
        <v>8.4</v>
      </c>
      <c r="S38" s="66">
        <v>12.9</v>
      </c>
      <c r="T38" s="66">
        <v>4.3</v>
      </c>
      <c r="U38" s="66">
        <v>3</v>
      </c>
      <c r="V38" s="66">
        <v>2.5</v>
      </c>
      <c r="W38" s="66">
        <v>20.7</v>
      </c>
      <c r="X38" s="66">
        <v>9.9</v>
      </c>
      <c r="Y38" s="66">
        <v>8.1999999999999993</v>
      </c>
      <c r="Z38" s="66">
        <v>17.5</v>
      </c>
      <c r="AA38" s="66">
        <v>11.3</v>
      </c>
      <c r="AB38" s="66">
        <v>67.7</v>
      </c>
      <c r="AC38" s="66"/>
      <c r="AD38" s="66"/>
      <c r="AE38" s="66">
        <v>13.7</v>
      </c>
      <c r="AF38" s="66">
        <v>98.6</v>
      </c>
      <c r="AG38" s="66">
        <v>27.6</v>
      </c>
      <c r="AH38" s="66">
        <v>1.3</v>
      </c>
      <c r="AI38" s="66"/>
      <c r="AJ38" s="66">
        <v>10.199999999999999</v>
      </c>
      <c r="AK38" s="66">
        <v>3.5</v>
      </c>
      <c r="AL38" s="66">
        <v>8.6</v>
      </c>
      <c r="AM38" s="66">
        <v>9.4</v>
      </c>
      <c r="AN38" s="66">
        <v>9.6999999999999993</v>
      </c>
      <c r="AO38" s="66">
        <v>4.4000000000000004</v>
      </c>
      <c r="AP38" s="66">
        <v>64.3</v>
      </c>
      <c r="AQ38" s="66">
        <v>15.6</v>
      </c>
      <c r="AR38" s="66">
        <v>13</v>
      </c>
      <c r="AS38" s="66"/>
      <c r="AT38" s="66"/>
      <c r="AU38" s="66">
        <v>7.5</v>
      </c>
      <c r="AV38" s="66"/>
      <c r="AW38" s="66">
        <v>197</v>
      </c>
      <c r="AX38" s="66">
        <v>155.4</v>
      </c>
      <c r="AY38" s="66">
        <v>78.8</v>
      </c>
      <c r="AZ38" s="66">
        <v>0.3</v>
      </c>
      <c r="BA38" s="66">
        <v>2.1</v>
      </c>
      <c r="BB38" s="66">
        <v>8.1</v>
      </c>
      <c r="BC38" s="66"/>
      <c r="BD38" s="66">
        <v>12.2</v>
      </c>
      <c r="BE38" s="66">
        <v>1</v>
      </c>
      <c r="BF38" s="66">
        <v>9.9</v>
      </c>
      <c r="BG38" s="66">
        <v>109.9</v>
      </c>
      <c r="BH38" s="66">
        <v>94.7</v>
      </c>
      <c r="BI38" s="66">
        <v>0.6</v>
      </c>
      <c r="BJ38" s="66">
        <v>80.5</v>
      </c>
      <c r="BK38" s="66">
        <v>109.8</v>
      </c>
      <c r="BL38" s="66"/>
      <c r="BM38" s="66">
        <v>15.3</v>
      </c>
      <c r="BN38" s="66">
        <v>19</v>
      </c>
      <c r="BO38" s="66">
        <v>56.1</v>
      </c>
      <c r="BP38" s="66"/>
      <c r="BQ38" s="66"/>
      <c r="BR38" s="66">
        <v>2</v>
      </c>
      <c r="BS38" s="66"/>
      <c r="BT38" s="66">
        <v>7.9</v>
      </c>
      <c r="BU38" s="66">
        <v>1.3</v>
      </c>
      <c r="BV38" s="66">
        <v>19.399999999999999</v>
      </c>
      <c r="BW38" s="66">
        <v>10</v>
      </c>
      <c r="BX38" s="66">
        <v>18.5</v>
      </c>
      <c r="BY38" s="66">
        <v>12.9</v>
      </c>
      <c r="BZ38" s="66">
        <v>16.2</v>
      </c>
      <c r="CA38" s="67">
        <v>1556.4</v>
      </c>
    </row>
    <row r="39" spans="1:79" x14ac:dyDescent="0.3">
      <c r="A39" s="1"/>
      <c r="B39" s="56" t="s">
        <v>839</v>
      </c>
      <c r="C39" s="68"/>
      <c r="D39" s="68">
        <v>18.2</v>
      </c>
      <c r="E39" s="68"/>
      <c r="F39" s="68"/>
      <c r="G39" s="68">
        <v>10</v>
      </c>
      <c r="H39" s="68"/>
      <c r="I39" s="68">
        <v>1.7</v>
      </c>
      <c r="J39" s="68"/>
      <c r="K39" s="68">
        <v>8.1</v>
      </c>
      <c r="L39" s="68"/>
      <c r="M39" s="68">
        <v>10.1</v>
      </c>
      <c r="N39" s="68">
        <v>0.2</v>
      </c>
      <c r="O39" s="68">
        <v>0.5</v>
      </c>
      <c r="P39" s="68">
        <v>14.1</v>
      </c>
      <c r="Q39" s="68"/>
      <c r="R39" s="68">
        <v>8.4</v>
      </c>
      <c r="S39" s="68">
        <v>13</v>
      </c>
      <c r="T39" s="68">
        <v>4.3</v>
      </c>
      <c r="U39" s="68">
        <v>3</v>
      </c>
      <c r="V39" s="68">
        <v>2.5</v>
      </c>
      <c r="W39" s="68">
        <v>20.9</v>
      </c>
      <c r="X39" s="68">
        <v>9.9</v>
      </c>
      <c r="Y39" s="68">
        <v>4.5</v>
      </c>
      <c r="Z39" s="68">
        <v>17.3</v>
      </c>
      <c r="AA39" s="68">
        <v>10</v>
      </c>
      <c r="AB39" s="68">
        <v>63.8</v>
      </c>
      <c r="AC39" s="68"/>
      <c r="AD39" s="68"/>
      <c r="AE39" s="68">
        <v>10.8</v>
      </c>
      <c r="AF39" s="68">
        <v>97.2</v>
      </c>
      <c r="AG39" s="68">
        <v>19.399999999999999</v>
      </c>
      <c r="AH39" s="68">
        <v>1.7</v>
      </c>
      <c r="AI39" s="68"/>
      <c r="AJ39" s="68">
        <v>9.9</v>
      </c>
      <c r="AK39" s="68">
        <v>3.5</v>
      </c>
      <c r="AL39" s="68">
        <v>8.6</v>
      </c>
      <c r="AM39" s="68">
        <v>9.4</v>
      </c>
      <c r="AN39" s="68">
        <v>9.6999999999999993</v>
      </c>
      <c r="AO39" s="68">
        <v>4.4000000000000004</v>
      </c>
      <c r="AP39" s="68">
        <v>44.7</v>
      </c>
      <c r="AQ39" s="68">
        <v>15.6</v>
      </c>
      <c r="AR39" s="68">
        <v>13</v>
      </c>
      <c r="AS39" s="68"/>
      <c r="AT39" s="68"/>
      <c r="AU39" s="68">
        <v>7.6</v>
      </c>
      <c r="AV39" s="68"/>
      <c r="AW39" s="68">
        <v>166.2</v>
      </c>
      <c r="AX39" s="68">
        <v>123.3</v>
      </c>
      <c r="AY39" s="68">
        <v>64</v>
      </c>
      <c r="AZ39" s="68">
        <v>0.2</v>
      </c>
      <c r="BA39" s="68">
        <v>2</v>
      </c>
      <c r="BB39" s="68">
        <v>5.8</v>
      </c>
      <c r="BC39" s="68"/>
      <c r="BD39" s="68">
        <v>11.3</v>
      </c>
      <c r="BE39" s="68">
        <v>1.4</v>
      </c>
      <c r="BF39" s="68">
        <v>10</v>
      </c>
      <c r="BG39" s="68">
        <v>125.7</v>
      </c>
      <c r="BH39" s="68">
        <v>107.9</v>
      </c>
      <c r="BI39" s="68">
        <v>0.6</v>
      </c>
      <c r="BJ39" s="68">
        <v>65.5</v>
      </c>
      <c r="BK39" s="68">
        <v>76.599999999999994</v>
      </c>
      <c r="BL39" s="68"/>
      <c r="BM39" s="68">
        <v>14.3</v>
      </c>
      <c r="BN39" s="68">
        <v>17.100000000000001</v>
      </c>
      <c r="BO39" s="68">
        <v>54.4</v>
      </c>
      <c r="BP39" s="68"/>
      <c r="BQ39" s="68"/>
      <c r="BR39" s="68">
        <v>2</v>
      </c>
      <c r="BS39" s="68"/>
      <c r="BT39" s="68">
        <v>5.5</v>
      </c>
      <c r="BU39" s="68">
        <v>1.3</v>
      </c>
      <c r="BV39" s="68">
        <v>19.7</v>
      </c>
      <c r="BW39" s="68">
        <v>10</v>
      </c>
      <c r="BX39" s="68">
        <v>18.899999999999999</v>
      </c>
      <c r="BY39" s="68">
        <v>8.5</v>
      </c>
      <c r="BZ39" s="68">
        <v>16.3</v>
      </c>
      <c r="CA39" s="69">
        <v>1404.5</v>
      </c>
    </row>
    <row r="40" spans="1:79" x14ac:dyDescent="0.3">
      <c r="A40" s="1"/>
      <c r="B40" s="50" t="s">
        <v>840</v>
      </c>
      <c r="C40" s="64"/>
      <c r="D40" s="64">
        <v>17.8</v>
      </c>
      <c r="E40" s="64"/>
      <c r="F40" s="64"/>
      <c r="G40" s="64">
        <v>10.8</v>
      </c>
      <c r="H40" s="64"/>
      <c r="I40" s="64">
        <v>1.8</v>
      </c>
      <c r="J40" s="64"/>
      <c r="K40" s="64">
        <v>8</v>
      </c>
      <c r="L40" s="64"/>
      <c r="M40" s="64">
        <v>10</v>
      </c>
      <c r="N40" s="64">
        <v>0.1</v>
      </c>
      <c r="O40" s="64">
        <v>0.2</v>
      </c>
      <c r="P40" s="64">
        <v>14.1</v>
      </c>
      <c r="Q40" s="64"/>
      <c r="R40" s="64">
        <v>8.4</v>
      </c>
      <c r="S40" s="64">
        <v>13.2</v>
      </c>
      <c r="T40" s="64">
        <v>4.5999999999999996</v>
      </c>
      <c r="U40" s="64">
        <v>3</v>
      </c>
      <c r="V40" s="64">
        <v>2.5</v>
      </c>
      <c r="W40" s="64">
        <v>20.7</v>
      </c>
      <c r="X40" s="64">
        <v>9.9</v>
      </c>
      <c r="Y40" s="64">
        <v>4.5</v>
      </c>
      <c r="Z40" s="64">
        <v>17.600000000000001</v>
      </c>
      <c r="AA40" s="64">
        <v>9.1</v>
      </c>
      <c r="AB40" s="64">
        <v>65.099999999999994</v>
      </c>
      <c r="AC40" s="64"/>
      <c r="AD40" s="64"/>
      <c r="AE40" s="64">
        <v>9.5</v>
      </c>
      <c r="AF40" s="64">
        <v>103.1</v>
      </c>
      <c r="AG40" s="64">
        <v>9.6</v>
      </c>
      <c r="AH40" s="64">
        <v>0.6</v>
      </c>
      <c r="AI40" s="64"/>
      <c r="AJ40" s="64">
        <v>9.6999999999999993</v>
      </c>
      <c r="AK40" s="64">
        <v>3.5</v>
      </c>
      <c r="AL40" s="64">
        <v>8.4</v>
      </c>
      <c r="AM40" s="64">
        <v>9.4</v>
      </c>
      <c r="AN40" s="64">
        <v>9.6999999999999993</v>
      </c>
      <c r="AO40" s="64">
        <v>4.4000000000000004</v>
      </c>
      <c r="AP40" s="64">
        <v>20.8</v>
      </c>
      <c r="AQ40" s="64">
        <v>15.6</v>
      </c>
      <c r="AR40" s="64">
        <v>12.8</v>
      </c>
      <c r="AS40" s="64"/>
      <c r="AT40" s="64"/>
      <c r="AU40" s="64">
        <v>7.7</v>
      </c>
      <c r="AV40" s="64"/>
      <c r="AW40" s="64">
        <v>87.9</v>
      </c>
      <c r="AX40" s="64">
        <v>61.9</v>
      </c>
      <c r="AY40" s="64">
        <v>32.5</v>
      </c>
      <c r="AZ40" s="64">
        <v>0.1</v>
      </c>
      <c r="BA40" s="64">
        <v>2</v>
      </c>
      <c r="BB40" s="64">
        <v>2.4</v>
      </c>
      <c r="BC40" s="64"/>
      <c r="BD40" s="64">
        <v>7</v>
      </c>
      <c r="BE40" s="64">
        <v>1.3</v>
      </c>
      <c r="BF40" s="64">
        <v>9.9</v>
      </c>
      <c r="BG40" s="64">
        <v>133.69999999999999</v>
      </c>
      <c r="BH40" s="64">
        <v>113.9</v>
      </c>
      <c r="BI40" s="64">
        <v>0.6</v>
      </c>
      <c r="BJ40" s="64">
        <v>31.9</v>
      </c>
      <c r="BK40" s="64">
        <v>36.299999999999997</v>
      </c>
      <c r="BL40" s="64"/>
      <c r="BM40" s="64">
        <v>10.4</v>
      </c>
      <c r="BN40" s="64">
        <v>17.899999999999999</v>
      </c>
      <c r="BO40" s="64">
        <v>58.7</v>
      </c>
      <c r="BP40" s="64"/>
      <c r="BQ40" s="64"/>
      <c r="BR40" s="64">
        <v>2</v>
      </c>
      <c r="BS40" s="64"/>
      <c r="BT40" s="64">
        <v>3</v>
      </c>
      <c r="BU40" s="64">
        <v>1.3</v>
      </c>
      <c r="BV40" s="64">
        <v>19.399999999999999</v>
      </c>
      <c r="BW40" s="64">
        <v>10</v>
      </c>
      <c r="BX40" s="64">
        <v>18.3</v>
      </c>
      <c r="BY40" s="64">
        <v>2.2000000000000002</v>
      </c>
      <c r="BZ40" s="64">
        <v>16.3</v>
      </c>
      <c r="CA40" s="65">
        <v>1127.0999999999999</v>
      </c>
    </row>
    <row r="41" spans="1:79" x14ac:dyDescent="0.3">
      <c r="A41" s="1"/>
      <c r="B41" s="54" t="s">
        <v>841</v>
      </c>
      <c r="C41" s="66"/>
      <c r="D41" s="66">
        <v>18</v>
      </c>
      <c r="E41" s="66"/>
      <c r="F41" s="66"/>
      <c r="G41" s="66">
        <v>10.8</v>
      </c>
      <c r="H41" s="66"/>
      <c r="I41" s="66">
        <v>1.9</v>
      </c>
      <c r="J41" s="66"/>
      <c r="K41" s="66">
        <v>7.8</v>
      </c>
      <c r="L41" s="66"/>
      <c r="M41" s="66">
        <v>10</v>
      </c>
      <c r="N41" s="66"/>
      <c r="O41" s="66"/>
      <c r="P41" s="66">
        <v>14.1</v>
      </c>
      <c r="Q41" s="66"/>
      <c r="R41" s="66">
        <v>8.1999999999999993</v>
      </c>
      <c r="S41" s="66">
        <v>11.2</v>
      </c>
      <c r="T41" s="66">
        <v>4.8</v>
      </c>
      <c r="U41" s="66">
        <v>3</v>
      </c>
      <c r="V41" s="66">
        <v>2.5</v>
      </c>
      <c r="W41" s="66">
        <v>20.100000000000001</v>
      </c>
      <c r="X41" s="66">
        <v>9.9</v>
      </c>
      <c r="Y41" s="66">
        <v>4.5</v>
      </c>
      <c r="Z41" s="66">
        <v>15</v>
      </c>
      <c r="AA41" s="66">
        <v>11.7</v>
      </c>
      <c r="AB41" s="66">
        <v>52.3</v>
      </c>
      <c r="AC41" s="66"/>
      <c r="AD41" s="66"/>
      <c r="AE41" s="66">
        <v>13.7</v>
      </c>
      <c r="AF41" s="66">
        <v>108.1</v>
      </c>
      <c r="AG41" s="66">
        <v>1.5</v>
      </c>
      <c r="AH41" s="66"/>
      <c r="AI41" s="66"/>
      <c r="AJ41" s="66">
        <v>9.9</v>
      </c>
      <c r="AK41" s="66">
        <v>3.5</v>
      </c>
      <c r="AL41" s="66">
        <v>8.4</v>
      </c>
      <c r="AM41" s="66">
        <v>9.4</v>
      </c>
      <c r="AN41" s="66">
        <v>9.6999999999999993</v>
      </c>
      <c r="AO41" s="66">
        <v>4.3</v>
      </c>
      <c r="AP41" s="66">
        <v>4</v>
      </c>
      <c r="AQ41" s="66">
        <v>15.4</v>
      </c>
      <c r="AR41" s="66">
        <v>13</v>
      </c>
      <c r="AS41" s="66"/>
      <c r="AT41" s="66"/>
      <c r="AU41" s="66">
        <v>7.7</v>
      </c>
      <c r="AV41" s="66"/>
      <c r="AW41" s="66">
        <v>6.5</v>
      </c>
      <c r="AX41" s="66">
        <v>4.5999999999999996</v>
      </c>
      <c r="AY41" s="66">
        <v>2.4</v>
      </c>
      <c r="AZ41" s="66">
        <v>0.1</v>
      </c>
      <c r="BA41" s="66">
        <v>2.1</v>
      </c>
      <c r="BB41" s="66">
        <v>1.2</v>
      </c>
      <c r="BC41" s="66"/>
      <c r="BD41" s="66">
        <v>2.1</v>
      </c>
      <c r="BE41" s="66">
        <v>1.2</v>
      </c>
      <c r="BF41" s="66">
        <v>9.9</v>
      </c>
      <c r="BG41" s="66">
        <v>154.5</v>
      </c>
      <c r="BH41" s="66">
        <v>124.7</v>
      </c>
      <c r="BI41" s="66">
        <v>0.6</v>
      </c>
      <c r="BJ41" s="66">
        <v>5.8</v>
      </c>
      <c r="BK41" s="66">
        <v>5.0999999999999996</v>
      </c>
      <c r="BL41" s="66"/>
      <c r="BM41" s="66">
        <v>3</v>
      </c>
      <c r="BN41" s="66">
        <v>15.6</v>
      </c>
      <c r="BO41" s="66">
        <v>54.2</v>
      </c>
      <c r="BP41" s="66"/>
      <c r="BQ41" s="66"/>
      <c r="BR41" s="66">
        <v>2</v>
      </c>
      <c r="BS41" s="66"/>
      <c r="BT41" s="66">
        <v>0.4</v>
      </c>
      <c r="BU41" s="66">
        <v>1.3</v>
      </c>
      <c r="BV41" s="66">
        <v>19.399999999999999</v>
      </c>
      <c r="BW41" s="66">
        <v>10</v>
      </c>
      <c r="BX41" s="66">
        <v>18.2</v>
      </c>
      <c r="BY41" s="66"/>
      <c r="BZ41" s="66">
        <v>16</v>
      </c>
      <c r="CA41" s="67">
        <v>875.3</v>
      </c>
    </row>
    <row r="42" spans="1:79" x14ac:dyDescent="0.3">
      <c r="A42" s="1"/>
      <c r="B42" s="54" t="s">
        <v>842</v>
      </c>
      <c r="C42" s="66"/>
      <c r="D42" s="66">
        <v>18.5</v>
      </c>
      <c r="E42" s="66"/>
      <c r="F42" s="66"/>
      <c r="G42" s="66">
        <v>11</v>
      </c>
      <c r="H42" s="66"/>
      <c r="I42" s="66">
        <v>1.9</v>
      </c>
      <c r="J42" s="66"/>
      <c r="K42" s="66">
        <v>8.6999999999999993</v>
      </c>
      <c r="L42" s="66"/>
      <c r="M42" s="66">
        <v>10</v>
      </c>
      <c r="N42" s="66"/>
      <c r="O42" s="66"/>
      <c r="P42" s="66">
        <v>13.9</v>
      </c>
      <c r="Q42" s="66"/>
      <c r="R42" s="66">
        <v>8.3000000000000007</v>
      </c>
      <c r="S42" s="66">
        <v>11.5</v>
      </c>
      <c r="T42" s="66">
        <v>4.9000000000000004</v>
      </c>
      <c r="U42" s="66">
        <v>3</v>
      </c>
      <c r="V42" s="66">
        <v>2.6</v>
      </c>
      <c r="W42" s="66">
        <v>20.6</v>
      </c>
      <c r="X42" s="66">
        <v>9.9</v>
      </c>
      <c r="Y42" s="66">
        <v>8.3000000000000007</v>
      </c>
      <c r="Z42" s="66">
        <v>11</v>
      </c>
      <c r="AA42" s="66">
        <v>11.8</v>
      </c>
      <c r="AB42" s="66">
        <v>60.6</v>
      </c>
      <c r="AC42" s="66"/>
      <c r="AD42" s="66"/>
      <c r="AE42" s="66">
        <v>12</v>
      </c>
      <c r="AF42" s="66">
        <v>106</v>
      </c>
      <c r="AG42" s="66"/>
      <c r="AH42" s="66"/>
      <c r="AI42" s="66"/>
      <c r="AJ42" s="66">
        <v>9.9</v>
      </c>
      <c r="AK42" s="66">
        <v>3.5</v>
      </c>
      <c r="AL42" s="66">
        <v>8.4</v>
      </c>
      <c r="AM42" s="66">
        <v>9.4</v>
      </c>
      <c r="AN42" s="66">
        <v>9.6999999999999993</v>
      </c>
      <c r="AO42" s="66">
        <v>4.3</v>
      </c>
      <c r="AP42" s="66"/>
      <c r="AQ42" s="66">
        <v>14.9</v>
      </c>
      <c r="AR42" s="66">
        <v>12.6</v>
      </c>
      <c r="AS42" s="66"/>
      <c r="AT42" s="66"/>
      <c r="AU42" s="66">
        <v>7.7</v>
      </c>
      <c r="AV42" s="66"/>
      <c r="AW42" s="66"/>
      <c r="AX42" s="66"/>
      <c r="AY42" s="66"/>
      <c r="AZ42" s="66"/>
      <c r="BA42" s="66">
        <v>2.7</v>
      </c>
      <c r="BB42" s="66"/>
      <c r="BC42" s="66"/>
      <c r="BD42" s="66"/>
      <c r="BE42" s="66">
        <v>3.1</v>
      </c>
      <c r="BF42" s="66">
        <v>9.9</v>
      </c>
      <c r="BG42" s="66">
        <v>163.1</v>
      </c>
      <c r="BH42" s="66">
        <v>124.9</v>
      </c>
      <c r="BI42" s="66">
        <v>0.6</v>
      </c>
      <c r="BJ42" s="66"/>
      <c r="BK42" s="66"/>
      <c r="BL42" s="66"/>
      <c r="BM42" s="66"/>
      <c r="BN42" s="66">
        <v>15.8</v>
      </c>
      <c r="BO42" s="66">
        <v>55.4</v>
      </c>
      <c r="BP42" s="66"/>
      <c r="BQ42" s="66"/>
      <c r="BR42" s="66">
        <v>2</v>
      </c>
      <c r="BS42" s="66"/>
      <c r="BT42" s="66"/>
      <c r="BU42" s="66">
        <v>1.3</v>
      </c>
      <c r="BV42" s="66">
        <v>19.399999999999999</v>
      </c>
      <c r="BW42" s="66">
        <v>10</v>
      </c>
      <c r="BX42" s="66">
        <v>18.2</v>
      </c>
      <c r="BY42" s="66"/>
      <c r="BZ42" s="66">
        <v>16.100000000000001</v>
      </c>
      <c r="CA42" s="67">
        <v>857.4</v>
      </c>
    </row>
    <row r="43" spans="1:79" x14ac:dyDescent="0.3">
      <c r="A43" s="1"/>
      <c r="B43" s="54" t="s">
        <v>843</v>
      </c>
      <c r="C43" s="66"/>
      <c r="D43" s="66">
        <v>18.600000000000001</v>
      </c>
      <c r="E43" s="66"/>
      <c r="F43" s="66"/>
      <c r="G43" s="66">
        <v>11</v>
      </c>
      <c r="H43" s="66">
        <v>2.5</v>
      </c>
      <c r="I43" s="66">
        <v>2</v>
      </c>
      <c r="J43" s="66"/>
      <c r="K43" s="66">
        <v>8.8000000000000007</v>
      </c>
      <c r="L43" s="66"/>
      <c r="M43" s="66">
        <v>10</v>
      </c>
      <c r="N43" s="66"/>
      <c r="O43" s="66"/>
      <c r="P43" s="66">
        <v>13.8</v>
      </c>
      <c r="Q43" s="66"/>
      <c r="R43" s="66">
        <v>8.1999999999999993</v>
      </c>
      <c r="S43" s="66">
        <v>10</v>
      </c>
      <c r="T43" s="66">
        <v>5</v>
      </c>
      <c r="U43" s="66">
        <v>3</v>
      </c>
      <c r="V43" s="66">
        <v>2.6</v>
      </c>
      <c r="W43" s="66">
        <v>20.399999999999999</v>
      </c>
      <c r="X43" s="66">
        <v>9.9</v>
      </c>
      <c r="Y43" s="66">
        <v>8.3000000000000007</v>
      </c>
      <c r="Z43" s="66">
        <v>9.6999999999999993</v>
      </c>
      <c r="AA43" s="66">
        <v>10.6</v>
      </c>
      <c r="AB43" s="66">
        <v>70.099999999999994</v>
      </c>
      <c r="AC43" s="66"/>
      <c r="AD43" s="66"/>
      <c r="AE43" s="66">
        <v>7.6</v>
      </c>
      <c r="AF43" s="66">
        <v>92.1</v>
      </c>
      <c r="AG43" s="66"/>
      <c r="AH43" s="66"/>
      <c r="AI43" s="66"/>
      <c r="AJ43" s="66">
        <v>9.9</v>
      </c>
      <c r="AK43" s="66">
        <v>3.5</v>
      </c>
      <c r="AL43" s="66">
        <v>8</v>
      </c>
      <c r="AM43" s="66">
        <v>9.1999999999999993</v>
      </c>
      <c r="AN43" s="66">
        <v>9.5</v>
      </c>
      <c r="AO43" s="66">
        <v>4.3</v>
      </c>
      <c r="AP43" s="66"/>
      <c r="AQ43" s="66">
        <v>15.6</v>
      </c>
      <c r="AR43" s="66">
        <v>12.5</v>
      </c>
      <c r="AS43" s="66"/>
      <c r="AT43" s="66"/>
      <c r="AU43" s="66">
        <v>7.7</v>
      </c>
      <c r="AV43" s="66"/>
      <c r="AW43" s="66"/>
      <c r="AX43" s="66"/>
      <c r="AY43" s="66"/>
      <c r="AZ43" s="66"/>
      <c r="BA43" s="66">
        <v>2.6</v>
      </c>
      <c r="BB43" s="66"/>
      <c r="BC43" s="66"/>
      <c r="BD43" s="66"/>
      <c r="BE43" s="66">
        <v>2.9</v>
      </c>
      <c r="BF43" s="66">
        <v>9.9</v>
      </c>
      <c r="BG43" s="66">
        <v>160.6</v>
      </c>
      <c r="BH43" s="66">
        <v>125.6</v>
      </c>
      <c r="BI43" s="66">
        <v>0.6</v>
      </c>
      <c r="BJ43" s="66"/>
      <c r="BK43" s="66"/>
      <c r="BL43" s="66"/>
      <c r="BM43" s="66"/>
      <c r="BN43" s="66">
        <v>20.399999999999999</v>
      </c>
      <c r="BO43" s="66">
        <v>60.4</v>
      </c>
      <c r="BP43" s="66"/>
      <c r="BQ43" s="66"/>
      <c r="BR43" s="66">
        <v>2</v>
      </c>
      <c r="BS43" s="66"/>
      <c r="BT43" s="66"/>
      <c r="BU43" s="66">
        <v>1.3</v>
      </c>
      <c r="BV43" s="66">
        <v>19.5</v>
      </c>
      <c r="BW43" s="66">
        <v>9.9</v>
      </c>
      <c r="BX43" s="66">
        <v>18.5</v>
      </c>
      <c r="BY43" s="66"/>
      <c r="BZ43" s="66">
        <v>16</v>
      </c>
      <c r="CA43" s="67">
        <v>854.6</v>
      </c>
    </row>
    <row r="44" spans="1:79" x14ac:dyDescent="0.3">
      <c r="A44" s="1"/>
      <c r="B44" s="54" t="s">
        <v>844</v>
      </c>
      <c r="C44" s="66"/>
      <c r="D44" s="66">
        <v>19</v>
      </c>
      <c r="E44" s="66"/>
      <c r="F44" s="66"/>
      <c r="G44" s="66">
        <v>10.4</v>
      </c>
      <c r="H44" s="66">
        <v>12</v>
      </c>
      <c r="I44" s="66">
        <v>2</v>
      </c>
      <c r="J44" s="66"/>
      <c r="K44" s="66">
        <v>9</v>
      </c>
      <c r="L44" s="66"/>
      <c r="M44" s="66">
        <v>10</v>
      </c>
      <c r="N44" s="66"/>
      <c r="O44" s="66"/>
      <c r="P44" s="66">
        <v>13.8</v>
      </c>
      <c r="Q44" s="66"/>
      <c r="R44" s="66">
        <v>8.3000000000000007</v>
      </c>
      <c r="S44" s="66">
        <v>10.4</v>
      </c>
      <c r="T44" s="66">
        <v>4.5</v>
      </c>
      <c r="U44" s="66">
        <v>2.8</v>
      </c>
      <c r="V44" s="66">
        <v>2.6</v>
      </c>
      <c r="W44" s="66">
        <v>20.6</v>
      </c>
      <c r="X44" s="66">
        <v>9.9</v>
      </c>
      <c r="Y44" s="66">
        <v>8.3000000000000007</v>
      </c>
      <c r="Z44" s="66">
        <v>8.1999999999999993</v>
      </c>
      <c r="AA44" s="66">
        <v>7.8</v>
      </c>
      <c r="AB44" s="66">
        <v>68.400000000000006</v>
      </c>
      <c r="AC44" s="66"/>
      <c r="AD44" s="66"/>
      <c r="AE44" s="66">
        <v>8.8000000000000007</v>
      </c>
      <c r="AF44" s="66">
        <v>101.5</v>
      </c>
      <c r="AG44" s="66"/>
      <c r="AH44" s="66"/>
      <c r="AI44" s="66"/>
      <c r="AJ44" s="66">
        <v>9.9</v>
      </c>
      <c r="AK44" s="66">
        <v>3.5</v>
      </c>
      <c r="AL44" s="66">
        <v>8</v>
      </c>
      <c r="AM44" s="66">
        <v>9</v>
      </c>
      <c r="AN44" s="66">
        <v>9.3000000000000007</v>
      </c>
      <c r="AO44" s="66">
        <v>4.3</v>
      </c>
      <c r="AP44" s="66"/>
      <c r="AQ44" s="66">
        <v>13.2</v>
      </c>
      <c r="AR44" s="66">
        <v>11.2</v>
      </c>
      <c r="AS44" s="66"/>
      <c r="AT44" s="66"/>
      <c r="AU44" s="66">
        <v>7.7</v>
      </c>
      <c r="AV44" s="66"/>
      <c r="AW44" s="66"/>
      <c r="AX44" s="66"/>
      <c r="AY44" s="66"/>
      <c r="AZ44" s="66"/>
      <c r="BA44" s="66">
        <v>2.6</v>
      </c>
      <c r="BB44" s="66"/>
      <c r="BC44" s="66"/>
      <c r="BD44" s="66"/>
      <c r="BE44" s="66">
        <v>3</v>
      </c>
      <c r="BF44" s="66">
        <v>9.9</v>
      </c>
      <c r="BG44" s="66">
        <v>147.9</v>
      </c>
      <c r="BH44" s="66">
        <v>124.5</v>
      </c>
      <c r="BI44" s="66">
        <v>0.6</v>
      </c>
      <c r="BJ44" s="66"/>
      <c r="BK44" s="66"/>
      <c r="BL44" s="66"/>
      <c r="BM44" s="66"/>
      <c r="BN44" s="66">
        <v>21.6</v>
      </c>
      <c r="BO44" s="66">
        <v>63.7</v>
      </c>
      <c r="BP44" s="66"/>
      <c r="BQ44" s="66"/>
      <c r="BR44" s="66">
        <v>2</v>
      </c>
      <c r="BS44" s="66"/>
      <c r="BT44" s="66"/>
      <c r="BU44" s="66">
        <v>1.3</v>
      </c>
      <c r="BV44" s="66">
        <v>19.600000000000001</v>
      </c>
      <c r="BW44" s="66">
        <v>10</v>
      </c>
      <c r="BX44" s="66">
        <v>18.7</v>
      </c>
      <c r="BY44" s="66"/>
      <c r="BZ44" s="66">
        <v>16.100000000000001</v>
      </c>
      <c r="CA44" s="67">
        <v>855.9</v>
      </c>
    </row>
    <row r="45" spans="1:79" x14ac:dyDescent="0.3">
      <c r="A45" s="1"/>
      <c r="B45" s="54" t="s">
        <v>845</v>
      </c>
      <c r="C45" s="66"/>
      <c r="D45" s="66">
        <v>18.5</v>
      </c>
      <c r="E45" s="66"/>
      <c r="F45" s="66"/>
      <c r="G45" s="66">
        <v>10.8</v>
      </c>
      <c r="H45" s="66">
        <v>12.1</v>
      </c>
      <c r="I45" s="66">
        <v>2.1</v>
      </c>
      <c r="J45" s="66"/>
      <c r="K45" s="66">
        <v>8.1</v>
      </c>
      <c r="L45" s="66"/>
      <c r="M45" s="66">
        <v>10</v>
      </c>
      <c r="N45" s="66"/>
      <c r="O45" s="66"/>
      <c r="P45" s="66">
        <v>13.7</v>
      </c>
      <c r="Q45" s="66"/>
      <c r="R45" s="66">
        <v>8.1</v>
      </c>
      <c r="S45" s="66">
        <v>11.2</v>
      </c>
      <c r="T45" s="66">
        <v>4.2</v>
      </c>
      <c r="U45" s="66">
        <v>2.9</v>
      </c>
      <c r="V45" s="66">
        <v>2.6</v>
      </c>
      <c r="W45" s="66">
        <v>20.6</v>
      </c>
      <c r="X45" s="66">
        <v>9.9</v>
      </c>
      <c r="Y45" s="66">
        <v>8.3000000000000007</v>
      </c>
      <c r="Z45" s="66">
        <v>10.199999999999999</v>
      </c>
      <c r="AA45" s="66">
        <v>3.8</v>
      </c>
      <c r="AB45" s="66">
        <v>72.900000000000006</v>
      </c>
      <c r="AC45" s="66"/>
      <c r="AD45" s="66"/>
      <c r="AE45" s="66">
        <v>10.8</v>
      </c>
      <c r="AF45" s="66">
        <v>128.19999999999999</v>
      </c>
      <c r="AG45" s="66"/>
      <c r="AH45" s="66"/>
      <c r="AI45" s="66"/>
      <c r="AJ45" s="66">
        <v>9.9</v>
      </c>
      <c r="AK45" s="66">
        <v>3.5</v>
      </c>
      <c r="AL45" s="66">
        <v>8</v>
      </c>
      <c r="AM45" s="66">
        <v>8.6</v>
      </c>
      <c r="AN45" s="66">
        <v>8.9</v>
      </c>
      <c r="AO45" s="66">
        <v>4.3</v>
      </c>
      <c r="AP45" s="66"/>
      <c r="AQ45" s="66">
        <v>12.3</v>
      </c>
      <c r="AR45" s="66">
        <v>11.4</v>
      </c>
      <c r="AS45" s="66"/>
      <c r="AT45" s="66"/>
      <c r="AU45" s="66">
        <v>7.7</v>
      </c>
      <c r="AV45" s="66"/>
      <c r="AW45" s="66"/>
      <c r="AX45" s="66"/>
      <c r="AY45" s="66"/>
      <c r="AZ45" s="66"/>
      <c r="BA45" s="66">
        <v>2.6</v>
      </c>
      <c r="BB45" s="66"/>
      <c r="BC45" s="66"/>
      <c r="BD45" s="66"/>
      <c r="BE45" s="66">
        <v>3</v>
      </c>
      <c r="BF45" s="66">
        <v>9.9</v>
      </c>
      <c r="BG45" s="66">
        <v>135.5</v>
      </c>
      <c r="BH45" s="66">
        <v>124</v>
      </c>
      <c r="BI45" s="66">
        <v>0.6</v>
      </c>
      <c r="BJ45" s="66"/>
      <c r="BK45" s="66"/>
      <c r="BL45" s="66"/>
      <c r="BM45" s="66"/>
      <c r="BN45" s="66">
        <v>19.399999999999999</v>
      </c>
      <c r="BO45" s="66">
        <v>58.2</v>
      </c>
      <c r="BP45" s="66"/>
      <c r="BQ45" s="66"/>
      <c r="BR45" s="66">
        <v>2</v>
      </c>
      <c r="BS45" s="66"/>
      <c r="BT45" s="66"/>
      <c r="BU45" s="66">
        <v>1.3</v>
      </c>
      <c r="BV45" s="66">
        <v>19.399999999999999</v>
      </c>
      <c r="BW45" s="66">
        <v>10</v>
      </c>
      <c r="BX45" s="66">
        <v>18.399999999999999</v>
      </c>
      <c r="BY45" s="66"/>
      <c r="BZ45" s="66">
        <v>16.100000000000001</v>
      </c>
      <c r="CA45" s="67">
        <v>864</v>
      </c>
    </row>
    <row r="46" spans="1:79" x14ac:dyDescent="0.3">
      <c r="A46" s="1"/>
      <c r="B46" s="54" t="s">
        <v>846</v>
      </c>
      <c r="C46" s="66"/>
      <c r="D46" s="66">
        <v>18.100000000000001</v>
      </c>
      <c r="E46" s="66"/>
      <c r="F46" s="66"/>
      <c r="G46" s="66">
        <v>10.8</v>
      </c>
      <c r="H46" s="66">
        <v>12.1</v>
      </c>
      <c r="I46" s="66">
        <v>2.1</v>
      </c>
      <c r="J46" s="66"/>
      <c r="K46" s="66">
        <v>7.2</v>
      </c>
      <c r="L46" s="66"/>
      <c r="M46" s="66">
        <v>10.1</v>
      </c>
      <c r="N46" s="66"/>
      <c r="O46" s="66"/>
      <c r="P46" s="66">
        <v>13.7</v>
      </c>
      <c r="Q46" s="66"/>
      <c r="R46" s="66">
        <v>8.1999999999999993</v>
      </c>
      <c r="S46" s="66">
        <v>11.3</v>
      </c>
      <c r="T46" s="66">
        <v>4.2</v>
      </c>
      <c r="U46" s="66">
        <v>2.8</v>
      </c>
      <c r="V46" s="66">
        <v>2.6</v>
      </c>
      <c r="W46" s="66">
        <v>20.5</v>
      </c>
      <c r="X46" s="66">
        <v>10</v>
      </c>
      <c r="Y46" s="66">
        <v>8.3000000000000007</v>
      </c>
      <c r="Z46" s="66">
        <v>14.2</v>
      </c>
      <c r="AA46" s="66">
        <v>3.6</v>
      </c>
      <c r="AB46" s="66">
        <v>69.8</v>
      </c>
      <c r="AC46" s="66"/>
      <c r="AD46" s="66"/>
      <c r="AE46" s="66">
        <v>10.7</v>
      </c>
      <c r="AF46" s="66">
        <v>144.5</v>
      </c>
      <c r="AG46" s="66"/>
      <c r="AH46" s="66"/>
      <c r="AI46" s="66"/>
      <c r="AJ46" s="66">
        <v>9.9</v>
      </c>
      <c r="AK46" s="66">
        <v>3.5</v>
      </c>
      <c r="AL46" s="66">
        <v>8.4</v>
      </c>
      <c r="AM46" s="66">
        <v>9.1</v>
      </c>
      <c r="AN46" s="66">
        <v>9.3000000000000007</v>
      </c>
      <c r="AO46" s="66">
        <v>4.3</v>
      </c>
      <c r="AP46" s="66"/>
      <c r="AQ46" s="66">
        <v>10.6</v>
      </c>
      <c r="AR46" s="66">
        <v>8.9</v>
      </c>
      <c r="AS46" s="66"/>
      <c r="AT46" s="66"/>
      <c r="AU46" s="66">
        <v>7.7</v>
      </c>
      <c r="AV46" s="66"/>
      <c r="AW46" s="66"/>
      <c r="AX46" s="66"/>
      <c r="AY46" s="66"/>
      <c r="AZ46" s="66"/>
      <c r="BA46" s="66">
        <v>2.2999999999999998</v>
      </c>
      <c r="BB46" s="66"/>
      <c r="BC46" s="66"/>
      <c r="BD46" s="66"/>
      <c r="BE46" s="66">
        <v>5.6</v>
      </c>
      <c r="BF46" s="66">
        <v>9.9</v>
      </c>
      <c r="BG46" s="66">
        <v>97.5</v>
      </c>
      <c r="BH46" s="66">
        <v>106.3</v>
      </c>
      <c r="BI46" s="66">
        <v>0.6</v>
      </c>
      <c r="BJ46" s="66"/>
      <c r="BK46" s="66"/>
      <c r="BL46" s="66"/>
      <c r="BM46" s="66"/>
      <c r="BN46" s="66">
        <v>20.5</v>
      </c>
      <c r="BO46" s="66">
        <v>61.3</v>
      </c>
      <c r="BP46" s="66"/>
      <c r="BQ46" s="66"/>
      <c r="BR46" s="66">
        <v>2</v>
      </c>
      <c r="BS46" s="66"/>
      <c r="BT46" s="66"/>
      <c r="BU46" s="66">
        <v>1.3</v>
      </c>
      <c r="BV46" s="66">
        <v>19.399999999999999</v>
      </c>
      <c r="BW46" s="66">
        <v>10</v>
      </c>
      <c r="BX46" s="66">
        <v>18.100000000000001</v>
      </c>
      <c r="BY46" s="66"/>
      <c r="BZ46" s="66">
        <v>16.100000000000001</v>
      </c>
      <c r="CA46" s="67">
        <v>827.4</v>
      </c>
    </row>
    <row r="47" spans="1:79" x14ac:dyDescent="0.3">
      <c r="A47" s="1"/>
      <c r="B47" s="56" t="s">
        <v>847</v>
      </c>
      <c r="C47" s="68"/>
      <c r="D47" s="68">
        <v>18</v>
      </c>
      <c r="E47" s="68"/>
      <c r="F47" s="68"/>
      <c r="G47" s="68">
        <v>10.8</v>
      </c>
      <c r="H47" s="68">
        <v>12.1</v>
      </c>
      <c r="I47" s="68">
        <v>2.1</v>
      </c>
      <c r="J47" s="68"/>
      <c r="K47" s="68">
        <v>6.2</v>
      </c>
      <c r="L47" s="68"/>
      <c r="M47" s="68">
        <v>11.7</v>
      </c>
      <c r="N47" s="68"/>
      <c r="O47" s="68"/>
      <c r="P47" s="68">
        <v>13.9</v>
      </c>
      <c r="Q47" s="68"/>
      <c r="R47" s="68">
        <v>8.1</v>
      </c>
      <c r="S47" s="68">
        <v>11.6</v>
      </c>
      <c r="T47" s="68">
        <v>4.5999999999999996</v>
      </c>
      <c r="U47" s="68">
        <v>2.8</v>
      </c>
      <c r="V47" s="68">
        <v>2.6</v>
      </c>
      <c r="W47" s="68">
        <v>20.5</v>
      </c>
      <c r="X47" s="68">
        <v>9.9</v>
      </c>
      <c r="Y47" s="68">
        <v>8.3000000000000007</v>
      </c>
      <c r="Z47" s="68">
        <v>19.100000000000001</v>
      </c>
      <c r="AA47" s="68">
        <v>4.3</v>
      </c>
      <c r="AB47" s="68">
        <v>67.599999999999994</v>
      </c>
      <c r="AC47" s="68"/>
      <c r="AD47" s="68"/>
      <c r="AE47" s="68">
        <v>10.5</v>
      </c>
      <c r="AF47" s="68">
        <v>151.30000000000001</v>
      </c>
      <c r="AG47" s="68"/>
      <c r="AH47" s="68"/>
      <c r="AI47" s="68"/>
      <c r="AJ47" s="68">
        <v>9.9</v>
      </c>
      <c r="AK47" s="68">
        <v>3.5</v>
      </c>
      <c r="AL47" s="68">
        <v>8.4</v>
      </c>
      <c r="AM47" s="68">
        <v>9.1</v>
      </c>
      <c r="AN47" s="68">
        <v>9.3000000000000007</v>
      </c>
      <c r="AO47" s="68">
        <v>3.4</v>
      </c>
      <c r="AP47" s="68"/>
      <c r="AQ47" s="68">
        <v>10.6</v>
      </c>
      <c r="AR47" s="68">
        <v>12.5</v>
      </c>
      <c r="AS47" s="68"/>
      <c r="AT47" s="68"/>
      <c r="AU47" s="68">
        <v>7.7</v>
      </c>
      <c r="AV47" s="68"/>
      <c r="AW47" s="68"/>
      <c r="AX47" s="68"/>
      <c r="AY47" s="68"/>
      <c r="AZ47" s="68"/>
      <c r="BA47" s="68">
        <v>2.6</v>
      </c>
      <c r="BB47" s="68"/>
      <c r="BC47" s="68"/>
      <c r="BD47" s="68"/>
      <c r="BE47" s="68">
        <v>5.5</v>
      </c>
      <c r="BF47" s="68">
        <v>9.9</v>
      </c>
      <c r="BG47" s="68">
        <v>80.400000000000006</v>
      </c>
      <c r="BH47" s="68">
        <v>79.400000000000006</v>
      </c>
      <c r="BI47" s="68">
        <v>0.6</v>
      </c>
      <c r="BJ47" s="68"/>
      <c r="BK47" s="68"/>
      <c r="BL47" s="68"/>
      <c r="BM47" s="68"/>
      <c r="BN47" s="68">
        <v>19.600000000000001</v>
      </c>
      <c r="BO47" s="68">
        <v>65.2</v>
      </c>
      <c r="BP47" s="68"/>
      <c r="BQ47" s="68"/>
      <c r="BR47" s="68">
        <v>2</v>
      </c>
      <c r="BS47" s="68"/>
      <c r="BT47" s="68"/>
      <c r="BU47" s="68">
        <v>1.3</v>
      </c>
      <c r="BV47" s="68">
        <v>19.3</v>
      </c>
      <c r="BW47" s="68">
        <v>10</v>
      </c>
      <c r="BX47" s="68">
        <v>17.899999999999999</v>
      </c>
      <c r="BY47" s="68"/>
      <c r="BZ47" s="68">
        <v>16.100000000000001</v>
      </c>
      <c r="CA47" s="69">
        <v>800.2</v>
      </c>
    </row>
    <row r="48" spans="1:79" x14ac:dyDescent="0.3">
      <c r="A48" s="1"/>
      <c r="B48" s="50" t="s">
        <v>848</v>
      </c>
      <c r="C48" s="64"/>
      <c r="D48" s="64">
        <v>18.100000000000001</v>
      </c>
      <c r="E48" s="64"/>
      <c r="F48" s="64"/>
      <c r="G48" s="64">
        <v>10.8</v>
      </c>
      <c r="H48" s="64">
        <v>12.1</v>
      </c>
      <c r="I48" s="64">
        <v>2.1</v>
      </c>
      <c r="J48" s="64"/>
      <c r="K48" s="64">
        <v>5.2</v>
      </c>
      <c r="L48" s="64"/>
      <c r="M48" s="64">
        <v>10</v>
      </c>
      <c r="N48" s="64"/>
      <c r="O48" s="64"/>
      <c r="P48" s="64">
        <v>14</v>
      </c>
      <c r="Q48" s="64"/>
      <c r="R48" s="64">
        <v>8.1999999999999993</v>
      </c>
      <c r="S48" s="64">
        <v>11.7</v>
      </c>
      <c r="T48" s="64">
        <v>5.3</v>
      </c>
      <c r="U48" s="64">
        <v>3.1</v>
      </c>
      <c r="V48" s="64">
        <v>2.6</v>
      </c>
      <c r="W48" s="64">
        <v>20.399999999999999</v>
      </c>
      <c r="X48" s="64">
        <v>9.9</v>
      </c>
      <c r="Y48" s="64">
        <v>8.3000000000000007</v>
      </c>
      <c r="Z48" s="64">
        <v>24.1</v>
      </c>
      <c r="AA48" s="64">
        <v>7.2</v>
      </c>
      <c r="AB48" s="64">
        <v>69.8</v>
      </c>
      <c r="AC48" s="64"/>
      <c r="AD48" s="64"/>
      <c r="AE48" s="64">
        <v>10.199999999999999</v>
      </c>
      <c r="AF48" s="64">
        <v>130.1</v>
      </c>
      <c r="AG48" s="64"/>
      <c r="AH48" s="64"/>
      <c r="AI48" s="64"/>
      <c r="AJ48" s="64">
        <v>9.9</v>
      </c>
      <c r="AK48" s="64">
        <v>3.5</v>
      </c>
      <c r="AL48" s="64">
        <v>8.4</v>
      </c>
      <c r="AM48" s="64">
        <v>9.1</v>
      </c>
      <c r="AN48" s="64">
        <v>9.3000000000000007</v>
      </c>
      <c r="AO48" s="64">
        <v>4.3</v>
      </c>
      <c r="AP48" s="64"/>
      <c r="AQ48" s="64">
        <v>8.3000000000000007</v>
      </c>
      <c r="AR48" s="64">
        <v>9.9</v>
      </c>
      <c r="AS48" s="64"/>
      <c r="AT48" s="64"/>
      <c r="AU48" s="64">
        <v>7.7</v>
      </c>
      <c r="AV48" s="64"/>
      <c r="AW48" s="64"/>
      <c r="AX48" s="64"/>
      <c r="AY48" s="64"/>
      <c r="AZ48" s="64"/>
      <c r="BA48" s="64">
        <v>2.5</v>
      </c>
      <c r="BB48" s="64"/>
      <c r="BC48" s="64"/>
      <c r="BD48" s="64"/>
      <c r="BE48" s="64">
        <v>5.5</v>
      </c>
      <c r="BF48" s="64">
        <v>9.9</v>
      </c>
      <c r="BG48" s="64">
        <v>52.4</v>
      </c>
      <c r="BH48" s="64">
        <v>61.1</v>
      </c>
      <c r="BI48" s="64">
        <v>0.6</v>
      </c>
      <c r="BJ48" s="64"/>
      <c r="BK48" s="64"/>
      <c r="BL48" s="64"/>
      <c r="BM48" s="64"/>
      <c r="BN48" s="64">
        <v>23.1</v>
      </c>
      <c r="BO48" s="64">
        <v>67.3</v>
      </c>
      <c r="BP48" s="64"/>
      <c r="BQ48" s="64"/>
      <c r="BR48" s="64">
        <v>2</v>
      </c>
      <c r="BS48" s="64"/>
      <c r="BT48" s="64"/>
      <c r="BU48" s="64">
        <v>1.3</v>
      </c>
      <c r="BV48" s="64">
        <v>19.5</v>
      </c>
      <c r="BW48" s="64">
        <v>10</v>
      </c>
      <c r="BX48" s="64">
        <v>18.399999999999999</v>
      </c>
      <c r="BY48" s="64"/>
      <c r="BZ48" s="64">
        <v>16</v>
      </c>
      <c r="CA48" s="65">
        <v>743.2</v>
      </c>
    </row>
    <row r="49" spans="1:79" x14ac:dyDescent="0.3">
      <c r="A49" s="1"/>
      <c r="B49" s="54" t="s">
        <v>849</v>
      </c>
      <c r="C49" s="66"/>
      <c r="D49" s="66">
        <v>18.5</v>
      </c>
      <c r="E49" s="66"/>
      <c r="F49" s="66"/>
      <c r="G49" s="66">
        <v>11.3</v>
      </c>
      <c r="H49" s="66">
        <v>12.1</v>
      </c>
      <c r="I49" s="66">
        <v>2.1</v>
      </c>
      <c r="J49" s="66"/>
      <c r="K49" s="66">
        <v>8.1999999999999993</v>
      </c>
      <c r="L49" s="66"/>
      <c r="M49" s="66">
        <v>10</v>
      </c>
      <c r="N49" s="66"/>
      <c r="O49" s="66"/>
      <c r="P49" s="66">
        <v>14</v>
      </c>
      <c r="Q49" s="66"/>
      <c r="R49" s="66">
        <v>8.1999999999999993</v>
      </c>
      <c r="S49" s="66">
        <v>12.1</v>
      </c>
      <c r="T49" s="66">
        <v>5.3</v>
      </c>
      <c r="U49" s="66">
        <v>3.1</v>
      </c>
      <c r="V49" s="66">
        <v>2.6</v>
      </c>
      <c r="W49" s="66">
        <v>20.5</v>
      </c>
      <c r="X49" s="66">
        <v>9.4</v>
      </c>
      <c r="Y49" s="66">
        <v>4.5</v>
      </c>
      <c r="Z49" s="66">
        <v>34.1</v>
      </c>
      <c r="AA49" s="66">
        <v>9</v>
      </c>
      <c r="AB49" s="66">
        <v>74.599999999999994</v>
      </c>
      <c r="AC49" s="66"/>
      <c r="AD49" s="66"/>
      <c r="AE49" s="66">
        <v>6.9</v>
      </c>
      <c r="AF49" s="66">
        <v>119.5</v>
      </c>
      <c r="AG49" s="66"/>
      <c r="AH49" s="66"/>
      <c r="AI49" s="66"/>
      <c r="AJ49" s="66">
        <v>9.9</v>
      </c>
      <c r="AK49" s="66">
        <v>3.5</v>
      </c>
      <c r="AL49" s="66">
        <v>8.4</v>
      </c>
      <c r="AM49" s="66">
        <v>9.1</v>
      </c>
      <c r="AN49" s="66">
        <v>9.3000000000000007</v>
      </c>
      <c r="AO49" s="66">
        <v>4.5</v>
      </c>
      <c r="AP49" s="66"/>
      <c r="AQ49" s="66">
        <v>15.4</v>
      </c>
      <c r="AR49" s="66">
        <v>13</v>
      </c>
      <c r="AS49" s="66"/>
      <c r="AT49" s="66"/>
      <c r="AU49" s="66">
        <v>7.7</v>
      </c>
      <c r="AV49" s="66"/>
      <c r="AW49" s="66"/>
      <c r="AX49" s="66"/>
      <c r="AY49" s="66"/>
      <c r="AZ49" s="66"/>
      <c r="BA49" s="66">
        <v>2.6</v>
      </c>
      <c r="BB49" s="66"/>
      <c r="BC49" s="66"/>
      <c r="BD49" s="66"/>
      <c r="BE49" s="66">
        <v>5.6</v>
      </c>
      <c r="BF49" s="66">
        <v>9.9</v>
      </c>
      <c r="BG49" s="66">
        <v>30.9</v>
      </c>
      <c r="BH49" s="66">
        <v>32.6</v>
      </c>
      <c r="BI49" s="66">
        <v>0.6</v>
      </c>
      <c r="BJ49" s="66"/>
      <c r="BK49" s="66"/>
      <c r="BL49" s="66"/>
      <c r="BM49" s="66"/>
      <c r="BN49" s="66">
        <v>21.7</v>
      </c>
      <c r="BO49" s="66">
        <v>66.8</v>
      </c>
      <c r="BP49" s="66"/>
      <c r="BQ49" s="66"/>
      <c r="BR49" s="66">
        <v>2</v>
      </c>
      <c r="BS49" s="66"/>
      <c r="BT49" s="66"/>
      <c r="BU49" s="66">
        <v>1.3</v>
      </c>
      <c r="BV49" s="66">
        <v>19.600000000000001</v>
      </c>
      <c r="BW49" s="66">
        <v>10</v>
      </c>
      <c r="BX49" s="66">
        <v>18.8</v>
      </c>
      <c r="BY49" s="66"/>
      <c r="BZ49" s="66">
        <v>16</v>
      </c>
      <c r="CA49" s="67">
        <v>705.2</v>
      </c>
    </row>
    <row r="50" spans="1:79" x14ac:dyDescent="0.3">
      <c r="A50" s="1"/>
      <c r="B50" s="54" t="s">
        <v>850</v>
      </c>
      <c r="C50" s="66"/>
      <c r="D50" s="66">
        <v>18</v>
      </c>
      <c r="E50" s="66"/>
      <c r="F50" s="66"/>
      <c r="G50" s="66">
        <v>11.1</v>
      </c>
      <c r="H50" s="66">
        <v>12.1</v>
      </c>
      <c r="I50" s="66">
        <v>2.1</v>
      </c>
      <c r="J50" s="66"/>
      <c r="K50" s="66">
        <v>8.6</v>
      </c>
      <c r="L50" s="66"/>
      <c r="M50" s="66">
        <v>10</v>
      </c>
      <c r="N50" s="66"/>
      <c r="O50" s="66"/>
      <c r="P50" s="66">
        <v>14</v>
      </c>
      <c r="Q50" s="66"/>
      <c r="R50" s="66">
        <v>8.1</v>
      </c>
      <c r="S50" s="66">
        <v>12.2</v>
      </c>
      <c r="T50" s="66">
        <v>5.3</v>
      </c>
      <c r="U50" s="66">
        <v>3.1</v>
      </c>
      <c r="V50" s="66">
        <v>2.6</v>
      </c>
      <c r="W50" s="66">
        <v>20.399999999999999</v>
      </c>
      <c r="X50" s="66">
        <v>8.9</v>
      </c>
      <c r="Y50" s="66">
        <v>4.5</v>
      </c>
      <c r="Z50" s="66">
        <v>27.3</v>
      </c>
      <c r="AA50" s="66">
        <v>8.6999999999999993</v>
      </c>
      <c r="AB50" s="66">
        <v>60</v>
      </c>
      <c r="AC50" s="66"/>
      <c r="AD50" s="66"/>
      <c r="AE50" s="66">
        <v>3.5</v>
      </c>
      <c r="AF50" s="66">
        <v>114.2</v>
      </c>
      <c r="AG50" s="66"/>
      <c r="AH50" s="66"/>
      <c r="AI50" s="66"/>
      <c r="AJ50" s="66">
        <v>9.9</v>
      </c>
      <c r="AK50" s="66">
        <v>3.4</v>
      </c>
      <c r="AL50" s="66">
        <v>8.4</v>
      </c>
      <c r="AM50" s="66">
        <v>9.1</v>
      </c>
      <c r="AN50" s="66">
        <v>9.3000000000000007</v>
      </c>
      <c r="AO50" s="66">
        <v>4.5</v>
      </c>
      <c r="AP50" s="66"/>
      <c r="AQ50" s="66">
        <v>15.6</v>
      </c>
      <c r="AR50" s="66">
        <v>12.9</v>
      </c>
      <c r="AS50" s="66"/>
      <c r="AT50" s="66"/>
      <c r="AU50" s="66">
        <v>7.7</v>
      </c>
      <c r="AV50" s="66"/>
      <c r="AW50" s="66"/>
      <c r="AX50" s="66"/>
      <c r="AY50" s="66"/>
      <c r="AZ50" s="66"/>
      <c r="BA50" s="66">
        <v>2.5</v>
      </c>
      <c r="BB50" s="66"/>
      <c r="BC50" s="66"/>
      <c r="BD50" s="66"/>
      <c r="BE50" s="66">
        <v>5.5</v>
      </c>
      <c r="BF50" s="66">
        <v>10</v>
      </c>
      <c r="BG50" s="66">
        <v>7.8</v>
      </c>
      <c r="BH50" s="66">
        <v>12.8</v>
      </c>
      <c r="BI50" s="66">
        <v>0.6</v>
      </c>
      <c r="BJ50" s="66"/>
      <c r="BK50" s="66"/>
      <c r="BL50" s="66"/>
      <c r="BM50" s="66"/>
      <c r="BN50" s="66">
        <v>19.600000000000001</v>
      </c>
      <c r="BO50" s="66">
        <v>51</v>
      </c>
      <c r="BP50" s="66"/>
      <c r="BQ50" s="66"/>
      <c r="BR50" s="66">
        <v>2</v>
      </c>
      <c r="BS50" s="66"/>
      <c r="BT50" s="66"/>
      <c r="BU50" s="66">
        <v>1.3</v>
      </c>
      <c r="BV50" s="66">
        <v>19.600000000000001</v>
      </c>
      <c r="BW50" s="66">
        <v>10</v>
      </c>
      <c r="BX50" s="66">
        <v>18.7</v>
      </c>
      <c r="BY50" s="66"/>
      <c r="BZ50" s="66">
        <v>16</v>
      </c>
      <c r="CA50" s="67">
        <v>612.9</v>
      </c>
    </row>
    <row r="51" spans="1:79" x14ac:dyDescent="0.3">
      <c r="A51" s="1"/>
      <c r="B51" s="54" t="s">
        <v>851</v>
      </c>
      <c r="C51" s="66"/>
      <c r="D51" s="66">
        <v>18.600000000000001</v>
      </c>
      <c r="E51" s="66"/>
      <c r="F51" s="66"/>
      <c r="G51" s="66">
        <v>11.2</v>
      </c>
      <c r="H51" s="66">
        <v>12.1</v>
      </c>
      <c r="I51" s="66">
        <v>2.1</v>
      </c>
      <c r="J51" s="66"/>
      <c r="K51" s="66">
        <v>9</v>
      </c>
      <c r="L51" s="66"/>
      <c r="M51" s="66">
        <v>9.6</v>
      </c>
      <c r="N51" s="66"/>
      <c r="O51" s="66"/>
      <c r="P51" s="66">
        <v>13.9</v>
      </c>
      <c r="Q51" s="66"/>
      <c r="R51" s="66">
        <v>8.1</v>
      </c>
      <c r="S51" s="66">
        <v>12.2</v>
      </c>
      <c r="T51" s="66">
        <v>5.3</v>
      </c>
      <c r="U51" s="66">
        <v>3.1</v>
      </c>
      <c r="V51" s="66">
        <v>2.6</v>
      </c>
      <c r="W51" s="66">
        <v>20.6</v>
      </c>
      <c r="X51" s="66">
        <v>8.6</v>
      </c>
      <c r="Y51" s="66">
        <v>4.5</v>
      </c>
      <c r="Z51" s="66">
        <v>22</v>
      </c>
      <c r="AA51" s="66">
        <v>4.5</v>
      </c>
      <c r="AB51" s="66">
        <v>50.3</v>
      </c>
      <c r="AC51" s="66"/>
      <c r="AD51" s="66"/>
      <c r="AE51" s="66">
        <v>5.3</v>
      </c>
      <c r="AF51" s="66">
        <v>130.19999999999999</v>
      </c>
      <c r="AG51" s="66"/>
      <c r="AH51" s="66"/>
      <c r="AI51" s="66"/>
      <c r="AJ51" s="66">
        <v>9.9</v>
      </c>
      <c r="AK51" s="66">
        <v>3.4</v>
      </c>
      <c r="AL51" s="66">
        <v>9</v>
      </c>
      <c r="AM51" s="66">
        <v>10</v>
      </c>
      <c r="AN51" s="66">
        <v>10.1</v>
      </c>
      <c r="AO51" s="66">
        <v>4.5</v>
      </c>
      <c r="AP51" s="66"/>
      <c r="AQ51" s="66">
        <v>15.1</v>
      </c>
      <c r="AR51" s="66">
        <v>12.7</v>
      </c>
      <c r="AS51" s="66"/>
      <c r="AT51" s="66"/>
      <c r="AU51" s="66">
        <v>7.7</v>
      </c>
      <c r="AV51" s="66"/>
      <c r="AW51" s="66"/>
      <c r="AX51" s="66"/>
      <c r="AY51" s="66"/>
      <c r="AZ51" s="66"/>
      <c r="BA51" s="66">
        <v>2.4</v>
      </c>
      <c r="BB51" s="66"/>
      <c r="BC51" s="66"/>
      <c r="BD51" s="66"/>
      <c r="BE51" s="66">
        <v>5.6</v>
      </c>
      <c r="BF51" s="66">
        <v>9.9</v>
      </c>
      <c r="BG51" s="66">
        <v>9.1999999999999993</v>
      </c>
      <c r="BH51" s="66">
        <v>7.2</v>
      </c>
      <c r="BI51" s="66">
        <v>0.6</v>
      </c>
      <c r="BJ51" s="66"/>
      <c r="BK51" s="66"/>
      <c r="BL51" s="66"/>
      <c r="BM51" s="66"/>
      <c r="BN51" s="66">
        <v>16.5</v>
      </c>
      <c r="BO51" s="66">
        <v>43.3</v>
      </c>
      <c r="BP51" s="66"/>
      <c r="BQ51" s="66"/>
      <c r="BR51" s="66">
        <v>2</v>
      </c>
      <c r="BS51" s="66"/>
      <c r="BT51" s="66"/>
      <c r="BU51" s="66">
        <v>1.3</v>
      </c>
      <c r="BV51" s="66">
        <v>19.399999999999999</v>
      </c>
      <c r="BW51" s="66">
        <v>10</v>
      </c>
      <c r="BX51" s="66">
        <v>18.399999999999999</v>
      </c>
      <c r="BY51" s="66"/>
      <c r="BZ51" s="66">
        <v>16.100000000000001</v>
      </c>
      <c r="CA51" s="67">
        <v>598.1</v>
      </c>
    </row>
    <row r="52" spans="1:79" x14ac:dyDescent="0.3">
      <c r="A52" s="1"/>
      <c r="B52" s="54" t="s">
        <v>852</v>
      </c>
      <c r="C52" s="66"/>
      <c r="D52" s="66">
        <v>18.7</v>
      </c>
      <c r="E52" s="66"/>
      <c r="F52" s="66"/>
      <c r="G52" s="66">
        <v>11.2</v>
      </c>
      <c r="H52" s="66">
        <v>12</v>
      </c>
      <c r="I52" s="66">
        <v>2.1</v>
      </c>
      <c r="J52" s="66"/>
      <c r="K52" s="66">
        <v>8.9</v>
      </c>
      <c r="L52" s="66"/>
      <c r="M52" s="66">
        <v>10</v>
      </c>
      <c r="N52" s="66"/>
      <c r="O52" s="66"/>
      <c r="P52" s="66">
        <v>13.9</v>
      </c>
      <c r="Q52" s="66"/>
      <c r="R52" s="66">
        <v>8.1</v>
      </c>
      <c r="S52" s="66">
        <v>12.1</v>
      </c>
      <c r="T52" s="66">
        <v>5.3</v>
      </c>
      <c r="U52" s="66">
        <v>3.1</v>
      </c>
      <c r="V52" s="66">
        <v>2.5</v>
      </c>
      <c r="W52" s="66">
        <v>20.399999999999999</v>
      </c>
      <c r="X52" s="66">
        <v>8.6999999999999993</v>
      </c>
      <c r="Y52" s="66">
        <v>4.5</v>
      </c>
      <c r="Z52" s="66">
        <v>19.600000000000001</v>
      </c>
      <c r="AA52" s="66">
        <v>3.3</v>
      </c>
      <c r="AB52" s="66">
        <v>37.5</v>
      </c>
      <c r="AC52" s="66"/>
      <c r="AD52" s="66"/>
      <c r="AE52" s="66">
        <v>4.5</v>
      </c>
      <c r="AF52" s="66">
        <v>107</v>
      </c>
      <c r="AG52" s="66"/>
      <c r="AH52" s="66"/>
      <c r="AI52" s="66"/>
      <c r="AJ52" s="66">
        <v>9.9</v>
      </c>
      <c r="AK52" s="66">
        <v>3.4</v>
      </c>
      <c r="AL52" s="66">
        <v>9</v>
      </c>
      <c r="AM52" s="66">
        <v>10</v>
      </c>
      <c r="AN52" s="66">
        <v>10.1</v>
      </c>
      <c r="AO52" s="66">
        <v>4.5</v>
      </c>
      <c r="AP52" s="66"/>
      <c r="AQ52" s="66">
        <v>15</v>
      </c>
      <c r="AR52" s="66">
        <v>12.4</v>
      </c>
      <c r="AS52" s="66"/>
      <c r="AT52" s="66"/>
      <c r="AU52" s="66">
        <v>7.7</v>
      </c>
      <c r="AV52" s="66"/>
      <c r="AW52" s="66"/>
      <c r="AX52" s="66"/>
      <c r="AY52" s="66"/>
      <c r="AZ52" s="66"/>
      <c r="BA52" s="66">
        <v>2.2999999999999998</v>
      </c>
      <c r="BB52" s="66"/>
      <c r="BC52" s="66"/>
      <c r="BD52" s="66"/>
      <c r="BE52" s="66">
        <v>5.5</v>
      </c>
      <c r="BF52" s="66">
        <v>9.9</v>
      </c>
      <c r="BG52" s="66">
        <v>5.9</v>
      </c>
      <c r="BH52" s="66">
        <v>6.8</v>
      </c>
      <c r="BI52" s="66">
        <v>0.6</v>
      </c>
      <c r="BJ52" s="66"/>
      <c r="BK52" s="66"/>
      <c r="BL52" s="66"/>
      <c r="BM52" s="66"/>
      <c r="BN52" s="66">
        <v>11.6</v>
      </c>
      <c r="BO52" s="66">
        <v>27.3</v>
      </c>
      <c r="BP52" s="66"/>
      <c r="BQ52" s="66"/>
      <c r="BR52" s="66">
        <v>2</v>
      </c>
      <c r="BS52" s="66"/>
      <c r="BT52" s="66"/>
      <c r="BU52" s="66">
        <v>1.3</v>
      </c>
      <c r="BV52" s="66">
        <v>19.3</v>
      </c>
      <c r="BW52" s="66">
        <v>10</v>
      </c>
      <c r="BX52" s="66">
        <v>18.3</v>
      </c>
      <c r="BY52" s="66"/>
      <c r="BZ52" s="66">
        <v>16</v>
      </c>
      <c r="CA52" s="67">
        <v>532.20000000000005</v>
      </c>
    </row>
    <row r="53" spans="1:79" x14ac:dyDescent="0.3">
      <c r="A53" s="1"/>
      <c r="B53" s="54" t="s">
        <v>853</v>
      </c>
      <c r="C53" s="66"/>
      <c r="D53" s="66">
        <v>18.8</v>
      </c>
      <c r="E53" s="66"/>
      <c r="F53" s="66"/>
      <c r="G53" s="66">
        <v>11.2</v>
      </c>
      <c r="H53" s="66">
        <v>12.1</v>
      </c>
      <c r="I53" s="66">
        <v>2</v>
      </c>
      <c r="J53" s="66"/>
      <c r="K53" s="66">
        <v>8.1</v>
      </c>
      <c r="L53" s="66"/>
      <c r="M53" s="66">
        <v>10.199999999999999</v>
      </c>
      <c r="N53" s="66"/>
      <c r="O53" s="66"/>
      <c r="P53" s="66">
        <v>13.9</v>
      </c>
      <c r="Q53" s="66"/>
      <c r="R53" s="66">
        <v>8.1</v>
      </c>
      <c r="S53" s="66">
        <v>12</v>
      </c>
      <c r="T53" s="66">
        <v>5.3</v>
      </c>
      <c r="U53" s="66">
        <v>2.7</v>
      </c>
      <c r="V53" s="66">
        <v>2.5</v>
      </c>
      <c r="W53" s="66">
        <v>20.399999999999999</v>
      </c>
      <c r="X53" s="66">
        <v>8.3000000000000007</v>
      </c>
      <c r="Y53" s="66">
        <v>8.3000000000000007</v>
      </c>
      <c r="Z53" s="66">
        <v>20.399999999999999</v>
      </c>
      <c r="AA53" s="66">
        <v>3</v>
      </c>
      <c r="AB53" s="66">
        <v>27.4</v>
      </c>
      <c r="AC53" s="66"/>
      <c r="AD53" s="66"/>
      <c r="AE53" s="66">
        <v>5.0999999999999996</v>
      </c>
      <c r="AF53" s="66">
        <v>99.9</v>
      </c>
      <c r="AG53" s="66"/>
      <c r="AH53" s="66"/>
      <c r="AI53" s="66"/>
      <c r="AJ53" s="66">
        <v>9.9</v>
      </c>
      <c r="AK53" s="66">
        <v>3.4</v>
      </c>
      <c r="AL53" s="66">
        <v>9.6</v>
      </c>
      <c r="AM53" s="66">
        <v>10.6</v>
      </c>
      <c r="AN53" s="66">
        <v>10.6</v>
      </c>
      <c r="AO53" s="66">
        <v>4.5</v>
      </c>
      <c r="AP53" s="66"/>
      <c r="AQ53" s="66">
        <v>15.4</v>
      </c>
      <c r="AR53" s="66">
        <v>12.9</v>
      </c>
      <c r="AS53" s="66"/>
      <c r="AT53" s="66"/>
      <c r="AU53" s="66">
        <v>7.7</v>
      </c>
      <c r="AV53" s="66"/>
      <c r="AW53" s="66"/>
      <c r="AX53" s="66"/>
      <c r="AY53" s="66"/>
      <c r="AZ53" s="66"/>
      <c r="BA53" s="66">
        <v>2.2999999999999998</v>
      </c>
      <c r="BB53" s="66"/>
      <c r="BC53" s="66"/>
      <c r="BD53" s="66"/>
      <c r="BE53" s="66">
        <v>3.7</v>
      </c>
      <c r="BF53" s="66">
        <v>9.9</v>
      </c>
      <c r="BG53" s="66">
        <v>0.1</v>
      </c>
      <c r="BH53" s="66">
        <v>4</v>
      </c>
      <c r="BI53" s="66">
        <v>0.6</v>
      </c>
      <c r="BJ53" s="66"/>
      <c r="BK53" s="66"/>
      <c r="BL53" s="66"/>
      <c r="BM53" s="66"/>
      <c r="BN53" s="66">
        <v>7.6</v>
      </c>
      <c r="BO53" s="66">
        <v>17</v>
      </c>
      <c r="BP53" s="66"/>
      <c r="BQ53" s="66"/>
      <c r="BR53" s="66">
        <v>2</v>
      </c>
      <c r="BS53" s="66"/>
      <c r="BT53" s="66"/>
      <c r="BU53" s="66">
        <v>1.3</v>
      </c>
      <c r="BV53" s="66">
        <v>19.5</v>
      </c>
      <c r="BW53" s="66">
        <v>10</v>
      </c>
      <c r="BX53" s="66">
        <v>18.399999999999999</v>
      </c>
      <c r="BY53" s="66"/>
      <c r="BZ53" s="66">
        <v>16</v>
      </c>
      <c r="CA53" s="67">
        <v>496.7</v>
      </c>
    </row>
    <row r="54" spans="1:79" x14ac:dyDescent="0.3">
      <c r="A54" s="1"/>
      <c r="B54" s="54" t="s">
        <v>854</v>
      </c>
      <c r="C54" s="66"/>
      <c r="D54" s="66">
        <v>18.7</v>
      </c>
      <c r="E54" s="66"/>
      <c r="F54" s="66"/>
      <c r="G54" s="66">
        <v>10.7</v>
      </c>
      <c r="H54" s="66">
        <v>12.1</v>
      </c>
      <c r="I54" s="66">
        <v>2</v>
      </c>
      <c r="J54" s="66"/>
      <c r="K54" s="66">
        <v>7.7</v>
      </c>
      <c r="L54" s="66"/>
      <c r="M54" s="66">
        <v>10.3</v>
      </c>
      <c r="N54" s="66"/>
      <c r="O54" s="66"/>
      <c r="P54" s="66">
        <v>13.9</v>
      </c>
      <c r="Q54" s="66"/>
      <c r="R54" s="66">
        <v>8.1999999999999993</v>
      </c>
      <c r="S54" s="66">
        <v>12.2</v>
      </c>
      <c r="T54" s="66">
        <v>5.3</v>
      </c>
      <c r="U54" s="66">
        <v>2.8</v>
      </c>
      <c r="V54" s="66">
        <v>2.5</v>
      </c>
      <c r="W54" s="66">
        <v>20.100000000000001</v>
      </c>
      <c r="X54" s="66">
        <v>8.1999999999999993</v>
      </c>
      <c r="Y54" s="66">
        <v>8.3000000000000007</v>
      </c>
      <c r="Z54" s="66">
        <v>24</v>
      </c>
      <c r="AA54" s="66">
        <v>4.0999999999999996</v>
      </c>
      <c r="AB54" s="66">
        <v>29.6</v>
      </c>
      <c r="AC54" s="66"/>
      <c r="AD54" s="66"/>
      <c r="AE54" s="66">
        <v>6.9</v>
      </c>
      <c r="AF54" s="66">
        <v>109.8</v>
      </c>
      <c r="AG54" s="66"/>
      <c r="AH54" s="66"/>
      <c r="AI54" s="66"/>
      <c r="AJ54" s="66">
        <v>9.9</v>
      </c>
      <c r="AK54" s="66">
        <v>3.4</v>
      </c>
      <c r="AL54" s="66">
        <v>9.6</v>
      </c>
      <c r="AM54" s="66">
        <v>10.4</v>
      </c>
      <c r="AN54" s="66">
        <v>10.6</v>
      </c>
      <c r="AO54" s="66">
        <v>4.5</v>
      </c>
      <c r="AP54" s="66"/>
      <c r="AQ54" s="66">
        <v>15.4</v>
      </c>
      <c r="AR54" s="66">
        <v>13</v>
      </c>
      <c r="AS54" s="66"/>
      <c r="AT54" s="66"/>
      <c r="AU54" s="66">
        <v>7.7</v>
      </c>
      <c r="AV54" s="66"/>
      <c r="AW54" s="66"/>
      <c r="AX54" s="66"/>
      <c r="AY54" s="66"/>
      <c r="AZ54" s="66"/>
      <c r="BA54" s="66">
        <v>2.2999999999999998</v>
      </c>
      <c r="BB54" s="66"/>
      <c r="BC54" s="66"/>
      <c r="BD54" s="66"/>
      <c r="BE54" s="66">
        <v>2.2000000000000002</v>
      </c>
      <c r="BF54" s="66">
        <v>9.9</v>
      </c>
      <c r="BG54" s="66"/>
      <c r="BH54" s="66"/>
      <c r="BI54" s="66">
        <v>0.6</v>
      </c>
      <c r="BJ54" s="66"/>
      <c r="BK54" s="66"/>
      <c r="BL54" s="66"/>
      <c r="BM54" s="66"/>
      <c r="BN54" s="66">
        <v>6.1</v>
      </c>
      <c r="BO54" s="66">
        <v>14.7</v>
      </c>
      <c r="BP54" s="66"/>
      <c r="BQ54" s="66"/>
      <c r="BR54" s="66">
        <v>2</v>
      </c>
      <c r="BS54" s="66"/>
      <c r="BT54" s="66"/>
      <c r="BU54" s="66">
        <v>1.3</v>
      </c>
      <c r="BV54" s="66">
        <v>19.399999999999999</v>
      </c>
      <c r="BW54" s="66">
        <v>10</v>
      </c>
      <c r="BX54" s="66">
        <v>18.399999999999999</v>
      </c>
      <c r="BY54" s="66"/>
      <c r="BZ54" s="66">
        <v>16</v>
      </c>
      <c r="CA54" s="67">
        <v>504.8</v>
      </c>
    </row>
    <row r="55" spans="1:79" x14ac:dyDescent="0.3">
      <c r="A55" s="1"/>
      <c r="B55" s="56" t="s">
        <v>1106</v>
      </c>
      <c r="C55" s="68"/>
      <c r="D55" s="68">
        <v>18.8</v>
      </c>
      <c r="E55" s="68"/>
      <c r="F55" s="68"/>
      <c r="G55" s="68">
        <v>10.8</v>
      </c>
      <c r="H55" s="68">
        <v>12.1</v>
      </c>
      <c r="I55" s="68">
        <v>2</v>
      </c>
      <c r="J55" s="68"/>
      <c r="K55" s="68">
        <v>7.5</v>
      </c>
      <c r="L55" s="68"/>
      <c r="M55" s="68">
        <v>10.199999999999999</v>
      </c>
      <c r="N55" s="68"/>
      <c r="O55" s="68"/>
      <c r="P55" s="68">
        <v>14</v>
      </c>
      <c r="Q55" s="68"/>
      <c r="R55" s="68">
        <v>8</v>
      </c>
      <c r="S55" s="68">
        <v>11.8</v>
      </c>
      <c r="T55" s="68">
        <v>5.4</v>
      </c>
      <c r="U55" s="68">
        <v>2.7</v>
      </c>
      <c r="V55" s="68">
        <v>2.6</v>
      </c>
      <c r="W55" s="68">
        <v>19.899999999999999</v>
      </c>
      <c r="X55" s="68">
        <v>8.5</v>
      </c>
      <c r="Y55" s="68">
        <v>8.1999999999999993</v>
      </c>
      <c r="Z55" s="68">
        <v>22.3</v>
      </c>
      <c r="AA55" s="68">
        <v>5.4</v>
      </c>
      <c r="AB55" s="68">
        <v>25.5</v>
      </c>
      <c r="AC55" s="68"/>
      <c r="AD55" s="68"/>
      <c r="AE55" s="68">
        <v>4</v>
      </c>
      <c r="AF55" s="68">
        <v>93.3</v>
      </c>
      <c r="AG55" s="68"/>
      <c r="AH55" s="68"/>
      <c r="AI55" s="68"/>
      <c r="AJ55" s="68">
        <v>9.9</v>
      </c>
      <c r="AK55" s="68">
        <v>3.4</v>
      </c>
      <c r="AL55" s="68">
        <v>9.1999999999999993</v>
      </c>
      <c r="AM55" s="68">
        <v>10.4</v>
      </c>
      <c r="AN55" s="68">
        <v>10.6</v>
      </c>
      <c r="AO55" s="68">
        <v>8.1</v>
      </c>
      <c r="AP55" s="68"/>
      <c r="AQ55" s="68">
        <v>15.4</v>
      </c>
      <c r="AR55" s="68">
        <v>13</v>
      </c>
      <c r="AS55" s="68"/>
      <c r="AT55" s="68"/>
      <c r="AU55" s="68">
        <v>7.7</v>
      </c>
      <c r="AV55" s="68"/>
      <c r="AW55" s="68"/>
      <c r="AX55" s="68"/>
      <c r="AY55" s="68"/>
      <c r="AZ55" s="68"/>
      <c r="BA55" s="68">
        <v>2.2999999999999998</v>
      </c>
      <c r="BB55" s="68"/>
      <c r="BC55" s="68"/>
      <c r="BD55" s="68"/>
      <c r="BE55" s="68">
        <v>2.1</v>
      </c>
      <c r="BF55" s="68">
        <v>9.9</v>
      </c>
      <c r="BG55" s="68"/>
      <c r="BH55" s="68"/>
      <c r="BI55" s="68">
        <v>0.6</v>
      </c>
      <c r="BJ55" s="68"/>
      <c r="BK55" s="68"/>
      <c r="BL55" s="68"/>
      <c r="BM55" s="68"/>
      <c r="BN55" s="68">
        <v>8.3000000000000007</v>
      </c>
      <c r="BO55" s="68">
        <v>14.8</v>
      </c>
      <c r="BP55" s="68"/>
      <c r="BQ55" s="68"/>
      <c r="BR55" s="68">
        <v>2</v>
      </c>
      <c r="BS55" s="68"/>
      <c r="BT55" s="68"/>
      <c r="BU55" s="68">
        <v>1.3</v>
      </c>
      <c r="BV55" s="68">
        <v>19.5</v>
      </c>
      <c r="BW55" s="68">
        <v>10</v>
      </c>
      <c r="BX55" s="68">
        <v>18.399999999999999</v>
      </c>
      <c r="BY55" s="68"/>
      <c r="BZ55" s="68">
        <v>15.9</v>
      </c>
      <c r="CA55" s="69">
        <v>485.8</v>
      </c>
    </row>
    <row r="56" spans="1:79" ht="15.6" x14ac:dyDescent="0.3">
      <c r="A56" s="1"/>
      <c r="B56" s="70" t="s">
        <v>1107</v>
      </c>
      <c r="C56" s="71">
        <v>0</v>
      </c>
      <c r="D56" s="71">
        <v>440.35</v>
      </c>
      <c r="E56" s="71">
        <v>0</v>
      </c>
      <c r="F56" s="71">
        <v>0</v>
      </c>
      <c r="G56" s="71">
        <v>264.8</v>
      </c>
      <c r="H56" s="71">
        <v>172.15</v>
      </c>
      <c r="I56" s="71">
        <v>44.05</v>
      </c>
      <c r="J56" s="71">
        <v>0</v>
      </c>
      <c r="K56" s="71">
        <v>199.15</v>
      </c>
      <c r="L56" s="71">
        <v>0</v>
      </c>
      <c r="M56" s="71">
        <v>253.6</v>
      </c>
      <c r="N56" s="71">
        <v>2.7</v>
      </c>
      <c r="O56" s="71">
        <v>8.0500000000000007</v>
      </c>
      <c r="P56" s="71">
        <v>343.1</v>
      </c>
      <c r="Q56" s="71">
        <v>0</v>
      </c>
      <c r="R56" s="71">
        <v>198.2</v>
      </c>
      <c r="S56" s="71">
        <v>289.89999999999998</v>
      </c>
      <c r="T56" s="71">
        <v>117.7</v>
      </c>
      <c r="U56" s="71">
        <v>68.650000000000006</v>
      </c>
      <c r="V56" s="71">
        <v>61.15</v>
      </c>
      <c r="W56" s="71">
        <v>489.4</v>
      </c>
      <c r="X56" s="71">
        <v>233.5</v>
      </c>
      <c r="Y56" s="71">
        <v>162.85</v>
      </c>
      <c r="Z56" s="71">
        <v>526.9</v>
      </c>
      <c r="AA56" s="71">
        <v>354.45</v>
      </c>
      <c r="AB56" s="71">
        <v>874.85</v>
      </c>
      <c r="AC56" s="71">
        <v>0</v>
      </c>
      <c r="AD56" s="71">
        <v>0</v>
      </c>
      <c r="AE56" s="71">
        <v>133.19999999999999</v>
      </c>
      <c r="AF56" s="71">
        <v>1641.3</v>
      </c>
      <c r="AG56" s="71">
        <v>257.39999999999998</v>
      </c>
      <c r="AH56" s="71">
        <v>11.25</v>
      </c>
      <c r="AI56" s="71">
        <v>0</v>
      </c>
      <c r="AJ56" s="71">
        <v>241.9</v>
      </c>
      <c r="AK56" s="71">
        <v>83.45</v>
      </c>
      <c r="AL56" s="71">
        <v>209.5</v>
      </c>
      <c r="AM56" s="71">
        <v>229.65</v>
      </c>
      <c r="AN56" s="71">
        <v>236.4</v>
      </c>
      <c r="AO56" s="71">
        <v>108.65</v>
      </c>
      <c r="AP56" s="71">
        <v>605.54999999999995</v>
      </c>
      <c r="AQ56" s="71">
        <v>324.05</v>
      </c>
      <c r="AR56" s="71">
        <v>294.45</v>
      </c>
      <c r="AS56" s="71">
        <v>0</v>
      </c>
      <c r="AT56" s="71">
        <v>0</v>
      </c>
      <c r="AU56" s="71">
        <v>181.65</v>
      </c>
      <c r="AV56" s="71">
        <v>0</v>
      </c>
      <c r="AW56" s="71">
        <v>1886</v>
      </c>
      <c r="AX56" s="71">
        <v>1468.55</v>
      </c>
      <c r="AY56" s="71">
        <v>753.1</v>
      </c>
      <c r="AZ56" s="71">
        <v>2.6</v>
      </c>
      <c r="BA56" s="71">
        <v>55.45</v>
      </c>
      <c r="BB56" s="71">
        <v>114.9</v>
      </c>
      <c r="BC56" s="71">
        <v>0</v>
      </c>
      <c r="BD56" s="71">
        <v>98.9</v>
      </c>
      <c r="BE56" s="71">
        <v>72.650000000000006</v>
      </c>
      <c r="BF56" s="71">
        <v>188.35</v>
      </c>
      <c r="BG56" s="71">
        <v>1010</v>
      </c>
      <c r="BH56" s="71">
        <v>808.25</v>
      </c>
      <c r="BI56" s="71">
        <v>14.4</v>
      </c>
      <c r="BJ56" s="71">
        <v>776.6</v>
      </c>
      <c r="BK56" s="71">
        <v>1026.9000000000001</v>
      </c>
      <c r="BL56" s="71">
        <v>0</v>
      </c>
      <c r="BM56" s="71">
        <v>125.2</v>
      </c>
      <c r="BN56" s="71">
        <v>225.7</v>
      </c>
      <c r="BO56" s="71">
        <v>650.65</v>
      </c>
      <c r="BP56" s="71">
        <v>0</v>
      </c>
      <c r="BQ56" s="71">
        <v>0</v>
      </c>
      <c r="BR56" s="71">
        <v>48</v>
      </c>
      <c r="BS56" s="71">
        <v>0</v>
      </c>
      <c r="BT56" s="71">
        <v>109.9</v>
      </c>
      <c r="BU56" s="71">
        <v>31.2</v>
      </c>
      <c r="BV56" s="71">
        <v>468.65</v>
      </c>
      <c r="BW56" s="71">
        <v>239.75</v>
      </c>
      <c r="BX56" s="71">
        <v>447.4</v>
      </c>
      <c r="BY56" s="71">
        <v>104.95</v>
      </c>
      <c r="BZ56" s="71">
        <v>385.75</v>
      </c>
      <c r="CA56" s="71">
        <v>20777.7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597</v>
      </c>
      <c r="M70" s="1">
        <v>952.3</v>
      </c>
      <c r="N70" s="1">
        <v>4.5832791887456263</v>
      </c>
      <c r="O70" s="1" t="s">
        <v>1108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596</v>
      </c>
      <c r="M71" s="1">
        <v>5629.05</v>
      </c>
      <c r="N71" s="1">
        <v>27.091785905080929</v>
      </c>
      <c r="O71" s="1" t="s">
        <v>1109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599</v>
      </c>
      <c r="M72" s="1">
        <v>6843.8</v>
      </c>
      <c r="N72" s="1">
        <v>32.938198164378157</v>
      </c>
      <c r="O72" s="1" t="s">
        <v>1110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598</v>
      </c>
      <c r="M73" s="1">
        <v>7352.55</v>
      </c>
      <c r="N73" s="1">
        <v>35.386736741795289</v>
      </c>
      <c r="O73" s="1" t="s">
        <v>1111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8" t="s">
        <v>1112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2.05" hidden="1" customHeight="1" x14ac:dyDescent="0.3">
      <c r="A5" s="206" t="s">
        <v>63</v>
      </c>
      <c r="B5" s="206" t="s">
        <v>590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9" t="s">
        <v>961</v>
      </c>
    </row>
    <row r="6" spans="1:39" x14ac:dyDescent="0.3">
      <c r="A6" s="206"/>
      <c r="B6" s="206"/>
      <c r="C6" s="9" t="s">
        <v>1113</v>
      </c>
      <c r="D6" s="9" t="s">
        <v>1113</v>
      </c>
      <c r="E6" s="9" t="s">
        <v>1114</v>
      </c>
      <c r="F6" s="9" t="s">
        <v>1114</v>
      </c>
      <c r="G6" s="9" t="s">
        <v>1114</v>
      </c>
      <c r="H6" s="9" t="s">
        <v>1114</v>
      </c>
      <c r="I6" s="9" t="s">
        <v>1114</v>
      </c>
      <c r="J6" s="9" t="s">
        <v>1114</v>
      </c>
      <c r="K6" s="9" t="s">
        <v>1114</v>
      </c>
      <c r="L6" s="9" t="s">
        <v>1113</v>
      </c>
      <c r="M6" s="9" t="s">
        <v>1113</v>
      </c>
      <c r="N6" s="9" t="s">
        <v>1113</v>
      </c>
      <c r="O6" s="9" t="s">
        <v>1114</v>
      </c>
      <c r="P6" s="9" t="s">
        <v>1114</v>
      </c>
      <c r="Q6" s="9" t="s">
        <v>1113</v>
      </c>
      <c r="R6" s="9" t="s">
        <v>1113</v>
      </c>
      <c r="S6" s="9" t="s">
        <v>1113</v>
      </c>
      <c r="T6" s="9" t="s">
        <v>1113</v>
      </c>
      <c r="U6" s="9" t="s">
        <v>1113</v>
      </c>
      <c r="V6" s="9" t="s">
        <v>1113</v>
      </c>
      <c r="W6" s="9" t="s">
        <v>1113</v>
      </c>
      <c r="X6" s="9" t="s">
        <v>1113</v>
      </c>
      <c r="Y6" s="9" t="s">
        <v>1113</v>
      </c>
      <c r="Z6" s="9" t="s">
        <v>1114</v>
      </c>
      <c r="AA6" s="9" t="s">
        <v>1114</v>
      </c>
      <c r="AB6" s="9" t="s">
        <v>1114</v>
      </c>
      <c r="AC6" s="9" t="s">
        <v>1113</v>
      </c>
      <c r="AD6" s="9" t="s">
        <v>1113</v>
      </c>
      <c r="AE6" s="9" t="s">
        <v>1113</v>
      </c>
      <c r="AF6" s="9" t="s">
        <v>1113</v>
      </c>
      <c r="AG6" s="9" t="s">
        <v>1114</v>
      </c>
      <c r="AH6" s="9" t="s">
        <v>1114</v>
      </c>
      <c r="AI6" s="9" t="s">
        <v>1114</v>
      </c>
      <c r="AJ6" s="9" t="s">
        <v>1114</v>
      </c>
      <c r="AK6" s="9" t="s">
        <v>1113</v>
      </c>
      <c r="AL6" s="9" t="s">
        <v>1113</v>
      </c>
      <c r="AM6" s="219"/>
    </row>
    <row r="7" spans="1:39" ht="40.049999999999997" customHeight="1" x14ac:dyDescent="0.3">
      <c r="A7" s="206"/>
      <c r="B7" s="206"/>
      <c r="C7" s="9" t="s">
        <v>633</v>
      </c>
      <c r="D7" s="9" t="s">
        <v>614</v>
      </c>
      <c r="E7" s="9" t="s">
        <v>635</v>
      </c>
      <c r="F7" s="9" t="s">
        <v>635</v>
      </c>
      <c r="G7" s="9" t="s">
        <v>615</v>
      </c>
      <c r="H7" s="9" t="s">
        <v>93</v>
      </c>
      <c r="I7" s="9" t="s">
        <v>93</v>
      </c>
      <c r="J7" s="9" t="s">
        <v>93</v>
      </c>
      <c r="K7" s="9" t="s">
        <v>93</v>
      </c>
      <c r="L7" s="9" t="s">
        <v>93</v>
      </c>
      <c r="M7" s="9" t="s">
        <v>93</v>
      </c>
      <c r="N7" s="9" t="s">
        <v>616</v>
      </c>
      <c r="O7" s="9" t="s">
        <v>327</v>
      </c>
      <c r="P7" s="9" t="s">
        <v>331</v>
      </c>
      <c r="Q7" s="9" t="s">
        <v>638</v>
      </c>
      <c r="R7" s="9" t="s">
        <v>638</v>
      </c>
      <c r="S7" s="9" t="s">
        <v>106</v>
      </c>
      <c r="T7" s="9" t="s">
        <v>106</v>
      </c>
      <c r="U7" s="9" t="s">
        <v>106</v>
      </c>
      <c r="V7" s="9" t="s">
        <v>106</v>
      </c>
      <c r="W7" s="9" t="s">
        <v>617</v>
      </c>
      <c r="X7" s="9" t="s">
        <v>639</v>
      </c>
      <c r="Y7" s="9" t="s">
        <v>624</v>
      </c>
      <c r="Z7" s="9" t="s">
        <v>130</v>
      </c>
      <c r="AA7" s="9" t="s">
        <v>130</v>
      </c>
      <c r="AB7" s="9" t="s">
        <v>130</v>
      </c>
      <c r="AC7" s="9" t="s">
        <v>130</v>
      </c>
      <c r="AD7" s="9" t="s">
        <v>130</v>
      </c>
      <c r="AE7" s="9" t="s">
        <v>130</v>
      </c>
      <c r="AF7" s="9" t="s">
        <v>1115</v>
      </c>
      <c r="AG7" s="9" t="s">
        <v>626</v>
      </c>
      <c r="AH7" s="9" t="s">
        <v>626</v>
      </c>
      <c r="AI7" s="9" t="s">
        <v>627</v>
      </c>
      <c r="AJ7" s="9" t="s">
        <v>627</v>
      </c>
      <c r="AK7" s="9" t="s">
        <v>640</v>
      </c>
      <c r="AL7" s="9" t="s">
        <v>1116</v>
      </c>
      <c r="AM7" s="219" t="s">
        <v>961</v>
      </c>
    </row>
    <row r="8" spans="1:39" ht="40.049999999999997" customHeight="1" x14ac:dyDescent="0.3">
      <c r="A8" s="206"/>
      <c r="B8" s="206"/>
      <c r="C8" s="9" t="s">
        <v>1117</v>
      </c>
      <c r="D8" s="9" t="s">
        <v>1118</v>
      </c>
      <c r="E8" s="9" t="s">
        <v>1044</v>
      </c>
      <c r="F8" s="9" t="s">
        <v>1045</v>
      </c>
      <c r="G8" s="9" t="s">
        <v>1119</v>
      </c>
      <c r="H8" s="9" t="s">
        <v>1120</v>
      </c>
      <c r="I8" s="9" t="s">
        <v>1121</v>
      </c>
      <c r="J8" s="9" t="s">
        <v>1122</v>
      </c>
      <c r="K8" s="9" t="s">
        <v>1123</v>
      </c>
      <c r="L8" s="9" t="s">
        <v>1124</v>
      </c>
      <c r="M8" s="9" t="s">
        <v>1051</v>
      </c>
      <c r="N8" s="9" t="s">
        <v>1125</v>
      </c>
      <c r="O8" s="9" t="s">
        <v>1126</v>
      </c>
      <c r="P8" s="9" t="s">
        <v>1127</v>
      </c>
      <c r="Q8" s="9" t="s">
        <v>1128</v>
      </c>
      <c r="R8" s="9" t="s">
        <v>1129</v>
      </c>
      <c r="S8" s="9" t="s">
        <v>1130</v>
      </c>
      <c r="T8" s="9" t="s">
        <v>1131</v>
      </c>
      <c r="U8" s="9" t="s">
        <v>1132</v>
      </c>
      <c r="V8" s="9" t="s">
        <v>1133</v>
      </c>
      <c r="W8" s="9" t="s">
        <v>1134</v>
      </c>
      <c r="X8" s="9" t="s">
        <v>1066</v>
      </c>
      <c r="Y8" s="9" t="s">
        <v>1068</v>
      </c>
      <c r="Z8" s="9" t="s">
        <v>1135</v>
      </c>
      <c r="AA8" s="9" t="s">
        <v>1136</v>
      </c>
      <c r="AB8" s="9" t="s">
        <v>1137</v>
      </c>
      <c r="AC8" s="9" t="s">
        <v>1073</v>
      </c>
      <c r="AD8" s="9" t="s">
        <v>1138</v>
      </c>
      <c r="AE8" s="9" t="s">
        <v>1139</v>
      </c>
      <c r="AF8" s="9" t="s">
        <v>1140</v>
      </c>
      <c r="AG8" s="9" t="s">
        <v>1141</v>
      </c>
      <c r="AH8" s="9" t="s">
        <v>1142</v>
      </c>
      <c r="AI8" s="9" t="s">
        <v>1143</v>
      </c>
      <c r="AJ8" s="9" t="s">
        <v>1144</v>
      </c>
      <c r="AK8" s="9" t="s">
        <v>1083</v>
      </c>
      <c r="AL8" s="9" t="s">
        <v>1145</v>
      </c>
      <c r="AM8" s="219"/>
    </row>
    <row r="9" spans="1:39" ht="15" customHeight="1" x14ac:dyDescent="0.3">
      <c r="A9" s="206"/>
      <c r="B9" s="206"/>
      <c r="C9" s="9" t="s">
        <v>799</v>
      </c>
      <c r="D9" s="9" t="s">
        <v>799</v>
      </c>
      <c r="E9" s="9" t="s">
        <v>799</v>
      </c>
      <c r="F9" s="9" t="s">
        <v>799</v>
      </c>
      <c r="G9" s="9" t="s">
        <v>799</v>
      </c>
      <c r="H9" s="9" t="s">
        <v>799</v>
      </c>
      <c r="I9" s="9" t="s">
        <v>799</v>
      </c>
      <c r="J9" s="9" t="s">
        <v>799</v>
      </c>
      <c r="K9" s="9" t="s">
        <v>799</v>
      </c>
      <c r="L9" s="9" t="s">
        <v>799</v>
      </c>
      <c r="M9" s="9" t="s">
        <v>799</v>
      </c>
      <c r="N9" s="9" t="s">
        <v>799</v>
      </c>
      <c r="O9" s="9" t="s">
        <v>799</v>
      </c>
      <c r="P9" s="9" t="s">
        <v>799</v>
      </c>
      <c r="Q9" s="9" t="s">
        <v>799</v>
      </c>
      <c r="R9" s="9" t="s">
        <v>799</v>
      </c>
      <c r="S9" s="9" t="s">
        <v>799</v>
      </c>
      <c r="T9" s="9" t="s">
        <v>799</v>
      </c>
      <c r="U9" s="9" t="s">
        <v>799</v>
      </c>
      <c r="V9" s="9" t="s">
        <v>799</v>
      </c>
      <c r="W9" s="9" t="s">
        <v>799</v>
      </c>
      <c r="X9" s="9" t="s">
        <v>799</v>
      </c>
      <c r="Y9" s="9" t="s">
        <v>799</v>
      </c>
      <c r="Z9" s="9" t="s">
        <v>799</v>
      </c>
      <c r="AA9" s="9" t="s">
        <v>799</v>
      </c>
      <c r="AB9" s="9" t="s">
        <v>799</v>
      </c>
      <c r="AC9" s="9" t="s">
        <v>799</v>
      </c>
      <c r="AD9" s="9" t="s">
        <v>799</v>
      </c>
      <c r="AE9" s="9" t="s">
        <v>799</v>
      </c>
      <c r="AF9" s="9" t="s">
        <v>799</v>
      </c>
      <c r="AG9" s="9" t="s">
        <v>799</v>
      </c>
      <c r="AH9" s="9" t="s">
        <v>799</v>
      </c>
      <c r="AI9" s="9" t="s">
        <v>799</v>
      </c>
      <c r="AJ9" s="9" t="s">
        <v>799</v>
      </c>
      <c r="AK9" s="9" t="s">
        <v>799</v>
      </c>
      <c r="AL9" s="9" t="s">
        <v>799</v>
      </c>
      <c r="AM9" s="9" t="s">
        <v>799</v>
      </c>
    </row>
    <row r="10" spans="1:39" ht="24" customHeight="1" x14ac:dyDescent="0.3">
      <c r="A10" s="13" t="s">
        <v>67</v>
      </c>
      <c r="B10" s="13" t="s">
        <v>808</v>
      </c>
      <c r="C10" s="72"/>
      <c r="D10" s="72">
        <v>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>
        <v>0</v>
      </c>
    </row>
    <row r="11" spans="1:39" ht="24" customHeight="1" x14ac:dyDescent="0.3">
      <c r="A11" s="16" t="s">
        <v>67</v>
      </c>
      <c r="B11" s="16" t="s">
        <v>809</v>
      </c>
      <c r="C11" s="73"/>
      <c r="D11" s="73">
        <v>0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>
        <v>0</v>
      </c>
    </row>
    <row r="12" spans="1:39" ht="24" customHeight="1" x14ac:dyDescent="0.3">
      <c r="A12" s="16" t="s">
        <v>67</v>
      </c>
      <c r="B12" s="16" t="s">
        <v>810</v>
      </c>
      <c r="C12" s="73"/>
      <c r="D12" s="73">
        <v>0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>
        <v>0</v>
      </c>
    </row>
    <row r="13" spans="1:39" ht="24" customHeight="1" x14ac:dyDescent="0.3">
      <c r="A13" s="16" t="s">
        <v>67</v>
      </c>
      <c r="B13" s="16" t="s">
        <v>811</v>
      </c>
      <c r="C13" s="73"/>
      <c r="D13" s="73">
        <v>0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>
        <v>0</v>
      </c>
    </row>
    <row r="14" spans="1:39" ht="24" customHeight="1" x14ac:dyDescent="0.3">
      <c r="A14" s="16" t="s">
        <v>67</v>
      </c>
      <c r="B14" s="16" t="s">
        <v>812</v>
      </c>
      <c r="C14" s="73"/>
      <c r="D14" s="73">
        <v>0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>
        <v>0</v>
      </c>
    </row>
    <row r="15" spans="1:39" ht="24" customHeight="1" x14ac:dyDescent="0.3">
      <c r="A15" s="16" t="s">
        <v>67</v>
      </c>
      <c r="B15" s="16" t="s">
        <v>813</v>
      </c>
      <c r="C15" s="73"/>
      <c r="D15" s="73">
        <v>0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>
        <v>0</v>
      </c>
    </row>
    <row r="16" spans="1:39" ht="24" customHeight="1" x14ac:dyDescent="0.3">
      <c r="A16" s="16" t="s">
        <v>67</v>
      </c>
      <c r="B16" s="16" t="s">
        <v>814</v>
      </c>
      <c r="C16" s="73"/>
      <c r="D16" s="73">
        <v>0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>
        <v>0</v>
      </c>
    </row>
    <row r="17" spans="1:39" ht="24" customHeight="1" x14ac:dyDescent="0.3">
      <c r="A17" s="18" t="s">
        <v>67</v>
      </c>
      <c r="B17" s="18" t="s">
        <v>815</v>
      </c>
      <c r="C17" s="74"/>
      <c r="D17" s="74">
        <v>0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>
        <v>0</v>
      </c>
    </row>
    <row r="18" spans="1:39" ht="24" customHeight="1" x14ac:dyDescent="0.3">
      <c r="A18" s="13" t="s">
        <v>67</v>
      </c>
      <c r="B18" s="13" t="s">
        <v>816</v>
      </c>
      <c r="C18" s="72"/>
      <c r="D18" s="72">
        <v>0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>
        <v>0</v>
      </c>
    </row>
    <row r="19" spans="1:39" ht="24" customHeight="1" x14ac:dyDescent="0.3">
      <c r="A19" s="16" t="s">
        <v>67</v>
      </c>
      <c r="B19" s="16" t="s">
        <v>817</v>
      </c>
      <c r="C19" s="73"/>
      <c r="D19" s="73">
        <v>0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>
        <v>0</v>
      </c>
    </row>
    <row r="20" spans="1:39" ht="24" customHeight="1" x14ac:dyDescent="0.3">
      <c r="A20" s="16" t="s">
        <v>67</v>
      </c>
      <c r="B20" s="16" t="s">
        <v>818</v>
      </c>
      <c r="C20" s="73"/>
      <c r="D20" s="73">
        <v>0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>
        <v>0</v>
      </c>
    </row>
    <row r="21" spans="1:39" ht="24" customHeight="1" x14ac:dyDescent="0.3">
      <c r="A21" s="16" t="s">
        <v>67</v>
      </c>
      <c r="B21" s="16" t="s">
        <v>819</v>
      </c>
      <c r="C21" s="73"/>
      <c r="D21" s="73">
        <v>0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>
        <v>0</v>
      </c>
    </row>
    <row r="22" spans="1:39" ht="24" customHeight="1" x14ac:dyDescent="0.3">
      <c r="A22" s="16" t="s">
        <v>67</v>
      </c>
      <c r="B22" s="16" t="s">
        <v>820</v>
      </c>
      <c r="C22" s="73"/>
      <c r="D22" s="73">
        <v>0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>
        <v>0</v>
      </c>
    </row>
    <row r="23" spans="1:39" ht="24" customHeight="1" x14ac:dyDescent="0.3">
      <c r="A23" s="16" t="s">
        <v>67</v>
      </c>
      <c r="B23" s="16" t="s">
        <v>821</v>
      </c>
      <c r="C23" s="73"/>
      <c r="D23" s="73">
        <v>0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>
        <v>0</v>
      </c>
    </row>
    <row r="24" spans="1:39" ht="24" customHeight="1" x14ac:dyDescent="0.3">
      <c r="A24" s="16" t="s">
        <v>67</v>
      </c>
      <c r="B24" s="16" t="s">
        <v>822</v>
      </c>
      <c r="C24" s="73"/>
      <c r="D24" s="73">
        <v>0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>
        <v>0</v>
      </c>
    </row>
    <row r="25" spans="1:39" ht="24" customHeight="1" x14ac:dyDescent="0.3">
      <c r="A25" s="18" t="s">
        <v>67</v>
      </c>
      <c r="B25" s="18" t="s">
        <v>823</v>
      </c>
      <c r="C25" s="74"/>
      <c r="D25" s="74">
        <v>0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>
        <v>0</v>
      </c>
    </row>
    <row r="26" spans="1:39" ht="24" customHeight="1" x14ac:dyDescent="0.3">
      <c r="A26" s="13" t="s">
        <v>67</v>
      </c>
      <c r="B26" s="13" t="s">
        <v>824</v>
      </c>
      <c r="C26" s="72"/>
      <c r="D26" s="72">
        <v>0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>
        <v>0</v>
      </c>
    </row>
    <row r="27" spans="1:39" ht="24" customHeight="1" x14ac:dyDescent="0.3">
      <c r="A27" s="16" t="s">
        <v>67</v>
      </c>
      <c r="B27" s="16" t="s">
        <v>825</v>
      </c>
      <c r="C27" s="73"/>
      <c r="D27" s="73">
        <v>0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>
        <v>0</v>
      </c>
    </row>
    <row r="28" spans="1:39" ht="24" customHeight="1" x14ac:dyDescent="0.3">
      <c r="A28" s="16" t="s">
        <v>67</v>
      </c>
      <c r="B28" s="16" t="s">
        <v>826</v>
      </c>
      <c r="C28" s="73"/>
      <c r="D28" s="73">
        <v>0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>
        <v>0</v>
      </c>
    </row>
    <row r="29" spans="1:39" ht="24" customHeight="1" x14ac:dyDescent="0.3">
      <c r="A29" s="16" t="s">
        <v>67</v>
      </c>
      <c r="B29" s="16" t="s">
        <v>827</v>
      </c>
      <c r="C29" s="73"/>
      <c r="D29" s="73">
        <v>0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>
        <v>0</v>
      </c>
    </row>
    <row r="30" spans="1:39" ht="24" customHeight="1" x14ac:dyDescent="0.3">
      <c r="A30" s="16" t="s">
        <v>67</v>
      </c>
      <c r="B30" s="16" t="s">
        <v>828</v>
      </c>
      <c r="C30" s="73"/>
      <c r="D30" s="73">
        <v>0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>
        <v>0</v>
      </c>
    </row>
    <row r="31" spans="1:39" ht="24" customHeight="1" x14ac:dyDescent="0.3">
      <c r="A31" s="16" t="s">
        <v>67</v>
      </c>
      <c r="B31" s="16" t="s">
        <v>829</v>
      </c>
      <c r="C31" s="73"/>
      <c r="D31" s="73">
        <v>0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>
        <v>0</v>
      </c>
    </row>
    <row r="32" spans="1:39" ht="24" customHeight="1" x14ac:dyDescent="0.3">
      <c r="A32" s="16" t="s">
        <v>67</v>
      </c>
      <c r="B32" s="16" t="s">
        <v>830</v>
      </c>
      <c r="C32" s="73"/>
      <c r="D32" s="73">
        <v>0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>
        <v>0</v>
      </c>
    </row>
    <row r="33" spans="1:39" ht="24" customHeight="1" x14ac:dyDescent="0.3">
      <c r="A33" s="18" t="s">
        <v>67</v>
      </c>
      <c r="B33" s="18" t="s">
        <v>831</v>
      </c>
      <c r="C33" s="74"/>
      <c r="D33" s="74">
        <v>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>
        <v>0</v>
      </c>
    </row>
    <row r="34" spans="1:39" ht="24" customHeight="1" x14ac:dyDescent="0.3">
      <c r="A34" s="13" t="s">
        <v>67</v>
      </c>
      <c r="B34" s="13" t="s">
        <v>832</v>
      </c>
      <c r="C34" s="72"/>
      <c r="D34" s="72">
        <v>0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>
        <v>0</v>
      </c>
    </row>
    <row r="35" spans="1:39" ht="24" customHeight="1" x14ac:dyDescent="0.3">
      <c r="A35" s="16" t="s">
        <v>67</v>
      </c>
      <c r="B35" s="16" t="s">
        <v>833</v>
      </c>
      <c r="C35" s="73"/>
      <c r="D35" s="73">
        <v>0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>
        <v>0</v>
      </c>
    </row>
    <row r="36" spans="1:39" ht="24" customHeight="1" x14ac:dyDescent="0.3">
      <c r="A36" s="16" t="s">
        <v>67</v>
      </c>
      <c r="B36" s="16" t="s">
        <v>834</v>
      </c>
      <c r="C36" s="73"/>
      <c r="D36" s="73">
        <v>0</v>
      </c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>
        <v>0</v>
      </c>
    </row>
    <row r="37" spans="1:39" ht="24" customHeight="1" x14ac:dyDescent="0.3">
      <c r="A37" s="16" t="s">
        <v>67</v>
      </c>
      <c r="B37" s="16" t="s">
        <v>835</v>
      </c>
      <c r="C37" s="73"/>
      <c r="D37" s="73">
        <v>0</v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>
        <v>0</v>
      </c>
    </row>
    <row r="38" spans="1:39" ht="24" customHeight="1" x14ac:dyDescent="0.3">
      <c r="A38" s="16" t="s">
        <v>67</v>
      </c>
      <c r="B38" s="16" t="s">
        <v>836</v>
      </c>
      <c r="C38" s="73"/>
      <c r="D38" s="73">
        <v>0</v>
      </c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>
        <v>0</v>
      </c>
    </row>
    <row r="39" spans="1:39" ht="24" customHeight="1" x14ac:dyDescent="0.3">
      <c r="A39" s="16" t="s">
        <v>67</v>
      </c>
      <c r="B39" s="16" t="s">
        <v>837</v>
      </c>
      <c r="C39" s="73"/>
      <c r="D39" s="73">
        <v>0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>
        <v>0</v>
      </c>
    </row>
    <row r="40" spans="1:39" ht="24" customHeight="1" x14ac:dyDescent="0.3">
      <c r="A40" s="16" t="s">
        <v>67</v>
      </c>
      <c r="B40" s="16" t="s">
        <v>838</v>
      </c>
      <c r="C40" s="73"/>
      <c r="D40" s="73">
        <v>0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>
        <v>0</v>
      </c>
    </row>
    <row r="41" spans="1:39" ht="24" customHeight="1" x14ac:dyDescent="0.3">
      <c r="A41" s="18" t="s">
        <v>67</v>
      </c>
      <c r="B41" s="18" t="s">
        <v>839</v>
      </c>
      <c r="C41" s="74"/>
      <c r="D41" s="74">
        <v>0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>
        <v>0</v>
      </c>
    </row>
    <row r="42" spans="1:39" ht="24" customHeight="1" x14ac:dyDescent="0.3">
      <c r="A42" s="13" t="s">
        <v>67</v>
      </c>
      <c r="B42" s="13" t="s">
        <v>840</v>
      </c>
      <c r="C42" s="72"/>
      <c r="D42" s="72">
        <v>0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>
        <v>0</v>
      </c>
    </row>
    <row r="43" spans="1:39" ht="24" customHeight="1" x14ac:dyDescent="0.3">
      <c r="A43" s="16" t="s">
        <v>67</v>
      </c>
      <c r="B43" s="16" t="s">
        <v>841</v>
      </c>
      <c r="C43" s="73"/>
      <c r="D43" s="73">
        <v>0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>
        <v>0</v>
      </c>
    </row>
    <row r="44" spans="1:39" ht="24" customHeight="1" x14ac:dyDescent="0.3">
      <c r="A44" s="16" t="s">
        <v>67</v>
      </c>
      <c r="B44" s="16" t="s">
        <v>842</v>
      </c>
      <c r="C44" s="73"/>
      <c r="D44" s="73">
        <v>0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>
        <v>0</v>
      </c>
    </row>
    <row r="45" spans="1:39" ht="24" customHeight="1" x14ac:dyDescent="0.3">
      <c r="A45" s="16" t="s">
        <v>67</v>
      </c>
      <c r="B45" s="16" t="s">
        <v>843</v>
      </c>
      <c r="C45" s="73"/>
      <c r="D45" s="73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>
        <v>0</v>
      </c>
    </row>
    <row r="46" spans="1:39" ht="24" customHeight="1" x14ac:dyDescent="0.3">
      <c r="A46" s="16" t="s">
        <v>67</v>
      </c>
      <c r="B46" s="16" t="s">
        <v>844</v>
      </c>
      <c r="C46" s="73"/>
      <c r="D46" s="73">
        <v>0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>
        <v>0</v>
      </c>
    </row>
    <row r="47" spans="1:39" ht="24" customHeight="1" x14ac:dyDescent="0.3">
      <c r="A47" s="16" t="s">
        <v>67</v>
      </c>
      <c r="B47" s="16" t="s">
        <v>845</v>
      </c>
      <c r="C47" s="73"/>
      <c r="D47" s="73">
        <v>0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>
        <v>0</v>
      </c>
    </row>
    <row r="48" spans="1:39" ht="24" customHeight="1" x14ac:dyDescent="0.3">
      <c r="A48" s="16" t="s">
        <v>67</v>
      </c>
      <c r="B48" s="16" t="s">
        <v>846</v>
      </c>
      <c r="C48" s="73"/>
      <c r="D48" s="73">
        <v>0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>
        <v>0</v>
      </c>
    </row>
    <row r="49" spans="1:39" ht="24" customHeight="1" x14ac:dyDescent="0.3">
      <c r="A49" s="18" t="s">
        <v>67</v>
      </c>
      <c r="B49" s="18" t="s">
        <v>847</v>
      </c>
      <c r="C49" s="74"/>
      <c r="D49" s="74">
        <v>0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>
        <v>0</v>
      </c>
    </row>
    <row r="50" spans="1:39" ht="24" customHeight="1" x14ac:dyDescent="0.3">
      <c r="A50" s="13" t="s">
        <v>67</v>
      </c>
      <c r="B50" s="13" t="s">
        <v>848</v>
      </c>
      <c r="C50" s="72"/>
      <c r="D50" s="72">
        <v>0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>
        <v>0</v>
      </c>
    </row>
    <row r="51" spans="1:39" ht="24" customHeight="1" x14ac:dyDescent="0.3">
      <c r="A51" s="16" t="s">
        <v>67</v>
      </c>
      <c r="B51" s="16" t="s">
        <v>849</v>
      </c>
      <c r="C51" s="73"/>
      <c r="D51" s="73">
        <v>0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>
        <v>0</v>
      </c>
    </row>
    <row r="52" spans="1:39" ht="24" customHeight="1" x14ac:dyDescent="0.3">
      <c r="A52" s="16" t="s">
        <v>67</v>
      </c>
      <c r="B52" s="16" t="s">
        <v>850</v>
      </c>
      <c r="C52" s="73"/>
      <c r="D52" s="73">
        <v>0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>
        <v>0</v>
      </c>
    </row>
    <row r="53" spans="1:39" ht="24" customHeight="1" x14ac:dyDescent="0.3">
      <c r="A53" s="16" t="s">
        <v>67</v>
      </c>
      <c r="B53" s="16" t="s">
        <v>851</v>
      </c>
      <c r="C53" s="73"/>
      <c r="D53" s="73">
        <v>0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>
        <v>0</v>
      </c>
    </row>
    <row r="54" spans="1:39" ht="24" customHeight="1" x14ac:dyDescent="0.3">
      <c r="A54" s="16" t="s">
        <v>67</v>
      </c>
      <c r="B54" s="16" t="s">
        <v>852</v>
      </c>
      <c r="C54" s="73"/>
      <c r="D54" s="73">
        <v>0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>
        <v>0</v>
      </c>
    </row>
    <row r="55" spans="1:39" ht="24" customHeight="1" x14ac:dyDescent="0.3">
      <c r="A55" s="16" t="s">
        <v>67</v>
      </c>
      <c r="B55" s="16" t="s">
        <v>853</v>
      </c>
      <c r="C55" s="73"/>
      <c r="D55" s="73">
        <v>0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>
        <v>0</v>
      </c>
    </row>
    <row r="56" spans="1:39" ht="24" customHeight="1" x14ac:dyDescent="0.3">
      <c r="A56" s="16" t="s">
        <v>67</v>
      </c>
      <c r="B56" s="16" t="s">
        <v>854</v>
      </c>
      <c r="C56" s="73"/>
      <c r="D56" s="73">
        <v>0</v>
      </c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>
        <v>0</v>
      </c>
    </row>
    <row r="57" spans="1:39" ht="24" customHeight="1" x14ac:dyDescent="0.3">
      <c r="A57" s="18" t="s">
        <v>855</v>
      </c>
      <c r="B57" s="18" t="s">
        <v>68</v>
      </c>
      <c r="C57" s="74"/>
      <c r="D57" s="74">
        <v>0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>
        <v>0</v>
      </c>
    </row>
    <row r="58" spans="1:39" ht="24" customHeight="1" x14ac:dyDescent="0.3">
      <c r="A58" s="216" t="s">
        <v>1146</v>
      </c>
      <c r="B58" s="217"/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  <c r="Z58" s="75">
        <v>0</v>
      </c>
      <c r="AA58" s="75">
        <v>0</v>
      </c>
      <c r="AB58" s="75">
        <v>0</v>
      </c>
      <c r="AC58" s="75">
        <v>0</v>
      </c>
      <c r="AD58" s="75">
        <v>0</v>
      </c>
      <c r="AE58" s="75">
        <v>0</v>
      </c>
      <c r="AF58" s="75">
        <v>0</v>
      </c>
      <c r="AG58" s="75">
        <v>0</v>
      </c>
      <c r="AH58" s="75">
        <v>0</v>
      </c>
      <c r="AI58" s="75">
        <v>0</v>
      </c>
      <c r="AJ58" s="75">
        <v>0</v>
      </c>
      <c r="AK58" s="75">
        <v>0</v>
      </c>
      <c r="AL58" s="75">
        <v>0</v>
      </c>
      <c r="AM58" s="75">
        <v>0</v>
      </c>
    </row>
    <row r="59" spans="1:39" x14ac:dyDescent="0.3">
      <c r="A59" s="1"/>
      <c r="B59" s="1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5" t="s">
        <v>1147</v>
      </c>
      <c r="C5" s="215"/>
      <c r="D5" s="215"/>
      <c r="E5" s="215"/>
      <c r="F5" s="215"/>
      <c r="G5" s="215"/>
      <c r="H5" s="215"/>
      <c r="I5" s="215"/>
      <c r="J5" s="215"/>
    </row>
    <row r="6" spans="1:10" ht="43.95" customHeight="1" x14ac:dyDescent="0.3">
      <c r="A6" s="1"/>
      <c r="B6" s="214" t="s">
        <v>590</v>
      </c>
      <c r="C6" s="214" t="s">
        <v>644</v>
      </c>
      <c r="D6" s="214" t="s">
        <v>181</v>
      </c>
      <c r="E6" s="214" t="s">
        <v>192</v>
      </c>
      <c r="F6" s="214" t="s">
        <v>645</v>
      </c>
      <c r="G6" s="214" t="s">
        <v>642</v>
      </c>
      <c r="H6" s="214" t="s">
        <v>233</v>
      </c>
      <c r="I6" s="214" t="s">
        <v>643</v>
      </c>
      <c r="J6" s="63" t="s">
        <v>1148</v>
      </c>
    </row>
    <row r="7" spans="1:10" x14ac:dyDescent="0.3">
      <c r="A7" s="1"/>
      <c r="B7" s="214"/>
      <c r="C7" s="63" t="s">
        <v>1032</v>
      </c>
      <c r="D7" s="63" t="s">
        <v>1033</v>
      </c>
      <c r="E7" s="63" t="s">
        <v>1034</v>
      </c>
      <c r="F7" s="63" t="s">
        <v>1035</v>
      </c>
      <c r="G7" s="63" t="s">
        <v>1038</v>
      </c>
      <c r="H7" s="63" t="s">
        <v>1039</v>
      </c>
      <c r="I7" s="63" t="s">
        <v>1149</v>
      </c>
      <c r="J7" s="63" t="s">
        <v>799</v>
      </c>
    </row>
    <row r="8" spans="1:10" x14ac:dyDescent="0.3">
      <c r="A8" s="1"/>
      <c r="B8" s="50" t="s">
        <v>1087</v>
      </c>
      <c r="C8" s="64">
        <v>18.5</v>
      </c>
      <c r="D8" s="64"/>
      <c r="E8" s="64"/>
      <c r="F8" s="64">
        <v>10.8</v>
      </c>
      <c r="G8" s="64">
        <v>10.1</v>
      </c>
      <c r="H8" s="64"/>
      <c r="I8" s="64">
        <v>34.4</v>
      </c>
      <c r="J8" s="65">
        <v>73.8</v>
      </c>
    </row>
    <row r="9" spans="1:10" x14ac:dyDescent="0.3">
      <c r="A9" s="1"/>
      <c r="B9" s="54" t="s">
        <v>1088</v>
      </c>
      <c r="C9" s="66">
        <v>18.2</v>
      </c>
      <c r="D9" s="66"/>
      <c r="E9" s="66"/>
      <c r="F9" s="66">
        <v>10.8</v>
      </c>
      <c r="G9" s="66">
        <v>10.1</v>
      </c>
      <c r="H9" s="66"/>
      <c r="I9" s="66">
        <v>34.299999999999997</v>
      </c>
      <c r="J9" s="67">
        <v>73.400000000000006</v>
      </c>
    </row>
    <row r="10" spans="1:10" x14ac:dyDescent="0.3">
      <c r="A10" s="1"/>
      <c r="B10" s="54" t="s">
        <v>1089</v>
      </c>
      <c r="C10" s="66">
        <v>18.7</v>
      </c>
      <c r="D10" s="66"/>
      <c r="E10" s="66"/>
      <c r="F10" s="66">
        <v>10.8</v>
      </c>
      <c r="G10" s="66">
        <v>10</v>
      </c>
      <c r="H10" s="66"/>
      <c r="I10" s="66">
        <v>34.1</v>
      </c>
      <c r="J10" s="67">
        <v>73.599999999999994</v>
      </c>
    </row>
    <row r="11" spans="1:10" x14ac:dyDescent="0.3">
      <c r="A11" s="1"/>
      <c r="B11" s="54" t="s">
        <v>1090</v>
      </c>
      <c r="C11" s="66">
        <v>18.7</v>
      </c>
      <c r="D11" s="66"/>
      <c r="E11" s="66"/>
      <c r="F11" s="66">
        <v>10.8</v>
      </c>
      <c r="G11" s="66">
        <v>10.1</v>
      </c>
      <c r="H11" s="66"/>
      <c r="I11" s="66">
        <v>33.6</v>
      </c>
      <c r="J11" s="67">
        <v>73.2</v>
      </c>
    </row>
    <row r="12" spans="1:10" x14ac:dyDescent="0.3">
      <c r="A12" s="1"/>
      <c r="B12" s="54" t="s">
        <v>1091</v>
      </c>
      <c r="C12" s="66">
        <v>18.5</v>
      </c>
      <c r="D12" s="66"/>
      <c r="E12" s="66"/>
      <c r="F12" s="66">
        <v>11.2</v>
      </c>
      <c r="G12" s="66">
        <v>9.6999999999999993</v>
      </c>
      <c r="H12" s="66"/>
      <c r="I12" s="66">
        <v>34.5</v>
      </c>
      <c r="J12" s="67">
        <v>73.900000000000006</v>
      </c>
    </row>
    <row r="13" spans="1:10" x14ac:dyDescent="0.3">
      <c r="A13" s="1"/>
      <c r="B13" s="54" t="s">
        <v>1092</v>
      </c>
      <c r="C13" s="66">
        <v>18.5</v>
      </c>
      <c r="D13" s="66"/>
      <c r="E13" s="66"/>
      <c r="F13" s="66">
        <v>11.2</v>
      </c>
      <c r="G13" s="66">
        <v>9.9</v>
      </c>
      <c r="H13" s="66"/>
      <c r="I13" s="66">
        <v>34.4</v>
      </c>
      <c r="J13" s="67">
        <v>74</v>
      </c>
    </row>
    <row r="14" spans="1:10" x14ac:dyDescent="0.3">
      <c r="A14" s="1"/>
      <c r="B14" s="54" t="s">
        <v>1093</v>
      </c>
      <c r="C14" s="66">
        <v>18</v>
      </c>
      <c r="D14" s="66"/>
      <c r="E14" s="66"/>
      <c r="F14" s="66">
        <v>11.2</v>
      </c>
      <c r="G14" s="66">
        <v>9.8000000000000007</v>
      </c>
      <c r="H14" s="66"/>
      <c r="I14" s="66">
        <v>33.9</v>
      </c>
      <c r="J14" s="67">
        <v>72.900000000000006</v>
      </c>
    </row>
    <row r="15" spans="1:10" x14ac:dyDescent="0.3">
      <c r="A15" s="1"/>
      <c r="B15" s="56" t="s">
        <v>1094</v>
      </c>
      <c r="C15" s="68">
        <v>18.399999999999999</v>
      </c>
      <c r="D15" s="68"/>
      <c r="E15" s="68"/>
      <c r="F15" s="68">
        <v>10.9</v>
      </c>
      <c r="G15" s="68">
        <v>9.6</v>
      </c>
      <c r="H15" s="68"/>
      <c r="I15" s="68">
        <v>34.700000000000003</v>
      </c>
      <c r="J15" s="69">
        <v>73.599999999999994</v>
      </c>
    </row>
    <row r="16" spans="1:10" x14ac:dyDescent="0.3">
      <c r="A16" s="1"/>
      <c r="B16" s="50" t="s">
        <v>1095</v>
      </c>
      <c r="C16" s="64">
        <v>18.5</v>
      </c>
      <c r="D16" s="64"/>
      <c r="E16" s="64"/>
      <c r="F16" s="64">
        <v>11.3</v>
      </c>
      <c r="G16" s="64">
        <v>9.1999999999999993</v>
      </c>
      <c r="H16" s="64"/>
      <c r="I16" s="64">
        <v>34.5</v>
      </c>
      <c r="J16" s="65">
        <v>73.5</v>
      </c>
    </row>
    <row r="17" spans="1:10" x14ac:dyDescent="0.3">
      <c r="A17" s="1"/>
      <c r="B17" s="54" t="s">
        <v>1096</v>
      </c>
      <c r="C17" s="66">
        <v>18.8</v>
      </c>
      <c r="D17" s="66"/>
      <c r="E17" s="66"/>
      <c r="F17" s="66">
        <v>11.3</v>
      </c>
      <c r="G17" s="66">
        <v>9</v>
      </c>
      <c r="H17" s="66"/>
      <c r="I17" s="66">
        <v>34.6</v>
      </c>
      <c r="J17" s="67">
        <v>73.7</v>
      </c>
    </row>
    <row r="18" spans="1:10" x14ac:dyDescent="0.3">
      <c r="A18" s="1"/>
      <c r="B18" s="54" t="s">
        <v>1097</v>
      </c>
      <c r="C18" s="66">
        <v>18.899999999999999</v>
      </c>
      <c r="D18" s="66"/>
      <c r="E18" s="66"/>
      <c r="F18" s="66">
        <v>11.3</v>
      </c>
      <c r="G18" s="66">
        <v>8.1999999999999993</v>
      </c>
      <c r="H18" s="66"/>
      <c r="I18" s="66">
        <v>34.4</v>
      </c>
      <c r="J18" s="67">
        <v>72.8</v>
      </c>
    </row>
    <row r="19" spans="1:10" x14ac:dyDescent="0.3">
      <c r="A19" s="1"/>
      <c r="B19" s="54" t="s">
        <v>1098</v>
      </c>
      <c r="C19" s="66">
        <v>18.7</v>
      </c>
      <c r="D19" s="66"/>
      <c r="E19" s="66"/>
      <c r="F19" s="66">
        <v>11.3</v>
      </c>
      <c r="G19" s="66">
        <v>6.5</v>
      </c>
      <c r="H19" s="66"/>
      <c r="I19" s="66">
        <v>34.5</v>
      </c>
      <c r="J19" s="67">
        <v>71</v>
      </c>
    </row>
    <row r="20" spans="1:10" x14ac:dyDescent="0.3">
      <c r="A20" s="1"/>
      <c r="B20" s="54" t="s">
        <v>1099</v>
      </c>
      <c r="C20" s="66">
        <v>16.5</v>
      </c>
      <c r="D20" s="66"/>
      <c r="E20" s="66"/>
      <c r="F20" s="66">
        <v>11.3</v>
      </c>
      <c r="G20" s="66">
        <v>6.2</v>
      </c>
      <c r="H20" s="66"/>
      <c r="I20" s="66">
        <v>34.4</v>
      </c>
      <c r="J20" s="67">
        <v>68.400000000000006</v>
      </c>
    </row>
    <row r="21" spans="1:10" x14ac:dyDescent="0.3">
      <c r="A21" s="1"/>
      <c r="B21" s="54" t="s">
        <v>1100</v>
      </c>
      <c r="C21" s="66">
        <v>18.2</v>
      </c>
      <c r="D21" s="66"/>
      <c r="E21" s="66"/>
      <c r="F21" s="66">
        <v>11</v>
      </c>
      <c r="G21" s="66">
        <v>6.1</v>
      </c>
      <c r="H21" s="66"/>
      <c r="I21" s="66">
        <v>34.4</v>
      </c>
      <c r="J21" s="67">
        <v>69.7</v>
      </c>
    </row>
    <row r="22" spans="1:10" x14ac:dyDescent="0.3">
      <c r="A22" s="1"/>
      <c r="B22" s="54" t="s">
        <v>1101</v>
      </c>
      <c r="C22" s="66">
        <v>18.399999999999999</v>
      </c>
      <c r="D22" s="66"/>
      <c r="E22" s="66"/>
      <c r="F22" s="66">
        <v>11.4</v>
      </c>
      <c r="G22" s="66">
        <v>5.2</v>
      </c>
      <c r="H22" s="66"/>
      <c r="I22" s="66">
        <v>34.5</v>
      </c>
      <c r="J22" s="67">
        <v>69.5</v>
      </c>
    </row>
    <row r="23" spans="1:10" x14ac:dyDescent="0.3">
      <c r="A23" s="1"/>
      <c r="B23" s="56" t="s">
        <v>1102</v>
      </c>
      <c r="C23" s="68">
        <v>18.600000000000001</v>
      </c>
      <c r="D23" s="68"/>
      <c r="E23" s="68"/>
      <c r="F23" s="68">
        <v>11.4</v>
      </c>
      <c r="G23" s="68">
        <v>5.5</v>
      </c>
      <c r="H23" s="68"/>
      <c r="I23" s="68">
        <v>34.5</v>
      </c>
      <c r="J23" s="69">
        <v>70</v>
      </c>
    </row>
    <row r="24" spans="1:10" x14ac:dyDescent="0.3">
      <c r="A24" s="1"/>
      <c r="B24" s="50" t="s">
        <v>1103</v>
      </c>
      <c r="C24" s="64">
        <v>18.3</v>
      </c>
      <c r="D24" s="64"/>
      <c r="E24" s="64"/>
      <c r="F24" s="64">
        <v>11.3</v>
      </c>
      <c r="G24" s="64">
        <v>5.6</v>
      </c>
      <c r="H24" s="64"/>
      <c r="I24" s="64">
        <v>34.299999999999997</v>
      </c>
      <c r="J24" s="65">
        <v>69.5</v>
      </c>
    </row>
    <row r="25" spans="1:10" x14ac:dyDescent="0.3">
      <c r="A25" s="1"/>
      <c r="B25" s="54" t="s">
        <v>1104</v>
      </c>
      <c r="C25" s="66">
        <v>18.3</v>
      </c>
      <c r="D25" s="66"/>
      <c r="E25" s="66"/>
      <c r="F25" s="66">
        <v>11.4</v>
      </c>
      <c r="G25" s="66">
        <v>6.5</v>
      </c>
      <c r="H25" s="66"/>
      <c r="I25" s="66">
        <v>34.5</v>
      </c>
      <c r="J25" s="67">
        <v>70.7</v>
      </c>
    </row>
    <row r="26" spans="1:10" x14ac:dyDescent="0.3">
      <c r="A26" s="1"/>
      <c r="B26" s="54" t="s">
        <v>1105</v>
      </c>
      <c r="C26" s="66">
        <v>18</v>
      </c>
      <c r="D26" s="66"/>
      <c r="E26" s="66"/>
      <c r="F26" s="66">
        <v>11.4</v>
      </c>
      <c r="G26" s="66">
        <v>7.6</v>
      </c>
      <c r="H26" s="66"/>
      <c r="I26" s="66">
        <v>34.1</v>
      </c>
      <c r="J26" s="67">
        <v>71.099999999999994</v>
      </c>
    </row>
    <row r="27" spans="1:10" x14ac:dyDescent="0.3">
      <c r="A27" s="1"/>
      <c r="B27" s="54" t="s">
        <v>827</v>
      </c>
      <c r="C27" s="66">
        <v>18</v>
      </c>
      <c r="D27" s="66"/>
      <c r="E27" s="66"/>
      <c r="F27" s="66">
        <v>11.4</v>
      </c>
      <c r="G27" s="66">
        <v>9.9</v>
      </c>
      <c r="H27" s="66"/>
      <c r="I27" s="66">
        <v>34</v>
      </c>
      <c r="J27" s="67">
        <v>73.3</v>
      </c>
    </row>
    <row r="28" spans="1:10" x14ac:dyDescent="0.3">
      <c r="A28" s="1"/>
      <c r="B28" s="54" t="s">
        <v>828</v>
      </c>
      <c r="C28" s="66">
        <v>18.100000000000001</v>
      </c>
      <c r="D28" s="66"/>
      <c r="E28" s="66"/>
      <c r="F28" s="66">
        <v>11.1</v>
      </c>
      <c r="G28" s="66">
        <v>9.9</v>
      </c>
      <c r="H28" s="66"/>
      <c r="I28" s="66">
        <v>34.200000000000003</v>
      </c>
      <c r="J28" s="67">
        <v>73.3</v>
      </c>
    </row>
    <row r="29" spans="1:10" x14ac:dyDescent="0.3">
      <c r="A29" s="1"/>
      <c r="B29" s="54" t="s">
        <v>829</v>
      </c>
      <c r="C29" s="66">
        <v>18.2</v>
      </c>
      <c r="D29" s="66"/>
      <c r="E29" s="66"/>
      <c r="F29" s="66">
        <v>11.1</v>
      </c>
      <c r="G29" s="66">
        <v>10.4</v>
      </c>
      <c r="H29" s="66"/>
      <c r="I29" s="66">
        <v>33.799999999999997</v>
      </c>
      <c r="J29" s="67">
        <v>73.5</v>
      </c>
    </row>
    <row r="30" spans="1:10" x14ac:dyDescent="0.3">
      <c r="A30" s="1"/>
      <c r="B30" s="54" t="s">
        <v>830</v>
      </c>
      <c r="C30" s="66">
        <v>18.7</v>
      </c>
      <c r="D30" s="66"/>
      <c r="E30" s="66"/>
      <c r="F30" s="66">
        <v>11.2</v>
      </c>
      <c r="G30" s="66">
        <v>10.199999999999999</v>
      </c>
      <c r="H30" s="66"/>
      <c r="I30" s="66">
        <v>33.799999999999997</v>
      </c>
      <c r="J30" s="67">
        <v>73.900000000000006</v>
      </c>
    </row>
    <row r="31" spans="1:10" x14ac:dyDescent="0.3">
      <c r="A31" s="1"/>
      <c r="B31" s="56" t="s">
        <v>831</v>
      </c>
      <c r="C31" s="68">
        <v>18.5</v>
      </c>
      <c r="D31" s="68"/>
      <c r="E31" s="68"/>
      <c r="F31" s="68">
        <v>11.2</v>
      </c>
      <c r="G31" s="68">
        <v>9.9</v>
      </c>
      <c r="H31" s="68"/>
      <c r="I31" s="68">
        <v>34</v>
      </c>
      <c r="J31" s="69">
        <v>73.599999999999994</v>
      </c>
    </row>
    <row r="32" spans="1:10" x14ac:dyDescent="0.3">
      <c r="A32" s="1"/>
      <c r="B32" s="50" t="s">
        <v>832</v>
      </c>
      <c r="C32" s="64">
        <v>18.100000000000001</v>
      </c>
      <c r="D32" s="64"/>
      <c r="E32" s="64"/>
      <c r="F32" s="64">
        <v>11.4</v>
      </c>
      <c r="G32" s="64">
        <v>9.3000000000000007</v>
      </c>
      <c r="H32" s="64"/>
      <c r="I32" s="64">
        <v>33.700000000000003</v>
      </c>
      <c r="J32" s="65">
        <v>72.5</v>
      </c>
    </row>
    <row r="33" spans="1:10" x14ac:dyDescent="0.3">
      <c r="A33" s="1"/>
      <c r="B33" s="54" t="s">
        <v>833</v>
      </c>
      <c r="C33" s="66">
        <v>18</v>
      </c>
      <c r="D33" s="66"/>
      <c r="E33" s="66"/>
      <c r="F33" s="66">
        <v>11.4</v>
      </c>
      <c r="G33" s="66">
        <v>9.4</v>
      </c>
      <c r="H33" s="66"/>
      <c r="I33" s="66">
        <v>33.299999999999997</v>
      </c>
      <c r="J33" s="67">
        <v>72.099999999999994</v>
      </c>
    </row>
    <row r="34" spans="1:10" x14ac:dyDescent="0.3">
      <c r="A34" s="1"/>
      <c r="B34" s="54" t="s">
        <v>834</v>
      </c>
      <c r="C34" s="66">
        <v>18.2</v>
      </c>
      <c r="D34" s="66"/>
      <c r="E34" s="66"/>
      <c r="F34" s="66">
        <v>11</v>
      </c>
      <c r="G34" s="66">
        <v>9.6999999999999993</v>
      </c>
      <c r="H34" s="66"/>
      <c r="I34" s="66">
        <v>33.9</v>
      </c>
      <c r="J34" s="67">
        <v>72.8</v>
      </c>
    </row>
    <row r="35" spans="1:10" x14ac:dyDescent="0.3">
      <c r="A35" s="1"/>
      <c r="B35" s="54" t="s">
        <v>835</v>
      </c>
      <c r="C35" s="66">
        <v>18</v>
      </c>
      <c r="D35" s="66"/>
      <c r="E35" s="66"/>
      <c r="F35" s="66">
        <v>10.9</v>
      </c>
      <c r="G35" s="66">
        <v>8.6</v>
      </c>
      <c r="H35" s="66"/>
      <c r="I35" s="66">
        <v>34.200000000000003</v>
      </c>
      <c r="J35" s="67">
        <v>71.7</v>
      </c>
    </row>
    <row r="36" spans="1:10" x14ac:dyDescent="0.3">
      <c r="A36" s="1"/>
      <c r="B36" s="54" t="s">
        <v>836</v>
      </c>
      <c r="C36" s="66">
        <v>18.8</v>
      </c>
      <c r="D36" s="66"/>
      <c r="E36" s="66"/>
      <c r="F36" s="66">
        <v>10.9</v>
      </c>
      <c r="G36" s="66">
        <v>7</v>
      </c>
      <c r="H36" s="66"/>
      <c r="I36" s="66">
        <v>34.200000000000003</v>
      </c>
      <c r="J36" s="67">
        <v>70.900000000000006</v>
      </c>
    </row>
    <row r="37" spans="1:10" x14ac:dyDescent="0.3">
      <c r="A37" s="1"/>
      <c r="B37" s="54" t="s">
        <v>837</v>
      </c>
      <c r="C37" s="66">
        <v>18.100000000000001</v>
      </c>
      <c r="D37" s="66"/>
      <c r="E37" s="66"/>
      <c r="F37" s="66">
        <v>10.9</v>
      </c>
      <c r="G37" s="66">
        <v>5.7</v>
      </c>
      <c r="H37" s="66"/>
      <c r="I37" s="66">
        <v>34</v>
      </c>
      <c r="J37" s="67">
        <v>68.7</v>
      </c>
    </row>
    <row r="38" spans="1:10" x14ac:dyDescent="0.3">
      <c r="A38" s="1"/>
      <c r="B38" s="54" t="s">
        <v>838</v>
      </c>
      <c r="C38" s="66">
        <v>18.399999999999999</v>
      </c>
      <c r="D38" s="66"/>
      <c r="E38" s="66"/>
      <c r="F38" s="66">
        <v>10.3</v>
      </c>
      <c r="G38" s="66">
        <v>8.3000000000000007</v>
      </c>
      <c r="H38" s="66"/>
      <c r="I38" s="66">
        <v>33.5</v>
      </c>
      <c r="J38" s="67">
        <v>70.5</v>
      </c>
    </row>
    <row r="39" spans="1:10" x14ac:dyDescent="0.3">
      <c r="A39" s="1"/>
      <c r="B39" s="56" t="s">
        <v>839</v>
      </c>
      <c r="C39" s="68">
        <v>18.2</v>
      </c>
      <c r="D39" s="68"/>
      <c r="E39" s="68"/>
      <c r="F39" s="68">
        <v>10</v>
      </c>
      <c r="G39" s="68">
        <v>8.1</v>
      </c>
      <c r="H39" s="68"/>
      <c r="I39" s="68">
        <v>34.1</v>
      </c>
      <c r="J39" s="69">
        <v>70.400000000000006</v>
      </c>
    </row>
    <row r="40" spans="1:10" x14ac:dyDescent="0.3">
      <c r="A40" s="1"/>
      <c r="B40" s="50" t="s">
        <v>840</v>
      </c>
      <c r="C40" s="64">
        <v>17.8</v>
      </c>
      <c r="D40" s="64"/>
      <c r="E40" s="64"/>
      <c r="F40" s="64">
        <v>10.8</v>
      </c>
      <c r="G40" s="64">
        <v>8</v>
      </c>
      <c r="H40" s="64"/>
      <c r="I40" s="64">
        <v>34.200000000000003</v>
      </c>
      <c r="J40" s="65">
        <v>70.8</v>
      </c>
    </row>
    <row r="41" spans="1:10" x14ac:dyDescent="0.3">
      <c r="A41" s="1"/>
      <c r="B41" s="54" t="s">
        <v>841</v>
      </c>
      <c r="C41" s="66">
        <v>18</v>
      </c>
      <c r="D41" s="66"/>
      <c r="E41" s="66"/>
      <c r="F41" s="66">
        <v>10.8</v>
      </c>
      <c r="G41" s="66">
        <v>7.8</v>
      </c>
      <c r="H41" s="66"/>
      <c r="I41" s="66">
        <v>34.4</v>
      </c>
      <c r="J41" s="67">
        <v>71</v>
      </c>
    </row>
    <row r="42" spans="1:10" x14ac:dyDescent="0.3">
      <c r="A42" s="1"/>
      <c r="B42" s="54" t="s">
        <v>842</v>
      </c>
      <c r="C42" s="66">
        <v>18.5</v>
      </c>
      <c r="D42" s="66"/>
      <c r="E42" s="66"/>
      <c r="F42" s="66">
        <v>11</v>
      </c>
      <c r="G42" s="66">
        <v>8.6999999999999993</v>
      </c>
      <c r="H42" s="66"/>
      <c r="I42" s="66">
        <v>34.299999999999997</v>
      </c>
      <c r="J42" s="67">
        <v>72.5</v>
      </c>
    </row>
    <row r="43" spans="1:10" x14ac:dyDescent="0.3">
      <c r="A43" s="1"/>
      <c r="B43" s="54" t="s">
        <v>843</v>
      </c>
      <c r="C43" s="66">
        <v>18.600000000000001</v>
      </c>
      <c r="D43" s="66"/>
      <c r="E43" s="66"/>
      <c r="F43" s="66">
        <v>11</v>
      </c>
      <c r="G43" s="66">
        <v>8.8000000000000007</v>
      </c>
      <c r="H43" s="66"/>
      <c r="I43" s="66">
        <v>34.5</v>
      </c>
      <c r="J43" s="67">
        <v>72.900000000000006</v>
      </c>
    </row>
    <row r="44" spans="1:10" x14ac:dyDescent="0.3">
      <c r="A44" s="1"/>
      <c r="B44" s="54" t="s">
        <v>844</v>
      </c>
      <c r="C44" s="66">
        <v>19</v>
      </c>
      <c r="D44" s="66"/>
      <c r="E44" s="66"/>
      <c r="F44" s="66">
        <v>10.4</v>
      </c>
      <c r="G44" s="66">
        <v>9</v>
      </c>
      <c r="H44" s="66"/>
      <c r="I44" s="66">
        <v>34.299999999999997</v>
      </c>
      <c r="J44" s="67">
        <v>72.7</v>
      </c>
    </row>
    <row r="45" spans="1:10" x14ac:dyDescent="0.3">
      <c r="A45" s="1"/>
      <c r="B45" s="54" t="s">
        <v>845</v>
      </c>
      <c r="C45" s="66">
        <v>18.5</v>
      </c>
      <c r="D45" s="66"/>
      <c r="E45" s="66"/>
      <c r="F45" s="66">
        <v>10.8</v>
      </c>
      <c r="G45" s="66">
        <v>8.1</v>
      </c>
      <c r="H45" s="66"/>
      <c r="I45" s="66">
        <v>34.1</v>
      </c>
      <c r="J45" s="67">
        <v>71.5</v>
      </c>
    </row>
    <row r="46" spans="1:10" x14ac:dyDescent="0.3">
      <c r="A46" s="1"/>
      <c r="B46" s="54" t="s">
        <v>846</v>
      </c>
      <c r="C46" s="66">
        <v>18.100000000000001</v>
      </c>
      <c r="D46" s="66"/>
      <c r="E46" s="66"/>
      <c r="F46" s="66">
        <v>10.8</v>
      </c>
      <c r="G46" s="66">
        <v>7.2</v>
      </c>
      <c r="H46" s="66"/>
      <c r="I46" s="66">
        <v>34.299999999999997</v>
      </c>
      <c r="J46" s="67">
        <v>70.400000000000006</v>
      </c>
    </row>
    <row r="47" spans="1:10" x14ac:dyDescent="0.3">
      <c r="A47" s="1"/>
      <c r="B47" s="56" t="s">
        <v>847</v>
      </c>
      <c r="C47" s="68">
        <v>18</v>
      </c>
      <c r="D47" s="68"/>
      <c r="E47" s="68"/>
      <c r="F47" s="68">
        <v>10.8</v>
      </c>
      <c r="G47" s="68">
        <v>6.2</v>
      </c>
      <c r="H47" s="68"/>
      <c r="I47" s="68">
        <v>34.299999999999997</v>
      </c>
      <c r="J47" s="69">
        <v>69.3</v>
      </c>
    </row>
    <row r="48" spans="1:10" x14ac:dyDescent="0.3">
      <c r="A48" s="1"/>
      <c r="B48" s="50" t="s">
        <v>848</v>
      </c>
      <c r="C48" s="64">
        <v>18.100000000000001</v>
      </c>
      <c r="D48" s="64"/>
      <c r="E48" s="64"/>
      <c r="F48" s="64">
        <v>10.8</v>
      </c>
      <c r="G48" s="64">
        <v>5.2</v>
      </c>
      <c r="H48" s="64"/>
      <c r="I48" s="64">
        <v>34.1</v>
      </c>
      <c r="J48" s="65">
        <v>68.2</v>
      </c>
    </row>
    <row r="49" spans="1:10" x14ac:dyDescent="0.3">
      <c r="A49" s="1"/>
      <c r="B49" s="54" t="s">
        <v>849</v>
      </c>
      <c r="C49" s="66">
        <v>18.5</v>
      </c>
      <c r="D49" s="66"/>
      <c r="E49" s="66"/>
      <c r="F49" s="66">
        <v>11.3</v>
      </c>
      <c r="G49" s="66">
        <v>8.1999999999999993</v>
      </c>
      <c r="H49" s="66"/>
      <c r="I49" s="66">
        <v>33.799999999999997</v>
      </c>
      <c r="J49" s="67">
        <v>71.8</v>
      </c>
    </row>
    <row r="50" spans="1:10" x14ac:dyDescent="0.3">
      <c r="A50" s="1"/>
      <c r="B50" s="54" t="s">
        <v>850</v>
      </c>
      <c r="C50" s="66">
        <v>18</v>
      </c>
      <c r="D50" s="66"/>
      <c r="E50" s="66"/>
      <c r="F50" s="66">
        <v>11.1</v>
      </c>
      <c r="G50" s="66">
        <v>8.6</v>
      </c>
      <c r="H50" s="66"/>
      <c r="I50" s="66">
        <v>33.700000000000003</v>
      </c>
      <c r="J50" s="67">
        <v>71.400000000000006</v>
      </c>
    </row>
    <row r="51" spans="1:10" x14ac:dyDescent="0.3">
      <c r="A51" s="1"/>
      <c r="B51" s="54" t="s">
        <v>851</v>
      </c>
      <c r="C51" s="66">
        <v>18.600000000000001</v>
      </c>
      <c r="D51" s="66"/>
      <c r="E51" s="66"/>
      <c r="F51" s="66">
        <v>11.2</v>
      </c>
      <c r="G51" s="66">
        <v>9</v>
      </c>
      <c r="H51" s="66"/>
      <c r="I51" s="66">
        <v>33.5</v>
      </c>
      <c r="J51" s="67">
        <v>72.3</v>
      </c>
    </row>
    <row r="52" spans="1:10" x14ac:dyDescent="0.3">
      <c r="A52" s="1"/>
      <c r="B52" s="54" t="s">
        <v>852</v>
      </c>
      <c r="C52" s="66">
        <v>18.7</v>
      </c>
      <c r="D52" s="66"/>
      <c r="E52" s="66"/>
      <c r="F52" s="66">
        <v>11.2</v>
      </c>
      <c r="G52" s="66">
        <v>8.9</v>
      </c>
      <c r="H52" s="66"/>
      <c r="I52" s="66">
        <v>34</v>
      </c>
      <c r="J52" s="67">
        <v>72.8</v>
      </c>
    </row>
    <row r="53" spans="1:10" x14ac:dyDescent="0.3">
      <c r="A53" s="1"/>
      <c r="B53" s="54" t="s">
        <v>853</v>
      </c>
      <c r="C53" s="66">
        <v>18.8</v>
      </c>
      <c r="D53" s="66"/>
      <c r="E53" s="66"/>
      <c r="F53" s="66">
        <v>11.2</v>
      </c>
      <c r="G53" s="66">
        <v>8.1</v>
      </c>
      <c r="H53" s="66"/>
      <c r="I53" s="66">
        <v>32.799999999999997</v>
      </c>
      <c r="J53" s="67">
        <v>70.900000000000006</v>
      </c>
    </row>
    <row r="54" spans="1:10" x14ac:dyDescent="0.3">
      <c r="A54" s="1"/>
      <c r="B54" s="54" t="s">
        <v>854</v>
      </c>
      <c r="C54" s="66">
        <v>18.7</v>
      </c>
      <c r="D54" s="66"/>
      <c r="E54" s="66"/>
      <c r="F54" s="66">
        <v>10.7</v>
      </c>
      <c r="G54" s="66">
        <v>7.7</v>
      </c>
      <c r="H54" s="66"/>
      <c r="I54" s="66">
        <v>33.200000000000003</v>
      </c>
      <c r="J54" s="67">
        <v>70.3</v>
      </c>
    </row>
    <row r="55" spans="1:10" x14ac:dyDescent="0.3">
      <c r="A55" s="1"/>
      <c r="B55" s="56" t="s">
        <v>1106</v>
      </c>
      <c r="C55" s="68">
        <v>18.8</v>
      </c>
      <c r="D55" s="68"/>
      <c r="E55" s="68"/>
      <c r="F55" s="68">
        <v>10.8</v>
      </c>
      <c r="G55" s="68">
        <v>7.5</v>
      </c>
      <c r="H55" s="68"/>
      <c r="I55" s="68">
        <v>33.700000000000003</v>
      </c>
      <c r="J55" s="69">
        <v>70.8</v>
      </c>
    </row>
    <row r="56" spans="1:10" ht="15.6" x14ac:dyDescent="0.3">
      <c r="A56" s="1"/>
      <c r="B56" s="70" t="s">
        <v>1107</v>
      </c>
      <c r="C56" s="71">
        <v>440.35</v>
      </c>
      <c r="D56" s="71">
        <v>0</v>
      </c>
      <c r="E56" s="71">
        <v>0</v>
      </c>
      <c r="F56" s="71">
        <v>264.8</v>
      </c>
      <c r="G56" s="71">
        <v>199.15</v>
      </c>
      <c r="H56" s="71">
        <v>0</v>
      </c>
      <c r="I56" s="71">
        <v>818.25</v>
      </c>
      <c r="J56" s="71">
        <v>1722.55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64"/>
  <sheetViews>
    <sheetView showGridLines="0" zoomScale="55" zoomScaleNormal="55" workbookViewId="0">
      <pane xSplit="5" ySplit="7" topLeftCell="F160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1" width="13" customWidth="1"/>
    <col min="32" max="32" width="21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8" t="s">
        <v>1150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7.399999999999999" x14ac:dyDescent="0.3">
      <c r="A5" s="1"/>
      <c r="B5" s="2" t="s">
        <v>1151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2.95" customHeight="1" x14ac:dyDescent="0.3">
      <c r="A6" s="1"/>
      <c r="B6" s="206" t="s">
        <v>3</v>
      </c>
      <c r="C6" s="206" t="s">
        <v>73</v>
      </c>
      <c r="D6" s="206" t="s">
        <v>1152</v>
      </c>
      <c r="E6" s="206" t="s">
        <v>1153</v>
      </c>
      <c r="F6" s="206" t="s">
        <v>1154</v>
      </c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</row>
    <row r="7" spans="1:32" ht="22.95" customHeight="1" x14ac:dyDescent="0.3">
      <c r="A7" s="1"/>
      <c r="B7" s="206"/>
      <c r="C7" s="206"/>
      <c r="D7" s="206"/>
      <c r="E7" s="206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 t="s">
        <v>961</v>
      </c>
    </row>
    <row r="8" spans="1:32" x14ac:dyDescent="0.3">
      <c r="A8" s="1"/>
      <c r="B8" s="77" t="s">
        <v>644</v>
      </c>
      <c r="C8" s="77" t="s">
        <v>1032</v>
      </c>
      <c r="D8" s="77" t="s">
        <v>1155</v>
      </c>
      <c r="E8" s="78" t="s">
        <v>597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>
        <v>393.8</v>
      </c>
      <c r="T8" s="79">
        <v>447.2</v>
      </c>
      <c r="U8" s="79">
        <v>443.55</v>
      </c>
      <c r="V8" s="79">
        <v>440.2</v>
      </c>
      <c r="W8" s="79">
        <v>442.55</v>
      </c>
      <c r="X8" s="79">
        <v>445.9</v>
      </c>
      <c r="Y8" s="79">
        <v>450.9</v>
      </c>
      <c r="Z8" s="79">
        <v>453</v>
      </c>
      <c r="AA8" s="79">
        <v>434.95</v>
      </c>
      <c r="AB8" s="79">
        <v>444.05</v>
      </c>
      <c r="AC8" s="79">
        <v>443.05</v>
      </c>
      <c r="AD8" s="79">
        <v>439.5</v>
      </c>
      <c r="AE8" s="79">
        <v>440.35</v>
      </c>
      <c r="AF8" s="79">
        <v>5719</v>
      </c>
    </row>
    <row r="9" spans="1:32" x14ac:dyDescent="0.3">
      <c r="A9" s="1"/>
      <c r="B9" s="77" t="s">
        <v>181</v>
      </c>
      <c r="C9" s="77" t="s">
        <v>1156</v>
      </c>
      <c r="D9" s="77" t="s">
        <v>1157</v>
      </c>
      <c r="E9" s="78" t="s">
        <v>597</v>
      </c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>
        <v>84.85</v>
      </c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>
        <v>84.85</v>
      </c>
    </row>
    <row r="10" spans="1:32" x14ac:dyDescent="0.3">
      <c r="A10" s="1"/>
      <c r="B10" s="77" t="s">
        <v>192</v>
      </c>
      <c r="C10" s="77" t="s">
        <v>1158</v>
      </c>
      <c r="D10" s="77" t="s">
        <v>73</v>
      </c>
      <c r="E10" s="78" t="s">
        <v>597</v>
      </c>
      <c r="F10" s="79">
        <v>182.75</v>
      </c>
      <c r="G10" s="79">
        <v>190.65</v>
      </c>
      <c r="H10" s="79">
        <v>189.45</v>
      </c>
      <c r="I10" s="79">
        <v>199.7</v>
      </c>
      <c r="J10" s="79">
        <v>192</v>
      </c>
      <c r="K10" s="79">
        <v>195.21</v>
      </c>
      <c r="L10" s="79">
        <v>198.35</v>
      </c>
      <c r="M10" s="79">
        <v>196.2</v>
      </c>
      <c r="N10" s="79">
        <v>142.65</v>
      </c>
      <c r="O10" s="79">
        <v>95.35</v>
      </c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>
        <v>1782.31</v>
      </c>
    </row>
    <row r="11" spans="1:32" x14ac:dyDescent="0.3">
      <c r="A11" s="1"/>
      <c r="B11" s="77" t="s">
        <v>645</v>
      </c>
      <c r="C11" s="77" t="s">
        <v>1035</v>
      </c>
      <c r="D11" s="77" t="s">
        <v>73</v>
      </c>
      <c r="E11" s="78" t="s">
        <v>597</v>
      </c>
      <c r="F11" s="79"/>
      <c r="G11" s="79"/>
      <c r="H11" s="79"/>
      <c r="I11" s="79"/>
      <c r="J11" s="79"/>
      <c r="K11" s="79"/>
      <c r="L11" s="79">
        <v>71.3</v>
      </c>
      <c r="M11" s="79">
        <v>127.25</v>
      </c>
      <c r="N11" s="79">
        <v>170.5</v>
      </c>
      <c r="O11" s="79">
        <v>228</v>
      </c>
      <c r="P11" s="79">
        <v>236.99695</v>
      </c>
      <c r="Q11" s="79">
        <v>226.45</v>
      </c>
      <c r="R11" s="79">
        <v>239.05</v>
      </c>
      <c r="S11" s="79">
        <v>234.85</v>
      </c>
      <c r="T11" s="79">
        <v>264.64999999999998</v>
      </c>
      <c r="U11" s="79">
        <v>280.8</v>
      </c>
      <c r="V11" s="79">
        <v>264.10000000000002</v>
      </c>
      <c r="W11" s="79">
        <v>230.2</v>
      </c>
      <c r="X11" s="79"/>
      <c r="Y11" s="79">
        <v>163.69999999999999</v>
      </c>
      <c r="Z11" s="79">
        <v>265.64999999999998</v>
      </c>
      <c r="AA11" s="79">
        <v>256.39999999999998</v>
      </c>
      <c r="AB11" s="79">
        <v>268.05</v>
      </c>
      <c r="AC11" s="79">
        <v>261.05</v>
      </c>
      <c r="AD11" s="79">
        <v>259.8</v>
      </c>
      <c r="AE11" s="79">
        <v>264.8</v>
      </c>
      <c r="AF11" s="79">
        <v>4313.5969500000001</v>
      </c>
    </row>
    <row r="12" spans="1:32" x14ac:dyDescent="0.3">
      <c r="A12" s="1"/>
      <c r="B12" s="77" t="s">
        <v>630</v>
      </c>
      <c r="C12" s="77" t="s">
        <v>964</v>
      </c>
      <c r="D12" s="77" t="s">
        <v>73</v>
      </c>
      <c r="E12" s="78" t="s">
        <v>596</v>
      </c>
      <c r="F12" s="79">
        <v>402.85</v>
      </c>
      <c r="G12" s="79">
        <v>425.35</v>
      </c>
      <c r="H12" s="79">
        <v>430.6</v>
      </c>
      <c r="I12" s="79">
        <v>420.25</v>
      </c>
      <c r="J12" s="79">
        <v>342</v>
      </c>
      <c r="K12" s="79">
        <v>343.37</v>
      </c>
      <c r="L12" s="79">
        <v>337.05</v>
      </c>
      <c r="M12" s="79">
        <v>334.75</v>
      </c>
      <c r="N12" s="79">
        <v>333.3</v>
      </c>
      <c r="O12" s="79">
        <v>326.25</v>
      </c>
      <c r="P12" s="79">
        <v>332.5</v>
      </c>
      <c r="Q12" s="79">
        <v>327.5</v>
      </c>
      <c r="R12" s="79">
        <v>386.85</v>
      </c>
      <c r="S12" s="79">
        <v>314.85000000000002</v>
      </c>
      <c r="T12" s="79">
        <v>223.2</v>
      </c>
      <c r="U12" s="79">
        <v>204.7</v>
      </c>
      <c r="V12" s="79">
        <v>262.3</v>
      </c>
      <c r="W12" s="79">
        <v>273.35000000000002</v>
      </c>
      <c r="X12" s="79">
        <v>266.7</v>
      </c>
      <c r="Y12" s="79">
        <v>252.5</v>
      </c>
      <c r="Z12" s="79">
        <v>216.55</v>
      </c>
      <c r="AA12" s="79">
        <v>202.05</v>
      </c>
      <c r="AB12" s="79">
        <v>208.9</v>
      </c>
      <c r="AC12" s="79">
        <v>204.65</v>
      </c>
      <c r="AD12" s="79">
        <v>172.2</v>
      </c>
      <c r="AE12" s="79">
        <v>172.15</v>
      </c>
      <c r="AF12" s="79">
        <v>7716.72</v>
      </c>
    </row>
    <row r="13" spans="1:32" x14ac:dyDescent="0.3">
      <c r="A13" s="1"/>
      <c r="B13" s="77" t="s">
        <v>631</v>
      </c>
      <c r="C13" s="77" t="s">
        <v>966</v>
      </c>
      <c r="D13" s="77" t="s">
        <v>73</v>
      </c>
      <c r="E13" s="78" t="s">
        <v>596</v>
      </c>
      <c r="F13" s="79">
        <v>55.55</v>
      </c>
      <c r="G13" s="79">
        <v>55.55</v>
      </c>
      <c r="H13" s="79">
        <v>61.95</v>
      </c>
      <c r="I13" s="79">
        <v>51.9</v>
      </c>
      <c r="J13" s="79">
        <v>51.84</v>
      </c>
      <c r="K13" s="79">
        <v>51.84</v>
      </c>
      <c r="L13" s="79">
        <v>49.2</v>
      </c>
      <c r="M13" s="79">
        <v>48.3</v>
      </c>
      <c r="N13" s="79">
        <v>51.25</v>
      </c>
      <c r="O13" s="79">
        <v>59.6</v>
      </c>
      <c r="P13" s="79">
        <v>67.52</v>
      </c>
      <c r="Q13" s="79">
        <v>57.2</v>
      </c>
      <c r="R13" s="79">
        <v>50.85</v>
      </c>
      <c r="S13" s="79">
        <v>50.2</v>
      </c>
      <c r="T13" s="79">
        <v>50.35</v>
      </c>
      <c r="U13" s="79">
        <v>48.7</v>
      </c>
      <c r="V13" s="79">
        <v>49.9</v>
      </c>
      <c r="W13" s="79">
        <v>48.74</v>
      </c>
      <c r="X13" s="79">
        <v>53.68</v>
      </c>
      <c r="Y13" s="79">
        <v>53.55</v>
      </c>
      <c r="Z13" s="79">
        <v>50.35</v>
      </c>
      <c r="AA13" s="79">
        <v>55.05</v>
      </c>
      <c r="AB13" s="79">
        <v>45.35</v>
      </c>
      <c r="AC13" s="79">
        <v>41.8</v>
      </c>
      <c r="AD13" s="79">
        <v>42.8</v>
      </c>
      <c r="AE13" s="79">
        <v>44.05</v>
      </c>
      <c r="AF13" s="79">
        <v>1347.07</v>
      </c>
    </row>
    <row r="14" spans="1:32" x14ac:dyDescent="0.3">
      <c r="A14" s="1"/>
      <c r="B14" s="77" t="s">
        <v>632</v>
      </c>
      <c r="C14" s="77" t="s">
        <v>1037</v>
      </c>
      <c r="D14" s="77" t="s">
        <v>73</v>
      </c>
      <c r="E14" s="78" t="s">
        <v>596</v>
      </c>
      <c r="F14" s="79">
        <v>2.5</v>
      </c>
      <c r="G14" s="79">
        <v>10.65</v>
      </c>
      <c r="H14" s="79">
        <v>9.8000000000000007</v>
      </c>
      <c r="I14" s="79">
        <v>0.5</v>
      </c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>
        <v>4.75</v>
      </c>
      <c r="W14" s="79">
        <v>1.4</v>
      </c>
      <c r="X14" s="79">
        <v>1.45</v>
      </c>
      <c r="Y14" s="79">
        <v>7.05</v>
      </c>
      <c r="Z14" s="79">
        <v>5.75</v>
      </c>
      <c r="AA14" s="79">
        <v>6.75</v>
      </c>
      <c r="AB14" s="79">
        <v>12</v>
      </c>
      <c r="AC14" s="79">
        <v>12</v>
      </c>
      <c r="AD14" s="79">
        <v>5.15</v>
      </c>
      <c r="AE14" s="79"/>
      <c r="AF14" s="79">
        <v>79.75</v>
      </c>
    </row>
    <row r="15" spans="1:32" x14ac:dyDescent="0.3">
      <c r="A15" s="1"/>
      <c r="B15" s="77" t="s">
        <v>642</v>
      </c>
      <c r="C15" s="77" t="s">
        <v>1038</v>
      </c>
      <c r="D15" s="77" t="s">
        <v>73</v>
      </c>
      <c r="E15" s="78" t="s">
        <v>597</v>
      </c>
      <c r="F15" s="79">
        <v>161.9</v>
      </c>
      <c r="G15" s="79">
        <v>230.95</v>
      </c>
      <c r="H15" s="79">
        <v>230</v>
      </c>
      <c r="I15" s="79">
        <v>228.65</v>
      </c>
      <c r="J15" s="79">
        <v>238.7</v>
      </c>
      <c r="K15" s="79">
        <v>259.60000000000002</v>
      </c>
      <c r="L15" s="79">
        <v>243.05</v>
      </c>
      <c r="M15" s="79">
        <v>227.8</v>
      </c>
      <c r="N15" s="79">
        <v>220</v>
      </c>
      <c r="O15" s="79">
        <v>196.05</v>
      </c>
      <c r="P15" s="79">
        <v>214.3</v>
      </c>
      <c r="Q15" s="79">
        <v>219.95</v>
      </c>
      <c r="R15" s="79">
        <v>217.65</v>
      </c>
      <c r="S15" s="79">
        <v>216.65</v>
      </c>
      <c r="T15" s="79">
        <v>214.8</v>
      </c>
      <c r="U15" s="79">
        <v>223.85</v>
      </c>
      <c r="V15" s="79">
        <v>209.55</v>
      </c>
      <c r="W15" s="79">
        <v>212</v>
      </c>
      <c r="X15" s="79">
        <v>227.8</v>
      </c>
      <c r="Y15" s="79">
        <v>165.55</v>
      </c>
      <c r="Z15" s="79">
        <v>217.65</v>
      </c>
      <c r="AA15" s="79">
        <v>229.85</v>
      </c>
      <c r="AB15" s="79">
        <v>243.05</v>
      </c>
      <c r="AC15" s="79">
        <v>256.25</v>
      </c>
      <c r="AD15" s="79">
        <v>247.1</v>
      </c>
      <c r="AE15" s="79">
        <v>199.15</v>
      </c>
      <c r="AF15" s="79">
        <v>5751.85</v>
      </c>
    </row>
    <row r="16" spans="1:32" x14ac:dyDescent="0.3">
      <c r="A16" s="1"/>
      <c r="B16" s="77" t="s">
        <v>233</v>
      </c>
      <c r="C16" s="77" t="s">
        <v>1039</v>
      </c>
      <c r="D16" s="77" t="s">
        <v>1159</v>
      </c>
      <c r="E16" s="78" t="s">
        <v>597</v>
      </c>
      <c r="F16" s="79">
        <v>174.47499999999999</v>
      </c>
      <c r="G16" s="79">
        <v>306.7</v>
      </c>
      <c r="H16" s="79">
        <v>260.64999999999998</v>
      </c>
      <c r="I16" s="79">
        <v>346.95</v>
      </c>
      <c r="J16" s="79">
        <v>412.7</v>
      </c>
      <c r="K16" s="79">
        <v>404.2</v>
      </c>
      <c r="L16" s="79">
        <v>419.5</v>
      </c>
      <c r="M16" s="79">
        <v>410.85</v>
      </c>
      <c r="N16" s="79">
        <v>419.65</v>
      </c>
      <c r="O16" s="79">
        <v>418.5</v>
      </c>
      <c r="P16" s="79">
        <v>407.72104999999999</v>
      </c>
      <c r="Q16" s="79">
        <v>412.3</v>
      </c>
      <c r="R16" s="79">
        <v>388.95</v>
      </c>
      <c r="S16" s="79">
        <v>329.07499999999999</v>
      </c>
      <c r="T16" s="79">
        <v>308</v>
      </c>
      <c r="U16" s="79">
        <v>306</v>
      </c>
      <c r="V16" s="79">
        <v>295.8</v>
      </c>
      <c r="W16" s="79">
        <v>282.55</v>
      </c>
      <c r="X16" s="79">
        <v>307.2</v>
      </c>
      <c r="Y16" s="79">
        <v>324.7</v>
      </c>
      <c r="Z16" s="79">
        <v>315.5</v>
      </c>
      <c r="AA16" s="79">
        <v>339.85</v>
      </c>
      <c r="AB16" s="79">
        <v>324.55</v>
      </c>
      <c r="AC16" s="79">
        <v>310.85000000000002</v>
      </c>
      <c r="AD16" s="79">
        <v>42.05</v>
      </c>
      <c r="AE16" s="79"/>
      <c r="AF16" s="79">
        <v>8269.2710499999994</v>
      </c>
    </row>
    <row r="17" spans="1:32" x14ac:dyDescent="0.3">
      <c r="A17" s="1"/>
      <c r="B17" s="77" t="s">
        <v>21</v>
      </c>
      <c r="C17" s="77" t="s">
        <v>967</v>
      </c>
      <c r="D17" s="77" t="s">
        <v>73</v>
      </c>
      <c r="E17" s="78" t="s">
        <v>596</v>
      </c>
      <c r="F17" s="79"/>
      <c r="G17" s="79"/>
      <c r="H17" s="79"/>
      <c r="I17" s="79"/>
      <c r="J17" s="79"/>
      <c r="K17" s="79"/>
      <c r="L17" s="79">
        <v>134.05000000000001</v>
      </c>
      <c r="M17" s="79">
        <v>422.2</v>
      </c>
      <c r="N17" s="79">
        <v>416.4</v>
      </c>
      <c r="O17" s="79">
        <v>394.25</v>
      </c>
      <c r="P17" s="79">
        <v>403.95</v>
      </c>
      <c r="Q17" s="79">
        <v>478.15</v>
      </c>
      <c r="R17" s="79">
        <v>452.75</v>
      </c>
      <c r="S17" s="79">
        <v>415.65</v>
      </c>
      <c r="T17" s="79">
        <v>390.9</v>
      </c>
      <c r="U17" s="79">
        <v>370.85</v>
      </c>
      <c r="V17" s="79">
        <v>358.3</v>
      </c>
      <c r="W17" s="79">
        <v>346.68</v>
      </c>
      <c r="X17" s="79">
        <v>323.10000000000002</v>
      </c>
      <c r="Y17" s="79">
        <v>311</v>
      </c>
      <c r="Z17" s="79">
        <v>301.39999999999998</v>
      </c>
      <c r="AA17" s="79">
        <v>299.95</v>
      </c>
      <c r="AB17" s="79">
        <v>290.64999999999998</v>
      </c>
      <c r="AC17" s="79">
        <v>274.7</v>
      </c>
      <c r="AD17" s="79">
        <v>260.85000000000002</v>
      </c>
      <c r="AE17" s="79">
        <v>253.6</v>
      </c>
      <c r="AF17" s="79">
        <v>6899.38</v>
      </c>
    </row>
    <row r="18" spans="1:32" x14ac:dyDescent="0.3">
      <c r="A18" s="1"/>
      <c r="B18" s="77" t="s">
        <v>70</v>
      </c>
      <c r="C18" s="77" t="s">
        <v>71</v>
      </c>
      <c r="D18" s="77" t="s">
        <v>73</v>
      </c>
      <c r="E18" s="78" t="s">
        <v>596</v>
      </c>
      <c r="F18" s="79">
        <v>4666</v>
      </c>
      <c r="G18" s="79">
        <v>4374.3999999999996</v>
      </c>
      <c r="H18" s="79">
        <v>4557.8999999999996</v>
      </c>
      <c r="I18" s="79">
        <v>3752.15</v>
      </c>
      <c r="J18" s="79">
        <v>4155.1000000000004</v>
      </c>
      <c r="K18" s="79">
        <v>3511.03</v>
      </c>
      <c r="L18" s="79">
        <v>4779.25</v>
      </c>
      <c r="M18" s="79">
        <v>4426.6499999999996</v>
      </c>
      <c r="N18" s="79">
        <v>4508.5</v>
      </c>
      <c r="O18" s="79">
        <v>4101.6499999999996</v>
      </c>
      <c r="P18" s="79">
        <v>4483.1499999999996</v>
      </c>
      <c r="Q18" s="79">
        <v>4194.3999999999996</v>
      </c>
      <c r="R18" s="79">
        <v>3949.35</v>
      </c>
      <c r="S18" s="79">
        <v>3870.85</v>
      </c>
      <c r="T18" s="79">
        <v>3959.45</v>
      </c>
      <c r="U18" s="79">
        <v>3626.25</v>
      </c>
      <c r="V18" s="79">
        <v>3867.3</v>
      </c>
      <c r="W18" s="79">
        <v>3687.15</v>
      </c>
      <c r="X18" s="79">
        <v>3521.15</v>
      </c>
      <c r="Y18" s="79">
        <v>3331.2</v>
      </c>
      <c r="Z18" s="79">
        <v>3430.1</v>
      </c>
      <c r="AA18" s="79">
        <v>3241.3</v>
      </c>
      <c r="AB18" s="79">
        <v>3604.15</v>
      </c>
      <c r="AC18" s="79">
        <v>3202.65</v>
      </c>
      <c r="AD18" s="79">
        <v>3176.25</v>
      </c>
      <c r="AE18" s="79">
        <v>3219.35</v>
      </c>
      <c r="AF18" s="79">
        <v>101196.68</v>
      </c>
    </row>
    <row r="19" spans="1:32" x14ac:dyDescent="0.3">
      <c r="A19" s="1"/>
      <c r="B19" s="77" t="s">
        <v>608</v>
      </c>
      <c r="C19" s="77" t="s">
        <v>968</v>
      </c>
      <c r="D19" s="77" t="s">
        <v>73</v>
      </c>
      <c r="E19" s="78" t="s">
        <v>596</v>
      </c>
      <c r="F19" s="79">
        <v>465.6</v>
      </c>
      <c r="G19" s="79">
        <v>463</v>
      </c>
      <c r="H19" s="79">
        <v>456.5</v>
      </c>
      <c r="I19" s="79">
        <v>465.6</v>
      </c>
      <c r="J19" s="79">
        <v>455.81035000000003</v>
      </c>
      <c r="K19" s="79">
        <v>450.05</v>
      </c>
      <c r="L19" s="79">
        <v>451.4</v>
      </c>
      <c r="M19" s="79">
        <v>451.75</v>
      </c>
      <c r="N19" s="79">
        <v>451.25</v>
      </c>
      <c r="O19" s="79">
        <v>451.35</v>
      </c>
      <c r="P19" s="79">
        <v>451.2</v>
      </c>
      <c r="Q19" s="79">
        <v>450.85</v>
      </c>
      <c r="R19" s="79">
        <v>451.2</v>
      </c>
      <c r="S19" s="79">
        <v>451.05</v>
      </c>
      <c r="T19" s="79">
        <v>451.2</v>
      </c>
      <c r="U19" s="79">
        <v>451.2</v>
      </c>
      <c r="V19" s="79">
        <v>451.2</v>
      </c>
      <c r="W19" s="79">
        <v>451.2</v>
      </c>
      <c r="X19" s="79">
        <v>451.2</v>
      </c>
      <c r="Y19" s="79">
        <v>449.75</v>
      </c>
      <c r="Z19" s="79">
        <v>450.05</v>
      </c>
      <c r="AA19" s="79">
        <v>451.3</v>
      </c>
      <c r="AB19" s="79">
        <v>451.2</v>
      </c>
      <c r="AC19" s="79">
        <v>451.61460499999998</v>
      </c>
      <c r="AD19" s="79">
        <v>451.2</v>
      </c>
      <c r="AE19" s="79">
        <v>451.2</v>
      </c>
      <c r="AF19" s="79">
        <v>11778.924955</v>
      </c>
    </row>
    <row r="20" spans="1:32" x14ac:dyDescent="0.3">
      <c r="A20" s="1"/>
      <c r="B20" s="77" t="s">
        <v>610</v>
      </c>
      <c r="C20" s="77" t="s">
        <v>1160</v>
      </c>
      <c r="D20" s="77" t="s">
        <v>73</v>
      </c>
      <c r="E20" s="78" t="s">
        <v>596</v>
      </c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>
        <v>0</v>
      </c>
    </row>
    <row r="21" spans="1:32" x14ac:dyDescent="0.3">
      <c r="A21" s="1"/>
      <c r="B21" s="77" t="s">
        <v>610</v>
      </c>
      <c r="C21" s="77" t="s">
        <v>1161</v>
      </c>
      <c r="D21" s="77" t="s">
        <v>73</v>
      </c>
      <c r="E21" s="78" t="s">
        <v>596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>
        <v>0</v>
      </c>
    </row>
    <row r="22" spans="1:32" x14ac:dyDescent="0.3">
      <c r="A22" s="1"/>
      <c r="B22" s="77" t="s">
        <v>606</v>
      </c>
      <c r="C22" s="77" t="s">
        <v>969</v>
      </c>
      <c r="D22" s="77" t="s">
        <v>73</v>
      </c>
      <c r="E22" s="78" t="s">
        <v>596</v>
      </c>
      <c r="F22" s="79">
        <v>3398.25</v>
      </c>
      <c r="G22" s="79">
        <v>3525.95</v>
      </c>
      <c r="H22" s="79">
        <v>3544.55</v>
      </c>
      <c r="I22" s="79">
        <v>3498.9949999999999</v>
      </c>
      <c r="J22" s="79">
        <v>3518.6</v>
      </c>
      <c r="K22" s="79">
        <v>3456.89</v>
      </c>
      <c r="L22" s="79">
        <v>3466.95</v>
      </c>
      <c r="M22" s="79">
        <v>2808.3</v>
      </c>
      <c r="N22" s="79">
        <v>3086.35</v>
      </c>
      <c r="O22" s="79">
        <v>2987</v>
      </c>
      <c r="P22" s="79">
        <v>3441.3</v>
      </c>
      <c r="Q22" s="79">
        <v>3634.65</v>
      </c>
      <c r="R22" s="79">
        <v>3610.7</v>
      </c>
      <c r="S22" s="79">
        <v>3127.95</v>
      </c>
      <c r="T22" s="79">
        <v>2970.2</v>
      </c>
      <c r="U22" s="79">
        <v>2922.55</v>
      </c>
      <c r="V22" s="79">
        <v>2522.65</v>
      </c>
      <c r="W22" s="79">
        <v>2587.0500000000002</v>
      </c>
      <c r="X22" s="79">
        <v>2515.85</v>
      </c>
      <c r="Y22" s="79">
        <v>2458.1999999999998</v>
      </c>
      <c r="Z22" s="79">
        <v>2214.4499999999998</v>
      </c>
      <c r="AA22" s="79">
        <v>2532.5500000000002</v>
      </c>
      <c r="AB22" s="79">
        <v>2162.15</v>
      </c>
      <c r="AC22" s="79">
        <v>2298.1</v>
      </c>
      <c r="AD22" s="79">
        <v>2096.9499999999998</v>
      </c>
      <c r="AE22" s="79">
        <v>2121.4</v>
      </c>
      <c r="AF22" s="79">
        <v>76508.535000000003</v>
      </c>
    </row>
    <row r="23" spans="1:32" x14ac:dyDescent="0.3">
      <c r="A23" s="1"/>
      <c r="B23" s="77" t="s">
        <v>606</v>
      </c>
      <c r="C23" s="77" t="s">
        <v>970</v>
      </c>
      <c r="D23" s="77" t="s">
        <v>73</v>
      </c>
      <c r="E23" s="78" t="s">
        <v>596</v>
      </c>
      <c r="F23" s="79">
        <v>991.15</v>
      </c>
      <c r="G23" s="79">
        <v>991.45</v>
      </c>
      <c r="H23" s="79">
        <v>992.9</v>
      </c>
      <c r="I23" s="79">
        <v>995.47500000000002</v>
      </c>
      <c r="J23" s="79">
        <v>994.1</v>
      </c>
      <c r="K23" s="79">
        <v>990.27</v>
      </c>
      <c r="L23" s="79">
        <v>965.6</v>
      </c>
      <c r="M23" s="79">
        <v>987.4</v>
      </c>
      <c r="N23" s="79">
        <v>987.5</v>
      </c>
      <c r="O23" s="79">
        <v>991.2</v>
      </c>
      <c r="P23" s="79">
        <v>598.4</v>
      </c>
      <c r="Q23" s="79">
        <v>988.9</v>
      </c>
      <c r="R23" s="79">
        <v>989.6</v>
      </c>
      <c r="S23" s="79">
        <v>987.5</v>
      </c>
      <c r="T23" s="79">
        <v>991.85</v>
      </c>
      <c r="U23" s="79">
        <v>993.05</v>
      </c>
      <c r="V23" s="79">
        <v>983.85</v>
      </c>
      <c r="W23" s="79">
        <v>961.5</v>
      </c>
      <c r="X23" s="79">
        <v>972.85</v>
      </c>
      <c r="Y23" s="79">
        <v>976.35</v>
      </c>
      <c r="Z23" s="79">
        <v>970.75</v>
      </c>
      <c r="AA23" s="79">
        <v>987.6</v>
      </c>
      <c r="AB23" s="79">
        <v>990.4</v>
      </c>
      <c r="AC23" s="79">
        <v>968.1</v>
      </c>
      <c r="AD23" s="79">
        <v>966</v>
      </c>
      <c r="AE23" s="79">
        <v>959.5</v>
      </c>
      <c r="AF23" s="79">
        <v>25173.244999999999</v>
      </c>
    </row>
    <row r="24" spans="1:32" x14ac:dyDescent="0.3">
      <c r="A24" s="1"/>
      <c r="B24" s="77" t="s">
        <v>633</v>
      </c>
      <c r="C24" s="77" t="s">
        <v>1162</v>
      </c>
      <c r="D24" s="77" t="s">
        <v>1117</v>
      </c>
      <c r="E24" s="78" t="s">
        <v>598</v>
      </c>
      <c r="F24" s="79">
        <v>0.15</v>
      </c>
      <c r="G24" s="79">
        <v>0.85</v>
      </c>
      <c r="H24" s="79">
        <v>2.2000000000000002</v>
      </c>
      <c r="I24" s="79">
        <v>3</v>
      </c>
      <c r="J24" s="79">
        <v>2.65</v>
      </c>
      <c r="K24" s="79">
        <v>3.05</v>
      </c>
      <c r="L24" s="79">
        <v>2.2999999999999998</v>
      </c>
      <c r="M24" s="79">
        <v>1.05</v>
      </c>
      <c r="N24" s="79">
        <v>2.0499999999999998</v>
      </c>
      <c r="O24" s="79">
        <v>2.65</v>
      </c>
      <c r="P24" s="79">
        <v>2.4</v>
      </c>
      <c r="Q24" s="79">
        <v>3</v>
      </c>
      <c r="R24" s="79">
        <v>2.75</v>
      </c>
      <c r="S24" s="79">
        <v>2.7</v>
      </c>
      <c r="T24" s="79">
        <v>1.7</v>
      </c>
      <c r="U24" s="79">
        <v>1.55</v>
      </c>
      <c r="V24" s="79">
        <v>1.95</v>
      </c>
      <c r="W24" s="79">
        <v>1.5</v>
      </c>
      <c r="X24" s="79">
        <v>2</v>
      </c>
      <c r="Y24" s="79">
        <v>0.9</v>
      </c>
      <c r="Z24" s="79">
        <v>2</v>
      </c>
      <c r="AA24" s="79">
        <v>2.7</v>
      </c>
      <c r="AB24" s="79">
        <v>2.9</v>
      </c>
      <c r="AC24" s="79">
        <v>2.7</v>
      </c>
      <c r="AD24" s="79">
        <v>0.7</v>
      </c>
      <c r="AE24" s="79">
        <v>2.7</v>
      </c>
      <c r="AF24" s="79">
        <v>54.1</v>
      </c>
    </row>
    <row r="25" spans="1:32" x14ac:dyDescent="0.3">
      <c r="A25" s="1"/>
      <c r="B25" s="77" t="s">
        <v>614</v>
      </c>
      <c r="C25" s="77" t="s">
        <v>1163</v>
      </c>
      <c r="D25" s="77" t="s">
        <v>73</v>
      </c>
      <c r="E25" s="78" t="s">
        <v>598</v>
      </c>
      <c r="F25" s="79">
        <v>8.5500000000000007</v>
      </c>
      <c r="G25" s="79">
        <v>6.1</v>
      </c>
      <c r="H25" s="79">
        <v>6.9</v>
      </c>
      <c r="I25" s="79">
        <v>7.1</v>
      </c>
      <c r="J25" s="79">
        <v>9.1</v>
      </c>
      <c r="K25" s="79">
        <v>8.4499999999999993</v>
      </c>
      <c r="L25" s="79">
        <v>8.1999999999999993</v>
      </c>
      <c r="M25" s="79">
        <v>5</v>
      </c>
      <c r="N25" s="79">
        <v>7.85</v>
      </c>
      <c r="O25" s="79">
        <v>8.75</v>
      </c>
      <c r="P25" s="79">
        <v>8.1</v>
      </c>
      <c r="Q25" s="79">
        <v>8.4</v>
      </c>
      <c r="R25" s="79">
        <v>8.15</v>
      </c>
      <c r="S25" s="79">
        <v>8.5500000000000007</v>
      </c>
      <c r="T25" s="79">
        <v>8.5500000000000007</v>
      </c>
      <c r="U25" s="79">
        <v>8.3000000000000007</v>
      </c>
      <c r="V25" s="79">
        <v>7.8</v>
      </c>
      <c r="W25" s="79">
        <v>8.4499999999999993</v>
      </c>
      <c r="X25" s="79">
        <v>6.9</v>
      </c>
      <c r="Y25" s="79">
        <v>8.5</v>
      </c>
      <c r="Z25" s="79">
        <v>8.0500000000000007</v>
      </c>
      <c r="AA25" s="79">
        <v>7.55</v>
      </c>
      <c r="AB25" s="79">
        <v>6.8</v>
      </c>
      <c r="AC25" s="79">
        <v>7.8</v>
      </c>
      <c r="AD25" s="79">
        <v>7.85</v>
      </c>
      <c r="AE25" s="79">
        <v>8.0500000000000007</v>
      </c>
      <c r="AF25" s="79">
        <v>203.8</v>
      </c>
    </row>
    <row r="26" spans="1:32" x14ac:dyDescent="0.3">
      <c r="A26" s="1"/>
      <c r="B26" s="77" t="s">
        <v>75</v>
      </c>
      <c r="C26" s="77" t="s">
        <v>971</v>
      </c>
      <c r="D26" s="77" t="s">
        <v>73</v>
      </c>
      <c r="E26" s="78" t="s">
        <v>596</v>
      </c>
      <c r="F26" s="79">
        <v>159.19999999999999</v>
      </c>
      <c r="G26" s="79">
        <v>158.6</v>
      </c>
      <c r="H26" s="79">
        <v>160.55000000000001</v>
      </c>
      <c r="I26" s="79">
        <v>161.1</v>
      </c>
      <c r="J26" s="79">
        <v>160.5</v>
      </c>
      <c r="K26" s="79">
        <v>156.02000000000001</v>
      </c>
      <c r="L26" s="79">
        <v>159.75</v>
      </c>
      <c r="M26" s="79">
        <v>160.4</v>
      </c>
      <c r="N26" s="79">
        <v>157.80000000000001</v>
      </c>
      <c r="O26" s="79">
        <v>158.55000000000001</v>
      </c>
      <c r="P26" s="79">
        <v>156.4</v>
      </c>
      <c r="Q26" s="79">
        <v>156.5</v>
      </c>
      <c r="R26" s="79">
        <v>156.6</v>
      </c>
      <c r="S26" s="79">
        <v>156.1</v>
      </c>
      <c r="T26" s="79">
        <v>156.05000000000001</v>
      </c>
      <c r="U26" s="79">
        <v>155.75</v>
      </c>
      <c r="V26" s="79">
        <v>157.9</v>
      </c>
      <c r="W26" s="79">
        <v>158.30000000000001</v>
      </c>
      <c r="X26" s="79">
        <v>158.85</v>
      </c>
      <c r="Y26" s="79">
        <v>151.69999999999999</v>
      </c>
      <c r="Z26" s="79">
        <v>108.5</v>
      </c>
      <c r="AA26" s="79">
        <v>156.6</v>
      </c>
      <c r="AB26" s="79">
        <v>152.30000000000001</v>
      </c>
      <c r="AC26" s="79">
        <v>108.2</v>
      </c>
      <c r="AD26" s="79">
        <v>155.6</v>
      </c>
      <c r="AE26" s="79">
        <v>160.94999999999999</v>
      </c>
      <c r="AF26" s="79">
        <v>3998.77</v>
      </c>
    </row>
    <row r="27" spans="1:32" x14ac:dyDescent="0.3">
      <c r="A27" s="1"/>
      <c r="B27" s="77" t="s">
        <v>75</v>
      </c>
      <c r="C27" s="77" t="s">
        <v>972</v>
      </c>
      <c r="D27" s="77" t="s">
        <v>73</v>
      </c>
      <c r="E27" s="78" t="s">
        <v>596</v>
      </c>
      <c r="F27" s="79">
        <v>1787.7</v>
      </c>
      <c r="G27" s="79">
        <v>1821.55</v>
      </c>
      <c r="H27" s="79">
        <v>1808.9</v>
      </c>
      <c r="I27" s="79">
        <v>1815.45</v>
      </c>
      <c r="J27" s="79">
        <v>1784.15</v>
      </c>
      <c r="K27" s="79">
        <v>1835.97</v>
      </c>
      <c r="L27" s="79">
        <v>1788.7</v>
      </c>
      <c r="M27" s="79">
        <v>1762.5</v>
      </c>
      <c r="N27" s="79">
        <v>1796.45</v>
      </c>
      <c r="O27" s="79">
        <v>1789.4</v>
      </c>
      <c r="P27" s="79">
        <v>1750.35</v>
      </c>
      <c r="Q27" s="79">
        <v>1790.7</v>
      </c>
      <c r="R27" s="79">
        <v>1784.9</v>
      </c>
      <c r="S27" s="79">
        <v>1819.6</v>
      </c>
      <c r="T27" s="79">
        <v>1799.95</v>
      </c>
      <c r="U27" s="79">
        <v>1787.2</v>
      </c>
      <c r="V27" s="79">
        <v>1786.3</v>
      </c>
      <c r="W27" s="79">
        <v>1789.35</v>
      </c>
      <c r="X27" s="79">
        <v>1792.3</v>
      </c>
      <c r="Y27" s="79">
        <v>1600.4</v>
      </c>
      <c r="Z27" s="79">
        <v>1448.7</v>
      </c>
      <c r="AA27" s="79">
        <v>1723.2</v>
      </c>
      <c r="AB27" s="79">
        <v>1931.75</v>
      </c>
      <c r="AC27" s="79">
        <v>1938.8</v>
      </c>
      <c r="AD27" s="79">
        <v>1922.5</v>
      </c>
      <c r="AE27" s="79">
        <v>1932.8</v>
      </c>
      <c r="AF27" s="79">
        <v>46589.57</v>
      </c>
    </row>
    <row r="28" spans="1:32" x14ac:dyDescent="0.3">
      <c r="A28" s="1"/>
      <c r="B28" s="77" t="s">
        <v>75</v>
      </c>
      <c r="C28" s="77" t="s">
        <v>1164</v>
      </c>
      <c r="D28" s="77" t="s">
        <v>73</v>
      </c>
      <c r="E28" s="78" t="s">
        <v>596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>
        <v>0</v>
      </c>
    </row>
    <row r="29" spans="1:32" x14ac:dyDescent="0.3">
      <c r="A29" s="1"/>
      <c r="B29" s="77" t="s">
        <v>75</v>
      </c>
      <c r="C29" s="77" t="s">
        <v>1165</v>
      </c>
      <c r="D29" s="77" t="s">
        <v>73</v>
      </c>
      <c r="E29" s="78" t="s">
        <v>597</v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>
        <v>0</v>
      </c>
    </row>
    <row r="30" spans="1:32" x14ac:dyDescent="0.3">
      <c r="A30" s="1"/>
      <c r="B30" s="77" t="s">
        <v>75</v>
      </c>
      <c r="C30" s="77" t="s">
        <v>1165</v>
      </c>
      <c r="D30" s="77" t="s">
        <v>1166</v>
      </c>
      <c r="E30" s="78" t="s">
        <v>597</v>
      </c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>
        <v>0</v>
      </c>
    </row>
    <row r="31" spans="1:32" x14ac:dyDescent="0.3">
      <c r="A31" s="1"/>
      <c r="B31" s="77" t="s">
        <v>75</v>
      </c>
      <c r="C31" s="77" t="s">
        <v>1167</v>
      </c>
      <c r="D31" s="77" t="s">
        <v>73</v>
      </c>
      <c r="E31" s="78" t="s">
        <v>597</v>
      </c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>
        <v>0</v>
      </c>
    </row>
    <row r="32" spans="1:32" x14ac:dyDescent="0.3">
      <c r="A32" s="1"/>
      <c r="B32" s="77" t="s">
        <v>634</v>
      </c>
      <c r="C32" s="77" t="s">
        <v>973</v>
      </c>
      <c r="D32" s="77" t="s">
        <v>1168</v>
      </c>
      <c r="E32" s="78" t="s">
        <v>596</v>
      </c>
      <c r="F32" s="79">
        <v>475.45</v>
      </c>
      <c r="G32" s="79">
        <v>473.55</v>
      </c>
      <c r="H32" s="79">
        <v>473.1</v>
      </c>
      <c r="I32" s="79">
        <v>473</v>
      </c>
      <c r="J32" s="79">
        <v>473.45</v>
      </c>
      <c r="K32" s="79">
        <v>470.47</v>
      </c>
      <c r="L32" s="79">
        <v>465.6</v>
      </c>
      <c r="M32" s="79">
        <v>446.4</v>
      </c>
      <c r="N32" s="79">
        <v>430.5</v>
      </c>
      <c r="O32" s="79">
        <v>457.9</v>
      </c>
      <c r="P32" s="79">
        <v>472.3</v>
      </c>
      <c r="Q32" s="79">
        <v>471.7</v>
      </c>
      <c r="R32" s="79">
        <v>453.85</v>
      </c>
      <c r="S32" s="79">
        <v>472.65</v>
      </c>
      <c r="T32" s="79">
        <v>470.5</v>
      </c>
      <c r="U32" s="79">
        <v>471.55</v>
      </c>
      <c r="V32" s="79">
        <v>463.75</v>
      </c>
      <c r="W32" s="79">
        <v>444.4</v>
      </c>
      <c r="X32" s="79">
        <v>418.55</v>
      </c>
      <c r="Y32" s="79">
        <v>398.5</v>
      </c>
      <c r="Z32" s="79">
        <v>376.05</v>
      </c>
      <c r="AA32" s="79">
        <v>450.2</v>
      </c>
      <c r="AB32" s="79">
        <v>425.2</v>
      </c>
      <c r="AC32" s="79">
        <v>373.35</v>
      </c>
      <c r="AD32" s="79">
        <v>350.9</v>
      </c>
      <c r="AE32" s="79">
        <v>343.1</v>
      </c>
      <c r="AF32" s="79">
        <v>11495.97</v>
      </c>
    </row>
    <row r="33" spans="1:32" x14ac:dyDescent="0.3">
      <c r="A33" s="1"/>
      <c r="B33" s="77" t="s">
        <v>634</v>
      </c>
      <c r="C33" s="77" t="s">
        <v>974</v>
      </c>
      <c r="D33" s="77" t="s">
        <v>73</v>
      </c>
      <c r="E33" s="78" t="s">
        <v>596</v>
      </c>
      <c r="F33" s="79">
        <v>464.85</v>
      </c>
      <c r="G33" s="79">
        <v>442.75</v>
      </c>
      <c r="H33" s="79">
        <v>456.9</v>
      </c>
      <c r="I33" s="79">
        <v>421.55</v>
      </c>
      <c r="J33" s="79">
        <v>396.15</v>
      </c>
      <c r="K33" s="79">
        <v>370.35</v>
      </c>
      <c r="L33" s="79">
        <v>346.6</v>
      </c>
      <c r="M33" s="79">
        <v>328.85</v>
      </c>
      <c r="N33" s="79">
        <v>317.3</v>
      </c>
      <c r="O33" s="79">
        <v>306.64999999999998</v>
      </c>
      <c r="P33" s="79">
        <v>395.75</v>
      </c>
      <c r="Q33" s="79">
        <v>402.55</v>
      </c>
      <c r="R33" s="79">
        <v>392.15</v>
      </c>
      <c r="S33" s="79">
        <v>347.7</v>
      </c>
      <c r="T33" s="79">
        <v>317.2</v>
      </c>
      <c r="U33" s="79">
        <v>295.05</v>
      </c>
      <c r="V33" s="79">
        <v>282.89999999999998</v>
      </c>
      <c r="W33" s="79">
        <v>267.60000000000002</v>
      </c>
      <c r="X33" s="79">
        <v>258.64999999999998</v>
      </c>
      <c r="Y33" s="79">
        <v>247.5</v>
      </c>
      <c r="Z33" s="79">
        <v>230.45</v>
      </c>
      <c r="AA33" s="79">
        <v>228.5</v>
      </c>
      <c r="AB33" s="79">
        <v>223.85</v>
      </c>
      <c r="AC33" s="79">
        <v>208.2</v>
      </c>
      <c r="AD33" s="79">
        <v>200.65</v>
      </c>
      <c r="AE33" s="79">
        <v>198.2</v>
      </c>
      <c r="AF33" s="79">
        <v>8348.85</v>
      </c>
    </row>
    <row r="34" spans="1:32" x14ac:dyDescent="0.3">
      <c r="A34" s="1"/>
      <c r="B34" s="77" t="s">
        <v>634</v>
      </c>
      <c r="C34" s="77" t="s">
        <v>975</v>
      </c>
      <c r="D34" s="77" t="s">
        <v>73</v>
      </c>
      <c r="E34" s="78" t="s">
        <v>596</v>
      </c>
      <c r="F34" s="79">
        <v>486.85</v>
      </c>
      <c r="G34" s="79">
        <v>486.7</v>
      </c>
      <c r="H34" s="79">
        <v>486.7</v>
      </c>
      <c r="I34" s="79">
        <v>486.75</v>
      </c>
      <c r="J34" s="79">
        <v>487</v>
      </c>
      <c r="K34" s="79">
        <v>484.27</v>
      </c>
      <c r="L34" s="79">
        <v>480.3</v>
      </c>
      <c r="M34" s="79">
        <v>455</v>
      </c>
      <c r="N34" s="79">
        <v>447.3</v>
      </c>
      <c r="O34" s="79">
        <v>433.9</v>
      </c>
      <c r="P34" s="79">
        <v>485.1</v>
      </c>
      <c r="Q34" s="79">
        <v>485.45</v>
      </c>
      <c r="R34" s="79">
        <v>485.8</v>
      </c>
      <c r="S34" s="79">
        <v>480.45</v>
      </c>
      <c r="T34" s="79">
        <v>442.2</v>
      </c>
      <c r="U34" s="79">
        <v>415.5</v>
      </c>
      <c r="V34" s="79">
        <v>396.65</v>
      </c>
      <c r="W34" s="79">
        <v>380.7</v>
      </c>
      <c r="X34" s="79">
        <v>365.05</v>
      </c>
      <c r="Y34" s="79">
        <v>353.85</v>
      </c>
      <c r="Z34" s="79">
        <v>330.95</v>
      </c>
      <c r="AA34" s="79">
        <v>330.55</v>
      </c>
      <c r="AB34" s="79">
        <v>327.35000000000002</v>
      </c>
      <c r="AC34" s="79">
        <v>306.7</v>
      </c>
      <c r="AD34" s="79">
        <v>293.5</v>
      </c>
      <c r="AE34" s="79">
        <v>289.89999999999998</v>
      </c>
      <c r="AF34" s="79">
        <v>10904.47</v>
      </c>
    </row>
    <row r="35" spans="1:32" x14ac:dyDescent="0.3">
      <c r="A35" s="1"/>
      <c r="B35" s="77" t="s">
        <v>634</v>
      </c>
      <c r="C35" s="77" t="s">
        <v>976</v>
      </c>
      <c r="D35" s="77" t="s">
        <v>1168</v>
      </c>
      <c r="E35" s="78" t="s">
        <v>596</v>
      </c>
      <c r="F35" s="79">
        <v>157.6</v>
      </c>
      <c r="G35" s="79">
        <v>157.94999999999999</v>
      </c>
      <c r="H35" s="79">
        <v>149</v>
      </c>
      <c r="I35" s="79">
        <v>155.1</v>
      </c>
      <c r="J35" s="79">
        <v>133.9</v>
      </c>
      <c r="K35" s="79">
        <v>127.95</v>
      </c>
      <c r="L35" s="79">
        <v>123.45</v>
      </c>
      <c r="M35" s="79">
        <v>121</v>
      </c>
      <c r="N35" s="79">
        <v>125.8</v>
      </c>
      <c r="O35" s="79">
        <v>136.69999999999999</v>
      </c>
      <c r="P35" s="79">
        <v>140.69999999999999</v>
      </c>
      <c r="Q35" s="79">
        <v>147.35</v>
      </c>
      <c r="R35" s="79">
        <v>139</v>
      </c>
      <c r="S35" s="79">
        <v>134.94999999999999</v>
      </c>
      <c r="T35" s="79">
        <v>125.35</v>
      </c>
      <c r="U35" s="79">
        <v>125.45</v>
      </c>
      <c r="V35" s="79">
        <v>128.94999999999999</v>
      </c>
      <c r="W35" s="79">
        <v>129.80000000000001</v>
      </c>
      <c r="X35" s="79">
        <v>130.6</v>
      </c>
      <c r="Y35" s="79">
        <v>139.44999999999999</v>
      </c>
      <c r="Z35" s="79">
        <v>135.25</v>
      </c>
      <c r="AA35" s="79">
        <v>142.30000000000001</v>
      </c>
      <c r="AB35" s="79">
        <v>135.1</v>
      </c>
      <c r="AC35" s="79">
        <v>126</v>
      </c>
      <c r="AD35" s="79">
        <v>118.05</v>
      </c>
      <c r="AE35" s="79">
        <v>117.7</v>
      </c>
      <c r="AF35" s="79">
        <v>3504.45</v>
      </c>
    </row>
    <row r="36" spans="1:32" x14ac:dyDescent="0.3">
      <c r="A36" s="1"/>
      <c r="B36" s="77" t="s">
        <v>602</v>
      </c>
      <c r="C36" s="77" t="s">
        <v>977</v>
      </c>
      <c r="D36" s="77" t="s">
        <v>73</v>
      </c>
      <c r="E36" s="78" t="s">
        <v>596</v>
      </c>
      <c r="F36" s="79">
        <v>1822.9</v>
      </c>
      <c r="G36" s="79">
        <v>1959.7</v>
      </c>
      <c r="H36" s="79">
        <v>1952.35</v>
      </c>
      <c r="I36" s="79">
        <v>1957.45</v>
      </c>
      <c r="J36" s="79">
        <v>1954.5</v>
      </c>
      <c r="K36" s="79">
        <v>1945.13</v>
      </c>
      <c r="L36" s="79">
        <v>1955.4</v>
      </c>
      <c r="M36" s="79">
        <v>1943.6</v>
      </c>
      <c r="N36" s="79">
        <v>1946.3</v>
      </c>
      <c r="O36" s="79">
        <v>1935.75</v>
      </c>
      <c r="P36" s="79">
        <v>1947.5</v>
      </c>
      <c r="Q36" s="79">
        <v>1952.2</v>
      </c>
      <c r="R36" s="79">
        <v>1947.8</v>
      </c>
      <c r="S36" s="79">
        <v>1944.15</v>
      </c>
      <c r="T36" s="79">
        <v>1953.6</v>
      </c>
      <c r="U36" s="79">
        <v>1952.9</v>
      </c>
      <c r="V36" s="79">
        <v>1951.65</v>
      </c>
      <c r="W36" s="79">
        <v>1944.05</v>
      </c>
      <c r="X36" s="79">
        <v>1955.2</v>
      </c>
      <c r="Y36" s="79">
        <v>1955.5</v>
      </c>
      <c r="Z36" s="79">
        <v>1963.25</v>
      </c>
      <c r="AA36" s="79">
        <v>1957.15</v>
      </c>
      <c r="AB36" s="79">
        <v>2678.2</v>
      </c>
      <c r="AC36" s="79">
        <v>3953.55</v>
      </c>
      <c r="AD36" s="79">
        <v>3967.25</v>
      </c>
      <c r="AE36" s="79">
        <v>3945.45</v>
      </c>
      <c r="AF36" s="79">
        <v>57342.48</v>
      </c>
    </row>
    <row r="37" spans="1:32" x14ac:dyDescent="0.3">
      <c r="A37" s="1"/>
      <c r="B37" s="77" t="s">
        <v>28</v>
      </c>
      <c r="C37" s="77" t="s">
        <v>978</v>
      </c>
      <c r="D37" s="77" t="s">
        <v>73</v>
      </c>
      <c r="E37" s="78" t="s">
        <v>596</v>
      </c>
      <c r="F37" s="79">
        <v>185</v>
      </c>
      <c r="G37" s="79">
        <v>188.4</v>
      </c>
      <c r="H37" s="79">
        <v>187.2</v>
      </c>
      <c r="I37" s="79">
        <v>186.2</v>
      </c>
      <c r="J37" s="79">
        <v>186</v>
      </c>
      <c r="K37" s="79">
        <v>182.86500000000001</v>
      </c>
      <c r="L37" s="79">
        <v>187.5</v>
      </c>
      <c r="M37" s="79">
        <v>182.45</v>
      </c>
      <c r="N37" s="79">
        <v>183.8</v>
      </c>
      <c r="O37" s="79">
        <v>184</v>
      </c>
      <c r="P37" s="79">
        <v>183.85</v>
      </c>
      <c r="Q37" s="79">
        <v>185.7</v>
      </c>
      <c r="R37" s="79">
        <v>185.15</v>
      </c>
      <c r="S37" s="79">
        <v>183.4</v>
      </c>
      <c r="T37" s="79">
        <v>188.55</v>
      </c>
      <c r="U37" s="79">
        <v>189.85</v>
      </c>
      <c r="V37" s="79">
        <v>190.6</v>
      </c>
      <c r="W37" s="79">
        <v>189.35</v>
      </c>
      <c r="X37" s="79">
        <v>187.15</v>
      </c>
      <c r="Y37" s="79">
        <v>170.2</v>
      </c>
      <c r="Z37" s="79">
        <v>188.4</v>
      </c>
      <c r="AA37" s="79">
        <v>187</v>
      </c>
      <c r="AB37" s="79">
        <v>190.35</v>
      </c>
      <c r="AC37" s="79">
        <v>190.25</v>
      </c>
      <c r="AD37" s="79">
        <v>188.25</v>
      </c>
      <c r="AE37" s="79">
        <v>183</v>
      </c>
      <c r="AF37" s="79">
        <v>4834.4650000000001</v>
      </c>
    </row>
    <row r="38" spans="1:32" x14ac:dyDescent="0.3">
      <c r="A38" s="1"/>
      <c r="B38" s="77" t="s">
        <v>28</v>
      </c>
      <c r="C38" s="77" t="s">
        <v>979</v>
      </c>
      <c r="D38" s="77" t="s">
        <v>73</v>
      </c>
      <c r="E38" s="78" t="s">
        <v>596</v>
      </c>
      <c r="F38" s="79">
        <v>100.9</v>
      </c>
      <c r="G38" s="79">
        <v>123.1</v>
      </c>
      <c r="H38" s="79">
        <v>125.95</v>
      </c>
      <c r="I38" s="79">
        <v>125.75</v>
      </c>
      <c r="J38" s="79">
        <v>123.15</v>
      </c>
      <c r="K38" s="79">
        <v>123.27500000000001</v>
      </c>
      <c r="L38" s="79">
        <v>125.25</v>
      </c>
      <c r="M38" s="79">
        <v>125.4</v>
      </c>
      <c r="N38" s="79">
        <v>82.45</v>
      </c>
      <c r="O38" s="79">
        <v>125.55</v>
      </c>
      <c r="P38" s="79">
        <v>128.35</v>
      </c>
      <c r="Q38" s="79">
        <v>124.75</v>
      </c>
      <c r="R38" s="79">
        <v>124.7</v>
      </c>
      <c r="S38" s="79">
        <v>124.2</v>
      </c>
      <c r="T38" s="79">
        <v>124.35</v>
      </c>
      <c r="U38" s="79">
        <v>123.05</v>
      </c>
      <c r="V38" s="79">
        <v>123.75</v>
      </c>
      <c r="W38" s="79">
        <v>123.05</v>
      </c>
      <c r="X38" s="79">
        <v>122.4</v>
      </c>
      <c r="Y38" s="79">
        <v>51.75</v>
      </c>
      <c r="Z38" s="79">
        <v>123.95</v>
      </c>
      <c r="AA38" s="79">
        <v>126.05</v>
      </c>
      <c r="AB38" s="79">
        <v>127.25</v>
      </c>
      <c r="AC38" s="79">
        <v>124.85</v>
      </c>
      <c r="AD38" s="79">
        <v>127.45</v>
      </c>
      <c r="AE38" s="79">
        <v>128.35</v>
      </c>
      <c r="AF38" s="79">
        <v>3109.0250000000001</v>
      </c>
    </row>
    <row r="39" spans="1:32" x14ac:dyDescent="0.3">
      <c r="A39" s="1"/>
      <c r="B39" s="77" t="s">
        <v>28</v>
      </c>
      <c r="C39" s="77" t="s">
        <v>1169</v>
      </c>
      <c r="D39" s="77" t="s">
        <v>1170</v>
      </c>
      <c r="E39" s="78" t="s">
        <v>597</v>
      </c>
      <c r="F39" s="79">
        <v>112.5</v>
      </c>
      <c r="G39" s="79">
        <v>123.4</v>
      </c>
      <c r="H39" s="79">
        <v>287.85000000000002</v>
      </c>
      <c r="I39" s="79">
        <v>319.3</v>
      </c>
      <c r="J39" s="79">
        <v>263.25</v>
      </c>
      <c r="K39" s="79">
        <v>169.465</v>
      </c>
      <c r="L39" s="79">
        <v>67.650000000000006</v>
      </c>
      <c r="M39" s="79">
        <v>27.85</v>
      </c>
      <c r="N39" s="79">
        <v>134.19999999999999</v>
      </c>
      <c r="O39" s="79">
        <v>156.05000000000001</v>
      </c>
      <c r="P39" s="79">
        <v>128.44999999999999</v>
      </c>
      <c r="Q39" s="79">
        <v>101.7</v>
      </c>
      <c r="R39" s="79">
        <v>31.15</v>
      </c>
      <c r="S39" s="79"/>
      <c r="T39" s="79"/>
      <c r="U39" s="79">
        <v>116.55</v>
      </c>
      <c r="V39" s="79">
        <v>185.9</v>
      </c>
      <c r="W39" s="79">
        <v>118.75</v>
      </c>
      <c r="X39" s="79">
        <v>136.44999999999999</v>
      </c>
      <c r="Y39" s="79">
        <v>131.55000000000001</v>
      </c>
      <c r="Z39" s="79"/>
      <c r="AA39" s="79">
        <v>66.900000000000006</v>
      </c>
      <c r="AB39" s="79"/>
      <c r="AC39" s="79">
        <v>60.35</v>
      </c>
      <c r="AD39" s="79">
        <v>189.15</v>
      </c>
      <c r="AE39" s="79">
        <v>43.85</v>
      </c>
      <c r="AF39" s="79">
        <v>2972.2649999999999</v>
      </c>
    </row>
    <row r="40" spans="1:32" x14ac:dyDescent="0.3">
      <c r="A40" s="1"/>
      <c r="B40" s="77" t="s">
        <v>629</v>
      </c>
      <c r="C40" s="77" t="s">
        <v>980</v>
      </c>
      <c r="D40" s="77" t="s">
        <v>73</v>
      </c>
      <c r="E40" s="78" t="s">
        <v>596</v>
      </c>
      <c r="F40" s="79">
        <v>84</v>
      </c>
      <c r="G40" s="79">
        <v>84</v>
      </c>
      <c r="H40" s="79">
        <v>84</v>
      </c>
      <c r="I40" s="79">
        <v>84</v>
      </c>
      <c r="J40" s="79">
        <v>84</v>
      </c>
      <c r="K40" s="79">
        <v>84.06</v>
      </c>
      <c r="L40" s="79">
        <v>84</v>
      </c>
      <c r="M40" s="79">
        <v>83.95</v>
      </c>
      <c r="N40" s="79">
        <v>84</v>
      </c>
      <c r="O40" s="79">
        <v>84.05</v>
      </c>
      <c r="P40" s="79">
        <v>83.95</v>
      </c>
      <c r="Q40" s="79">
        <v>84</v>
      </c>
      <c r="R40" s="79">
        <v>84</v>
      </c>
      <c r="S40" s="79">
        <v>83.9</v>
      </c>
      <c r="T40" s="79">
        <v>83.85</v>
      </c>
      <c r="U40" s="79">
        <v>83.95</v>
      </c>
      <c r="V40" s="79">
        <v>81.45</v>
      </c>
      <c r="W40" s="79">
        <v>81.45</v>
      </c>
      <c r="X40" s="79">
        <v>78.900000000000006</v>
      </c>
      <c r="Y40" s="79">
        <v>77.05</v>
      </c>
      <c r="Z40" s="79">
        <v>72.849999999999994</v>
      </c>
      <c r="AA40" s="79">
        <v>74.099999999999994</v>
      </c>
      <c r="AB40" s="79">
        <v>75.400000000000006</v>
      </c>
      <c r="AC40" s="79">
        <v>69.5</v>
      </c>
      <c r="AD40" s="79">
        <v>70.55</v>
      </c>
      <c r="AE40" s="79">
        <v>68.650000000000006</v>
      </c>
      <c r="AF40" s="79">
        <v>2093.61</v>
      </c>
    </row>
    <row r="41" spans="1:32" x14ac:dyDescent="0.3">
      <c r="A41" s="1"/>
      <c r="B41" s="77" t="s">
        <v>80</v>
      </c>
      <c r="C41" s="77" t="s">
        <v>81</v>
      </c>
      <c r="D41" s="77" t="s">
        <v>73</v>
      </c>
      <c r="E41" s="78" t="s">
        <v>596</v>
      </c>
      <c r="F41" s="79">
        <v>15348.9</v>
      </c>
      <c r="G41" s="79">
        <v>15584.2</v>
      </c>
      <c r="H41" s="79">
        <v>15629.78</v>
      </c>
      <c r="I41" s="79">
        <v>15637.75</v>
      </c>
      <c r="J41" s="79">
        <v>15655.4</v>
      </c>
      <c r="K41" s="79">
        <v>14998.57</v>
      </c>
      <c r="L41" s="79">
        <v>15668.35</v>
      </c>
      <c r="M41" s="79">
        <v>15612.8</v>
      </c>
      <c r="N41" s="79">
        <v>14554.23</v>
      </c>
      <c r="O41" s="79">
        <v>14936.15</v>
      </c>
      <c r="P41" s="79">
        <v>15599.05</v>
      </c>
      <c r="Q41" s="79">
        <v>15612.3</v>
      </c>
      <c r="R41" s="79">
        <v>15620.79</v>
      </c>
      <c r="S41" s="79">
        <v>15612.15</v>
      </c>
      <c r="T41" s="79">
        <v>15636.55</v>
      </c>
      <c r="U41" s="79">
        <v>15642.65</v>
      </c>
      <c r="V41" s="79">
        <v>15540.55</v>
      </c>
      <c r="W41" s="79">
        <v>15617.25</v>
      </c>
      <c r="X41" s="79">
        <v>15627.8</v>
      </c>
      <c r="Y41" s="79">
        <v>15594.75</v>
      </c>
      <c r="Z41" s="79">
        <v>15622.2</v>
      </c>
      <c r="AA41" s="79">
        <v>14907.2</v>
      </c>
      <c r="AB41" s="79">
        <v>15620.45</v>
      </c>
      <c r="AC41" s="79">
        <v>15113.15</v>
      </c>
      <c r="AD41" s="79">
        <v>15608.9</v>
      </c>
      <c r="AE41" s="79">
        <v>15051</v>
      </c>
      <c r="AF41" s="79">
        <v>401652.87</v>
      </c>
    </row>
    <row r="42" spans="1:32" x14ac:dyDescent="0.3">
      <c r="A42" s="1"/>
      <c r="B42" s="77" t="s">
        <v>80</v>
      </c>
      <c r="C42" s="77" t="s">
        <v>981</v>
      </c>
      <c r="D42" s="77" t="s">
        <v>73</v>
      </c>
      <c r="E42" s="78" t="s">
        <v>596</v>
      </c>
      <c r="F42" s="79">
        <v>5101</v>
      </c>
      <c r="G42" s="79">
        <v>5171.5</v>
      </c>
      <c r="H42" s="79">
        <v>5199.9750000000004</v>
      </c>
      <c r="I42" s="79">
        <v>5126.1499999999996</v>
      </c>
      <c r="J42" s="79">
        <v>5143.5</v>
      </c>
      <c r="K42" s="79">
        <v>4995.415</v>
      </c>
      <c r="L42" s="79">
        <v>5141.05</v>
      </c>
      <c r="M42" s="79">
        <v>5123.5</v>
      </c>
      <c r="N42" s="79">
        <v>4893.7749999999996</v>
      </c>
      <c r="O42" s="79">
        <v>4918.2</v>
      </c>
      <c r="P42" s="79">
        <v>5107</v>
      </c>
      <c r="Q42" s="79">
        <v>5105.8</v>
      </c>
      <c r="R42" s="79">
        <v>5106.085</v>
      </c>
      <c r="S42" s="79">
        <v>5102.3500000000004</v>
      </c>
      <c r="T42" s="79">
        <v>5112.5</v>
      </c>
      <c r="U42" s="79">
        <v>4379.8</v>
      </c>
      <c r="V42" s="79">
        <v>4424.3</v>
      </c>
      <c r="W42" s="79">
        <v>5038.3500000000004</v>
      </c>
      <c r="X42" s="79">
        <v>5162.05</v>
      </c>
      <c r="Y42" s="79">
        <v>5155.3999999999996</v>
      </c>
      <c r="Z42" s="79">
        <v>5159.1000000000004</v>
      </c>
      <c r="AA42" s="79">
        <v>4977.8500000000004</v>
      </c>
      <c r="AB42" s="79">
        <v>5113.8</v>
      </c>
      <c r="AC42" s="79">
        <v>5022.1499999999996</v>
      </c>
      <c r="AD42" s="79">
        <v>4839.7</v>
      </c>
      <c r="AE42" s="79">
        <v>5012.6499999999996</v>
      </c>
      <c r="AF42" s="79">
        <v>130632.95</v>
      </c>
    </row>
    <row r="43" spans="1:32" x14ac:dyDescent="0.3">
      <c r="A43" s="1"/>
      <c r="B43" s="77" t="s">
        <v>80</v>
      </c>
      <c r="C43" s="77" t="s">
        <v>1171</v>
      </c>
      <c r="D43" s="77" t="s">
        <v>1172</v>
      </c>
      <c r="E43" s="78" t="s">
        <v>597</v>
      </c>
      <c r="F43" s="79"/>
      <c r="G43" s="79">
        <v>72.349999999999994</v>
      </c>
      <c r="H43" s="79">
        <v>62.59</v>
      </c>
      <c r="I43" s="79">
        <v>110.8</v>
      </c>
      <c r="J43" s="79">
        <v>121.65</v>
      </c>
      <c r="K43" s="79">
        <v>121.905</v>
      </c>
      <c r="L43" s="79">
        <v>103.1</v>
      </c>
      <c r="M43" s="79">
        <v>77.05</v>
      </c>
      <c r="N43" s="79">
        <v>58.6</v>
      </c>
      <c r="O43" s="79"/>
      <c r="P43" s="79">
        <v>52.45</v>
      </c>
      <c r="Q43" s="79"/>
      <c r="R43" s="79"/>
      <c r="S43" s="79">
        <v>59.55</v>
      </c>
      <c r="T43" s="79">
        <v>25.9</v>
      </c>
      <c r="U43" s="79"/>
      <c r="V43" s="79">
        <v>32.75</v>
      </c>
      <c r="W43" s="79"/>
      <c r="X43" s="79"/>
      <c r="Y43" s="79"/>
      <c r="Z43" s="79">
        <v>50.3</v>
      </c>
      <c r="AA43" s="79">
        <v>25.4</v>
      </c>
      <c r="AB43" s="79"/>
      <c r="AC43" s="79">
        <v>12.9</v>
      </c>
      <c r="AD43" s="79">
        <v>34.1</v>
      </c>
      <c r="AE43" s="79">
        <v>48.95</v>
      </c>
      <c r="AF43" s="79">
        <v>1070.345</v>
      </c>
    </row>
    <row r="44" spans="1:32" x14ac:dyDescent="0.3">
      <c r="A44" s="1"/>
      <c r="B44" s="77" t="s">
        <v>80</v>
      </c>
      <c r="C44" s="77" t="s">
        <v>1171</v>
      </c>
      <c r="D44" s="77" t="s">
        <v>1173</v>
      </c>
      <c r="E44" s="78" t="s">
        <v>597</v>
      </c>
      <c r="F44" s="79"/>
      <c r="G44" s="79">
        <v>56.1</v>
      </c>
      <c r="H44" s="79">
        <v>35.914999999999999</v>
      </c>
      <c r="I44" s="79">
        <v>110.75</v>
      </c>
      <c r="J44" s="79">
        <v>117.7</v>
      </c>
      <c r="K44" s="79">
        <v>125.205</v>
      </c>
      <c r="L44" s="79">
        <v>101.45</v>
      </c>
      <c r="M44" s="79">
        <v>77.7</v>
      </c>
      <c r="N44" s="79"/>
      <c r="O44" s="79"/>
      <c r="P44" s="79"/>
      <c r="Q44" s="79"/>
      <c r="R44" s="79"/>
      <c r="S44" s="79"/>
      <c r="T44" s="79">
        <v>26.2</v>
      </c>
      <c r="U44" s="79"/>
      <c r="V44" s="79">
        <v>32.200000000000003</v>
      </c>
      <c r="W44" s="79"/>
      <c r="X44" s="79"/>
      <c r="Y44" s="79"/>
      <c r="Z44" s="79">
        <v>50.25</v>
      </c>
      <c r="AA44" s="79">
        <v>5.75</v>
      </c>
      <c r="AB44" s="79"/>
      <c r="AC44" s="79">
        <v>12.5</v>
      </c>
      <c r="AD44" s="79">
        <v>34.25</v>
      </c>
      <c r="AE44" s="79">
        <v>48.85</v>
      </c>
      <c r="AF44" s="79">
        <v>834.82</v>
      </c>
    </row>
    <row r="45" spans="1:32" ht="27.6" x14ac:dyDescent="0.3">
      <c r="A45" s="1"/>
      <c r="B45" s="77" t="s">
        <v>278</v>
      </c>
      <c r="C45" s="77" t="s">
        <v>982</v>
      </c>
      <c r="D45" s="77" t="s">
        <v>73</v>
      </c>
      <c r="E45" s="78" t="s">
        <v>596</v>
      </c>
      <c r="F45" s="79">
        <v>123.4</v>
      </c>
      <c r="G45" s="79">
        <v>121.85</v>
      </c>
      <c r="H45" s="79">
        <v>123.85</v>
      </c>
      <c r="I45" s="79">
        <v>122.45</v>
      </c>
      <c r="J45" s="79">
        <v>122.75</v>
      </c>
      <c r="K45" s="79">
        <v>122.25</v>
      </c>
      <c r="L45" s="79">
        <v>121.3</v>
      </c>
      <c r="M45" s="79">
        <v>119.45</v>
      </c>
      <c r="N45" s="79">
        <v>119.35</v>
      </c>
      <c r="O45" s="79">
        <v>122.05</v>
      </c>
      <c r="P45" s="79">
        <v>123.45</v>
      </c>
      <c r="Q45" s="79">
        <v>120.5</v>
      </c>
      <c r="R45" s="79">
        <v>117.7</v>
      </c>
      <c r="S45" s="79">
        <v>115.5585</v>
      </c>
      <c r="T45" s="79">
        <v>113.05</v>
      </c>
      <c r="U45" s="79">
        <v>72.650000000000006</v>
      </c>
      <c r="V45" s="79">
        <v>61.7</v>
      </c>
      <c r="W45" s="79">
        <v>62.2</v>
      </c>
      <c r="X45" s="79">
        <v>33.299999999999997</v>
      </c>
      <c r="Y45" s="79">
        <v>62.25</v>
      </c>
      <c r="Z45" s="79">
        <v>20.65</v>
      </c>
      <c r="AA45" s="79">
        <v>16.75</v>
      </c>
      <c r="AB45" s="79"/>
      <c r="AC45" s="79">
        <v>6.5724999999999998</v>
      </c>
      <c r="AD45" s="79">
        <v>57.25</v>
      </c>
      <c r="AE45" s="79">
        <v>61.15</v>
      </c>
      <c r="AF45" s="79">
        <v>2263.431</v>
      </c>
    </row>
    <row r="46" spans="1:32" ht="27.6" x14ac:dyDescent="0.3">
      <c r="A46" s="1"/>
      <c r="B46" s="77" t="s">
        <v>620</v>
      </c>
      <c r="C46" s="77" t="s">
        <v>983</v>
      </c>
      <c r="D46" s="77" t="s">
        <v>73</v>
      </c>
      <c r="E46" s="78" t="s">
        <v>596</v>
      </c>
      <c r="F46" s="79">
        <v>492.8</v>
      </c>
      <c r="G46" s="79">
        <v>489.75</v>
      </c>
      <c r="H46" s="79">
        <v>367.9</v>
      </c>
      <c r="I46" s="79">
        <v>491.55</v>
      </c>
      <c r="J46" s="79">
        <v>491.15</v>
      </c>
      <c r="K46" s="79">
        <v>470.34</v>
      </c>
      <c r="L46" s="79">
        <v>491.5</v>
      </c>
      <c r="M46" s="79">
        <v>488.35</v>
      </c>
      <c r="N46" s="79">
        <v>489.15</v>
      </c>
      <c r="O46" s="79">
        <v>488.9</v>
      </c>
      <c r="P46" s="79">
        <v>489.4</v>
      </c>
      <c r="Q46" s="79">
        <v>489</v>
      </c>
      <c r="R46" s="79">
        <v>488.35</v>
      </c>
      <c r="S46" s="79">
        <v>487.75</v>
      </c>
      <c r="T46" s="79">
        <v>489.1</v>
      </c>
      <c r="U46" s="79">
        <v>100.5</v>
      </c>
      <c r="V46" s="79">
        <v>78.7</v>
      </c>
      <c r="W46" s="79"/>
      <c r="X46" s="79">
        <v>125.1</v>
      </c>
      <c r="Y46" s="79">
        <v>484.5</v>
      </c>
      <c r="Z46" s="79">
        <v>486</v>
      </c>
      <c r="AA46" s="79">
        <v>488.6</v>
      </c>
      <c r="AB46" s="79">
        <v>492.7</v>
      </c>
      <c r="AC46" s="79">
        <v>491.2</v>
      </c>
      <c r="AD46" s="79">
        <v>490.05</v>
      </c>
      <c r="AE46" s="79">
        <v>489.4</v>
      </c>
      <c r="AF46" s="79">
        <v>10931.74</v>
      </c>
    </row>
    <row r="47" spans="1:32" x14ac:dyDescent="0.3">
      <c r="A47" s="1"/>
      <c r="B47" s="77" t="s">
        <v>83</v>
      </c>
      <c r="C47" s="77" t="s">
        <v>84</v>
      </c>
      <c r="D47" s="77" t="s">
        <v>73</v>
      </c>
      <c r="E47" s="78" t="s">
        <v>596</v>
      </c>
      <c r="F47" s="79">
        <v>5155.1499999999996</v>
      </c>
      <c r="G47" s="79">
        <v>5259.75</v>
      </c>
      <c r="H47" s="79">
        <v>5425.6</v>
      </c>
      <c r="I47" s="79">
        <v>5188.55</v>
      </c>
      <c r="J47" s="79">
        <v>5369.3</v>
      </c>
      <c r="K47" s="79">
        <v>5626.75</v>
      </c>
      <c r="L47" s="79">
        <v>5436.95</v>
      </c>
      <c r="M47" s="79">
        <v>4772.1000000000004</v>
      </c>
      <c r="N47" s="79">
        <v>5433.4</v>
      </c>
      <c r="O47" s="79">
        <v>5109.55</v>
      </c>
      <c r="P47" s="79">
        <v>5418.3850000000002</v>
      </c>
      <c r="Q47" s="79">
        <v>5684.6</v>
      </c>
      <c r="R47" s="79">
        <v>5662.95</v>
      </c>
      <c r="S47" s="79">
        <v>5676.45</v>
      </c>
      <c r="T47" s="79">
        <v>10487.5</v>
      </c>
      <c r="U47" s="79">
        <v>5602.55</v>
      </c>
      <c r="V47" s="79">
        <v>5403.95</v>
      </c>
      <c r="W47" s="79">
        <v>5614.05</v>
      </c>
      <c r="X47" s="79">
        <v>5569.05</v>
      </c>
      <c r="Y47" s="79">
        <v>5494.8950000000004</v>
      </c>
      <c r="Z47" s="79">
        <v>5358.75</v>
      </c>
      <c r="AA47" s="79">
        <v>5410.7</v>
      </c>
      <c r="AB47" s="79">
        <v>5520.1</v>
      </c>
      <c r="AC47" s="79">
        <v>5476.1</v>
      </c>
      <c r="AD47" s="79">
        <v>5608.95</v>
      </c>
      <c r="AE47" s="79">
        <v>5419.75</v>
      </c>
      <c r="AF47" s="79">
        <v>146185.82999999999</v>
      </c>
    </row>
    <row r="48" spans="1:32" x14ac:dyDescent="0.3">
      <c r="A48" s="1"/>
      <c r="B48" s="77" t="s">
        <v>83</v>
      </c>
      <c r="C48" s="77" t="s">
        <v>984</v>
      </c>
      <c r="D48" s="77" t="s">
        <v>73</v>
      </c>
      <c r="E48" s="78" t="s">
        <v>596</v>
      </c>
      <c r="F48" s="79">
        <v>153.75</v>
      </c>
      <c r="G48" s="79">
        <v>154.19999999999999</v>
      </c>
      <c r="H48" s="79">
        <v>155.4</v>
      </c>
      <c r="I48" s="79">
        <v>155.55000000000001</v>
      </c>
      <c r="J48" s="79">
        <v>155.44999999999999</v>
      </c>
      <c r="K48" s="79">
        <v>154.035</v>
      </c>
      <c r="L48" s="79">
        <v>155.69999999999999</v>
      </c>
      <c r="M48" s="79">
        <v>155.05000000000001</v>
      </c>
      <c r="N48" s="79">
        <v>155.9</v>
      </c>
      <c r="O48" s="79">
        <v>154.80000000000001</v>
      </c>
      <c r="P48" s="79">
        <v>155.155</v>
      </c>
      <c r="Q48" s="79">
        <v>155.44999999999999</v>
      </c>
      <c r="R48" s="79">
        <v>155.65</v>
      </c>
      <c r="S48" s="79">
        <v>154.25</v>
      </c>
      <c r="T48" s="79">
        <v>154.30000000000001</v>
      </c>
      <c r="U48" s="79">
        <v>154.85</v>
      </c>
      <c r="V48" s="79">
        <v>154.6</v>
      </c>
      <c r="W48" s="79">
        <v>154.65</v>
      </c>
      <c r="X48" s="79">
        <v>155.15</v>
      </c>
      <c r="Y48" s="79">
        <v>154.55500000000001</v>
      </c>
      <c r="Z48" s="79">
        <v>154.85</v>
      </c>
      <c r="AA48" s="79">
        <v>154.69999999999999</v>
      </c>
      <c r="AB48" s="79">
        <v>155.4</v>
      </c>
      <c r="AC48" s="79">
        <v>155.4</v>
      </c>
      <c r="AD48" s="79">
        <v>155.9</v>
      </c>
      <c r="AE48" s="79">
        <v>155.94999999999999</v>
      </c>
      <c r="AF48" s="79">
        <v>4030.645</v>
      </c>
    </row>
    <row r="49" spans="1:32" x14ac:dyDescent="0.3">
      <c r="A49" s="1"/>
      <c r="B49" s="77" t="s">
        <v>286</v>
      </c>
      <c r="C49" s="77" t="s">
        <v>985</v>
      </c>
      <c r="D49" s="77" t="s">
        <v>73</v>
      </c>
      <c r="E49" s="78" t="s">
        <v>596</v>
      </c>
      <c r="F49" s="79">
        <v>1525.25</v>
      </c>
      <c r="G49" s="79">
        <v>1809.65</v>
      </c>
      <c r="H49" s="79">
        <v>1857.15</v>
      </c>
      <c r="I49" s="79">
        <v>1685.25</v>
      </c>
      <c r="J49" s="79">
        <v>1142.3</v>
      </c>
      <c r="K49" s="79">
        <v>1131.9749999999999</v>
      </c>
      <c r="L49" s="79">
        <v>1144.8499999999999</v>
      </c>
      <c r="M49" s="79">
        <v>1141</v>
      </c>
      <c r="N49" s="79">
        <v>1133.3</v>
      </c>
      <c r="O49" s="79">
        <v>1111.3499999999999</v>
      </c>
      <c r="P49" s="79">
        <v>1138.05</v>
      </c>
      <c r="Q49" s="79">
        <v>1141.4000000000001</v>
      </c>
      <c r="R49" s="79">
        <v>1462.7</v>
      </c>
      <c r="S49" s="79">
        <v>1135.8</v>
      </c>
      <c r="T49" s="79">
        <v>793</v>
      </c>
      <c r="U49" s="79">
        <v>713.7</v>
      </c>
      <c r="V49" s="79">
        <v>990.2</v>
      </c>
      <c r="W49" s="79">
        <v>1061.8499999999999</v>
      </c>
      <c r="X49" s="79">
        <v>1002</v>
      </c>
      <c r="Y49" s="79">
        <v>957.65</v>
      </c>
      <c r="Z49" s="79">
        <v>763.95</v>
      </c>
      <c r="AA49" s="79">
        <v>708.2</v>
      </c>
      <c r="AB49" s="79">
        <v>713.9</v>
      </c>
      <c r="AC49" s="79">
        <v>733.9</v>
      </c>
      <c r="AD49" s="79">
        <v>581.5</v>
      </c>
      <c r="AE49" s="79">
        <v>670.45</v>
      </c>
      <c r="AF49" s="79">
        <v>28250.325000000001</v>
      </c>
    </row>
    <row r="50" spans="1:32" x14ac:dyDescent="0.3">
      <c r="A50" s="1"/>
      <c r="B50" s="77" t="s">
        <v>621</v>
      </c>
      <c r="C50" s="77" t="s">
        <v>986</v>
      </c>
      <c r="D50" s="77" t="s">
        <v>73</v>
      </c>
      <c r="E50" s="78" t="s">
        <v>596</v>
      </c>
      <c r="F50" s="79">
        <v>481.5</v>
      </c>
      <c r="G50" s="79">
        <v>482.05</v>
      </c>
      <c r="H50" s="79">
        <v>481.9</v>
      </c>
      <c r="I50" s="79">
        <v>482.05</v>
      </c>
      <c r="J50" s="79">
        <v>481.8</v>
      </c>
      <c r="K50" s="79">
        <v>458.32</v>
      </c>
      <c r="L50" s="79">
        <v>477.15</v>
      </c>
      <c r="M50" s="79">
        <v>457.35</v>
      </c>
      <c r="N50" s="79">
        <v>433.4</v>
      </c>
      <c r="O50" s="79">
        <v>417.55</v>
      </c>
      <c r="P50" s="79">
        <v>424.4</v>
      </c>
      <c r="Q50" s="79">
        <v>479.4</v>
      </c>
      <c r="R50" s="79">
        <v>480</v>
      </c>
      <c r="S50" s="79">
        <v>464.35</v>
      </c>
      <c r="T50" s="79">
        <v>422.3</v>
      </c>
      <c r="U50" s="79">
        <v>378.2</v>
      </c>
      <c r="V50" s="79">
        <v>347.2</v>
      </c>
      <c r="W50" s="79">
        <v>331.25</v>
      </c>
      <c r="X50" s="79">
        <v>301.3</v>
      </c>
      <c r="Y50" s="79">
        <v>270.89999999999998</v>
      </c>
      <c r="Z50" s="79">
        <v>252.85</v>
      </c>
      <c r="AA50" s="79">
        <v>239.95</v>
      </c>
      <c r="AB50" s="79">
        <v>239.05</v>
      </c>
      <c r="AC50" s="79">
        <v>237.85</v>
      </c>
      <c r="AD50" s="79">
        <v>237.75</v>
      </c>
      <c r="AE50" s="79">
        <v>233.5</v>
      </c>
      <c r="AF50" s="79">
        <v>9993.32</v>
      </c>
    </row>
    <row r="51" spans="1:32" x14ac:dyDescent="0.3">
      <c r="A51" s="1"/>
      <c r="B51" s="77" t="s">
        <v>622</v>
      </c>
      <c r="C51" s="77" t="s">
        <v>987</v>
      </c>
      <c r="D51" s="77" t="s">
        <v>73</v>
      </c>
      <c r="E51" s="78" t="s">
        <v>596</v>
      </c>
      <c r="F51" s="79">
        <v>374.5</v>
      </c>
      <c r="G51" s="79">
        <v>320.39999999999998</v>
      </c>
      <c r="H51" s="79">
        <v>306.25</v>
      </c>
      <c r="I51" s="79">
        <v>287.10000000000002</v>
      </c>
      <c r="J51" s="79">
        <v>270.85000000000002</v>
      </c>
      <c r="K51" s="79">
        <v>251.08</v>
      </c>
      <c r="L51" s="79">
        <v>283.75</v>
      </c>
      <c r="M51" s="79">
        <v>268.39999999999998</v>
      </c>
      <c r="N51" s="79">
        <v>263.55</v>
      </c>
      <c r="O51" s="79">
        <v>242.6</v>
      </c>
      <c r="P51" s="79">
        <v>266.2</v>
      </c>
      <c r="Q51" s="79">
        <v>319.25</v>
      </c>
      <c r="R51" s="79">
        <v>264.60000000000002</v>
      </c>
      <c r="S51" s="79">
        <v>246.45</v>
      </c>
      <c r="T51" s="79">
        <v>239.25</v>
      </c>
      <c r="U51" s="79">
        <v>240.5</v>
      </c>
      <c r="V51" s="79">
        <v>227.1</v>
      </c>
      <c r="W51" s="79">
        <v>217.45</v>
      </c>
      <c r="X51" s="79">
        <v>208.65</v>
      </c>
      <c r="Y51" s="79">
        <v>201.2</v>
      </c>
      <c r="Z51" s="79">
        <v>194.05</v>
      </c>
      <c r="AA51" s="79">
        <v>197.3</v>
      </c>
      <c r="AB51" s="79">
        <v>187.25</v>
      </c>
      <c r="AC51" s="79">
        <v>179.85</v>
      </c>
      <c r="AD51" s="79">
        <v>173.1</v>
      </c>
      <c r="AE51" s="79">
        <v>162.85</v>
      </c>
      <c r="AF51" s="79">
        <v>6393.53</v>
      </c>
    </row>
    <row r="52" spans="1:32" x14ac:dyDescent="0.3">
      <c r="A52" s="1"/>
      <c r="B52" s="77" t="s">
        <v>86</v>
      </c>
      <c r="C52" s="77" t="s">
        <v>1174</v>
      </c>
      <c r="D52" s="77" t="s">
        <v>1175</v>
      </c>
      <c r="E52" s="78" t="s">
        <v>597</v>
      </c>
      <c r="F52" s="79">
        <v>953.1</v>
      </c>
      <c r="G52" s="79">
        <v>136.19999999999999</v>
      </c>
      <c r="H52" s="79">
        <v>43.25</v>
      </c>
      <c r="I52" s="79">
        <v>638.5</v>
      </c>
      <c r="J52" s="79">
        <v>669.45</v>
      </c>
      <c r="K52" s="79">
        <v>655.6</v>
      </c>
      <c r="L52" s="79">
        <v>333.65</v>
      </c>
      <c r="M52" s="79">
        <v>847.15</v>
      </c>
      <c r="N52" s="79">
        <v>519.25</v>
      </c>
      <c r="O52" s="79">
        <v>730.8</v>
      </c>
      <c r="P52" s="79">
        <v>485.4</v>
      </c>
      <c r="Q52" s="79">
        <v>299.64999999999998</v>
      </c>
      <c r="R52" s="79">
        <v>338.85</v>
      </c>
      <c r="S52" s="79">
        <v>634.5</v>
      </c>
      <c r="T52" s="79">
        <v>739.3</v>
      </c>
      <c r="U52" s="79">
        <v>659</v>
      </c>
      <c r="V52" s="79">
        <v>380.4</v>
      </c>
      <c r="W52" s="79">
        <v>755.7</v>
      </c>
      <c r="X52" s="79">
        <v>496.75</v>
      </c>
      <c r="Y52" s="79">
        <v>698.55</v>
      </c>
      <c r="Z52" s="79">
        <v>703.5</v>
      </c>
      <c r="AA52" s="79">
        <v>645.85</v>
      </c>
      <c r="AB52" s="79">
        <v>515.1</v>
      </c>
      <c r="AC52" s="79">
        <v>648.1</v>
      </c>
      <c r="AD52" s="79">
        <v>617.15</v>
      </c>
      <c r="AE52" s="79">
        <v>580.04999999999995</v>
      </c>
      <c r="AF52" s="79">
        <v>14724.8</v>
      </c>
    </row>
    <row r="53" spans="1:32" x14ac:dyDescent="0.3">
      <c r="A53" s="1"/>
      <c r="B53" s="77" t="s">
        <v>86</v>
      </c>
      <c r="C53" s="77" t="s">
        <v>1176</v>
      </c>
      <c r="D53" s="77" t="s">
        <v>91</v>
      </c>
      <c r="E53" s="78" t="s">
        <v>597</v>
      </c>
      <c r="F53" s="79">
        <v>61.4</v>
      </c>
      <c r="G53" s="79">
        <v>661.15</v>
      </c>
      <c r="H53" s="79">
        <v>133</v>
      </c>
      <c r="I53" s="79">
        <v>155.44999999999999</v>
      </c>
      <c r="J53" s="79">
        <v>383.45</v>
      </c>
      <c r="K53" s="79">
        <v>263.3</v>
      </c>
      <c r="L53" s="79">
        <v>305.95</v>
      </c>
      <c r="M53" s="79">
        <v>129.94999999999999</v>
      </c>
      <c r="N53" s="79">
        <v>292.85000000000002</v>
      </c>
      <c r="O53" s="79">
        <v>540.70000000000005</v>
      </c>
      <c r="P53" s="79">
        <v>286.10000000000002</v>
      </c>
      <c r="Q53" s="79">
        <v>368.05</v>
      </c>
      <c r="R53" s="79">
        <v>544.35</v>
      </c>
      <c r="S53" s="79">
        <v>145.55000000000001</v>
      </c>
      <c r="T53" s="79">
        <v>82.85</v>
      </c>
      <c r="U53" s="79">
        <v>111.65</v>
      </c>
      <c r="V53" s="79">
        <v>313.55</v>
      </c>
      <c r="W53" s="79">
        <v>251.85</v>
      </c>
      <c r="X53" s="79">
        <v>249.5</v>
      </c>
      <c r="Y53" s="79">
        <v>150.94999999999999</v>
      </c>
      <c r="Z53" s="79">
        <v>151.6</v>
      </c>
      <c r="AA53" s="79">
        <v>175.6</v>
      </c>
      <c r="AB53" s="79">
        <v>207.1</v>
      </c>
      <c r="AC53" s="79">
        <v>123.95</v>
      </c>
      <c r="AD53" s="79">
        <v>113.75</v>
      </c>
      <c r="AE53" s="79">
        <v>304.10000000000002</v>
      </c>
      <c r="AF53" s="79">
        <v>6507.7</v>
      </c>
    </row>
    <row r="54" spans="1:32" x14ac:dyDescent="0.3">
      <c r="A54" s="1"/>
      <c r="B54" s="77" t="s">
        <v>86</v>
      </c>
      <c r="C54" s="77" t="s">
        <v>1177</v>
      </c>
      <c r="D54" s="77" t="s">
        <v>297</v>
      </c>
      <c r="E54" s="78" t="s">
        <v>597</v>
      </c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>
        <v>549.9</v>
      </c>
      <c r="Q54" s="79">
        <v>708.05</v>
      </c>
      <c r="R54" s="79">
        <v>840.4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>
        <v>2098.35</v>
      </c>
    </row>
    <row r="55" spans="1:32" x14ac:dyDescent="0.3">
      <c r="A55" s="1"/>
      <c r="B55" s="77" t="s">
        <v>635</v>
      </c>
      <c r="C55" s="77" t="s">
        <v>1044</v>
      </c>
      <c r="D55" s="77" t="s">
        <v>73</v>
      </c>
      <c r="E55" s="78" t="s">
        <v>599</v>
      </c>
      <c r="F55" s="79">
        <v>934.6</v>
      </c>
      <c r="G55" s="79">
        <v>798.5</v>
      </c>
      <c r="H55" s="79">
        <v>944.7</v>
      </c>
      <c r="I55" s="79">
        <v>582.04999999999995</v>
      </c>
      <c r="J55" s="79">
        <v>737.9</v>
      </c>
      <c r="K55" s="79">
        <v>830.43</v>
      </c>
      <c r="L55" s="79">
        <v>1055.95</v>
      </c>
      <c r="M55" s="79">
        <v>903.75</v>
      </c>
      <c r="N55" s="79">
        <v>954.7</v>
      </c>
      <c r="O55" s="79">
        <v>369.4</v>
      </c>
      <c r="P55" s="79">
        <v>442.05</v>
      </c>
      <c r="Q55" s="79">
        <v>1025.05</v>
      </c>
      <c r="R55" s="79">
        <v>474.1</v>
      </c>
      <c r="S55" s="79">
        <v>540.54999999999995</v>
      </c>
      <c r="T55" s="79">
        <v>492.8</v>
      </c>
      <c r="U55" s="79">
        <v>662.8</v>
      </c>
      <c r="V55" s="79">
        <v>393.35</v>
      </c>
      <c r="W55" s="79">
        <v>927.4</v>
      </c>
      <c r="X55" s="79">
        <v>1117.8</v>
      </c>
      <c r="Y55" s="79">
        <v>520.70000000000005</v>
      </c>
      <c r="Z55" s="79">
        <v>527.4</v>
      </c>
      <c r="AA55" s="79">
        <v>845.45</v>
      </c>
      <c r="AB55" s="79">
        <v>727.8</v>
      </c>
      <c r="AC55" s="79">
        <v>1039.7</v>
      </c>
      <c r="AD55" s="79">
        <v>555.65</v>
      </c>
      <c r="AE55" s="79">
        <v>526.9</v>
      </c>
      <c r="AF55" s="79">
        <v>18931.48</v>
      </c>
    </row>
    <row r="56" spans="1:32" x14ac:dyDescent="0.3">
      <c r="A56" s="1"/>
      <c r="B56" s="77" t="s">
        <v>635</v>
      </c>
      <c r="C56" s="77" t="s">
        <v>1045</v>
      </c>
      <c r="D56" s="77" t="s">
        <v>73</v>
      </c>
      <c r="E56" s="78" t="s">
        <v>599</v>
      </c>
      <c r="F56" s="79">
        <v>387.3</v>
      </c>
      <c r="G56" s="79">
        <v>237.25</v>
      </c>
      <c r="H56" s="79">
        <v>72.650000000000006</v>
      </c>
      <c r="I56" s="79">
        <v>139.35</v>
      </c>
      <c r="J56" s="79">
        <v>133.65</v>
      </c>
      <c r="K56" s="79">
        <v>141.67500000000001</v>
      </c>
      <c r="L56" s="79">
        <v>222.05</v>
      </c>
      <c r="M56" s="79">
        <v>279.2</v>
      </c>
      <c r="N56" s="79">
        <v>549.20000000000005</v>
      </c>
      <c r="O56" s="79">
        <v>207.8</v>
      </c>
      <c r="P56" s="79">
        <v>155.25</v>
      </c>
      <c r="Q56" s="79">
        <v>369.45</v>
      </c>
      <c r="R56" s="79">
        <v>482.7</v>
      </c>
      <c r="S56" s="79">
        <v>366.3</v>
      </c>
      <c r="T56" s="79">
        <v>517.1</v>
      </c>
      <c r="U56" s="79">
        <v>322.45</v>
      </c>
      <c r="V56" s="79">
        <v>360.3</v>
      </c>
      <c r="W56" s="79">
        <v>445.65</v>
      </c>
      <c r="X56" s="79">
        <v>568.35</v>
      </c>
      <c r="Y56" s="79">
        <v>508.85</v>
      </c>
      <c r="Z56" s="79">
        <v>374.4</v>
      </c>
      <c r="AA56" s="79">
        <v>558.65</v>
      </c>
      <c r="AB56" s="79">
        <v>382.05</v>
      </c>
      <c r="AC56" s="79">
        <v>552.70000000000005</v>
      </c>
      <c r="AD56" s="79">
        <v>371.3</v>
      </c>
      <c r="AE56" s="79">
        <v>354.45</v>
      </c>
      <c r="AF56" s="79">
        <v>9060.0750000000007</v>
      </c>
    </row>
    <row r="57" spans="1:32" x14ac:dyDescent="0.3">
      <c r="A57" s="1"/>
      <c r="B57" s="77" t="s">
        <v>615</v>
      </c>
      <c r="C57" s="77" t="s">
        <v>1178</v>
      </c>
      <c r="D57" s="77" t="s">
        <v>73</v>
      </c>
      <c r="E57" s="78" t="s">
        <v>599</v>
      </c>
      <c r="F57" s="79">
        <v>2295.8000000000002</v>
      </c>
      <c r="G57" s="79">
        <v>1692.4</v>
      </c>
      <c r="H57" s="79">
        <v>2062.65</v>
      </c>
      <c r="I57" s="79">
        <v>1560.05</v>
      </c>
      <c r="J57" s="79">
        <v>1078.2</v>
      </c>
      <c r="K57" s="79">
        <v>1353.7650000000001</v>
      </c>
      <c r="L57" s="79">
        <v>1255.4000000000001</v>
      </c>
      <c r="M57" s="79">
        <v>1225.5999999999999</v>
      </c>
      <c r="N57" s="79">
        <v>1134.5</v>
      </c>
      <c r="O57" s="79">
        <v>814.9</v>
      </c>
      <c r="P57" s="79">
        <v>327.5</v>
      </c>
      <c r="Q57" s="79">
        <v>1854.2</v>
      </c>
      <c r="R57" s="79">
        <v>597.9</v>
      </c>
      <c r="S57" s="79">
        <v>528.25</v>
      </c>
      <c r="T57" s="79">
        <v>955.2</v>
      </c>
      <c r="U57" s="79">
        <v>1199.7</v>
      </c>
      <c r="V57" s="79">
        <v>1148.05</v>
      </c>
      <c r="W57" s="79">
        <v>1123.8499999999999</v>
      </c>
      <c r="X57" s="79">
        <v>1479.9</v>
      </c>
      <c r="Y57" s="79">
        <v>943.3</v>
      </c>
      <c r="Z57" s="79">
        <v>1424.4</v>
      </c>
      <c r="AA57" s="79">
        <v>1633.35</v>
      </c>
      <c r="AB57" s="79">
        <v>1830.7</v>
      </c>
      <c r="AC57" s="79">
        <v>1903.9</v>
      </c>
      <c r="AD57" s="79">
        <v>871.2</v>
      </c>
      <c r="AE57" s="79">
        <v>874.85</v>
      </c>
      <c r="AF57" s="79">
        <v>33169.514999999999</v>
      </c>
    </row>
    <row r="58" spans="1:32" x14ac:dyDescent="0.3">
      <c r="A58" s="1"/>
      <c r="B58" s="77" t="s">
        <v>93</v>
      </c>
      <c r="C58" s="77" t="s">
        <v>1050</v>
      </c>
      <c r="D58" s="77" t="s">
        <v>1179</v>
      </c>
      <c r="E58" s="78" t="s">
        <v>599</v>
      </c>
      <c r="F58" s="79">
        <v>1518.65</v>
      </c>
      <c r="G58" s="79">
        <v>974.25</v>
      </c>
      <c r="H58" s="79">
        <v>963.95</v>
      </c>
      <c r="I58" s="79">
        <v>320.45</v>
      </c>
      <c r="J58" s="79">
        <v>381</v>
      </c>
      <c r="K58" s="79">
        <v>1175.0050000000001</v>
      </c>
      <c r="L58" s="79">
        <v>1762.15</v>
      </c>
      <c r="M58" s="79">
        <v>1410.45</v>
      </c>
      <c r="N58" s="79">
        <v>1933.5</v>
      </c>
      <c r="O58" s="79">
        <v>543.4</v>
      </c>
      <c r="P58" s="79">
        <v>168.5</v>
      </c>
      <c r="Q58" s="79">
        <v>984.5</v>
      </c>
      <c r="R58" s="79">
        <v>999.7</v>
      </c>
      <c r="S58" s="79">
        <v>1309.95</v>
      </c>
      <c r="T58" s="79">
        <v>1083.95</v>
      </c>
      <c r="U58" s="79">
        <v>1316.1</v>
      </c>
      <c r="V58" s="79">
        <v>356.5</v>
      </c>
      <c r="W58" s="79">
        <v>960.45</v>
      </c>
      <c r="X58" s="79">
        <v>1837.35</v>
      </c>
      <c r="Y58" s="79">
        <v>1004.8</v>
      </c>
      <c r="Z58" s="79">
        <v>1324.2</v>
      </c>
      <c r="AA58" s="79">
        <v>1500.6</v>
      </c>
      <c r="AB58" s="79">
        <v>1827.1</v>
      </c>
      <c r="AC58" s="79">
        <v>1796.3</v>
      </c>
      <c r="AD58" s="79">
        <v>419.4</v>
      </c>
      <c r="AE58" s="79">
        <v>673.9</v>
      </c>
      <c r="AF58" s="79">
        <v>28546.105</v>
      </c>
    </row>
    <row r="59" spans="1:32" x14ac:dyDescent="0.3">
      <c r="A59" s="1"/>
      <c r="B59" s="77" t="s">
        <v>93</v>
      </c>
      <c r="C59" s="77" t="s">
        <v>1050</v>
      </c>
      <c r="D59" s="77" t="s">
        <v>1180</v>
      </c>
      <c r="E59" s="78" t="s">
        <v>599</v>
      </c>
      <c r="F59" s="79">
        <v>2026.75</v>
      </c>
      <c r="G59" s="79">
        <v>1514.1</v>
      </c>
      <c r="H59" s="79">
        <v>1447.05</v>
      </c>
      <c r="I59" s="79">
        <v>661.2</v>
      </c>
      <c r="J59" s="79">
        <v>805.1</v>
      </c>
      <c r="K59" s="79">
        <v>1920.9349999999999</v>
      </c>
      <c r="L59" s="79">
        <v>1981.25</v>
      </c>
      <c r="M59" s="79">
        <v>1829.65</v>
      </c>
      <c r="N59" s="79">
        <v>2159.4499999999998</v>
      </c>
      <c r="O59" s="79">
        <v>885.65</v>
      </c>
      <c r="P59" s="79">
        <v>350.5</v>
      </c>
      <c r="Q59" s="79">
        <v>1364.75</v>
      </c>
      <c r="R59" s="79">
        <v>1557.35</v>
      </c>
      <c r="S59" s="79">
        <v>1732.35</v>
      </c>
      <c r="T59" s="79">
        <v>1339.2</v>
      </c>
      <c r="U59" s="79">
        <v>1699.3</v>
      </c>
      <c r="V59" s="79">
        <v>1509.25</v>
      </c>
      <c r="W59" s="79">
        <v>1268.9000000000001</v>
      </c>
      <c r="X59" s="79">
        <v>1889.45</v>
      </c>
      <c r="Y59" s="79">
        <v>1415.3</v>
      </c>
      <c r="Z59" s="79">
        <v>1636.4</v>
      </c>
      <c r="AA59" s="79">
        <v>1991.2</v>
      </c>
      <c r="AB59" s="79">
        <v>2202.9</v>
      </c>
      <c r="AC59" s="79">
        <v>2236.15</v>
      </c>
      <c r="AD59" s="79">
        <v>857.25</v>
      </c>
      <c r="AE59" s="79">
        <v>967.4</v>
      </c>
      <c r="AF59" s="79">
        <v>39248.785000000003</v>
      </c>
    </row>
    <row r="60" spans="1:32" x14ac:dyDescent="0.3">
      <c r="A60" s="1"/>
      <c r="B60" s="77" t="s">
        <v>93</v>
      </c>
      <c r="C60" s="77" t="s">
        <v>1181</v>
      </c>
      <c r="D60" s="77" t="s">
        <v>1182</v>
      </c>
      <c r="E60" s="78" t="s">
        <v>599</v>
      </c>
      <c r="F60" s="79">
        <v>221.6</v>
      </c>
      <c r="G60" s="79">
        <v>127.25</v>
      </c>
      <c r="H60" s="79">
        <v>127.65</v>
      </c>
      <c r="I60" s="79">
        <v>20.7</v>
      </c>
      <c r="J60" s="79">
        <v>31.85</v>
      </c>
      <c r="K60" s="79">
        <v>164.63499999999999</v>
      </c>
      <c r="L60" s="79">
        <v>220.35</v>
      </c>
      <c r="M60" s="79">
        <v>164.55</v>
      </c>
      <c r="N60" s="79">
        <v>261</v>
      </c>
      <c r="O60" s="79">
        <v>62</v>
      </c>
      <c r="P60" s="79">
        <v>15.25</v>
      </c>
      <c r="Q60" s="79">
        <v>112.65</v>
      </c>
      <c r="R60" s="79">
        <v>106.3</v>
      </c>
      <c r="S60" s="79">
        <v>159.75</v>
      </c>
      <c r="T60" s="79">
        <v>142.94999999999999</v>
      </c>
      <c r="U60" s="79">
        <v>166.25</v>
      </c>
      <c r="V60" s="79">
        <v>37.6</v>
      </c>
      <c r="W60" s="79">
        <v>118.1</v>
      </c>
      <c r="X60" s="79">
        <v>247.55</v>
      </c>
      <c r="Y60" s="79">
        <v>106.35</v>
      </c>
      <c r="Z60" s="79">
        <v>168.05</v>
      </c>
      <c r="AA60" s="79">
        <v>199.8</v>
      </c>
      <c r="AB60" s="79">
        <v>255.7</v>
      </c>
      <c r="AC60" s="79">
        <v>262.75</v>
      </c>
      <c r="AD60" s="79">
        <v>50.6</v>
      </c>
      <c r="AE60" s="79">
        <v>82.1</v>
      </c>
      <c r="AF60" s="79">
        <v>3633.335</v>
      </c>
    </row>
    <row r="61" spans="1:32" x14ac:dyDescent="0.3">
      <c r="A61" s="1"/>
      <c r="B61" s="77" t="s">
        <v>93</v>
      </c>
      <c r="C61" s="77" t="s">
        <v>1181</v>
      </c>
      <c r="D61" s="77" t="s">
        <v>1183</v>
      </c>
      <c r="E61" s="78" t="s">
        <v>599</v>
      </c>
      <c r="F61" s="79">
        <v>136.44999999999999</v>
      </c>
      <c r="G61" s="79">
        <v>83.4</v>
      </c>
      <c r="H61" s="79">
        <v>78.400000000000006</v>
      </c>
      <c r="I61" s="79">
        <v>9.3000000000000007</v>
      </c>
      <c r="J61" s="79">
        <v>14</v>
      </c>
      <c r="K61" s="79">
        <v>79.555000000000007</v>
      </c>
      <c r="L61" s="79">
        <v>181.1</v>
      </c>
      <c r="M61" s="79">
        <v>112.25</v>
      </c>
      <c r="N61" s="79">
        <v>177.15</v>
      </c>
      <c r="O61" s="79">
        <v>37.75</v>
      </c>
      <c r="P61" s="79">
        <v>6.85</v>
      </c>
      <c r="Q61" s="79">
        <v>62.8</v>
      </c>
      <c r="R61" s="79">
        <v>78.349999999999994</v>
      </c>
      <c r="S61" s="79">
        <v>142.5</v>
      </c>
      <c r="T61" s="79">
        <v>100.1</v>
      </c>
      <c r="U61" s="79">
        <v>124.15</v>
      </c>
      <c r="V61" s="79">
        <v>134.85</v>
      </c>
      <c r="W61" s="79">
        <v>102.45</v>
      </c>
      <c r="X61" s="79">
        <v>213.15</v>
      </c>
      <c r="Y61" s="79">
        <v>102.15</v>
      </c>
      <c r="Z61" s="79">
        <v>130.35</v>
      </c>
      <c r="AA61" s="79">
        <v>137.4</v>
      </c>
      <c r="AB61" s="79">
        <v>176.6</v>
      </c>
      <c r="AC61" s="79">
        <v>149.69999999999999</v>
      </c>
      <c r="AD61" s="79">
        <v>25.45</v>
      </c>
      <c r="AE61" s="79">
        <v>51.1</v>
      </c>
      <c r="AF61" s="79">
        <v>2647.3049999999998</v>
      </c>
    </row>
    <row r="62" spans="1:32" x14ac:dyDescent="0.3">
      <c r="A62" s="1"/>
      <c r="B62" s="77" t="s">
        <v>93</v>
      </c>
      <c r="C62" s="77" t="s">
        <v>988</v>
      </c>
      <c r="D62" s="77" t="s">
        <v>73</v>
      </c>
      <c r="E62" s="78" t="s">
        <v>596</v>
      </c>
      <c r="F62" s="79">
        <v>204.45</v>
      </c>
      <c r="G62" s="79">
        <v>200.4</v>
      </c>
      <c r="H62" s="79">
        <v>278.25</v>
      </c>
      <c r="I62" s="79">
        <v>146.5</v>
      </c>
      <c r="J62" s="79">
        <v>115.5</v>
      </c>
      <c r="K62" s="79">
        <v>117.845</v>
      </c>
      <c r="L62" s="79">
        <v>203.7</v>
      </c>
      <c r="M62" s="79"/>
      <c r="N62" s="79">
        <v>247.85</v>
      </c>
      <c r="O62" s="79"/>
      <c r="P62" s="79"/>
      <c r="Q62" s="79"/>
      <c r="R62" s="79">
        <v>184.15</v>
      </c>
      <c r="S62" s="79"/>
      <c r="T62" s="79">
        <v>290.5</v>
      </c>
      <c r="U62" s="79">
        <v>81.150000000000006</v>
      </c>
      <c r="V62" s="79"/>
      <c r="W62" s="79"/>
      <c r="X62" s="79">
        <v>186.2</v>
      </c>
      <c r="Y62" s="79">
        <v>87.8</v>
      </c>
      <c r="Z62" s="79">
        <v>168.65</v>
      </c>
      <c r="AA62" s="79">
        <v>111.8</v>
      </c>
      <c r="AB62" s="79"/>
      <c r="AC62" s="79">
        <v>282.55</v>
      </c>
      <c r="AD62" s="79"/>
      <c r="AE62" s="79">
        <v>317.39999999999998</v>
      </c>
      <c r="AF62" s="79">
        <v>3224.6950000000002</v>
      </c>
    </row>
    <row r="63" spans="1:32" x14ac:dyDescent="0.3">
      <c r="A63" s="1"/>
      <c r="B63" s="77" t="s">
        <v>93</v>
      </c>
      <c r="C63" s="77" t="s">
        <v>989</v>
      </c>
      <c r="D63" s="77" t="s">
        <v>73</v>
      </c>
      <c r="E63" s="78" t="s">
        <v>596</v>
      </c>
      <c r="F63" s="79">
        <v>3015.75</v>
      </c>
      <c r="G63" s="79">
        <v>3006.05</v>
      </c>
      <c r="H63" s="79">
        <v>2994</v>
      </c>
      <c r="I63" s="79">
        <v>2998.35</v>
      </c>
      <c r="J63" s="79">
        <v>2996.5</v>
      </c>
      <c r="K63" s="79">
        <v>2993.13</v>
      </c>
      <c r="L63" s="79">
        <v>2996.65</v>
      </c>
      <c r="M63" s="79">
        <v>2987.4</v>
      </c>
      <c r="N63" s="79">
        <v>2990</v>
      </c>
      <c r="O63" s="79">
        <v>2991.1</v>
      </c>
      <c r="P63" s="79">
        <v>2990.65</v>
      </c>
      <c r="Q63" s="79">
        <v>2993.6</v>
      </c>
      <c r="R63" s="79">
        <v>2990.85</v>
      </c>
      <c r="S63" s="79">
        <v>2988.6</v>
      </c>
      <c r="T63" s="79">
        <v>2966.3</v>
      </c>
      <c r="U63" s="79">
        <v>2178.9</v>
      </c>
      <c r="V63" s="79">
        <v>1973.8</v>
      </c>
      <c r="W63" s="79">
        <v>2027.5</v>
      </c>
      <c r="X63" s="79">
        <v>2028.3</v>
      </c>
      <c r="Y63" s="79">
        <v>2024.9</v>
      </c>
      <c r="Z63" s="79">
        <v>2032.45</v>
      </c>
      <c r="AA63" s="79">
        <v>1479.9</v>
      </c>
      <c r="AB63" s="79">
        <v>1802.15</v>
      </c>
      <c r="AC63" s="79">
        <v>1945.9</v>
      </c>
      <c r="AD63" s="79">
        <v>2011.5</v>
      </c>
      <c r="AE63" s="79">
        <v>2885.6</v>
      </c>
      <c r="AF63" s="79">
        <v>67289.83</v>
      </c>
    </row>
    <row r="64" spans="1:32" x14ac:dyDescent="0.3">
      <c r="A64" s="1"/>
      <c r="B64" s="77" t="s">
        <v>93</v>
      </c>
      <c r="C64" s="77" t="s">
        <v>1184</v>
      </c>
      <c r="D64" s="77" t="s">
        <v>73</v>
      </c>
      <c r="E64" s="78" t="s">
        <v>598</v>
      </c>
      <c r="F64" s="79">
        <v>23.5</v>
      </c>
      <c r="G64" s="79">
        <v>186.5</v>
      </c>
      <c r="H64" s="79">
        <v>305.10000000000002</v>
      </c>
      <c r="I64" s="79">
        <v>401.05</v>
      </c>
      <c r="J64" s="79">
        <v>375.65</v>
      </c>
      <c r="K64" s="79">
        <v>13.05</v>
      </c>
      <c r="L64" s="79">
        <v>374.95</v>
      </c>
      <c r="M64" s="79">
        <v>392.85</v>
      </c>
      <c r="N64" s="79">
        <v>14.7</v>
      </c>
      <c r="O64" s="79">
        <v>197</v>
      </c>
      <c r="P64" s="79">
        <v>303.89999999999998</v>
      </c>
      <c r="Q64" s="79">
        <v>290.95</v>
      </c>
      <c r="R64" s="79">
        <v>12.95</v>
      </c>
      <c r="S64" s="79">
        <v>13</v>
      </c>
      <c r="T64" s="79">
        <v>378.9</v>
      </c>
      <c r="U64" s="79">
        <v>384.7</v>
      </c>
      <c r="V64" s="79">
        <v>74.45</v>
      </c>
      <c r="W64" s="79">
        <v>193.35</v>
      </c>
      <c r="X64" s="79">
        <v>322.89999999999998</v>
      </c>
      <c r="Y64" s="79">
        <v>371</v>
      </c>
      <c r="Z64" s="79">
        <v>362.3</v>
      </c>
      <c r="AA64" s="79">
        <v>356.6</v>
      </c>
      <c r="AB64" s="79">
        <v>17.05</v>
      </c>
      <c r="AC64" s="79">
        <v>16.600000000000001</v>
      </c>
      <c r="AD64" s="79">
        <v>11.3</v>
      </c>
      <c r="AE64" s="79">
        <v>11.25</v>
      </c>
      <c r="AF64" s="79">
        <v>5405.55</v>
      </c>
    </row>
    <row r="65" spans="1:32" x14ac:dyDescent="0.3">
      <c r="A65" s="1"/>
      <c r="B65" s="77" t="s">
        <v>93</v>
      </c>
      <c r="C65" s="77" t="s">
        <v>1051</v>
      </c>
      <c r="D65" s="77" t="s">
        <v>73</v>
      </c>
      <c r="E65" s="78" t="s">
        <v>598</v>
      </c>
      <c r="F65" s="79">
        <v>293.89999999999998</v>
      </c>
      <c r="G65" s="79">
        <v>278.89999999999998</v>
      </c>
      <c r="H65" s="79">
        <v>259.85000000000002</v>
      </c>
      <c r="I65" s="79">
        <v>270.8</v>
      </c>
      <c r="J65" s="79">
        <v>257.60000000000002</v>
      </c>
      <c r="K65" s="79">
        <v>273.89999999999998</v>
      </c>
      <c r="L65" s="79">
        <v>274.35000000000002</v>
      </c>
      <c r="M65" s="79">
        <v>283.5</v>
      </c>
      <c r="N65" s="79">
        <v>283.05</v>
      </c>
      <c r="O65" s="79">
        <v>275.75</v>
      </c>
      <c r="P65" s="79">
        <v>272.2</v>
      </c>
      <c r="Q65" s="79">
        <v>196.9</v>
      </c>
      <c r="R65" s="79">
        <v>276.75</v>
      </c>
      <c r="S65" s="79">
        <v>280</v>
      </c>
      <c r="T65" s="79">
        <v>277.5</v>
      </c>
      <c r="U65" s="79">
        <v>274.7</v>
      </c>
      <c r="V65" s="79">
        <v>275.64999999999998</v>
      </c>
      <c r="W65" s="79">
        <v>274.35000000000002</v>
      </c>
      <c r="X65" s="79">
        <v>273.75</v>
      </c>
      <c r="Y65" s="79">
        <v>274.35000000000002</v>
      </c>
      <c r="Z65" s="79">
        <v>259.64999999999998</v>
      </c>
      <c r="AA65" s="79">
        <v>260.89999999999998</v>
      </c>
      <c r="AB65" s="79">
        <v>246.9</v>
      </c>
      <c r="AC65" s="79">
        <v>186.55</v>
      </c>
      <c r="AD65" s="79">
        <v>249.75</v>
      </c>
      <c r="AE65" s="79">
        <v>257.39999999999998</v>
      </c>
      <c r="AF65" s="79">
        <v>6888.9</v>
      </c>
    </row>
    <row r="66" spans="1:32" x14ac:dyDescent="0.3">
      <c r="A66" s="1"/>
      <c r="B66" s="77" t="s">
        <v>93</v>
      </c>
      <c r="C66" s="77" t="s">
        <v>99</v>
      </c>
      <c r="D66" s="77" t="s">
        <v>1185</v>
      </c>
      <c r="E66" s="78" t="s">
        <v>597</v>
      </c>
      <c r="F66" s="79">
        <v>1739.2</v>
      </c>
      <c r="G66" s="79">
        <v>2700</v>
      </c>
      <c r="H66" s="79">
        <v>1692.4</v>
      </c>
      <c r="I66" s="79">
        <v>2934.15</v>
      </c>
      <c r="J66" s="79">
        <v>3696.75</v>
      </c>
      <c r="K66" s="79">
        <v>3631.5027799999998</v>
      </c>
      <c r="L66" s="79">
        <v>3053.35</v>
      </c>
      <c r="M66" s="79">
        <v>2965.3</v>
      </c>
      <c r="N66" s="79">
        <v>2890.05</v>
      </c>
      <c r="O66" s="79">
        <v>2869.35</v>
      </c>
      <c r="P66" s="79">
        <v>2897.25</v>
      </c>
      <c r="Q66" s="79">
        <v>2950.2</v>
      </c>
      <c r="R66" s="79">
        <v>2459.9</v>
      </c>
      <c r="S66" s="79">
        <v>2838.15</v>
      </c>
      <c r="T66" s="79">
        <v>2919.85</v>
      </c>
      <c r="U66" s="79">
        <v>3395.05</v>
      </c>
      <c r="V66" s="79">
        <v>2385</v>
      </c>
      <c r="W66" s="79">
        <v>3404.55</v>
      </c>
      <c r="X66" s="79">
        <v>3558.55</v>
      </c>
      <c r="Y66" s="79">
        <v>3668.3</v>
      </c>
      <c r="Z66" s="79">
        <v>3578.05</v>
      </c>
      <c r="AA66" s="79">
        <v>3254.35</v>
      </c>
      <c r="AB66" s="79">
        <v>2982.25</v>
      </c>
      <c r="AC66" s="79">
        <v>2501.4</v>
      </c>
      <c r="AD66" s="79">
        <v>3637.45</v>
      </c>
      <c r="AE66" s="79">
        <v>3858.65</v>
      </c>
      <c r="AF66" s="79">
        <v>78461.002779999995</v>
      </c>
    </row>
    <row r="67" spans="1:32" x14ac:dyDescent="0.3">
      <c r="A67" s="1"/>
      <c r="B67" s="77" t="s">
        <v>93</v>
      </c>
      <c r="C67" s="77" t="s">
        <v>99</v>
      </c>
      <c r="D67" s="77" t="s">
        <v>357</v>
      </c>
      <c r="E67" s="78" t="s">
        <v>597</v>
      </c>
      <c r="F67" s="79">
        <v>1527.85</v>
      </c>
      <c r="G67" s="79">
        <v>2436.1</v>
      </c>
      <c r="H67" s="79">
        <v>1442.45</v>
      </c>
      <c r="I67" s="79">
        <v>1503.35</v>
      </c>
      <c r="J67" s="79">
        <v>3690</v>
      </c>
      <c r="K67" s="79">
        <v>3628.0627800000002</v>
      </c>
      <c r="L67" s="79">
        <v>3046.55</v>
      </c>
      <c r="M67" s="79">
        <v>2959.35</v>
      </c>
      <c r="N67" s="79">
        <v>2885.8</v>
      </c>
      <c r="O67" s="79">
        <v>2859.65</v>
      </c>
      <c r="P67" s="79">
        <v>2891.65</v>
      </c>
      <c r="Q67" s="79">
        <v>2947.35</v>
      </c>
      <c r="R67" s="79">
        <v>2456.6</v>
      </c>
      <c r="S67" s="79">
        <v>2831.85</v>
      </c>
      <c r="T67" s="79">
        <v>2914.95</v>
      </c>
      <c r="U67" s="79">
        <v>3381.15</v>
      </c>
      <c r="V67" s="79">
        <v>2382.6</v>
      </c>
      <c r="W67" s="79">
        <v>3375.75</v>
      </c>
      <c r="X67" s="79">
        <v>3529.25</v>
      </c>
      <c r="Y67" s="79">
        <v>3657.7</v>
      </c>
      <c r="Z67" s="79">
        <v>3563</v>
      </c>
      <c r="AA67" s="79">
        <v>3237.55</v>
      </c>
      <c r="AB67" s="79">
        <v>2971.15</v>
      </c>
      <c r="AC67" s="79">
        <v>2496</v>
      </c>
      <c r="AD67" s="79">
        <v>3609.8</v>
      </c>
      <c r="AE67" s="79">
        <v>3838.7</v>
      </c>
      <c r="AF67" s="79">
        <v>76064.212780000002</v>
      </c>
    </row>
    <row r="68" spans="1:32" x14ac:dyDescent="0.3">
      <c r="A68" s="1"/>
      <c r="B68" s="77" t="s">
        <v>93</v>
      </c>
      <c r="C68" s="77" t="s">
        <v>99</v>
      </c>
      <c r="D68" s="77" t="s">
        <v>1186</v>
      </c>
      <c r="E68" s="78" t="s">
        <v>597</v>
      </c>
      <c r="F68" s="79">
        <v>3746.25</v>
      </c>
      <c r="G68" s="79">
        <v>3058.85</v>
      </c>
      <c r="H68" s="79">
        <v>1732.8</v>
      </c>
      <c r="I68" s="79">
        <v>3216.95</v>
      </c>
      <c r="J68" s="79">
        <v>3700</v>
      </c>
      <c r="K68" s="79">
        <v>3631.1077799999998</v>
      </c>
      <c r="L68" s="79">
        <v>3058.35</v>
      </c>
      <c r="M68" s="79">
        <v>2962.45</v>
      </c>
      <c r="N68" s="79">
        <v>2884.1</v>
      </c>
      <c r="O68" s="79">
        <v>2945.7</v>
      </c>
      <c r="P68" s="79">
        <v>2935.55</v>
      </c>
      <c r="Q68" s="79">
        <v>2956.6</v>
      </c>
      <c r="R68" s="79">
        <v>2453.1999999999998</v>
      </c>
      <c r="S68" s="79">
        <v>2844.75</v>
      </c>
      <c r="T68" s="79">
        <v>2912.25</v>
      </c>
      <c r="U68" s="79">
        <v>3478.4</v>
      </c>
      <c r="V68" s="79">
        <v>2397.75</v>
      </c>
      <c r="W68" s="79">
        <v>3755.25</v>
      </c>
      <c r="X68" s="79">
        <v>3952.55</v>
      </c>
      <c r="Y68" s="79">
        <v>3820.4</v>
      </c>
      <c r="Z68" s="79">
        <v>3848.75</v>
      </c>
      <c r="AA68" s="79">
        <v>3400.7</v>
      </c>
      <c r="AB68" s="79">
        <v>3156.9</v>
      </c>
      <c r="AC68" s="79">
        <v>2500.1999999999998</v>
      </c>
      <c r="AD68" s="79">
        <v>4139.6499999999996</v>
      </c>
      <c r="AE68" s="79">
        <v>4021.95</v>
      </c>
      <c r="AF68" s="79">
        <v>83511.407779999994</v>
      </c>
    </row>
    <row r="69" spans="1:32" x14ac:dyDescent="0.3">
      <c r="A69" s="1"/>
      <c r="B69" s="77" t="s">
        <v>93</v>
      </c>
      <c r="C69" s="77" t="s">
        <v>99</v>
      </c>
      <c r="D69" s="77" t="s">
        <v>1157</v>
      </c>
      <c r="E69" s="78" t="s">
        <v>597</v>
      </c>
      <c r="F69" s="79">
        <v>2718.4</v>
      </c>
      <c r="G69" s="79">
        <v>4602.8500000000004</v>
      </c>
      <c r="H69" s="79">
        <v>876.5</v>
      </c>
      <c r="I69" s="79">
        <v>3345.35</v>
      </c>
      <c r="J69" s="79">
        <v>5824.9</v>
      </c>
      <c r="K69" s="79">
        <v>5739.8266700000004</v>
      </c>
      <c r="L69" s="79">
        <v>5192.1499999999996</v>
      </c>
      <c r="M69" s="79">
        <v>5032.05</v>
      </c>
      <c r="N69" s="79">
        <v>4999.45</v>
      </c>
      <c r="O69" s="79">
        <v>4963.25</v>
      </c>
      <c r="P69" s="79">
        <v>4996.3500000000004</v>
      </c>
      <c r="Q69" s="79">
        <v>5062.1000000000004</v>
      </c>
      <c r="R69" s="79">
        <v>4558.6499999999996</v>
      </c>
      <c r="S69" s="79">
        <v>4992.3</v>
      </c>
      <c r="T69" s="79">
        <v>5002.55</v>
      </c>
      <c r="U69" s="79">
        <v>5521.35</v>
      </c>
      <c r="V69" s="79">
        <v>4437.75</v>
      </c>
      <c r="W69" s="79">
        <v>5583.6</v>
      </c>
      <c r="X69" s="79">
        <v>5751.15</v>
      </c>
      <c r="Y69" s="79">
        <v>5820.05</v>
      </c>
      <c r="Z69" s="79">
        <v>5763.45</v>
      </c>
      <c r="AA69" s="79">
        <v>5423.15</v>
      </c>
      <c r="AB69" s="79">
        <v>5178.25</v>
      </c>
      <c r="AC69" s="79">
        <v>4580.1499999999996</v>
      </c>
      <c r="AD69" s="79">
        <v>5895.05</v>
      </c>
      <c r="AE69" s="79">
        <v>5979.7</v>
      </c>
      <c r="AF69" s="79">
        <v>127840.32666999999</v>
      </c>
    </row>
    <row r="70" spans="1:32" x14ac:dyDescent="0.3">
      <c r="A70" s="1"/>
      <c r="B70" s="77" t="s">
        <v>93</v>
      </c>
      <c r="C70" s="77" t="s">
        <v>102</v>
      </c>
      <c r="D70" s="77" t="s">
        <v>1187</v>
      </c>
      <c r="E70" s="78" t="s">
        <v>597</v>
      </c>
      <c r="F70" s="79">
        <v>160.35</v>
      </c>
      <c r="G70" s="79">
        <v>321.10000000000002</v>
      </c>
      <c r="H70" s="79">
        <v>445.85</v>
      </c>
      <c r="I70" s="79"/>
      <c r="J70" s="79">
        <v>558.75</v>
      </c>
      <c r="K70" s="79"/>
      <c r="L70" s="79"/>
      <c r="M70" s="79"/>
      <c r="N70" s="79"/>
      <c r="O70" s="79"/>
      <c r="P70" s="79"/>
      <c r="Q70" s="79">
        <v>209.75</v>
      </c>
      <c r="R70" s="79">
        <v>95.7</v>
      </c>
      <c r="S70" s="79"/>
      <c r="T70" s="79"/>
      <c r="U70" s="79">
        <v>387.2</v>
      </c>
      <c r="V70" s="79"/>
      <c r="W70" s="79"/>
      <c r="X70" s="79"/>
      <c r="Y70" s="79">
        <v>254.05</v>
      </c>
      <c r="Z70" s="79"/>
      <c r="AA70" s="79">
        <v>175.9</v>
      </c>
      <c r="AB70" s="79"/>
      <c r="AC70" s="79">
        <v>130.35</v>
      </c>
      <c r="AD70" s="79">
        <v>544.20000000000005</v>
      </c>
      <c r="AE70" s="79">
        <v>228.6</v>
      </c>
      <c r="AF70" s="79">
        <v>3511.8</v>
      </c>
    </row>
    <row r="71" spans="1:32" x14ac:dyDescent="0.3">
      <c r="A71" s="1"/>
      <c r="B71" s="77" t="s">
        <v>93</v>
      </c>
      <c r="C71" s="77" t="s">
        <v>102</v>
      </c>
      <c r="D71" s="77" t="s">
        <v>1188</v>
      </c>
      <c r="E71" s="78" t="s">
        <v>597</v>
      </c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>
        <v>0</v>
      </c>
    </row>
    <row r="72" spans="1:32" x14ac:dyDescent="0.3">
      <c r="A72" s="1"/>
      <c r="B72" s="77" t="s">
        <v>93</v>
      </c>
      <c r="C72" s="77" t="s">
        <v>1189</v>
      </c>
      <c r="D72" s="77" t="s">
        <v>1187</v>
      </c>
      <c r="E72" s="78" t="s">
        <v>597</v>
      </c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>
        <v>0</v>
      </c>
    </row>
    <row r="73" spans="1:32" x14ac:dyDescent="0.3">
      <c r="A73" s="1"/>
      <c r="B73" s="77" t="s">
        <v>93</v>
      </c>
      <c r="C73" s="77" t="s">
        <v>1189</v>
      </c>
      <c r="D73" s="77" t="s">
        <v>1190</v>
      </c>
      <c r="E73" s="78" t="s">
        <v>597</v>
      </c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>
        <v>0</v>
      </c>
    </row>
    <row r="74" spans="1:32" x14ac:dyDescent="0.3">
      <c r="A74" s="1"/>
      <c r="B74" s="77" t="s">
        <v>93</v>
      </c>
      <c r="C74" s="77" t="s">
        <v>1189</v>
      </c>
      <c r="D74" s="77" t="s">
        <v>1191</v>
      </c>
      <c r="E74" s="78" t="s">
        <v>597</v>
      </c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>
        <v>0</v>
      </c>
    </row>
    <row r="75" spans="1:32" x14ac:dyDescent="0.3">
      <c r="A75" s="1"/>
      <c r="B75" s="77" t="s">
        <v>93</v>
      </c>
      <c r="C75" s="77" t="s">
        <v>1192</v>
      </c>
      <c r="D75" s="77" t="s">
        <v>1193</v>
      </c>
      <c r="E75" s="78" t="s">
        <v>597</v>
      </c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>
        <v>0</v>
      </c>
    </row>
    <row r="76" spans="1:32" x14ac:dyDescent="0.3">
      <c r="A76" s="1"/>
      <c r="B76" s="77" t="s">
        <v>93</v>
      </c>
      <c r="C76" s="77" t="s">
        <v>1192</v>
      </c>
      <c r="D76" s="77" t="s">
        <v>1194</v>
      </c>
      <c r="E76" s="78" t="s">
        <v>597</v>
      </c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>
        <v>0</v>
      </c>
    </row>
    <row r="77" spans="1:32" x14ac:dyDescent="0.3">
      <c r="A77" s="1"/>
      <c r="B77" s="77" t="s">
        <v>93</v>
      </c>
      <c r="C77" s="77" t="s">
        <v>1192</v>
      </c>
      <c r="D77" s="77" t="s">
        <v>1186</v>
      </c>
      <c r="E77" s="78" t="s">
        <v>597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>
        <v>0</v>
      </c>
    </row>
    <row r="78" spans="1:32" x14ac:dyDescent="0.3">
      <c r="A78" s="1"/>
      <c r="B78" s="77" t="s">
        <v>103</v>
      </c>
      <c r="C78" s="77" t="s">
        <v>104</v>
      </c>
      <c r="D78" s="77" t="s">
        <v>1195</v>
      </c>
      <c r="E78" s="78" t="s">
        <v>597</v>
      </c>
      <c r="F78" s="79">
        <v>3192.3</v>
      </c>
      <c r="G78" s="79">
        <v>3163.3</v>
      </c>
      <c r="H78" s="79">
        <v>3078.45</v>
      </c>
      <c r="I78" s="79">
        <v>3977.1</v>
      </c>
      <c r="J78" s="79">
        <v>4233.55</v>
      </c>
      <c r="K78" s="79">
        <v>4232.6333299999997</v>
      </c>
      <c r="L78" s="79">
        <v>3355.85</v>
      </c>
      <c r="M78" s="79">
        <v>4077.45</v>
      </c>
      <c r="N78" s="79">
        <v>4026.85</v>
      </c>
      <c r="O78" s="79">
        <v>678.4</v>
      </c>
      <c r="P78" s="79">
        <v>3908.5</v>
      </c>
      <c r="Q78" s="79">
        <v>4290.1000000000004</v>
      </c>
      <c r="R78" s="79">
        <v>3991.75</v>
      </c>
      <c r="S78" s="79">
        <v>4130.05</v>
      </c>
      <c r="T78" s="79">
        <v>4155.7</v>
      </c>
      <c r="U78" s="79">
        <v>4101.45</v>
      </c>
      <c r="V78" s="79">
        <v>3768.35</v>
      </c>
      <c r="W78" s="79">
        <v>4050.15</v>
      </c>
      <c r="X78" s="79">
        <v>4157.45</v>
      </c>
      <c r="Y78" s="79">
        <v>4206.6000000000004</v>
      </c>
      <c r="Z78" s="79">
        <v>4173.6000000000004</v>
      </c>
      <c r="AA78" s="79">
        <v>4198.3</v>
      </c>
      <c r="AB78" s="79">
        <v>4186</v>
      </c>
      <c r="AC78" s="79">
        <v>1463.3</v>
      </c>
      <c r="AD78" s="79">
        <v>4041</v>
      </c>
      <c r="AE78" s="79">
        <v>4255.5</v>
      </c>
      <c r="AF78" s="79">
        <v>97093.68333</v>
      </c>
    </row>
    <row r="79" spans="1:32" x14ac:dyDescent="0.3">
      <c r="A79" s="1"/>
      <c r="B79" s="77" t="s">
        <v>103</v>
      </c>
      <c r="C79" s="77" t="s">
        <v>104</v>
      </c>
      <c r="D79" s="77" t="s">
        <v>1196</v>
      </c>
      <c r="E79" s="78" t="s">
        <v>597</v>
      </c>
      <c r="F79" s="79">
        <v>3200.5</v>
      </c>
      <c r="G79" s="79">
        <v>3170.85</v>
      </c>
      <c r="H79" s="79">
        <v>3086.5</v>
      </c>
      <c r="I79" s="79">
        <v>3989.45</v>
      </c>
      <c r="J79" s="79">
        <v>4244</v>
      </c>
      <c r="K79" s="79">
        <v>4212.4333299999998</v>
      </c>
      <c r="L79" s="79">
        <v>3361.5</v>
      </c>
      <c r="M79" s="79">
        <v>4088.2</v>
      </c>
      <c r="N79" s="79">
        <v>4034.15</v>
      </c>
      <c r="O79" s="79">
        <v>933.65</v>
      </c>
      <c r="P79" s="79">
        <v>3917.95</v>
      </c>
      <c r="Q79" s="79">
        <v>4300.1499999999996</v>
      </c>
      <c r="R79" s="79">
        <v>4002.7</v>
      </c>
      <c r="S79" s="79">
        <v>4137.3500000000004</v>
      </c>
      <c r="T79" s="79">
        <v>4164.55</v>
      </c>
      <c r="U79" s="79">
        <v>4111.05</v>
      </c>
      <c r="V79" s="79">
        <v>3778.2</v>
      </c>
      <c r="W79" s="79">
        <v>4059.6</v>
      </c>
      <c r="X79" s="79">
        <v>4166.7</v>
      </c>
      <c r="Y79" s="79">
        <v>4219</v>
      </c>
      <c r="Z79" s="79">
        <v>4184.3</v>
      </c>
      <c r="AA79" s="79">
        <v>4212.5</v>
      </c>
      <c r="AB79" s="79">
        <v>4195.1000000000004</v>
      </c>
      <c r="AC79" s="79">
        <v>671.6</v>
      </c>
      <c r="AD79" s="79">
        <v>2141.0500000000002</v>
      </c>
      <c r="AE79" s="79">
        <v>4264.5</v>
      </c>
      <c r="AF79" s="79">
        <v>94847.533330000006</v>
      </c>
    </row>
    <row r="80" spans="1:32" x14ac:dyDescent="0.3">
      <c r="A80" s="1"/>
      <c r="B80" s="77" t="s">
        <v>103</v>
      </c>
      <c r="C80" s="77" t="s">
        <v>104</v>
      </c>
      <c r="D80" s="77" t="s">
        <v>1197</v>
      </c>
      <c r="E80" s="78" t="s">
        <v>597</v>
      </c>
      <c r="F80" s="79">
        <v>3778.8</v>
      </c>
      <c r="G80" s="79">
        <v>3763.85</v>
      </c>
      <c r="H80" s="79">
        <v>3721.6</v>
      </c>
      <c r="I80" s="79">
        <v>4190.1000000000004</v>
      </c>
      <c r="J80" s="79">
        <v>4338.1000000000004</v>
      </c>
      <c r="K80" s="79">
        <v>4338.1033299999999</v>
      </c>
      <c r="L80" s="79">
        <v>3868.35</v>
      </c>
      <c r="M80" s="79">
        <v>4245.05</v>
      </c>
      <c r="N80" s="79">
        <v>4207.75</v>
      </c>
      <c r="O80" s="79">
        <v>436.1</v>
      </c>
      <c r="P80" s="79">
        <v>4171.3</v>
      </c>
      <c r="Q80" s="79">
        <v>4356.5</v>
      </c>
      <c r="R80" s="79">
        <v>4216.45</v>
      </c>
      <c r="S80" s="79">
        <v>4326</v>
      </c>
      <c r="T80" s="79">
        <v>4297.6499999999996</v>
      </c>
      <c r="U80" s="79">
        <v>4273</v>
      </c>
      <c r="V80" s="79">
        <v>4090.5</v>
      </c>
      <c r="W80" s="79">
        <v>4257.55</v>
      </c>
      <c r="X80" s="79">
        <v>4302.1499999999996</v>
      </c>
      <c r="Y80" s="79">
        <v>4330.8500000000004</v>
      </c>
      <c r="Z80" s="79">
        <v>4302.95</v>
      </c>
      <c r="AA80" s="79">
        <v>4330.7</v>
      </c>
      <c r="AB80" s="79">
        <v>4314.3500000000004</v>
      </c>
      <c r="AC80" s="79">
        <v>1081.75</v>
      </c>
      <c r="AD80" s="79">
        <v>3091.1</v>
      </c>
      <c r="AE80" s="79">
        <v>4368.8</v>
      </c>
      <c r="AF80" s="79">
        <v>100999.40333</v>
      </c>
    </row>
    <row r="81" spans="1:32" x14ac:dyDescent="0.3">
      <c r="A81" s="1"/>
      <c r="B81" s="77" t="s">
        <v>636</v>
      </c>
      <c r="C81" s="77" t="s">
        <v>990</v>
      </c>
      <c r="D81" s="77" t="s">
        <v>73</v>
      </c>
      <c r="E81" s="78" t="s">
        <v>596</v>
      </c>
      <c r="F81" s="79">
        <v>504</v>
      </c>
      <c r="G81" s="79">
        <v>502.25</v>
      </c>
      <c r="H81" s="79">
        <v>498.35</v>
      </c>
      <c r="I81" s="79">
        <v>504</v>
      </c>
      <c r="J81" s="79">
        <v>480.65</v>
      </c>
      <c r="K81" s="79">
        <v>429.77499999999998</v>
      </c>
      <c r="L81" s="79">
        <v>322.05</v>
      </c>
      <c r="M81" s="79">
        <v>359.9</v>
      </c>
      <c r="N81" s="79">
        <v>338.35</v>
      </c>
      <c r="O81" s="79">
        <v>382.5</v>
      </c>
      <c r="P81" s="79">
        <v>503.95</v>
      </c>
      <c r="Q81" s="79">
        <v>496.3</v>
      </c>
      <c r="R81" s="79">
        <v>413.35</v>
      </c>
      <c r="S81" s="79">
        <v>348.55</v>
      </c>
      <c r="T81" s="79">
        <v>313.89999999999998</v>
      </c>
      <c r="U81" s="79">
        <v>282.35000000000002</v>
      </c>
      <c r="V81" s="79">
        <v>273.95</v>
      </c>
      <c r="W81" s="79">
        <v>270.10000000000002</v>
      </c>
      <c r="X81" s="79">
        <v>307.85000000000002</v>
      </c>
      <c r="Y81" s="79">
        <v>272.8</v>
      </c>
      <c r="Z81" s="79">
        <v>314.10000000000002</v>
      </c>
      <c r="AA81" s="79">
        <v>438.45</v>
      </c>
      <c r="AB81" s="79">
        <v>306.5</v>
      </c>
      <c r="AC81" s="79">
        <v>253.6</v>
      </c>
      <c r="AD81" s="79">
        <v>251</v>
      </c>
      <c r="AE81" s="79">
        <v>241.9</v>
      </c>
      <c r="AF81" s="79">
        <v>9610.4750000000004</v>
      </c>
    </row>
    <row r="82" spans="1:32" x14ac:dyDescent="0.3">
      <c r="A82" s="1"/>
      <c r="B82" s="77" t="s">
        <v>636</v>
      </c>
      <c r="C82" s="77" t="s">
        <v>991</v>
      </c>
      <c r="D82" s="77" t="s">
        <v>73</v>
      </c>
      <c r="E82" s="78" t="s">
        <v>596</v>
      </c>
      <c r="F82" s="79">
        <v>170.25</v>
      </c>
      <c r="G82" s="79">
        <v>166.5</v>
      </c>
      <c r="H82" s="79">
        <v>187.25</v>
      </c>
      <c r="I82" s="79">
        <v>171.2</v>
      </c>
      <c r="J82" s="79">
        <v>159.55000000000001</v>
      </c>
      <c r="K82" s="79">
        <v>144.38</v>
      </c>
      <c r="L82" s="79">
        <v>133.9</v>
      </c>
      <c r="M82" s="79">
        <v>113.55</v>
      </c>
      <c r="N82" s="79">
        <v>134.44999999999999</v>
      </c>
      <c r="O82" s="79">
        <v>140.94999999999999</v>
      </c>
      <c r="P82" s="79">
        <v>191.2</v>
      </c>
      <c r="Q82" s="79">
        <v>179.5</v>
      </c>
      <c r="R82" s="79">
        <v>142.85</v>
      </c>
      <c r="S82" s="79">
        <v>125.85</v>
      </c>
      <c r="T82" s="79">
        <v>116.8</v>
      </c>
      <c r="U82" s="79">
        <v>110.2</v>
      </c>
      <c r="V82" s="79">
        <v>107.85</v>
      </c>
      <c r="W82" s="79">
        <v>120.7</v>
      </c>
      <c r="X82" s="79">
        <v>128.65</v>
      </c>
      <c r="Y82" s="79">
        <v>108.15</v>
      </c>
      <c r="Z82" s="79">
        <v>106.5</v>
      </c>
      <c r="AA82" s="79">
        <v>163.95</v>
      </c>
      <c r="AB82" s="79">
        <v>119.35</v>
      </c>
      <c r="AC82" s="79">
        <v>103.7</v>
      </c>
      <c r="AD82" s="79">
        <v>90.65</v>
      </c>
      <c r="AE82" s="79">
        <v>83.45</v>
      </c>
      <c r="AF82" s="79">
        <v>3521.33</v>
      </c>
    </row>
    <row r="83" spans="1:32" x14ac:dyDescent="0.3">
      <c r="A83" s="1"/>
      <c r="B83" s="77" t="s">
        <v>637</v>
      </c>
      <c r="C83" s="77" t="s">
        <v>992</v>
      </c>
      <c r="D83" s="77" t="s">
        <v>73</v>
      </c>
      <c r="E83" s="78" t="s">
        <v>596</v>
      </c>
      <c r="F83" s="79">
        <v>489.6</v>
      </c>
      <c r="G83" s="79">
        <v>489.6</v>
      </c>
      <c r="H83" s="79">
        <v>489.6</v>
      </c>
      <c r="I83" s="79">
        <v>477.8</v>
      </c>
      <c r="J83" s="79">
        <v>440.4</v>
      </c>
      <c r="K83" s="79">
        <v>418.41500000000002</v>
      </c>
      <c r="L83" s="79">
        <v>398.1</v>
      </c>
      <c r="M83" s="79">
        <v>402.4</v>
      </c>
      <c r="N83" s="79">
        <v>426.4</v>
      </c>
      <c r="O83" s="79">
        <v>401</v>
      </c>
      <c r="P83" s="79">
        <v>361.85</v>
      </c>
      <c r="Q83" s="79">
        <v>346.5</v>
      </c>
      <c r="R83" s="79">
        <v>324.05</v>
      </c>
      <c r="S83" s="79">
        <v>306.3</v>
      </c>
      <c r="T83" s="79">
        <v>290.85000000000002</v>
      </c>
      <c r="U83" s="79">
        <v>278.05</v>
      </c>
      <c r="V83" s="79">
        <v>266.5</v>
      </c>
      <c r="W83" s="79">
        <v>257.75</v>
      </c>
      <c r="X83" s="79">
        <v>250</v>
      </c>
      <c r="Y83" s="79">
        <v>237.65</v>
      </c>
      <c r="Z83" s="79">
        <v>229.65</v>
      </c>
      <c r="AA83" s="79">
        <v>218.75</v>
      </c>
      <c r="AB83" s="79">
        <v>211.6</v>
      </c>
      <c r="AC83" s="79">
        <v>204.75</v>
      </c>
      <c r="AD83" s="79">
        <v>207.25</v>
      </c>
      <c r="AE83" s="79">
        <v>209.5</v>
      </c>
      <c r="AF83" s="79">
        <v>8634.3150000000005</v>
      </c>
    </row>
    <row r="84" spans="1:32" x14ac:dyDescent="0.3">
      <c r="A84" s="1"/>
      <c r="B84" s="77" t="s">
        <v>637</v>
      </c>
      <c r="C84" s="77" t="s">
        <v>993</v>
      </c>
      <c r="D84" s="77" t="s">
        <v>73</v>
      </c>
      <c r="E84" s="78" t="s">
        <v>596</v>
      </c>
      <c r="F84" s="79">
        <v>489.6</v>
      </c>
      <c r="G84" s="79">
        <v>489.6</v>
      </c>
      <c r="H84" s="79">
        <v>489.6</v>
      </c>
      <c r="I84" s="79">
        <v>484.4</v>
      </c>
      <c r="J84" s="79">
        <v>461.15</v>
      </c>
      <c r="K84" s="79">
        <v>454.36</v>
      </c>
      <c r="L84" s="79">
        <v>422.25</v>
      </c>
      <c r="M84" s="79">
        <v>423.65</v>
      </c>
      <c r="N84" s="79">
        <v>450.15</v>
      </c>
      <c r="O84" s="79">
        <v>425.5</v>
      </c>
      <c r="P84" s="79">
        <v>385.3</v>
      </c>
      <c r="Q84" s="79">
        <v>370.8</v>
      </c>
      <c r="R84" s="79">
        <v>346.65</v>
      </c>
      <c r="S84" s="79">
        <v>315.25</v>
      </c>
      <c r="T84" s="79">
        <v>313.85000000000002</v>
      </c>
      <c r="U84" s="79">
        <v>301.89999999999998</v>
      </c>
      <c r="V84" s="79">
        <v>289.14999999999998</v>
      </c>
      <c r="W84" s="79">
        <v>281.14999999999998</v>
      </c>
      <c r="X84" s="79">
        <v>272.5</v>
      </c>
      <c r="Y84" s="79">
        <v>259.95</v>
      </c>
      <c r="Z84" s="79">
        <v>250.4</v>
      </c>
      <c r="AA84" s="79">
        <v>239.4</v>
      </c>
      <c r="AB84" s="79">
        <v>233.5</v>
      </c>
      <c r="AC84" s="79">
        <v>227.25</v>
      </c>
      <c r="AD84" s="79">
        <v>228.8</v>
      </c>
      <c r="AE84" s="79">
        <v>229.65</v>
      </c>
      <c r="AF84" s="79">
        <v>9135.76</v>
      </c>
    </row>
    <row r="85" spans="1:32" x14ac:dyDescent="0.3">
      <c r="A85" s="1"/>
      <c r="B85" s="77" t="s">
        <v>637</v>
      </c>
      <c r="C85" s="77" t="s">
        <v>994</v>
      </c>
      <c r="D85" s="77" t="s">
        <v>73</v>
      </c>
      <c r="E85" s="78" t="s">
        <v>596</v>
      </c>
      <c r="F85" s="79">
        <v>480</v>
      </c>
      <c r="G85" s="79">
        <v>480</v>
      </c>
      <c r="H85" s="79">
        <v>480</v>
      </c>
      <c r="I85" s="79">
        <v>476.65</v>
      </c>
      <c r="J85" s="79">
        <v>460.05</v>
      </c>
      <c r="K85" s="79">
        <v>425.5</v>
      </c>
      <c r="L85" s="79">
        <v>425.2</v>
      </c>
      <c r="M85" s="79">
        <v>403.5</v>
      </c>
      <c r="N85" s="79">
        <v>446.45</v>
      </c>
      <c r="O85" s="79">
        <v>425.65</v>
      </c>
      <c r="P85" s="79">
        <v>386.3</v>
      </c>
      <c r="Q85" s="79">
        <v>371.75</v>
      </c>
      <c r="R85" s="79">
        <v>351.15</v>
      </c>
      <c r="S85" s="79">
        <v>307.8</v>
      </c>
      <c r="T85" s="79">
        <v>315.55</v>
      </c>
      <c r="U85" s="79">
        <v>290.25</v>
      </c>
      <c r="V85" s="79">
        <v>292.85000000000002</v>
      </c>
      <c r="W85" s="79">
        <v>274.2</v>
      </c>
      <c r="X85" s="79">
        <v>279.2</v>
      </c>
      <c r="Y85" s="79">
        <v>263.45</v>
      </c>
      <c r="Z85" s="79">
        <v>252.9</v>
      </c>
      <c r="AA85" s="79">
        <v>248.2</v>
      </c>
      <c r="AB85" s="79">
        <v>240.75</v>
      </c>
      <c r="AC85" s="79">
        <v>231.15</v>
      </c>
      <c r="AD85" s="79">
        <v>234.7</v>
      </c>
      <c r="AE85" s="79">
        <v>236.4</v>
      </c>
      <c r="AF85" s="79">
        <v>9079.6</v>
      </c>
    </row>
    <row r="86" spans="1:32" x14ac:dyDescent="0.3">
      <c r="A86" s="1"/>
      <c r="B86" s="77" t="s">
        <v>637</v>
      </c>
      <c r="C86" s="77" t="s">
        <v>995</v>
      </c>
      <c r="D86" s="77" t="s">
        <v>73</v>
      </c>
      <c r="E86" s="78" t="s">
        <v>596</v>
      </c>
      <c r="F86" s="79">
        <v>181.95</v>
      </c>
      <c r="G86" s="79">
        <v>176.2</v>
      </c>
      <c r="H86" s="79">
        <v>178.2</v>
      </c>
      <c r="I86" s="79">
        <v>175.45</v>
      </c>
      <c r="J86" s="79">
        <v>170.35</v>
      </c>
      <c r="K86" s="79">
        <v>175.5</v>
      </c>
      <c r="L86" s="79">
        <v>176.15</v>
      </c>
      <c r="M86" s="79">
        <v>165.4</v>
      </c>
      <c r="N86" s="79">
        <v>166.6</v>
      </c>
      <c r="O86" s="79">
        <v>164.5</v>
      </c>
      <c r="P86" s="79">
        <v>162.15</v>
      </c>
      <c r="Q86" s="79">
        <v>171.9</v>
      </c>
      <c r="R86" s="79">
        <v>172.4845</v>
      </c>
      <c r="S86" s="79">
        <v>171.9</v>
      </c>
      <c r="T86" s="79">
        <v>170.4</v>
      </c>
      <c r="U86" s="79">
        <v>171.4</v>
      </c>
      <c r="V86" s="79">
        <v>169.3</v>
      </c>
      <c r="W86" s="79">
        <v>171.25</v>
      </c>
      <c r="X86" s="79">
        <v>173.1</v>
      </c>
      <c r="Y86" s="79">
        <v>156.9</v>
      </c>
      <c r="Z86" s="79"/>
      <c r="AA86" s="79"/>
      <c r="AB86" s="79">
        <v>89.3</v>
      </c>
      <c r="AC86" s="79">
        <v>102.85</v>
      </c>
      <c r="AD86" s="79">
        <v>105.2</v>
      </c>
      <c r="AE86" s="79">
        <v>108.65</v>
      </c>
      <c r="AF86" s="79">
        <v>3827.0844999999999</v>
      </c>
    </row>
    <row r="87" spans="1:32" x14ac:dyDescent="0.3">
      <c r="A87" s="1"/>
      <c r="B87" s="77" t="s">
        <v>643</v>
      </c>
      <c r="C87" s="77" t="s">
        <v>1198</v>
      </c>
      <c r="D87" s="77" t="s">
        <v>1199</v>
      </c>
      <c r="E87" s="78" t="s">
        <v>597</v>
      </c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>
        <v>688.05</v>
      </c>
      <c r="V87" s="79">
        <v>809.4</v>
      </c>
      <c r="W87" s="79">
        <v>819.65</v>
      </c>
      <c r="X87" s="79">
        <v>825.05</v>
      </c>
      <c r="Y87" s="79">
        <v>818.1</v>
      </c>
      <c r="Z87" s="79">
        <v>813.4</v>
      </c>
      <c r="AA87" s="79">
        <v>818.65</v>
      </c>
      <c r="AB87" s="79">
        <v>819.5</v>
      </c>
      <c r="AC87" s="79">
        <v>811.5</v>
      </c>
      <c r="AD87" s="79">
        <v>811.55</v>
      </c>
      <c r="AE87" s="79">
        <v>818.25</v>
      </c>
      <c r="AF87" s="79">
        <v>8853.1</v>
      </c>
    </row>
    <row r="88" spans="1:32" x14ac:dyDescent="0.3">
      <c r="A88" s="1"/>
      <c r="B88" s="77" t="s">
        <v>643</v>
      </c>
      <c r="C88" s="77" t="s">
        <v>1198</v>
      </c>
      <c r="D88" s="77" t="s">
        <v>1200</v>
      </c>
      <c r="E88" s="78" t="s">
        <v>597</v>
      </c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>
        <v>102.9</v>
      </c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>
        <v>102.9</v>
      </c>
    </row>
    <row r="89" spans="1:32" x14ac:dyDescent="0.3">
      <c r="A89" s="1"/>
      <c r="B89" s="77" t="s">
        <v>616</v>
      </c>
      <c r="C89" s="77" t="s">
        <v>1201</v>
      </c>
      <c r="D89" s="77" t="s">
        <v>1201</v>
      </c>
      <c r="E89" s="78" t="s">
        <v>598</v>
      </c>
      <c r="F89" s="79">
        <v>664.3</v>
      </c>
      <c r="G89" s="79">
        <v>670.65</v>
      </c>
      <c r="H89" s="79">
        <v>549.15</v>
      </c>
      <c r="I89" s="79">
        <v>632.5</v>
      </c>
      <c r="J89" s="79">
        <v>636.85</v>
      </c>
      <c r="K89" s="79">
        <v>628.1</v>
      </c>
      <c r="L89" s="79">
        <v>592.6</v>
      </c>
      <c r="M89" s="79">
        <v>454.3</v>
      </c>
      <c r="N89" s="79">
        <v>636.4</v>
      </c>
      <c r="O89" s="79">
        <v>636</v>
      </c>
      <c r="P89" s="79">
        <v>500.75</v>
      </c>
      <c r="Q89" s="79">
        <v>510.25</v>
      </c>
      <c r="R89" s="79">
        <v>644.79999999999995</v>
      </c>
      <c r="S89" s="79">
        <v>648.54999999999995</v>
      </c>
      <c r="T89" s="79">
        <v>640.4</v>
      </c>
      <c r="U89" s="79">
        <v>640.5</v>
      </c>
      <c r="V89" s="79">
        <v>638.65</v>
      </c>
      <c r="W89" s="79">
        <v>634.20000000000005</v>
      </c>
      <c r="X89" s="79">
        <v>642.04999999999995</v>
      </c>
      <c r="Y89" s="79">
        <v>650.4</v>
      </c>
      <c r="Z89" s="79">
        <v>587.70000000000005</v>
      </c>
      <c r="AA89" s="79">
        <v>602.54999999999995</v>
      </c>
      <c r="AB89" s="79">
        <v>517.65</v>
      </c>
      <c r="AC89" s="79">
        <v>437.75</v>
      </c>
      <c r="AD89" s="79">
        <v>566.20000000000005</v>
      </c>
      <c r="AE89" s="79">
        <v>605.54999999999995</v>
      </c>
      <c r="AF89" s="79">
        <v>15568.8</v>
      </c>
    </row>
    <row r="90" spans="1:32" x14ac:dyDescent="0.3">
      <c r="A90" s="1"/>
      <c r="B90" s="77" t="s">
        <v>327</v>
      </c>
      <c r="C90" s="77" t="s">
        <v>1058</v>
      </c>
      <c r="D90" s="77" t="s">
        <v>73</v>
      </c>
      <c r="E90" s="78" t="s">
        <v>599</v>
      </c>
      <c r="F90" s="79">
        <v>131.9</v>
      </c>
      <c r="G90" s="79">
        <v>120.9</v>
      </c>
      <c r="H90" s="79">
        <v>120.3</v>
      </c>
      <c r="I90" s="79">
        <v>166.8</v>
      </c>
      <c r="J90" s="79">
        <v>168.8</v>
      </c>
      <c r="K90" s="79">
        <v>180.80500000000001</v>
      </c>
      <c r="L90" s="79">
        <v>156.1</v>
      </c>
      <c r="M90" s="79">
        <v>76.05</v>
      </c>
      <c r="N90" s="79">
        <v>222.15</v>
      </c>
      <c r="O90" s="79">
        <v>250.2</v>
      </c>
      <c r="P90" s="79">
        <v>165.35</v>
      </c>
      <c r="Q90" s="79">
        <v>295.39999999999998</v>
      </c>
      <c r="R90" s="79">
        <v>229.55</v>
      </c>
      <c r="S90" s="79">
        <v>242</v>
      </c>
      <c r="T90" s="79">
        <v>264.8</v>
      </c>
      <c r="U90" s="79">
        <v>219.3</v>
      </c>
      <c r="V90" s="79">
        <v>200.45</v>
      </c>
      <c r="W90" s="79">
        <v>264.75</v>
      </c>
      <c r="X90" s="79">
        <v>317.55</v>
      </c>
      <c r="Y90" s="79">
        <v>288.05</v>
      </c>
      <c r="Z90" s="79">
        <v>282.7</v>
      </c>
      <c r="AA90" s="79">
        <v>283.8</v>
      </c>
      <c r="AB90" s="79">
        <v>273.89999999999998</v>
      </c>
      <c r="AC90" s="79">
        <v>294.5</v>
      </c>
      <c r="AD90" s="79">
        <v>270.64999999999998</v>
      </c>
      <c r="AE90" s="79">
        <v>324.05</v>
      </c>
      <c r="AF90" s="79">
        <v>5810.8050000000003</v>
      </c>
    </row>
    <row r="91" spans="1:32" x14ac:dyDescent="0.3">
      <c r="A91" s="1"/>
      <c r="B91" s="77" t="s">
        <v>331</v>
      </c>
      <c r="C91" s="77" t="s">
        <v>1059</v>
      </c>
      <c r="D91" s="77" t="s">
        <v>73</v>
      </c>
      <c r="E91" s="78" t="s">
        <v>599</v>
      </c>
      <c r="F91" s="79">
        <v>259.10000000000002</v>
      </c>
      <c r="G91" s="79">
        <v>249.25</v>
      </c>
      <c r="H91" s="79">
        <v>239.3</v>
      </c>
      <c r="I91" s="79">
        <v>320.95</v>
      </c>
      <c r="J91" s="79">
        <v>323.64999999999998</v>
      </c>
      <c r="K91" s="79">
        <v>284.185</v>
      </c>
      <c r="L91" s="79">
        <v>218.75</v>
      </c>
      <c r="M91" s="79">
        <v>79.8</v>
      </c>
      <c r="N91" s="79">
        <v>240.3</v>
      </c>
      <c r="O91" s="79">
        <v>249.65</v>
      </c>
      <c r="P91" s="79">
        <v>190.65</v>
      </c>
      <c r="Q91" s="79">
        <v>260.3</v>
      </c>
      <c r="R91" s="79">
        <v>206.95</v>
      </c>
      <c r="S91" s="79">
        <v>241.5</v>
      </c>
      <c r="T91" s="79">
        <v>257.55</v>
      </c>
      <c r="U91" s="79">
        <v>208.85</v>
      </c>
      <c r="V91" s="79">
        <v>165.7</v>
      </c>
      <c r="W91" s="79">
        <v>249.9</v>
      </c>
      <c r="X91" s="79">
        <v>343</v>
      </c>
      <c r="Y91" s="79">
        <v>341.95</v>
      </c>
      <c r="Z91" s="79">
        <v>301.75</v>
      </c>
      <c r="AA91" s="79">
        <v>288.64999999999998</v>
      </c>
      <c r="AB91" s="79">
        <v>309.2</v>
      </c>
      <c r="AC91" s="79">
        <v>326.25</v>
      </c>
      <c r="AD91" s="79">
        <v>304.60000000000002</v>
      </c>
      <c r="AE91" s="79">
        <v>294.45</v>
      </c>
      <c r="AF91" s="79">
        <v>6756.1850000000004</v>
      </c>
    </row>
    <row r="92" spans="1:32" x14ac:dyDescent="0.3">
      <c r="A92" s="1"/>
      <c r="B92" s="77" t="s">
        <v>623</v>
      </c>
      <c r="C92" s="77" t="s">
        <v>1202</v>
      </c>
      <c r="D92" s="77" t="s">
        <v>1168</v>
      </c>
      <c r="E92" s="78" t="s">
        <v>596</v>
      </c>
      <c r="F92" s="79">
        <v>70.900000000000006</v>
      </c>
      <c r="G92" s="79">
        <v>76.55</v>
      </c>
      <c r="H92" s="79">
        <v>79.599999999999994</v>
      </c>
      <c r="I92" s="79">
        <v>80.650000000000006</v>
      </c>
      <c r="J92" s="79">
        <v>77.599999999999994</v>
      </c>
      <c r="K92" s="79">
        <v>78.349999999999994</v>
      </c>
      <c r="L92" s="79">
        <v>77.05</v>
      </c>
      <c r="M92" s="79">
        <v>76.75</v>
      </c>
      <c r="N92" s="79">
        <v>74.349999999999994</v>
      </c>
      <c r="O92" s="79">
        <v>77.95</v>
      </c>
      <c r="P92" s="79">
        <v>77.25</v>
      </c>
      <c r="Q92" s="79">
        <v>75.900000000000006</v>
      </c>
      <c r="R92" s="79">
        <v>74.349999999999994</v>
      </c>
      <c r="S92" s="79">
        <v>74.599999999999994</v>
      </c>
      <c r="T92" s="79">
        <v>75.7</v>
      </c>
      <c r="U92" s="79">
        <v>74.2</v>
      </c>
      <c r="V92" s="79">
        <v>58.8</v>
      </c>
      <c r="W92" s="79"/>
      <c r="X92" s="79"/>
      <c r="Y92" s="79"/>
      <c r="Z92" s="79"/>
      <c r="AA92" s="79"/>
      <c r="AB92" s="79"/>
      <c r="AC92" s="79"/>
      <c r="AD92" s="79"/>
      <c r="AE92" s="79"/>
      <c r="AF92" s="79">
        <v>1280.55</v>
      </c>
    </row>
    <row r="93" spans="1:32" x14ac:dyDescent="0.3">
      <c r="A93" s="1"/>
      <c r="B93" s="77" t="s">
        <v>607</v>
      </c>
      <c r="C93" s="77" t="s">
        <v>996</v>
      </c>
      <c r="D93" s="77" t="s">
        <v>73</v>
      </c>
      <c r="E93" s="78" t="s">
        <v>596</v>
      </c>
      <c r="F93" s="79">
        <v>451.1</v>
      </c>
      <c r="G93" s="79">
        <v>450.3</v>
      </c>
      <c r="H93" s="79">
        <v>449.45</v>
      </c>
      <c r="I93" s="79">
        <v>449.1</v>
      </c>
      <c r="J93" s="79">
        <v>449.7</v>
      </c>
      <c r="K93" s="79">
        <v>451.56</v>
      </c>
      <c r="L93" s="79">
        <v>447.8</v>
      </c>
      <c r="M93" s="79">
        <v>446.85</v>
      </c>
      <c r="N93" s="79">
        <v>448.95</v>
      </c>
      <c r="O93" s="79">
        <v>446.85</v>
      </c>
      <c r="P93" s="79">
        <v>448.25</v>
      </c>
      <c r="Q93" s="79">
        <v>447.6</v>
      </c>
      <c r="R93" s="79">
        <v>447.65</v>
      </c>
      <c r="S93" s="79">
        <v>447</v>
      </c>
      <c r="T93" s="79">
        <v>447.9</v>
      </c>
      <c r="U93" s="79">
        <v>447.45</v>
      </c>
      <c r="V93" s="79">
        <v>447.2</v>
      </c>
      <c r="W93" s="79">
        <v>448.2</v>
      </c>
      <c r="X93" s="79">
        <v>446.8</v>
      </c>
      <c r="Y93" s="79">
        <v>446.7</v>
      </c>
      <c r="Z93" s="79">
        <v>447</v>
      </c>
      <c r="AA93" s="79">
        <v>447.2</v>
      </c>
      <c r="AB93" s="79">
        <v>446.75</v>
      </c>
      <c r="AC93" s="79">
        <v>446.6</v>
      </c>
      <c r="AD93" s="79">
        <v>446.65</v>
      </c>
      <c r="AE93" s="79">
        <v>446.45</v>
      </c>
      <c r="AF93" s="79">
        <v>11647.06</v>
      </c>
    </row>
    <row r="94" spans="1:32" x14ac:dyDescent="0.3">
      <c r="A94" s="1"/>
      <c r="B94" s="77" t="s">
        <v>343</v>
      </c>
      <c r="C94" s="77" t="s">
        <v>997</v>
      </c>
      <c r="D94" s="77" t="s">
        <v>73</v>
      </c>
      <c r="E94" s="78" t="s">
        <v>596</v>
      </c>
      <c r="F94" s="79">
        <v>146.4</v>
      </c>
      <c r="G94" s="79">
        <v>140.15</v>
      </c>
      <c r="H94" s="79">
        <v>136.80000000000001</v>
      </c>
      <c r="I94" s="79">
        <v>136.80000000000001</v>
      </c>
      <c r="J94" s="79">
        <v>136.80000000000001</v>
      </c>
      <c r="K94" s="79">
        <v>136.80000000000001</v>
      </c>
      <c r="L94" s="79">
        <v>136.80000000000001</v>
      </c>
      <c r="M94" s="79">
        <v>136.80000000000001</v>
      </c>
      <c r="N94" s="79">
        <v>136.80000000000001</v>
      </c>
      <c r="O94" s="79">
        <v>136.80000000000001</v>
      </c>
      <c r="P94" s="79">
        <v>136.80000000000001</v>
      </c>
      <c r="Q94" s="79">
        <v>136.80000000000001</v>
      </c>
      <c r="R94" s="79">
        <v>136.80000000000001</v>
      </c>
      <c r="S94" s="79">
        <v>136.80000000000001</v>
      </c>
      <c r="T94" s="79">
        <v>152.25</v>
      </c>
      <c r="U94" s="79">
        <v>326.60000000000002</v>
      </c>
      <c r="V94" s="79">
        <v>331.2</v>
      </c>
      <c r="W94" s="79">
        <v>258</v>
      </c>
      <c r="X94" s="79"/>
      <c r="Y94" s="79">
        <v>45.05</v>
      </c>
      <c r="Z94" s="79">
        <v>186.55</v>
      </c>
      <c r="AA94" s="79">
        <v>180</v>
      </c>
      <c r="AB94" s="79">
        <v>180</v>
      </c>
      <c r="AC94" s="79">
        <v>180</v>
      </c>
      <c r="AD94" s="79">
        <v>180</v>
      </c>
      <c r="AE94" s="79">
        <v>181.65</v>
      </c>
      <c r="AF94" s="79">
        <v>4129.45</v>
      </c>
    </row>
    <row r="95" spans="1:32" x14ac:dyDescent="0.3">
      <c r="A95" s="1"/>
      <c r="B95" s="77" t="s">
        <v>600</v>
      </c>
      <c r="C95" s="77" t="s">
        <v>998</v>
      </c>
      <c r="D95" s="77" t="s">
        <v>73</v>
      </c>
      <c r="E95" s="78" t="s">
        <v>596</v>
      </c>
      <c r="F95" s="79">
        <v>3558.75</v>
      </c>
      <c r="G95" s="79">
        <v>3747.5</v>
      </c>
      <c r="H95" s="79">
        <v>3738.95</v>
      </c>
      <c r="I95" s="79">
        <v>3758.6</v>
      </c>
      <c r="J95" s="79">
        <v>3752.05</v>
      </c>
      <c r="K95" s="79">
        <v>3730.94</v>
      </c>
      <c r="L95" s="79">
        <v>3776.1</v>
      </c>
      <c r="M95" s="79">
        <v>3746.9</v>
      </c>
      <c r="N95" s="79">
        <v>3756.6</v>
      </c>
      <c r="O95" s="79">
        <v>3733.25</v>
      </c>
      <c r="P95" s="79">
        <v>3758.4</v>
      </c>
      <c r="Q95" s="79">
        <v>3769.8</v>
      </c>
      <c r="R95" s="79">
        <v>3766</v>
      </c>
      <c r="S95" s="79">
        <v>2963.3</v>
      </c>
      <c r="T95" s="79">
        <v>4496.6499999999996</v>
      </c>
      <c r="U95" s="79">
        <v>4021.4</v>
      </c>
      <c r="V95" s="79">
        <v>3906.7</v>
      </c>
      <c r="W95" s="79">
        <v>3709.15</v>
      </c>
      <c r="X95" s="79">
        <v>3111.05</v>
      </c>
      <c r="Y95" s="79">
        <v>2428.3000000000002</v>
      </c>
      <c r="Z95" s="79">
        <v>2440.1</v>
      </c>
      <c r="AA95" s="79">
        <v>2428.15</v>
      </c>
      <c r="AB95" s="79">
        <v>2453.8000000000002</v>
      </c>
      <c r="AC95" s="79">
        <v>2500.4</v>
      </c>
      <c r="AD95" s="79">
        <v>2508.0500000000002</v>
      </c>
      <c r="AE95" s="79">
        <v>2505.8000000000002</v>
      </c>
      <c r="AF95" s="79">
        <v>88066.69</v>
      </c>
    </row>
    <row r="96" spans="1:32" x14ac:dyDescent="0.3">
      <c r="A96" s="1"/>
      <c r="B96" s="77" t="s">
        <v>612</v>
      </c>
      <c r="C96" s="77" t="s">
        <v>1203</v>
      </c>
      <c r="D96" s="77" t="s">
        <v>73</v>
      </c>
      <c r="E96" s="78" t="s">
        <v>597</v>
      </c>
      <c r="F96" s="79"/>
      <c r="G96" s="79">
        <v>0.9</v>
      </c>
      <c r="H96" s="79"/>
      <c r="I96" s="79">
        <v>7.95</v>
      </c>
      <c r="J96" s="79"/>
      <c r="K96" s="79"/>
      <c r="L96" s="79"/>
      <c r="M96" s="79"/>
      <c r="N96" s="79"/>
      <c r="O96" s="79"/>
      <c r="P96" s="79">
        <v>13.3</v>
      </c>
      <c r="Q96" s="79"/>
      <c r="R96" s="79"/>
      <c r="S96" s="79"/>
      <c r="T96" s="79">
        <v>0.9</v>
      </c>
      <c r="U96" s="79">
        <v>96.65</v>
      </c>
      <c r="V96" s="79"/>
      <c r="W96" s="79">
        <v>39.25</v>
      </c>
      <c r="X96" s="79">
        <v>77</v>
      </c>
      <c r="Y96" s="79"/>
      <c r="Z96" s="79"/>
      <c r="AA96" s="79"/>
      <c r="AB96" s="79"/>
      <c r="AC96" s="79"/>
      <c r="AD96" s="79"/>
      <c r="AE96" s="79"/>
      <c r="AF96" s="79">
        <v>235.95</v>
      </c>
    </row>
    <row r="97" spans="1:32" x14ac:dyDescent="0.3">
      <c r="A97" s="1"/>
      <c r="B97" s="77" t="s">
        <v>612</v>
      </c>
      <c r="C97" s="77" t="s">
        <v>1204</v>
      </c>
      <c r="D97" s="77" t="s">
        <v>73</v>
      </c>
      <c r="E97" s="78" t="s">
        <v>597</v>
      </c>
      <c r="F97" s="79"/>
      <c r="G97" s="79">
        <v>0.75</v>
      </c>
      <c r="H97" s="79"/>
      <c r="I97" s="79"/>
      <c r="J97" s="79"/>
      <c r="K97" s="79"/>
      <c r="L97" s="79"/>
      <c r="M97" s="79"/>
      <c r="N97" s="79"/>
      <c r="O97" s="79"/>
      <c r="P97" s="79">
        <v>27.7</v>
      </c>
      <c r="Q97" s="79"/>
      <c r="R97" s="79"/>
      <c r="S97" s="79"/>
      <c r="T97" s="79">
        <v>1.6</v>
      </c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>
        <v>30.05</v>
      </c>
    </row>
    <row r="98" spans="1:32" x14ac:dyDescent="0.3">
      <c r="A98" s="1"/>
      <c r="B98" s="77" t="s">
        <v>609</v>
      </c>
      <c r="C98" s="77" t="s">
        <v>999</v>
      </c>
      <c r="D98" s="77" t="s">
        <v>73</v>
      </c>
      <c r="E98" s="78" t="s">
        <v>596</v>
      </c>
      <c r="F98" s="79">
        <v>1037.6500000000001</v>
      </c>
      <c r="G98" s="79">
        <v>1160.5999999999999</v>
      </c>
      <c r="H98" s="79">
        <v>1160.5999999999999</v>
      </c>
      <c r="I98" s="79">
        <v>1160.5</v>
      </c>
      <c r="J98" s="79">
        <v>1135.5999999999999</v>
      </c>
      <c r="K98" s="79">
        <v>1148.7049999999999</v>
      </c>
      <c r="L98" s="79">
        <v>1158.05</v>
      </c>
      <c r="M98" s="79">
        <v>1153</v>
      </c>
      <c r="N98" s="79">
        <v>1154.2</v>
      </c>
      <c r="O98" s="79">
        <v>859.4</v>
      </c>
      <c r="P98" s="79">
        <v>1156</v>
      </c>
      <c r="Q98" s="79">
        <v>1155.3</v>
      </c>
      <c r="R98" s="79">
        <v>1156.6500000000001</v>
      </c>
      <c r="S98" s="79">
        <v>1151.4000000000001</v>
      </c>
      <c r="T98" s="79">
        <v>1160.8499999999999</v>
      </c>
      <c r="U98" s="79">
        <v>1159.7</v>
      </c>
      <c r="V98" s="79">
        <v>1160.1500000000001</v>
      </c>
      <c r="W98" s="79">
        <v>1157.55</v>
      </c>
      <c r="X98" s="79">
        <v>1162.9000000000001</v>
      </c>
      <c r="Y98" s="79">
        <v>1161.885</v>
      </c>
      <c r="Z98" s="79">
        <v>1161.95</v>
      </c>
      <c r="AA98" s="79">
        <v>1161.45</v>
      </c>
      <c r="AB98" s="79">
        <v>1518.65</v>
      </c>
      <c r="AC98" s="79">
        <v>2167.35</v>
      </c>
      <c r="AD98" s="79">
        <v>2154.25</v>
      </c>
      <c r="AE98" s="79">
        <v>2173.5500000000002</v>
      </c>
      <c r="AF98" s="79">
        <v>33047.89</v>
      </c>
    </row>
    <row r="99" spans="1:32" x14ac:dyDescent="0.3">
      <c r="A99" s="1"/>
      <c r="B99" s="77" t="s">
        <v>351</v>
      </c>
      <c r="C99" s="77" t="s">
        <v>1000</v>
      </c>
      <c r="D99" s="77" t="s">
        <v>73</v>
      </c>
      <c r="E99" s="78" t="s">
        <v>596</v>
      </c>
      <c r="F99" s="79">
        <v>73.05</v>
      </c>
      <c r="G99" s="79">
        <v>77.95</v>
      </c>
      <c r="H99" s="79">
        <v>77.849999999999994</v>
      </c>
      <c r="I99" s="79">
        <v>76.8</v>
      </c>
      <c r="J99" s="79">
        <v>76.75</v>
      </c>
      <c r="K99" s="79">
        <v>71.959999999999994</v>
      </c>
      <c r="L99" s="79">
        <v>75.45</v>
      </c>
      <c r="M99" s="79">
        <v>75.5</v>
      </c>
      <c r="N99" s="79">
        <v>74.25</v>
      </c>
      <c r="O99" s="79">
        <v>74.400000000000006</v>
      </c>
      <c r="P99" s="79">
        <v>74.5</v>
      </c>
      <c r="Q99" s="79">
        <v>74.45</v>
      </c>
      <c r="R99" s="79">
        <v>74.400000000000006</v>
      </c>
      <c r="S99" s="79">
        <v>74.400000000000006</v>
      </c>
      <c r="T99" s="79">
        <v>74.400000000000006</v>
      </c>
      <c r="U99" s="79">
        <v>73.45</v>
      </c>
      <c r="V99" s="79">
        <v>72</v>
      </c>
      <c r="W99" s="79">
        <v>70.599999999999994</v>
      </c>
      <c r="X99" s="79">
        <v>70.849999999999994</v>
      </c>
      <c r="Y99" s="79">
        <v>70.45</v>
      </c>
      <c r="Z99" s="79">
        <v>70.3</v>
      </c>
      <c r="AA99" s="79">
        <v>69.95</v>
      </c>
      <c r="AB99" s="79">
        <v>69.25</v>
      </c>
      <c r="AC99" s="79">
        <v>69.75</v>
      </c>
      <c r="AD99" s="79">
        <v>69.8</v>
      </c>
      <c r="AE99" s="79">
        <v>69.099999999999994</v>
      </c>
      <c r="AF99" s="79">
        <v>1901.61</v>
      </c>
    </row>
    <row r="100" spans="1:32" x14ac:dyDescent="0.3">
      <c r="A100" s="1"/>
      <c r="B100" s="77" t="s">
        <v>638</v>
      </c>
      <c r="C100" s="77" t="s">
        <v>1205</v>
      </c>
      <c r="D100" s="77" t="s">
        <v>73</v>
      </c>
      <c r="E100" s="78" t="s">
        <v>598</v>
      </c>
      <c r="F100" s="79">
        <v>1986.35</v>
      </c>
      <c r="G100" s="79">
        <v>1950.65</v>
      </c>
      <c r="H100" s="79">
        <v>1712.25</v>
      </c>
      <c r="I100" s="79">
        <v>2037.7</v>
      </c>
      <c r="J100" s="79">
        <v>1737.9</v>
      </c>
      <c r="K100" s="79">
        <v>1991.7</v>
      </c>
      <c r="L100" s="79">
        <v>2051.6999999999998</v>
      </c>
      <c r="M100" s="79">
        <v>1648.35</v>
      </c>
      <c r="N100" s="79">
        <v>2047.4</v>
      </c>
      <c r="O100" s="79">
        <v>2048.4499999999998</v>
      </c>
      <c r="P100" s="79">
        <v>1706.6</v>
      </c>
      <c r="Q100" s="79">
        <v>1608.25</v>
      </c>
      <c r="R100" s="79">
        <v>2073.75</v>
      </c>
      <c r="S100" s="79">
        <v>2073.5500000000002</v>
      </c>
      <c r="T100" s="79">
        <v>2053.65</v>
      </c>
      <c r="U100" s="79">
        <v>2029.9</v>
      </c>
      <c r="V100" s="79">
        <v>2038.4</v>
      </c>
      <c r="W100" s="79">
        <v>2022.8</v>
      </c>
      <c r="X100" s="79">
        <v>2045.9</v>
      </c>
      <c r="Y100" s="79">
        <v>2048.0500000000002</v>
      </c>
      <c r="Z100" s="79">
        <v>1947.9</v>
      </c>
      <c r="AA100" s="79">
        <v>1890.8</v>
      </c>
      <c r="AB100" s="79">
        <v>1691.8</v>
      </c>
      <c r="AC100" s="79">
        <v>1602.65</v>
      </c>
      <c r="AD100" s="79">
        <v>1785</v>
      </c>
      <c r="AE100" s="79">
        <v>1886</v>
      </c>
      <c r="AF100" s="79">
        <v>49717.45</v>
      </c>
    </row>
    <row r="101" spans="1:32" x14ac:dyDescent="0.3">
      <c r="A101" s="1"/>
      <c r="B101" s="77" t="s">
        <v>106</v>
      </c>
      <c r="C101" s="77" t="s">
        <v>107</v>
      </c>
      <c r="D101" s="77" t="s">
        <v>73</v>
      </c>
      <c r="E101" s="78" t="s">
        <v>596</v>
      </c>
      <c r="F101" s="79">
        <v>12096.9</v>
      </c>
      <c r="G101" s="79">
        <v>13374.45</v>
      </c>
      <c r="H101" s="79">
        <v>12452.65</v>
      </c>
      <c r="I101" s="79">
        <v>13369.25</v>
      </c>
      <c r="J101" s="79">
        <v>13400.1</v>
      </c>
      <c r="K101" s="79">
        <v>13400.26</v>
      </c>
      <c r="L101" s="79">
        <v>13369.6</v>
      </c>
      <c r="M101" s="79">
        <v>13334.85</v>
      </c>
      <c r="N101" s="79">
        <v>13320.6</v>
      </c>
      <c r="O101" s="79">
        <v>12685.15</v>
      </c>
      <c r="P101" s="79">
        <v>13332</v>
      </c>
      <c r="Q101" s="79">
        <v>13298.15</v>
      </c>
      <c r="R101" s="79">
        <v>13343</v>
      </c>
      <c r="S101" s="79">
        <v>13341.8</v>
      </c>
      <c r="T101" s="79">
        <v>13390.05</v>
      </c>
      <c r="U101" s="79">
        <v>13203.05</v>
      </c>
      <c r="V101" s="79">
        <v>13272.9</v>
      </c>
      <c r="W101" s="79">
        <v>13346.3</v>
      </c>
      <c r="X101" s="79">
        <v>12367.4</v>
      </c>
      <c r="Y101" s="79">
        <v>12642.9</v>
      </c>
      <c r="Z101" s="79">
        <v>9203.2999999999993</v>
      </c>
      <c r="AA101" s="79">
        <v>9674.4</v>
      </c>
      <c r="AB101" s="79">
        <v>9264.4</v>
      </c>
      <c r="AC101" s="79">
        <v>9415</v>
      </c>
      <c r="AD101" s="79">
        <v>11434.5</v>
      </c>
      <c r="AE101" s="79">
        <v>11610.95</v>
      </c>
      <c r="AF101" s="79">
        <v>322943.90999999997</v>
      </c>
    </row>
    <row r="102" spans="1:32" x14ac:dyDescent="0.3">
      <c r="A102" s="1"/>
      <c r="B102" s="77" t="s">
        <v>106</v>
      </c>
      <c r="C102" s="77" t="s">
        <v>1206</v>
      </c>
      <c r="D102" s="77" t="s">
        <v>73</v>
      </c>
      <c r="E102" s="78" t="s">
        <v>598</v>
      </c>
      <c r="F102" s="79">
        <v>1575.8</v>
      </c>
      <c r="G102" s="79">
        <v>1589.65</v>
      </c>
      <c r="H102" s="79">
        <v>1296</v>
      </c>
      <c r="I102" s="79">
        <v>1606.05</v>
      </c>
      <c r="J102" s="79">
        <v>1350.9</v>
      </c>
      <c r="K102" s="79">
        <v>1561.45</v>
      </c>
      <c r="L102" s="79">
        <v>1597.5</v>
      </c>
      <c r="M102" s="79">
        <v>1247.55</v>
      </c>
      <c r="N102" s="79">
        <v>1581.45</v>
      </c>
      <c r="O102" s="79">
        <v>1582.6</v>
      </c>
      <c r="P102" s="79">
        <v>1302.5</v>
      </c>
      <c r="Q102" s="79">
        <v>1348.05</v>
      </c>
      <c r="R102" s="79">
        <v>1590.55</v>
      </c>
      <c r="S102" s="79">
        <v>1600.15</v>
      </c>
      <c r="T102" s="79">
        <v>1574.3</v>
      </c>
      <c r="U102" s="79">
        <v>1561.1</v>
      </c>
      <c r="V102" s="79">
        <v>1573.55</v>
      </c>
      <c r="W102" s="79">
        <v>1563.6</v>
      </c>
      <c r="X102" s="79">
        <v>1582.1</v>
      </c>
      <c r="Y102" s="79">
        <v>1571</v>
      </c>
      <c r="Z102" s="79">
        <v>1497</v>
      </c>
      <c r="AA102" s="79">
        <v>1458.75</v>
      </c>
      <c r="AB102" s="79">
        <v>1371.85</v>
      </c>
      <c r="AC102" s="79">
        <v>1253.0999999999999</v>
      </c>
      <c r="AD102" s="79">
        <v>1290.1500000000001</v>
      </c>
      <c r="AE102" s="79">
        <v>1468.55</v>
      </c>
      <c r="AF102" s="79">
        <v>38595.25</v>
      </c>
    </row>
    <row r="103" spans="1:32" x14ac:dyDescent="0.3">
      <c r="A103" s="1"/>
      <c r="B103" s="77" t="s">
        <v>106</v>
      </c>
      <c r="C103" s="77" t="s">
        <v>1207</v>
      </c>
      <c r="D103" s="77" t="s">
        <v>73</v>
      </c>
      <c r="E103" s="78" t="s">
        <v>598</v>
      </c>
      <c r="F103" s="79">
        <v>800.75</v>
      </c>
      <c r="G103" s="79">
        <v>794.05</v>
      </c>
      <c r="H103" s="79">
        <v>663.2</v>
      </c>
      <c r="I103" s="79">
        <v>797.7</v>
      </c>
      <c r="J103" s="79">
        <v>686.4</v>
      </c>
      <c r="K103" s="79">
        <v>790.45</v>
      </c>
      <c r="L103" s="79">
        <v>799.55</v>
      </c>
      <c r="M103" s="79">
        <v>627.65</v>
      </c>
      <c r="N103" s="79">
        <v>804.65</v>
      </c>
      <c r="O103" s="79">
        <v>809.7</v>
      </c>
      <c r="P103" s="79">
        <v>646.79999999999995</v>
      </c>
      <c r="Q103" s="79">
        <v>650.95000000000005</v>
      </c>
      <c r="R103" s="79">
        <v>814.65</v>
      </c>
      <c r="S103" s="79">
        <v>817.9</v>
      </c>
      <c r="T103" s="79">
        <v>803.65</v>
      </c>
      <c r="U103" s="79">
        <v>794.95</v>
      </c>
      <c r="V103" s="79">
        <v>806.9</v>
      </c>
      <c r="W103" s="79">
        <v>798.45</v>
      </c>
      <c r="X103" s="79">
        <v>811</v>
      </c>
      <c r="Y103" s="79">
        <v>804.55</v>
      </c>
      <c r="Z103" s="79">
        <v>757.7</v>
      </c>
      <c r="AA103" s="79">
        <v>736.25</v>
      </c>
      <c r="AB103" s="79">
        <v>678.25</v>
      </c>
      <c r="AC103" s="79">
        <v>622.54999999999995</v>
      </c>
      <c r="AD103" s="79">
        <v>690.1</v>
      </c>
      <c r="AE103" s="79">
        <v>753.1</v>
      </c>
      <c r="AF103" s="79">
        <v>19561.849999999999</v>
      </c>
    </row>
    <row r="104" spans="1:32" x14ac:dyDescent="0.3">
      <c r="A104" s="1"/>
      <c r="B104" s="77" t="s">
        <v>106</v>
      </c>
      <c r="C104" s="77" t="s">
        <v>115</v>
      </c>
      <c r="D104" s="77" t="s">
        <v>1185</v>
      </c>
      <c r="E104" s="78" t="s">
        <v>597</v>
      </c>
      <c r="F104" s="79">
        <v>3025.9</v>
      </c>
      <c r="G104" s="79">
        <v>3039.2</v>
      </c>
      <c r="H104" s="79">
        <v>3704.1</v>
      </c>
      <c r="I104" s="79">
        <v>4223.3999999999996</v>
      </c>
      <c r="J104" s="79">
        <v>4114</v>
      </c>
      <c r="K104" s="79">
        <v>3723.2116649999998</v>
      </c>
      <c r="L104" s="79">
        <v>2920.2</v>
      </c>
      <c r="M104" s="79">
        <v>3027.65</v>
      </c>
      <c r="N104" s="79">
        <v>3052</v>
      </c>
      <c r="O104" s="79">
        <v>3249.95</v>
      </c>
      <c r="P104" s="79">
        <v>3002.55</v>
      </c>
      <c r="Q104" s="79">
        <v>3021.25</v>
      </c>
      <c r="R104" s="79">
        <v>2780.1</v>
      </c>
      <c r="S104" s="79">
        <v>2813.6</v>
      </c>
      <c r="T104" s="79">
        <v>2725.55</v>
      </c>
      <c r="U104" s="79">
        <v>1448.65</v>
      </c>
      <c r="V104" s="79"/>
      <c r="W104" s="79"/>
      <c r="X104" s="79"/>
      <c r="Y104" s="79"/>
      <c r="Z104" s="79"/>
      <c r="AA104" s="79"/>
      <c r="AB104" s="79">
        <v>1230.5</v>
      </c>
      <c r="AC104" s="79">
        <v>3537.15</v>
      </c>
      <c r="AD104" s="79">
        <v>3570.8</v>
      </c>
      <c r="AE104" s="79">
        <v>4068.2</v>
      </c>
      <c r="AF104" s="79">
        <v>62277.961665000003</v>
      </c>
    </row>
    <row r="105" spans="1:32" x14ac:dyDescent="0.3">
      <c r="A105" s="1"/>
      <c r="B105" s="77" t="s">
        <v>106</v>
      </c>
      <c r="C105" s="77" t="s">
        <v>115</v>
      </c>
      <c r="D105" s="77" t="s">
        <v>357</v>
      </c>
      <c r="E105" s="78" t="s">
        <v>597</v>
      </c>
      <c r="F105" s="79">
        <v>3214.2</v>
      </c>
      <c r="G105" s="79">
        <v>3199.8</v>
      </c>
      <c r="H105" s="79">
        <v>4046.7</v>
      </c>
      <c r="I105" s="79">
        <v>4728</v>
      </c>
      <c r="J105" s="79">
        <v>4502.7</v>
      </c>
      <c r="K105" s="79">
        <v>4018.826665</v>
      </c>
      <c r="L105" s="79">
        <v>3030.9</v>
      </c>
      <c r="M105" s="79">
        <v>3117.9</v>
      </c>
      <c r="N105" s="79">
        <v>3176.85</v>
      </c>
      <c r="O105" s="79">
        <v>3452.5</v>
      </c>
      <c r="P105" s="79">
        <v>3081.65</v>
      </c>
      <c r="Q105" s="79">
        <v>3182.35</v>
      </c>
      <c r="R105" s="79">
        <v>2881.2</v>
      </c>
      <c r="S105" s="79">
        <v>2913.15</v>
      </c>
      <c r="T105" s="79">
        <v>2755.55</v>
      </c>
      <c r="U105" s="79">
        <v>4205.45</v>
      </c>
      <c r="V105" s="79">
        <v>3550.3</v>
      </c>
      <c r="W105" s="79">
        <v>4718.6499999999996</v>
      </c>
      <c r="X105" s="79">
        <v>4614.7</v>
      </c>
      <c r="Y105" s="79">
        <v>4736.7</v>
      </c>
      <c r="Z105" s="79">
        <v>4711.45</v>
      </c>
      <c r="AA105" s="79">
        <v>4660.6499999999996</v>
      </c>
      <c r="AB105" s="79">
        <v>4253.05</v>
      </c>
      <c r="AC105" s="79">
        <v>3878.25</v>
      </c>
      <c r="AD105" s="79">
        <v>3653.2</v>
      </c>
      <c r="AE105" s="79">
        <v>26.1</v>
      </c>
      <c r="AF105" s="79">
        <v>94310.776664999998</v>
      </c>
    </row>
    <row r="106" spans="1:32" x14ac:dyDescent="0.3">
      <c r="A106" s="1"/>
      <c r="B106" s="77" t="s">
        <v>106</v>
      </c>
      <c r="C106" s="77" t="s">
        <v>115</v>
      </c>
      <c r="D106" s="77" t="s">
        <v>1186</v>
      </c>
      <c r="E106" s="78" t="s">
        <v>597</v>
      </c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>
        <v>2073</v>
      </c>
      <c r="U106" s="79">
        <v>4064.05</v>
      </c>
      <c r="V106" s="79">
        <v>3572.45</v>
      </c>
      <c r="W106" s="79">
        <v>4787.3</v>
      </c>
      <c r="X106" s="79">
        <v>4695.45</v>
      </c>
      <c r="Y106" s="79">
        <v>4811.6000000000004</v>
      </c>
      <c r="Z106" s="79">
        <v>4782.45</v>
      </c>
      <c r="AA106" s="79">
        <v>4730.5</v>
      </c>
      <c r="AB106" s="79">
        <v>4321.3999999999996</v>
      </c>
      <c r="AC106" s="79">
        <v>3317.3</v>
      </c>
      <c r="AD106" s="79">
        <v>3655.3</v>
      </c>
      <c r="AE106" s="79">
        <v>4459.45</v>
      </c>
      <c r="AF106" s="79">
        <v>49270.25</v>
      </c>
    </row>
    <row r="107" spans="1:32" x14ac:dyDescent="0.3">
      <c r="A107" s="1"/>
      <c r="B107" s="77" t="s">
        <v>106</v>
      </c>
      <c r="C107" s="77" t="s">
        <v>115</v>
      </c>
      <c r="D107" s="77" t="s">
        <v>1157</v>
      </c>
      <c r="E107" s="78" t="s">
        <v>597</v>
      </c>
      <c r="F107" s="79">
        <v>3493.65</v>
      </c>
      <c r="G107" s="79">
        <v>3520.8</v>
      </c>
      <c r="H107" s="79">
        <v>4109.7</v>
      </c>
      <c r="I107" s="79">
        <v>4570.45</v>
      </c>
      <c r="J107" s="79">
        <v>4438.6000000000004</v>
      </c>
      <c r="K107" s="79">
        <v>4101.5566650000001</v>
      </c>
      <c r="L107" s="79">
        <v>3402.65</v>
      </c>
      <c r="M107" s="79">
        <v>3476.45</v>
      </c>
      <c r="N107" s="79">
        <v>3483.65</v>
      </c>
      <c r="O107" s="79">
        <v>3695.75</v>
      </c>
      <c r="P107" s="79">
        <v>3429.35</v>
      </c>
      <c r="Q107" s="79">
        <v>3505.35</v>
      </c>
      <c r="R107" s="79">
        <v>3336.65</v>
      </c>
      <c r="S107" s="79">
        <v>3366.2</v>
      </c>
      <c r="T107" s="79">
        <v>3248.1</v>
      </c>
      <c r="U107" s="79">
        <v>4839.1499999999996</v>
      </c>
      <c r="V107" s="79">
        <v>3785.55</v>
      </c>
      <c r="W107" s="79">
        <v>4629.5</v>
      </c>
      <c r="X107" s="79">
        <v>4583.2</v>
      </c>
      <c r="Y107" s="79">
        <v>4678.6000000000004</v>
      </c>
      <c r="Z107" s="79">
        <v>4631.1499999999996</v>
      </c>
      <c r="AA107" s="79">
        <v>4593.8999999999996</v>
      </c>
      <c r="AB107" s="79">
        <v>4877.55</v>
      </c>
      <c r="AC107" s="79">
        <v>5817.55</v>
      </c>
      <c r="AD107" s="79">
        <v>5887.5</v>
      </c>
      <c r="AE107" s="79">
        <v>4345.5</v>
      </c>
      <c r="AF107" s="79">
        <v>107848.056665</v>
      </c>
    </row>
    <row r="108" spans="1:32" x14ac:dyDescent="0.3">
      <c r="A108" s="1"/>
      <c r="B108" s="77" t="s">
        <v>106</v>
      </c>
      <c r="C108" s="77" t="s">
        <v>119</v>
      </c>
      <c r="D108" s="77" t="s">
        <v>1193</v>
      </c>
      <c r="E108" s="78" t="s">
        <v>597</v>
      </c>
      <c r="F108" s="79">
        <v>4140</v>
      </c>
      <c r="G108" s="79">
        <v>3870.6</v>
      </c>
      <c r="H108" s="79">
        <v>4471.45</v>
      </c>
      <c r="I108" s="79">
        <v>4946.8999999999996</v>
      </c>
      <c r="J108" s="79">
        <v>4935.1499999999996</v>
      </c>
      <c r="K108" s="79">
        <v>4945.5383300000003</v>
      </c>
      <c r="L108" s="79">
        <v>4319.8</v>
      </c>
      <c r="M108" s="79">
        <v>4709.8500000000004</v>
      </c>
      <c r="N108" s="79">
        <v>4673.1000000000004</v>
      </c>
      <c r="O108" s="79">
        <v>4101.25</v>
      </c>
      <c r="P108" s="79">
        <v>4163.8500000000004</v>
      </c>
      <c r="Q108" s="79">
        <v>4353.2</v>
      </c>
      <c r="R108" s="79">
        <v>4010.7</v>
      </c>
      <c r="S108" s="79">
        <v>4469.8</v>
      </c>
      <c r="T108" s="79">
        <v>4433.2</v>
      </c>
      <c r="U108" s="79">
        <v>4696.8500000000004</v>
      </c>
      <c r="V108" s="79">
        <v>3978.65</v>
      </c>
      <c r="W108" s="79">
        <v>4950.5</v>
      </c>
      <c r="X108" s="79">
        <v>4937.25</v>
      </c>
      <c r="Y108" s="79">
        <v>4936.25</v>
      </c>
      <c r="Z108" s="79">
        <v>4940.3500000000004</v>
      </c>
      <c r="AA108" s="79">
        <v>4948</v>
      </c>
      <c r="AB108" s="79">
        <v>4910.3500000000004</v>
      </c>
      <c r="AC108" s="79">
        <v>3457.85</v>
      </c>
      <c r="AD108" s="79">
        <v>4861.3</v>
      </c>
      <c r="AE108" s="79">
        <v>4901.45</v>
      </c>
      <c r="AF108" s="79">
        <v>118063.18833</v>
      </c>
    </row>
    <row r="109" spans="1:32" x14ac:dyDescent="0.3">
      <c r="A109" s="1"/>
      <c r="B109" s="77" t="s">
        <v>106</v>
      </c>
      <c r="C109" s="77" t="s">
        <v>119</v>
      </c>
      <c r="D109" s="77" t="s">
        <v>1157</v>
      </c>
      <c r="E109" s="78" t="s">
        <v>597</v>
      </c>
      <c r="F109" s="79">
        <v>2247.85</v>
      </c>
      <c r="G109" s="79">
        <v>2139.15</v>
      </c>
      <c r="H109" s="79">
        <v>2385.1999999999998</v>
      </c>
      <c r="I109" s="79">
        <v>2585.9</v>
      </c>
      <c r="J109" s="79">
        <v>2582.9</v>
      </c>
      <c r="K109" s="79">
        <v>2574.8566700000001</v>
      </c>
      <c r="L109" s="79">
        <v>2320.5500000000002</v>
      </c>
      <c r="M109" s="79">
        <v>2481.3000000000002</v>
      </c>
      <c r="N109" s="79">
        <v>2470.4499999999998</v>
      </c>
      <c r="O109" s="79">
        <v>2111.35</v>
      </c>
      <c r="P109" s="79">
        <v>2252.75</v>
      </c>
      <c r="Q109" s="79">
        <v>2330.3000000000002</v>
      </c>
      <c r="R109" s="79">
        <v>2210.8000000000002</v>
      </c>
      <c r="S109" s="79">
        <v>2384.4499999999998</v>
      </c>
      <c r="T109" s="79">
        <v>2365.5500000000002</v>
      </c>
      <c r="U109" s="79">
        <v>2472.5</v>
      </c>
      <c r="V109" s="79">
        <v>2184.35</v>
      </c>
      <c r="W109" s="79">
        <v>2570.5500000000002</v>
      </c>
      <c r="X109" s="79">
        <v>2561.6</v>
      </c>
      <c r="Y109" s="79">
        <v>2561.85</v>
      </c>
      <c r="Z109" s="79">
        <v>2560.0500000000002</v>
      </c>
      <c r="AA109" s="79">
        <v>2564.4</v>
      </c>
      <c r="AB109" s="79">
        <v>2549.9</v>
      </c>
      <c r="AC109" s="79">
        <v>1968.95</v>
      </c>
      <c r="AD109" s="79">
        <v>2520.5500000000002</v>
      </c>
      <c r="AE109" s="79">
        <v>2541.15</v>
      </c>
      <c r="AF109" s="79">
        <v>62499.20667</v>
      </c>
    </row>
    <row r="110" spans="1:32" x14ac:dyDescent="0.3">
      <c r="A110" s="1"/>
      <c r="B110" s="77" t="s">
        <v>106</v>
      </c>
      <c r="C110" s="77" t="s">
        <v>1208</v>
      </c>
      <c r="D110" s="77" t="s">
        <v>73</v>
      </c>
      <c r="E110" s="78" t="s">
        <v>596</v>
      </c>
      <c r="F110" s="79">
        <v>245.15</v>
      </c>
      <c r="G110" s="79">
        <v>246.35</v>
      </c>
      <c r="H110" s="79">
        <v>245.55</v>
      </c>
      <c r="I110" s="79">
        <v>246.15</v>
      </c>
      <c r="J110" s="79">
        <v>245.85</v>
      </c>
      <c r="K110" s="79">
        <v>245.02</v>
      </c>
      <c r="L110" s="79">
        <v>245.9</v>
      </c>
      <c r="M110" s="79">
        <v>244.75</v>
      </c>
      <c r="N110" s="79">
        <v>204.1</v>
      </c>
      <c r="O110" s="79">
        <v>87.65</v>
      </c>
      <c r="P110" s="79">
        <v>245.2</v>
      </c>
      <c r="Q110" s="79">
        <v>245.3</v>
      </c>
      <c r="R110" s="79">
        <v>245.35</v>
      </c>
      <c r="S110" s="79">
        <v>245.35</v>
      </c>
      <c r="T110" s="79">
        <v>245.9</v>
      </c>
      <c r="U110" s="79">
        <v>245.5</v>
      </c>
      <c r="V110" s="79">
        <v>189.65</v>
      </c>
      <c r="W110" s="79">
        <v>137.94999999999999</v>
      </c>
      <c r="X110" s="79">
        <v>138.19999999999999</v>
      </c>
      <c r="Y110" s="79">
        <v>137.9</v>
      </c>
      <c r="Z110" s="79">
        <v>138.80000000000001</v>
      </c>
      <c r="AA110" s="79"/>
      <c r="AB110" s="79"/>
      <c r="AC110" s="79"/>
      <c r="AD110" s="79"/>
      <c r="AE110" s="79"/>
      <c r="AF110" s="79">
        <v>4471.57</v>
      </c>
    </row>
    <row r="111" spans="1:32" x14ac:dyDescent="0.3">
      <c r="A111" s="1"/>
      <c r="B111" s="77" t="s">
        <v>617</v>
      </c>
      <c r="C111" s="77" t="s">
        <v>1209</v>
      </c>
      <c r="D111" s="77" t="s">
        <v>73</v>
      </c>
      <c r="E111" s="78" t="s">
        <v>598</v>
      </c>
      <c r="F111" s="79">
        <v>1.5</v>
      </c>
      <c r="G111" s="79">
        <v>1.55</v>
      </c>
      <c r="H111" s="79">
        <v>1.35</v>
      </c>
      <c r="I111" s="79">
        <v>1.5</v>
      </c>
      <c r="J111" s="79">
        <v>2.65</v>
      </c>
      <c r="K111" s="79">
        <v>2.1</v>
      </c>
      <c r="L111" s="79">
        <v>2.25</v>
      </c>
      <c r="M111" s="79">
        <v>1.5</v>
      </c>
      <c r="N111" s="79">
        <v>2.7</v>
      </c>
      <c r="O111" s="79">
        <v>1.8</v>
      </c>
      <c r="P111" s="79">
        <v>1</v>
      </c>
      <c r="Q111" s="79">
        <v>2.85</v>
      </c>
      <c r="R111" s="79">
        <v>2.15</v>
      </c>
      <c r="S111" s="79">
        <v>2.65</v>
      </c>
      <c r="T111" s="79">
        <v>2.5</v>
      </c>
      <c r="U111" s="79">
        <v>2.1</v>
      </c>
      <c r="V111" s="79">
        <v>1.7</v>
      </c>
      <c r="W111" s="79">
        <v>2.2999999999999998</v>
      </c>
      <c r="X111" s="79">
        <v>2.85</v>
      </c>
      <c r="Y111" s="79">
        <v>1.35</v>
      </c>
      <c r="Z111" s="79">
        <v>2.2000000000000002</v>
      </c>
      <c r="AA111" s="79">
        <v>2.75</v>
      </c>
      <c r="AB111" s="79">
        <v>2.6</v>
      </c>
      <c r="AC111" s="79">
        <v>2.85</v>
      </c>
      <c r="AD111" s="79">
        <v>2.65</v>
      </c>
      <c r="AE111" s="79">
        <v>2.6</v>
      </c>
      <c r="AF111" s="79">
        <v>56</v>
      </c>
    </row>
    <row r="112" spans="1:32" x14ac:dyDescent="0.3">
      <c r="A112" s="1"/>
      <c r="B112" s="77" t="s">
        <v>605</v>
      </c>
      <c r="C112" s="77" t="s">
        <v>1001</v>
      </c>
      <c r="D112" s="77" t="s">
        <v>73</v>
      </c>
      <c r="E112" s="78" t="s">
        <v>596</v>
      </c>
      <c r="F112" s="79">
        <v>1846.2</v>
      </c>
      <c r="G112" s="79">
        <v>1953.95</v>
      </c>
      <c r="H112" s="79">
        <v>1936.7</v>
      </c>
      <c r="I112" s="79">
        <v>1951.15</v>
      </c>
      <c r="J112" s="79">
        <v>1948.6</v>
      </c>
      <c r="K112" s="79">
        <v>1899.15</v>
      </c>
      <c r="L112" s="79">
        <v>1845.8</v>
      </c>
      <c r="M112" s="79">
        <v>1801.25</v>
      </c>
      <c r="N112" s="79">
        <v>1766.15</v>
      </c>
      <c r="O112" s="79">
        <v>1818.15</v>
      </c>
      <c r="P112" s="79">
        <v>1434.45</v>
      </c>
      <c r="Q112" s="79">
        <v>1929.95</v>
      </c>
      <c r="R112" s="79">
        <v>1807.8</v>
      </c>
      <c r="S112" s="79">
        <v>1931.9</v>
      </c>
      <c r="T112" s="79">
        <v>1842</v>
      </c>
      <c r="U112" s="79">
        <v>1796.95</v>
      </c>
      <c r="V112" s="79">
        <v>1668.8</v>
      </c>
      <c r="W112" s="79">
        <v>1647</v>
      </c>
      <c r="X112" s="79">
        <v>1589.8</v>
      </c>
      <c r="Y112" s="79">
        <v>1554.3</v>
      </c>
      <c r="Z112" s="79">
        <v>1537.5</v>
      </c>
      <c r="AA112" s="79">
        <v>1624.75</v>
      </c>
      <c r="AB112" s="79">
        <v>1606.45</v>
      </c>
      <c r="AC112" s="79">
        <v>1528.1</v>
      </c>
      <c r="AD112" s="79">
        <v>1473.35</v>
      </c>
      <c r="AE112" s="79">
        <v>1507.8</v>
      </c>
      <c r="AF112" s="79">
        <v>45248</v>
      </c>
    </row>
    <row r="113" spans="1:32" x14ac:dyDescent="0.3">
      <c r="A113" s="1"/>
      <c r="B113" s="77" t="s">
        <v>619</v>
      </c>
      <c r="C113" s="77" t="s">
        <v>1002</v>
      </c>
      <c r="D113" s="77" t="s">
        <v>73</v>
      </c>
      <c r="E113" s="78" t="s">
        <v>596</v>
      </c>
      <c r="F113" s="79">
        <v>81.599999999999994</v>
      </c>
      <c r="G113" s="79">
        <v>79.900000000000006</v>
      </c>
      <c r="H113" s="79">
        <v>81.599999999999994</v>
      </c>
      <c r="I113" s="79">
        <v>81.599999999999994</v>
      </c>
      <c r="J113" s="79">
        <v>81.3</v>
      </c>
      <c r="K113" s="79">
        <v>76.45</v>
      </c>
      <c r="L113" s="79">
        <v>79.2</v>
      </c>
      <c r="M113" s="79">
        <v>74.7</v>
      </c>
      <c r="N113" s="79">
        <v>68.5</v>
      </c>
      <c r="O113" s="79">
        <v>52.8</v>
      </c>
      <c r="P113" s="79"/>
      <c r="Q113" s="79"/>
      <c r="R113" s="79">
        <v>35.75</v>
      </c>
      <c r="S113" s="79">
        <v>60.7</v>
      </c>
      <c r="T113" s="79">
        <v>59.15</v>
      </c>
      <c r="U113" s="79">
        <v>32.15</v>
      </c>
      <c r="V113" s="79">
        <v>64.2</v>
      </c>
      <c r="W113" s="79">
        <v>75.45</v>
      </c>
      <c r="X113" s="79">
        <v>73.349999999999994</v>
      </c>
      <c r="Y113" s="79">
        <v>75.2</v>
      </c>
      <c r="Z113" s="79">
        <v>77.3</v>
      </c>
      <c r="AA113" s="79">
        <v>73.8</v>
      </c>
      <c r="AB113" s="79">
        <v>76.75</v>
      </c>
      <c r="AC113" s="79">
        <v>73.95</v>
      </c>
      <c r="AD113" s="79">
        <v>59.3</v>
      </c>
      <c r="AE113" s="79">
        <v>55.45</v>
      </c>
      <c r="AF113" s="79">
        <v>1650.15</v>
      </c>
    </row>
    <row r="114" spans="1:32" x14ac:dyDescent="0.3">
      <c r="A114" s="1"/>
      <c r="B114" s="77" t="s">
        <v>639</v>
      </c>
      <c r="C114" s="77" t="s">
        <v>1210</v>
      </c>
      <c r="D114" s="77" t="s">
        <v>73</v>
      </c>
      <c r="E114" s="78" t="s">
        <v>598</v>
      </c>
      <c r="F114" s="79">
        <v>127.8</v>
      </c>
      <c r="G114" s="79">
        <v>126.9</v>
      </c>
      <c r="H114" s="79">
        <v>113.15</v>
      </c>
      <c r="I114" s="79">
        <v>123.6</v>
      </c>
      <c r="J114" s="79">
        <v>114.85</v>
      </c>
      <c r="K114" s="79">
        <v>121.66</v>
      </c>
      <c r="L114" s="79">
        <v>119.35</v>
      </c>
      <c r="M114" s="79">
        <v>85.4</v>
      </c>
      <c r="N114" s="79">
        <v>124.8</v>
      </c>
      <c r="O114" s="79">
        <v>122.15</v>
      </c>
      <c r="P114" s="79">
        <v>96.15</v>
      </c>
      <c r="Q114" s="79"/>
      <c r="R114" s="79"/>
      <c r="S114" s="79">
        <v>122</v>
      </c>
      <c r="T114" s="79">
        <v>120.4</v>
      </c>
      <c r="U114" s="79">
        <v>121.45</v>
      </c>
      <c r="V114" s="79">
        <v>122.05</v>
      </c>
      <c r="W114" s="79">
        <v>121.05</v>
      </c>
      <c r="X114" s="79">
        <v>123</v>
      </c>
      <c r="Y114" s="79">
        <v>124.1</v>
      </c>
      <c r="Z114" s="79">
        <v>116.25</v>
      </c>
      <c r="AA114" s="79">
        <v>116.8</v>
      </c>
      <c r="AB114" s="79">
        <v>105.45</v>
      </c>
      <c r="AC114" s="79">
        <v>91.4</v>
      </c>
      <c r="AD114" s="79">
        <v>105.5</v>
      </c>
      <c r="AE114" s="79">
        <v>114.9</v>
      </c>
      <c r="AF114" s="79">
        <v>2780.16</v>
      </c>
    </row>
    <row r="115" spans="1:32" x14ac:dyDescent="0.3">
      <c r="A115" s="1"/>
      <c r="B115" s="77" t="s">
        <v>377</v>
      </c>
      <c r="C115" s="77" t="s">
        <v>1211</v>
      </c>
      <c r="D115" s="77" t="s">
        <v>73</v>
      </c>
      <c r="E115" s="78" t="s">
        <v>597</v>
      </c>
      <c r="F115" s="79">
        <v>301.35000000000002</v>
      </c>
      <c r="G115" s="79">
        <v>851.9</v>
      </c>
      <c r="H115" s="79">
        <v>529.75</v>
      </c>
      <c r="I115" s="79"/>
      <c r="J115" s="79">
        <v>869.1</v>
      </c>
      <c r="K115" s="79">
        <v>862.4</v>
      </c>
      <c r="L115" s="79">
        <v>120.45</v>
      </c>
      <c r="M115" s="79"/>
      <c r="N115" s="79"/>
      <c r="O115" s="79"/>
      <c r="P115" s="79"/>
      <c r="Q115" s="79"/>
      <c r="R115" s="79"/>
      <c r="S115" s="79"/>
      <c r="T115" s="79"/>
      <c r="U115" s="79"/>
      <c r="V115" s="79">
        <v>796.1</v>
      </c>
      <c r="W115" s="79"/>
      <c r="X115" s="79">
        <v>440</v>
      </c>
      <c r="Y115" s="79">
        <v>301.45</v>
      </c>
      <c r="Z115" s="79"/>
      <c r="AA115" s="79"/>
      <c r="AB115" s="79"/>
      <c r="AC115" s="79"/>
      <c r="AD115" s="79"/>
      <c r="AE115" s="79"/>
      <c r="AF115" s="79">
        <v>5072.5</v>
      </c>
    </row>
    <row r="116" spans="1:32" x14ac:dyDescent="0.3">
      <c r="A116" s="1"/>
      <c r="B116" s="77" t="s">
        <v>624</v>
      </c>
      <c r="C116" s="77" t="s">
        <v>1068</v>
      </c>
      <c r="D116" s="77" t="s">
        <v>73</v>
      </c>
      <c r="E116" s="78" t="s">
        <v>598</v>
      </c>
      <c r="F116" s="79">
        <v>129.65</v>
      </c>
      <c r="G116" s="79">
        <v>132.98500000000001</v>
      </c>
      <c r="H116" s="79">
        <v>125.35</v>
      </c>
      <c r="I116" s="79">
        <v>128.35</v>
      </c>
      <c r="J116" s="79">
        <v>107.6</v>
      </c>
      <c r="K116" s="79">
        <v>121</v>
      </c>
      <c r="L116" s="79">
        <v>64.05</v>
      </c>
      <c r="M116" s="79">
        <v>71.900000000000006</v>
      </c>
      <c r="N116" s="79">
        <v>99.6</v>
      </c>
      <c r="O116" s="79">
        <v>125.941165</v>
      </c>
      <c r="P116" s="79">
        <v>117.7</v>
      </c>
      <c r="Q116" s="79">
        <v>92.45</v>
      </c>
      <c r="R116" s="79">
        <v>124.2</v>
      </c>
      <c r="S116" s="79">
        <v>109.85</v>
      </c>
      <c r="T116" s="79">
        <v>117.35</v>
      </c>
      <c r="U116" s="79">
        <v>122</v>
      </c>
      <c r="V116" s="79">
        <v>111.15</v>
      </c>
      <c r="W116" s="79">
        <v>106.25</v>
      </c>
      <c r="X116" s="79">
        <v>106.95</v>
      </c>
      <c r="Y116" s="79">
        <v>121.25</v>
      </c>
      <c r="Z116" s="79">
        <v>100.914</v>
      </c>
      <c r="AA116" s="79">
        <v>103.185</v>
      </c>
      <c r="AB116" s="79">
        <v>79.8</v>
      </c>
      <c r="AC116" s="79">
        <v>90.244</v>
      </c>
      <c r="AD116" s="79">
        <v>115.35</v>
      </c>
      <c r="AE116" s="79">
        <v>98.9</v>
      </c>
      <c r="AF116" s="79">
        <v>2823.969165</v>
      </c>
    </row>
    <row r="117" spans="1:32" x14ac:dyDescent="0.3">
      <c r="A117" s="1"/>
      <c r="B117" s="77" t="s">
        <v>122</v>
      </c>
      <c r="C117" s="77" t="s">
        <v>1003</v>
      </c>
      <c r="D117" s="77" t="s">
        <v>73</v>
      </c>
      <c r="E117" s="78" t="s">
        <v>596</v>
      </c>
      <c r="F117" s="79">
        <v>132.15</v>
      </c>
      <c r="G117" s="79">
        <v>133.15</v>
      </c>
      <c r="H117" s="79">
        <v>132.19999999999999</v>
      </c>
      <c r="I117" s="79">
        <v>131.1</v>
      </c>
      <c r="J117" s="79">
        <v>118.45</v>
      </c>
      <c r="K117" s="79">
        <v>103.87</v>
      </c>
      <c r="L117" s="79">
        <v>131.30000000000001</v>
      </c>
      <c r="M117" s="79">
        <v>133.15</v>
      </c>
      <c r="N117" s="79">
        <v>121.55</v>
      </c>
      <c r="O117" s="79">
        <v>115.3</v>
      </c>
      <c r="P117" s="79">
        <v>110.45</v>
      </c>
      <c r="Q117" s="79">
        <v>133.4</v>
      </c>
      <c r="R117" s="79">
        <v>124.35</v>
      </c>
      <c r="S117" s="79">
        <v>109.2</v>
      </c>
      <c r="T117" s="79">
        <v>108.2</v>
      </c>
      <c r="U117" s="79">
        <v>103</v>
      </c>
      <c r="V117" s="79">
        <v>102.5</v>
      </c>
      <c r="W117" s="79">
        <v>98.85</v>
      </c>
      <c r="X117" s="79">
        <v>97.5</v>
      </c>
      <c r="Y117" s="79">
        <v>88.9</v>
      </c>
      <c r="Z117" s="79">
        <v>92.15</v>
      </c>
      <c r="AA117" s="79">
        <v>92.3</v>
      </c>
      <c r="AB117" s="79">
        <v>82.4</v>
      </c>
      <c r="AC117" s="79">
        <v>76.849999999999994</v>
      </c>
      <c r="AD117" s="79">
        <v>82.7</v>
      </c>
      <c r="AE117" s="79">
        <v>72.650000000000006</v>
      </c>
      <c r="AF117" s="79">
        <v>2827.62</v>
      </c>
    </row>
    <row r="118" spans="1:32" x14ac:dyDescent="0.3">
      <c r="A118" s="1"/>
      <c r="B118" s="77" t="s">
        <v>122</v>
      </c>
      <c r="C118" s="77" t="s">
        <v>1004</v>
      </c>
      <c r="D118" s="77" t="s">
        <v>73</v>
      </c>
      <c r="E118" s="78" t="s">
        <v>596</v>
      </c>
      <c r="F118" s="79">
        <v>5494.1</v>
      </c>
      <c r="G118" s="79">
        <v>5371.6</v>
      </c>
      <c r="H118" s="79">
        <v>5188.95</v>
      </c>
      <c r="I118" s="79">
        <v>5022.55</v>
      </c>
      <c r="J118" s="79">
        <v>4694.8500000000004</v>
      </c>
      <c r="K118" s="79">
        <v>4457.415</v>
      </c>
      <c r="L118" s="79">
        <v>4352</v>
      </c>
      <c r="M118" s="79">
        <v>4254.1499999999996</v>
      </c>
      <c r="N118" s="79">
        <v>4356.45</v>
      </c>
      <c r="O118" s="79">
        <v>4671.6499999999996</v>
      </c>
      <c r="P118" s="79">
        <v>5141.05</v>
      </c>
      <c r="Q118" s="79">
        <v>5396.8</v>
      </c>
      <c r="R118" s="79">
        <v>4731.25</v>
      </c>
      <c r="S118" s="79">
        <v>4529</v>
      </c>
      <c r="T118" s="79">
        <v>4036.8</v>
      </c>
      <c r="U118" s="79">
        <v>3833.6</v>
      </c>
      <c r="V118" s="79">
        <v>3737.85</v>
      </c>
      <c r="W118" s="79">
        <v>3705.85</v>
      </c>
      <c r="X118" s="79">
        <v>3584.5</v>
      </c>
      <c r="Y118" s="79">
        <v>3503.85</v>
      </c>
      <c r="Z118" s="79">
        <v>3525.6</v>
      </c>
      <c r="AA118" s="79">
        <v>3533.65</v>
      </c>
      <c r="AB118" s="79">
        <v>3394.2</v>
      </c>
      <c r="AC118" s="79">
        <v>3321.85</v>
      </c>
      <c r="AD118" s="79">
        <v>3372.6</v>
      </c>
      <c r="AE118" s="79">
        <v>3076.8</v>
      </c>
      <c r="AF118" s="79">
        <v>110288.965</v>
      </c>
    </row>
    <row r="119" spans="1:32" x14ac:dyDescent="0.3">
      <c r="A119" s="1"/>
      <c r="B119" s="77" t="s">
        <v>122</v>
      </c>
      <c r="C119" s="77" t="s">
        <v>128</v>
      </c>
      <c r="D119" s="77" t="s">
        <v>73</v>
      </c>
      <c r="E119" s="78" t="s">
        <v>596</v>
      </c>
      <c r="F119" s="79">
        <v>2170.9499999999998</v>
      </c>
      <c r="G119" s="79">
        <v>2185.3000000000002</v>
      </c>
      <c r="H119" s="79">
        <v>2179</v>
      </c>
      <c r="I119" s="79">
        <v>2115.15</v>
      </c>
      <c r="J119" s="79">
        <v>1811.3</v>
      </c>
      <c r="K119" s="79">
        <v>1723.7049999999999</v>
      </c>
      <c r="L119" s="79">
        <v>2165.4</v>
      </c>
      <c r="M119" s="79">
        <v>2167.1</v>
      </c>
      <c r="N119" s="79">
        <v>1930.4</v>
      </c>
      <c r="O119" s="79">
        <v>1708.35</v>
      </c>
      <c r="P119" s="79">
        <v>1690.85</v>
      </c>
      <c r="Q119" s="79">
        <v>2176.6999999999998</v>
      </c>
      <c r="R119" s="79">
        <v>1907.2</v>
      </c>
      <c r="S119" s="79">
        <v>1625.05</v>
      </c>
      <c r="T119" s="79">
        <v>1581</v>
      </c>
      <c r="U119" s="79">
        <v>1427.1</v>
      </c>
      <c r="V119" s="79">
        <v>1402.1</v>
      </c>
      <c r="W119" s="79">
        <v>1335.75</v>
      </c>
      <c r="X119" s="79">
        <v>1322.4</v>
      </c>
      <c r="Y119" s="79">
        <v>1197.5999999999999</v>
      </c>
      <c r="Z119" s="79">
        <v>1169.45</v>
      </c>
      <c r="AA119" s="79">
        <v>1224.75</v>
      </c>
      <c r="AB119" s="79">
        <v>1100</v>
      </c>
      <c r="AC119" s="79">
        <v>1060.4000000000001</v>
      </c>
      <c r="AD119" s="79">
        <v>1077.8499999999999</v>
      </c>
      <c r="AE119" s="79">
        <v>1050.6500000000001</v>
      </c>
      <c r="AF119" s="79">
        <v>42505.504999999997</v>
      </c>
    </row>
    <row r="120" spans="1:32" x14ac:dyDescent="0.3">
      <c r="A120" s="1"/>
      <c r="B120" s="77" t="s">
        <v>122</v>
      </c>
      <c r="C120" s="77" t="s">
        <v>1005</v>
      </c>
      <c r="D120" s="77" t="s">
        <v>73</v>
      </c>
      <c r="E120" s="78" t="s">
        <v>596</v>
      </c>
      <c r="F120" s="79">
        <v>237.65</v>
      </c>
      <c r="G120" s="79">
        <v>238.2</v>
      </c>
      <c r="H120" s="79">
        <v>238.2</v>
      </c>
      <c r="I120" s="79">
        <v>238.25</v>
      </c>
      <c r="J120" s="79">
        <v>238</v>
      </c>
      <c r="K120" s="79">
        <v>236.85499999999999</v>
      </c>
      <c r="L120" s="79">
        <v>237.85</v>
      </c>
      <c r="M120" s="79">
        <v>238.2</v>
      </c>
      <c r="N120" s="79">
        <v>238.35</v>
      </c>
      <c r="O120" s="79">
        <v>237.9</v>
      </c>
      <c r="P120" s="79">
        <v>198.65</v>
      </c>
      <c r="Q120" s="79">
        <v>238.05</v>
      </c>
      <c r="R120" s="79">
        <v>238.05</v>
      </c>
      <c r="S120" s="79">
        <v>238.35</v>
      </c>
      <c r="T120" s="79">
        <v>204.25</v>
      </c>
      <c r="U120" s="79">
        <v>207.45</v>
      </c>
      <c r="V120" s="79">
        <v>227.95</v>
      </c>
      <c r="W120" s="79">
        <v>238.2</v>
      </c>
      <c r="X120" s="79">
        <v>196.9</v>
      </c>
      <c r="Y120" s="79">
        <v>192.85</v>
      </c>
      <c r="Z120" s="79">
        <v>193</v>
      </c>
      <c r="AA120" s="79">
        <v>222.85</v>
      </c>
      <c r="AB120" s="79">
        <v>193.2</v>
      </c>
      <c r="AC120" s="79">
        <v>203.15</v>
      </c>
      <c r="AD120" s="79">
        <v>198.15</v>
      </c>
      <c r="AE120" s="79">
        <v>188.35</v>
      </c>
      <c r="AF120" s="79">
        <v>5758.8549999999996</v>
      </c>
    </row>
    <row r="121" spans="1:32" x14ac:dyDescent="0.3">
      <c r="A121" s="1"/>
      <c r="B121" s="77" t="s">
        <v>130</v>
      </c>
      <c r="C121" s="77" t="s">
        <v>1071</v>
      </c>
      <c r="D121" s="77" t="s">
        <v>73</v>
      </c>
      <c r="E121" s="78" t="s">
        <v>599</v>
      </c>
      <c r="F121" s="79">
        <v>1805.3</v>
      </c>
      <c r="G121" s="79">
        <v>1047.25</v>
      </c>
      <c r="H121" s="79">
        <v>1061.95</v>
      </c>
      <c r="I121" s="79">
        <v>313.2</v>
      </c>
      <c r="J121" s="79">
        <v>432.85</v>
      </c>
      <c r="K121" s="79">
        <v>1514.82</v>
      </c>
      <c r="L121" s="79">
        <v>1759.8</v>
      </c>
      <c r="M121" s="79">
        <v>1209.5999999999999</v>
      </c>
      <c r="N121" s="79">
        <v>1491</v>
      </c>
      <c r="O121" s="79">
        <v>866.65</v>
      </c>
      <c r="P121" s="79">
        <v>741.2</v>
      </c>
      <c r="Q121" s="79">
        <v>955.05</v>
      </c>
      <c r="R121" s="79">
        <v>1700.8</v>
      </c>
      <c r="S121" s="79">
        <v>1589.35</v>
      </c>
      <c r="T121" s="79">
        <v>990.85</v>
      </c>
      <c r="U121" s="79">
        <v>159.65</v>
      </c>
      <c r="V121" s="79"/>
      <c r="W121" s="79">
        <v>7.35</v>
      </c>
      <c r="X121" s="79">
        <v>1588.95</v>
      </c>
      <c r="Y121" s="79">
        <v>1058.4000000000001</v>
      </c>
      <c r="Z121" s="79">
        <v>1103.7</v>
      </c>
      <c r="AA121" s="79">
        <v>1275.8</v>
      </c>
      <c r="AB121" s="79">
        <v>1908.1</v>
      </c>
      <c r="AC121" s="79">
        <v>2192.75</v>
      </c>
      <c r="AD121" s="79">
        <v>794.8</v>
      </c>
      <c r="AE121" s="79">
        <v>1010</v>
      </c>
      <c r="AF121" s="79">
        <v>28579.17</v>
      </c>
    </row>
    <row r="122" spans="1:32" x14ac:dyDescent="0.3">
      <c r="A122" s="1"/>
      <c r="B122" s="77" t="s">
        <v>130</v>
      </c>
      <c r="C122" s="77" t="s">
        <v>1072</v>
      </c>
      <c r="D122" s="77" t="s">
        <v>73</v>
      </c>
      <c r="E122" s="78" t="s">
        <v>599</v>
      </c>
      <c r="F122" s="79">
        <v>1851.4</v>
      </c>
      <c r="G122" s="79">
        <v>1132.55</v>
      </c>
      <c r="H122" s="79">
        <v>1074.95</v>
      </c>
      <c r="I122" s="79">
        <v>324</v>
      </c>
      <c r="J122" s="79">
        <v>457.5</v>
      </c>
      <c r="K122" s="79">
        <v>1486.2650000000001</v>
      </c>
      <c r="L122" s="79">
        <v>1913.35</v>
      </c>
      <c r="M122" s="79">
        <v>1246.2</v>
      </c>
      <c r="N122" s="79">
        <v>1468.7</v>
      </c>
      <c r="O122" s="79">
        <v>853</v>
      </c>
      <c r="P122" s="79">
        <v>707.15</v>
      </c>
      <c r="Q122" s="79">
        <v>889.45</v>
      </c>
      <c r="R122" s="79">
        <v>1581.1</v>
      </c>
      <c r="S122" s="79">
        <v>1529.7</v>
      </c>
      <c r="T122" s="79">
        <v>1007.8</v>
      </c>
      <c r="U122" s="79">
        <v>1377.7</v>
      </c>
      <c r="V122" s="79">
        <v>763.65</v>
      </c>
      <c r="W122" s="79">
        <v>1393.75</v>
      </c>
      <c r="X122" s="79">
        <v>1790.6</v>
      </c>
      <c r="Y122" s="79">
        <v>1124.95</v>
      </c>
      <c r="Z122" s="79">
        <v>1143.7</v>
      </c>
      <c r="AA122" s="79">
        <v>1512.85</v>
      </c>
      <c r="AB122" s="79">
        <v>1760.75</v>
      </c>
      <c r="AC122" s="79">
        <v>2120</v>
      </c>
      <c r="AD122" s="79">
        <v>762.5</v>
      </c>
      <c r="AE122" s="79">
        <v>808.25</v>
      </c>
      <c r="AF122" s="79">
        <v>32081.814999999999</v>
      </c>
    </row>
    <row r="123" spans="1:32" x14ac:dyDescent="0.3">
      <c r="A123" s="1"/>
      <c r="B123" s="77" t="s">
        <v>130</v>
      </c>
      <c r="C123" s="77" t="s">
        <v>1006</v>
      </c>
      <c r="D123" s="77" t="s">
        <v>73</v>
      </c>
      <c r="E123" s="78" t="s">
        <v>596</v>
      </c>
      <c r="F123" s="79">
        <v>1831.9</v>
      </c>
      <c r="G123" s="79">
        <v>1821.7</v>
      </c>
      <c r="H123" s="79">
        <v>1795.45</v>
      </c>
      <c r="I123" s="79">
        <v>1822.58</v>
      </c>
      <c r="J123" s="79">
        <v>1820.3</v>
      </c>
      <c r="K123" s="79">
        <v>1819.08</v>
      </c>
      <c r="L123" s="79">
        <v>1789.2</v>
      </c>
      <c r="M123" s="79">
        <v>1786.6</v>
      </c>
      <c r="N123" s="79">
        <v>1807.75</v>
      </c>
      <c r="O123" s="79">
        <v>1789.05</v>
      </c>
      <c r="P123" s="79">
        <v>1777.75</v>
      </c>
      <c r="Q123" s="79">
        <v>1815.95</v>
      </c>
      <c r="R123" s="79">
        <v>1812.2</v>
      </c>
      <c r="S123" s="79">
        <v>1833.55</v>
      </c>
      <c r="T123" s="79">
        <v>1704.95</v>
      </c>
      <c r="U123" s="79">
        <v>1546.35</v>
      </c>
      <c r="V123" s="79">
        <v>1604.15</v>
      </c>
      <c r="W123" s="79">
        <v>1757.6</v>
      </c>
      <c r="X123" s="79">
        <v>1795.4</v>
      </c>
      <c r="Y123" s="79">
        <v>1647.5</v>
      </c>
      <c r="Z123" s="79">
        <v>1703.75</v>
      </c>
      <c r="AA123" s="79">
        <v>1574.1</v>
      </c>
      <c r="AB123" s="79">
        <v>1590.45</v>
      </c>
      <c r="AC123" s="79">
        <v>1560.15</v>
      </c>
      <c r="AD123" s="79">
        <v>1581.4</v>
      </c>
      <c r="AE123" s="79">
        <v>1599.75</v>
      </c>
      <c r="AF123" s="79">
        <v>44988.61</v>
      </c>
    </row>
    <row r="124" spans="1:32" x14ac:dyDescent="0.3">
      <c r="A124" s="1"/>
      <c r="B124" s="77" t="s">
        <v>130</v>
      </c>
      <c r="C124" s="77" t="s">
        <v>1007</v>
      </c>
      <c r="D124" s="77" t="s">
        <v>1168</v>
      </c>
      <c r="E124" s="78" t="s">
        <v>596</v>
      </c>
      <c r="F124" s="79">
        <v>14.4</v>
      </c>
      <c r="G124" s="79">
        <v>14.4</v>
      </c>
      <c r="H124" s="79">
        <v>14.4</v>
      </c>
      <c r="I124" s="79">
        <v>14.4145</v>
      </c>
      <c r="J124" s="79">
        <v>14.4</v>
      </c>
      <c r="K124" s="79">
        <v>14.4</v>
      </c>
      <c r="L124" s="79">
        <v>13.6</v>
      </c>
      <c r="M124" s="79">
        <v>14.4</v>
      </c>
      <c r="N124" s="79">
        <v>14.4</v>
      </c>
      <c r="O124" s="79">
        <v>14.4</v>
      </c>
      <c r="P124" s="79">
        <v>14.4</v>
      </c>
      <c r="Q124" s="79">
        <v>14.4</v>
      </c>
      <c r="R124" s="79">
        <v>14.4</v>
      </c>
      <c r="S124" s="79">
        <v>14.4</v>
      </c>
      <c r="T124" s="79">
        <v>14.4</v>
      </c>
      <c r="U124" s="79">
        <v>14.4</v>
      </c>
      <c r="V124" s="79">
        <v>14.4</v>
      </c>
      <c r="W124" s="79">
        <v>14.4</v>
      </c>
      <c r="X124" s="79">
        <v>14.4</v>
      </c>
      <c r="Y124" s="79">
        <v>14.4</v>
      </c>
      <c r="Z124" s="79">
        <v>14.4</v>
      </c>
      <c r="AA124" s="79">
        <v>14.4</v>
      </c>
      <c r="AB124" s="79">
        <v>14.4</v>
      </c>
      <c r="AC124" s="79">
        <v>14.4</v>
      </c>
      <c r="AD124" s="79">
        <v>14.4</v>
      </c>
      <c r="AE124" s="79">
        <v>14.4</v>
      </c>
      <c r="AF124" s="79">
        <v>373.61450000000002</v>
      </c>
    </row>
    <row r="125" spans="1:32" x14ac:dyDescent="0.3">
      <c r="A125" s="1"/>
      <c r="B125" s="77" t="s">
        <v>130</v>
      </c>
      <c r="C125" s="77" t="s">
        <v>1009</v>
      </c>
      <c r="D125" s="77" t="s">
        <v>73</v>
      </c>
      <c r="E125" s="78" t="s">
        <v>596</v>
      </c>
      <c r="F125" s="79">
        <v>720.55</v>
      </c>
      <c r="G125" s="79">
        <v>723.95</v>
      </c>
      <c r="H125" s="79">
        <v>722.45</v>
      </c>
      <c r="I125" s="79">
        <v>729.78499999999997</v>
      </c>
      <c r="J125" s="79">
        <v>729.1</v>
      </c>
      <c r="K125" s="79">
        <v>721.5</v>
      </c>
      <c r="L125" s="79">
        <v>691.95</v>
      </c>
      <c r="M125" s="79">
        <v>720.45</v>
      </c>
      <c r="N125" s="79">
        <v>722.5</v>
      </c>
      <c r="O125" s="79">
        <v>721.05</v>
      </c>
      <c r="P125" s="79">
        <v>722.1</v>
      </c>
      <c r="Q125" s="79">
        <v>723.5</v>
      </c>
      <c r="R125" s="79">
        <v>722.9</v>
      </c>
      <c r="S125" s="79">
        <v>721.75</v>
      </c>
      <c r="T125" s="79">
        <v>724.8</v>
      </c>
      <c r="U125" s="79">
        <v>722.1</v>
      </c>
      <c r="V125" s="79">
        <v>723.3</v>
      </c>
      <c r="W125" s="79">
        <v>721.05</v>
      </c>
      <c r="X125" s="79">
        <v>722.3</v>
      </c>
      <c r="Y125" s="79">
        <v>717.95</v>
      </c>
      <c r="Z125" s="79">
        <v>720.9</v>
      </c>
      <c r="AA125" s="79">
        <v>710.05</v>
      </c>
      <c r="AB125" s="79">
        <v>716.8</v>
      </c>
      <c r="AC125" s="79">
        <v>716.1</v>
      </c>
      <c r="AD125" s="79">
        <v>701.5</v>
      </c>
      <c r="AE125" s="79">
        <v>707.9</v>
      </c>
      <c r="AF125" s="79">
        <v>18698.285</v>
      </c>
    </row>
    <row r="126" spans="1:32" x14ac:dyDescent="0.3">
      <c r="A126" s="1"/>
      <c r="B126" s="77" t="s">
        <v>130</v>
      </c>
      <c r="C126" s="77" t="s">
        <v>131</v>
      </c>
      <c r="D126" s="77" t="s">
        <v>73</v>
      </c>
      <c r="E126" s="78" t="s">
        <v>596</v>
      </c>
      <c r="F126" s="79">
        <v>3630</v>
      </c>
      <c r="G126" s="79">
        <v>4898.45</v>
      </c>
      <c r="H126" s="79">
        <v>4457.3500000000004</v>
      </c>
      <c r="I126" s="79">
        <v>4318.8999999999996</v>
      </c>
      <c r="J126" s="79">
        <v>3642.7</v>
      </c>
      <c r="K126" s="79">
        <v>3167.21</v>
      </c>
      <c r="L126" s="79">
        <v>3114.85</v>
      </c>
      <c r="M126" s="79">
        <v>3272.3</v>
      </c>
      <c r="N126" s="79">
        <v>3183.15</v>
      </c>
      <c r="O126" s="79">
        <v>3096.1</v>
      </c>
      <c r="P126" s="79">
        <v>3119.7</v>
      </c>
      <c r="Q126" s="79">
        <v>3076.85</v>
      </c>
      <c r="R126" s="79">
        <v>3430.45</v>
      </c>
      <c r="S126" s="79">
        <v>3174.6</v>
      </c>
      <c r="T126" s="79">
        <v>2406.4499999999998</v>
      </c>
      <c r="U126" s="79">
        <v>2162.4</v>
      </c>
      <c r="V126" s="79">
        <v>2516.65</v>
      </c>
      <c r="W126" s="79">
        <v>2724.6</v>
      </c>
      <c r="X126" s="79">
        <v>2786.95</v>
      </c>
      <c r="Y126" s="79">
        <v>2315.1999999999998</v>
      </c>
      <c r="Z126" s="79">
        <v>2096.35</v>
      </c>
      <c r="AA126" s="79">
        <v>1982.1</v>
      </c>
      <c r="AB126" s="79">
        <v>2041.8</v>
      </c>
      <c r="AC126" s="79">
        <v>1906.15</v>
      </c>
      <c r="AD126" s="79">
        <v>1867.4</v>
      </c>
      <c r="AE126" s="79">
        <v>2037.95</v>
      </c>
      <c r="AF126" s="79">
        <v>76426.61</v>
      </c>
    </row>
    <row r="127" spans="1:32" x14ac:dyDescent="0.3">
      <c r="A127" s="1"/>
      <c r="B127" s="77" t="s">
        <v>130</v>
      </c>
      <c r="C127" s="77" t="s">
        <v>133</v>
      </c>
      <c r="D127" s="77" t="s">
        <v>73</v>
      </c>
      <c r="E127" s="78" t="s">
        <v>596</v>
      </c>
      <c r="F127" s="79">
        <v>2840.5</v>
      </c>
      <c r="G127" s="79">
        <v>676.5</v>
      </c>
      <c r="H127" s="79"/>
      <c r="I127" s="79"/>
      <c r="J127" s="79"/>
      <c r="K127" s="79">
        <v>129.02000000000001</v>
      </c>
      <c r="L127" s="79">
        <v>1314.6</v>
      </c>
      <c r="M127" s="79">
        <v>2467.3000000000002</v>
      </c>
      <c r="N127" s="79">
        <v>2501.6999999999998</v>
      </c>
      <c r="O127" s="79">
        <v>2422.8000000000002</v>
      </c>
      <c r="P127" s="79">
        <v>2582.9</v>
      </c>
      <c r="Q127" s="79">
        <v>2747.3</v>
      </c>
      <c r="R127" s="79">
        <v>2921.1</v>
      </c>
      <c r="S127" s="79">
        <v>2870.5</v>
      </c>
      <c r="T127" s="79">
        <v>2786.85</v>
      </c>
      <c r="U127" s="79">
        <v>2727.75</v>
      </c>
      <c r="V127" s="79">
        <v>2753.2</v>
      </c>
      <c r="W127" s="79">
        <v>2679.65</v>
      </c>
      <c r="X127" s="79">
        <v>2672.1</v>
      </c>
      <c r="Y127" s="79">
        <v>2565.5500000000002</v>
      </c>
      <c r="Z127" s="79">
        <v>2636</v>
      </c>
      <c r="AA127" s="79">
        <v>2327.25</v>
      </c>
      <c r="AB127" s="79">
        <v>2596.6999999999998</v>
      </c>
      <c r="AC127" s="79">
        <v>2616.0500000000002</v>
      </c>
      <c r="AD127" s="79">
        <v>2560.5</v>
      </c>
      <c r="AE127" s="79">
        <v>2504.5</v>
      </c>
      <c r="AF127" s="79">
        <v>54900.32</v>
      </c>
    </row>
    <row r="128" spans="1:32" x14ac:dyDescent="0.3">
      <c r="A128" s="1"/>
      <c r="B128" s="77" t="s">
        <v>130</v>
      </c>
      <c r="C128" s="77" t="s">
        <v>1011</v>
      </c>
      <c r="D128" s="77" t="s">
        <v>73</v>
      </c>
      <c r="E128" s="78" t="s">
        <v>596</v>
      </c>
      <c r="F128" s="79">
        <v>1553.85</v>
      </c>
      <c r="G128" s="79">
        <v>1540.3</v>
      </c>
      <c r="H128" s="79">
        <v>1551.35</v>
      </c>
      <c r="I128" s="79">
        <v>1531.625</v>
      </c>
      <c r="J128" s="79">
        <v>1543.6</v>
      </c>
      <c r="K128" s="79">
        <v>1537.33</v>
      </c>
      <c r="L128" s="79">
        <v>1532.15</v>
      </c>
      <c r="M128" s="79">
        <v>1529.5</v>
      </c>
      <c r="N128" s="79">
        <v>1529.95</v>
      </c>
      <c r="O128" s="79">
        <v>1546.75</v>
      </c>
      <c r="P128" s="79">
        <v>1521.85</v>
      </c>
      <c r="Q128" s="79">
        <v>1534.5</v>
      </c>
      <c r="R128" s="79">
        <v>1544.65</v>
      </c>
      <c r="S128" s="79">
        <v>1525.75</v>
      </c>
      <c r="T128" s="79">
        <v>1521.1</v>
      </c>
      <c r="U128" s="79">
        <v>1536.95</v>
      </c>
      <c r="V128" s="79">
        <v>1536.15</v>
      </c>
      <c r="W128" s="79">
        <v>1535.95</v>
      </c>
      <c r="X128" s="79">
        <v>1533.85</v>
      </c>
      <c r="Y128" s="79">
        <v>1527.3</v>
      </c>
      <c r="Z128" s="79">
        <v>1546.1</v>
      </c>
      <c r="AA128" s="79">
        <v>1522.5</v>
      </c>
      <c r="AB128" s="79">
        <v>1528.1</v>
      </c>
      <c r="AC128" s="79">
        <v>1543.3</v>
      </c>
      <c r="AD128" s="79">
        <v>1510.75</v>
      </c>
      <c r="AE128" s="79">
        <v>1522.2</v>
      </c>
      <c r="AF128" s="79">
        <v>39887.404999999999</v>
      </c>
    </row>
    <row r="129" spans="1:32" x14ac:dyDescent="0.3">
      <c r="A129" s="1"/>
      <c r="B129" s="77" t="s">
        <v>130</v>
      </c>
      <c r="C129" s="77" t="s">
        <v>1212</v>
      </c>
      <c r="D129" s="77" t="s">
        <v>1213</v>
      </c>
      <c r="E129" s="78" t="s">
        <v>598</v>
      </c>
      <c r="F129" s="79">
        <v>883.35</v>
      </c>
      <c r="G129" s="79">
        <v>828.45</v>
      </c>
      <c r="H129" s="79">
        <v>804.95</v>
      </c>
      <c r="I129" s="79">
        <v>833.2</v>
      </c>
      <c r="J129" s="79">
        <v>787.65</v>
      </c>
      <c r="K129" s="79">
        <v>805.15</v>
      </c>
      <c r="L129" s="79">
        <v>809.5</v>
      </c>
      <c r="M129" s="79">
        <v>779</v>
      </c>
      <c r="N129" s="79">
        <v>823.5</v>
      </c>
      <c r="O129" s="79">
        <v>819.8</v>
      </c>
      <c r="P129" s="79">
        <v>771.35</v>
      </c>
      <c r="Q129" s="79">
        <v>614.04999999999995</v>
      </c>
      <c r="R129" s="79">
        <v>827.15</v>
      </c>
      <c r="S129" s="79">
        <v>831.8</v>
      </c>
      <c r="T129" s="79">
        <v>831.85</v>
      </c>
      <c r="U129" s="79">
        <v>824</v>
      </c>
      <c r="V129" s="79">
        <v>823.2</v>
      </c>
      <c r="W129" s="79">
        <v>817.45</v>
      </c>
      <c r="X129" s="79">
        <v>829.95</v>
      </c>
      <c r="Y129" s="79">
        <v>815.6</v>
      </c>
      <c r="Z129" s="79">
        <v>798.55</v>
      </c>
      <c r="AA129" s="79">
        <v>780.45</v>
      </c>
      <c r="AB129" s="79">
        <v>636.04999999999995</v>
      </c>
      <c r="AC129" s="79">
        <v>615.70000000000005</v>
      </c>
      <c r="AD129" s="79">
        <v>787.15</v>
      </c>
      <c r="AE129" s="79">
        <v>776.6</v>
      </c>
      <c r="AF129" s="79">
        <v>20555.45</v>
      </c>
    </row>
    <row r="130" spans="1:32" x14ac:dyDescent="0.3">
      <c r="A130" s="1"/>
      <c r="B130" s="77" t="s">
        <v>130</v>
      </c>
      <c r="C130" s="77" t="s">
        <v>1074</v>
      </c>
      <c r="D130" s="77" t="s">
        <v>73</v>
      </c>
      <c r="E130" s="78" t="s">
        <v>598</v>
      </c>
      <c r="F130" s="79">
        <v>1138.95</v>
      </c>
      <c r="G130" s="79">
        <v>1100.8499999999999</v>
      </c>
      <c r="H130" s="79">
        <v>1064.75</v>
      </c>
      <c r="I130" s="79">
        <v>1090.6500000000001</v>
      </c>
      <c r="J130" s="79">
        <v>1030.45</v>
      </c>
      <c r="K130" s="79">
        <v>1060.2</v>
      </c>
      <c r="L130" s="79">
        <v>1062.05</v>
      </c>
      <c r="M130" s="79">
        <v>1044.8499999999999</v>
      </c>
      <c r="N130" s="79">
        <v>1087.95</v>
      </c>
      <c r="O130" s="79">
        <v>1083.9000000000001</v>
      </c>
      <c r="P130" s="79">
        <v>1016.5</v>
      </c>
      <c r="Q130" s="79">
        <v>756.9</v>
      </c>
      <c r="R130" s="79">
        <v>1095.55</v>
      </c>
      <c r="S130" s="79">
        <v>1102.45</v>
      </c>
      <c r="T130" s="79">
        <v>1101.3499999999999</v>
      </c>
      <c r="U130" s="79">
        <v>1093.7</v>
      </c>
      <c r="V130" s="79">
        <v>1093.55</v>
      </c>
      <c r="W130" s="79">
        <v>1085</v>
      </c>
      <c r="X130" s="79">
        <v>1100.4000000000001</v>
      </c>
      <c r="Y130" s="79">
        <v>1077.55</v>
      </c>
      <c r="Z130" s="79">
        <v>1052.7</v>
      </c>
      <c r="AA130" s="79">
        <v>1008.1</v>
      </c>
      <c r="AB130" s="79">
        <v>814.85</v>
      </c>
      <c r="AC130" s="79">
        <v>785.35</v>
      </c>
      <c r="AD130" s="79">
        <v>1046.6500000000001</v>
      </c>
      <c r="AE130" s="79">
        <v>1026.9000000000001</v>
      </c>
      <c r="AF130" s="79">
        <v>27022.1</v>
      </c>
    </row>
    <row r="131" spans="1:32" x14ac:dyDescent="0.3">
      <c r="A131" s="1"/>
      <c r="B131" s="77" t="s">
        <v>130</v>
      </c>
      <c r="C131" s="77" t="s">
        <v>1214</v>
      </c>
      <c r="D131" s="77" t="s">
        <v>139</v>
      </c>
      <c r="E131" s="78" t="s">
        <v>597</v>
      </c>
      <c r="F131" s="79"/>
      <c r="G131" s="79"/>
      <c r="H131" s="79"/>
      <c r="I131" s="79"/>
      <c r="J131" s="79">
        <v>497.45</v>
      </c>
      <c r="K131" s="79">
        <v>25</v>
      </c>
      <c r="L131" s="79"/>
      <c r="M131" s="79"/>
      <c r="N131" s="79"/>
      <c r="O131" s="79"/>
      <c r="P131" s="79">
        <v>604.75</v>
      </c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>
        <v>446.8</v>
      </c>
      <c r="AE131" s="79">
        <v>130.35</v>
      </c>
      <c r="AF131" s="79">
        <v>1704.35</v>
      </c>
    </row>
    <row r="132" spans="1:32" x14ac:dyDescent="0.3">
      <c r="A132" s="1"/>
      <c r="B132" s="77" t="s">
        <v>130</v>
      </c>
      <c r="C132" s="77" t="s">
        <v>1214</v>
      </c>
      <c r="D132" s="77" t="s">
        <v>1215</v>
      </c>
      <c r="E132" s="78" t="s">
        <v>597</v>
      </c>
      <c r="F132" s="79"/>
      <c r="G132" s="79"/>
      <c r="H132" s="79"/>
      <c r="I132" s="79"/>
      <c r="J132" s="79"/>
      <c r="K132" s="79">
        <v>234.02</v>
      </c>
      <c r="L132" s="79">
        <v>16.3</v>
      </c>
      <c r="M132" s="79"/>
      <c r="N132" s="79"/>
      <c r="O132" s="79"/>
      <c r="P132" s="79">
        <v>236.05</v>
      </c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>
        <v>486.37</v>
      </c>
    </row>
    <row r="133" spans="1:32" x14ac:dyDescent="0.3">
      <c r="A133" s="1"/>
      <c r="B133" s="77" t="s">
        <v>130</v>
      </c>
      <c r="C133" s="77" t="s">
        <v>1214</v>
      </c>
      <c r="D133" s="77" t="s">
        <v>1216</v>
      </c>
      <c r="E133" s="78" t="s">
        <v>597</v>
      </c>
      <c r="F133" s="79"/>
      <c r="G133" s="79"/>
      <c r="H133" s="79"/>
      <c r="I133" s="79"/>
      <c r="J133" s="79"/>
      <c r="K133" s="79">
        <v>264.07</v>
      </c>
      <c r="L133" s="79">
        <v>16.350000000000001</v>
      </c>
      <c r="M133" s="79"/>
      <c r="N133" s="79"/>
      <c r="O133" s="79"/>
      <c r="P133" s="79">
        <v>237.4</v>
      </c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>
        <v>202.95</v>
      </c>
      <c r="AD133" s="79">
        <v>15.55</v>
      </c>
      <c r="AE133" s="79"/>
      <c r="AF133" s="79">
        <v>736.32</v>
      </c>
    </row>
    <row r="134" spans="1:32" x14ac:dyDescent="0.3">
      <c r="A134" s="1"/>
      <c r="B134" s="77" t="s">
        <v>130</v>
      </c>
      <c r="C134" s="77" t="s">
        <v>142</v>
      </c>
      <c r="D134" s="77" t="s">
        <v>143</v>
      </c>
      <c r="E134" s="78" t="s">
        <v>597</v>
      </c>
      <c r="F134" s="79"/>
      <c r="G134" s="79">
        <v>567.5</v>
      </c>
      <c r="H134" s="79">
        <v>1373.2</v>
      </c>
      <c r="I134" s="79">
        <v>1082.3</v>
      </c>
      <c r="J134" s="79">
        <v>1355.25</v>
      </c>
      <c r="K134" s="79">
        <v>971.1</v>
      </c>
      <c r="L134" s="79">
        <v>678.6</v>
      </c>
      <c r="M134" s="79">
        <v>1177.3</v>
      </c>
      <c r="N134" s="79"/>
      <c r="O134" s="79">
        <v>566.85</v>
      </c>
      <c r="P134" s="79">
        <v>1254.3</v>
      </c>
      <c r="Q134" s="79">
        <v>707.9</v>
      </c>
      <c r="R134" s="79">
        <v>614</v>
      </c>
      <c r="S134" s="79">
        <v>619.1</v>
      </c>
      <c r="T134" s="79">
        <v>26.85</v>
      </c>
      <c r="U134" s="79"/>
      <c r="V134" s="79"/>
      <c r="W134" s="79">
        <v>969.6</v>
      </c>
      <c r="X134" s="79">
        <v>568.1</v>
      </c>
      <c r="Y134" s="79">
        <v>550.70000000000005</v>
      </c>
      <c r="Z134" s="79">
        <v>51.5</v>
      </c>
      <c r="AA134" s="79"/>
      <c r="AB134" s="79"/>
      <c r="AC134" s="79">
        <v>759.55</v>
      </c>
      <c r="AD134" s="79">
        <v>1027.05</v>
      </c>
      <c r="AE134" s="79">
        <v>881.2</v>
      </c>
      <c r="AF134" s="79">
        <v>15801.95</v>
      </c>
    </row>
    <row r="135" spans="1:32" x14ac:dyDescent="0.3">
      <c r="A135" s="1"/>
      <c r="B135" s="77" t="s">
        <v>130</v>
      </c>
      <c r="C135" s="77" t="s">
        <v>145</v>
      </c>
      <c r="D135" s="77" t="s">
        <v>1186</v>
      </c>
      <c r="E135" s="78" t="s">
        <v>597</v>
      </c>
      <c r="F135" s="79"/>
      <c r="G135" s="79">
        <v>894.05</v>
      </c>
      <c r="H135" s="79">
        <v>1865.35</v>
      </c>
      <c r="I135" s="79">
        <v>2246.4949999999999</v>
      </c>
      <c r="J135" s="79">
        <v>1644.3</v>
      </c>
      <c r="K135" s="79">
        <v>939.61500000000001</v>
      </c>
      <c r="L135" s="79">
        <v>1960.6</v>
      </c>
      <c r="M135" s="79">
        <v>2770.55</v>
      </c>
      <c r="N135" s="79">
        <v>2704.1</v>
      </c>
      <c r="O135" s="79">
        <v>2804.45</v>
      </c>
      <c r="P135" s="79">
        <v>2884.4</v>
      </c>
      <c r="Q135" s="79">
        <v>2810.5</v>
      </c>
      <c r="R135" s="79">
        <v>2510.1999999999998</v>
      </c>
      <c r="S135" s="79">
        <v>2580.6999999999998</v>
      </c>
      <c r="T135" s="79">
        <v>2683.75</v>
      </c>
      <c r="U135" s="79">
        <v>2978.4</v>
      </c>
      <c r="V135" s="79">
        <v>2450.65</v>
      </c>
      <c r="W135" s="79">
        <v>2802.05</v>
      </c>
      <c r="X135" s="79">
        <v>2646.6</v>
      </c>
      <c r="Y135" s="79">
        <v>2875.95</v>
      </c>
      <c r="Z135" s="79">
        <v>2624.55</v>
      </c>
      <c r="AA135" s="79">
        <v>2490.4499999999998</v>
      </c>
      <c r="AB135" s="79">
        <v>2398.4</v>
      </c>
      <c r="AC135" s="79">
        <v>2461.75</v>
      </c>
      <c r="AD135" s="79">
        <v>3048.85</v>
      </c>
      <c r="AE135" s="79">
        <v>3385</v>
      </c>
      <c r="AF135" s="79">
        <v>61461.71</v>
      </c>
    </row>
    <row r="136" spans="1:32" x14ac:dyDescent="0.3">
      <c r="A136" s="1"/>
      <c r="B136" s="77" t="s">
        <v>130</v>
      </c>
      <c r="C136" s="77" t="s">
        <v>145</v>
      </c>
      <c r="D136" s="77" t="s">
        <v>91</v>
      </c>
      <c r="E136" s="78" t="s">
        <v>597</v>
      </c>
      <c r="F136" s="79"/>
      <c r="G136" s="79">
        <v>2007.65</v>
      </c>
      <c r="H136" s="79">
        <v>1680.6</v>
      </c>
      <c r="I136" s="79">
        <v>2228.75</v>
      </c>
      <c r="J136" s="79">
        <v>1954.75</v>
      </c>
      <c r="K136" s="79">
        <v>893.86</v>
      </c>
      <c r="L136" s="79">
        <v>1089.1500000000001</v>
      </c>
      <c r="M136" s="79">
        <v>2794.95</v>
      </c>
      <c r="N136" s="79">
        <v>2724.9</v>
      </c>
      <c r="O136" s="79">
        <v>2838.05</v>
      </c>
      <c r="P136" s="79">
        <v>2920.5</v>
      </c>
      <c r="Q136" s="79">
        <v>2838.2</v>
      </c>
      <c r="R136" s="79">
        <v>2511.1</v>
      </c>
      <c r="S136" s="79">
        <v>2546.8000000000002</v>
      </c>
      <c r="T136" s="79">
        <v>2680.5</v>
      </c>
      <c r="U136" s="79">
        <v>3010.55</v>
      </c>
      <c r="V136" s="79">
        <v>2454.0500000000002</v>
      </c>
      <c r="W136" s="79">
        <v>2800</v>
      </c>
      <c r="X136" s="79">
        <v>2633.7</v>
      </c>
      <c r="Y136" s="79">
        <v>2890.55</v>
      </c>
      <c r="Z136" s="79">
        <v>2610.6999999999998</v>
      </c>
      <c r="AA136" s="79">
        <v>2493.9499999999998</v>
      </c>
      <c r="AB136" s="79">
        <v>2343.85</v>
      </c>
      <c r="AC136" s="79">
        <v>2432.3000000000002</v>
      </c>
      <c r="AD136" s="79">
        <v>3082.2</v>
      </c>
      <c r="AE136" s="79">
        <v>3450.3</v>
      </c>
      <c r="AF136" s="79">
        <v>61911.91</v>
      </c>
    </row>
    <row r="137" spans="1:32" x14ac:dyDescent="0.3">
      <c r="A137" s="1"/>
      <c r="B137" s="77" t="s">
        <v>130</v>
      </c>
      <c r="C137" s="77" t="s">
        <v>145</v>
      </c>
      <c r="D137" s="77" t="s">
        <v>1217</v>
      </c>
      <c r="E137" s="78" t="s">
        <v>597</v>
      </c>
      <c r="F137" s="79"/>
      <c r="G137" s="79"/>
      <c r="H137" s="79"/>
      <c r="I137" s="79"/>
      <c r="J137" s="79"/>
      <c r="K137" s="79"/>
      <c r="L137" s="79">
        <v>1253.8499999999999</v>
      </c>
      <c r="M137" s="79">
        <v>3129.8</v>
      </c>
      <c r="N137" s="79">
        <v>3167.35</v>
      </c>
      <c r="O137" s="79">
        <v>3137.65</v>
      </c>
      <c r="P137" s="79">
        <v>3378.05</v>
      </c>
      <c r="Q137" s="79">
        <v>3194.15</v>
      </c>
      <c r="R137" s="79">
        <v>2997.4</v>
      </c>
      <c r="S137" s="79">
        <v>2974.35</v>
      </c>
      <c r="T137" s="79">
        <v>3050.75</v>
      </c>
      <c r="U137" s="79">
        <v>3343.8</v>
      </c>
      <c r="V137" s="79">
        <v>2886.2</v>
      </c>
      <c r="W137" s="79">
        <v>3180.5</v>
      </c>
      <c r="X137" s="79">
        <v>3006.05</v>
      </c>
      <c r="Y137" s="79">
        <v>3251.85</v>
      </c>
      <c r="Z137" s="79">
        <v>3002.05</v>
      </c>
      <c r="AA137" s="79">
        <v>2921.75</v>
      </c>
      <c r="AB137" s="79">
        <v>2860</v>
      </c>
      <c r="AC137" s="79">
        <v>2953.6</v>
      </c>
      <c r="AD137" s="79">
        <v>3420.65</v>
      </c>
      <c r="AE137" s="79">
        <v>3570.45</v>
      </c>
      <c r="AF137" s="79">
        <v>60680.25</v>
      </c>
    </row>
    <row r="138" spans="1:32" x14ac:dyDescent="0.3">
      <c r="A138" s="1"/>
      <c r="B138" s="77" t="s">
        <v>1115</v>
      </c>
      <c r="C138" s="77" t="s">
        <v>1140</v>
      </c>
      <c r="D138" s="77" t="s">
        <v>73</v>
      </c>
      <c r="E138" s="78" t="s">
        <v>598</v>
      </c>
      <c r="F138" s="79">
        <v>134.26499999999999</v>
      </c>
      <c r="G138" s="79">
        <v>132.51</v>
      </c>
      <c r="H138" s="79">
        <v>148.80000000000001</v>
      </c>
      <c r="I138" s="79">
        <v>152.80000000000001</v>
      </c>
      <c r="J138" s="79">
        <v>127.55</v>
      </c>
      <c r="K138" s="79">
        <v>127.55</v>
      </c>
      <c r="L138" s="79">
        <v>77.8</v>
      </c>
      <c r="M138" s="79">
        <v>70.45</v>
      </c>
      <c r="N138" s="79">
        <v>117.3</v>
      </c>
      <c r="O138" s="79">
        <v>149.767775</v>
      </c>
      <c r="P138" s="79">
        <v>139.9</v>
      </c>
      <c r="Q138" s="79">
        <v>109.35</v>
      </c>
      <c r="R138" s="79">
        <v>152.9</v>
      </c>
      <c r="S138" s="79">
        <v>147.75</v>
      </c>
      <c r="T138" s="79">
        <v>151</v>
      </c>
      <c r="U138" s="79">
        <v>153.80000000000001</v>
      </c>
      <c r="V138" s="79">
        <v>141.4</v>
      </c>
      <c r="W138" s="79">
        <v>137.4</v>
      </c>
      <c r="X138" s="79">
        <v>137.1</v>
      </c>
      <c r="Y138" s="79">
        <v>152.9</v>
      </c>
      <c r="Z138" s="79">
        <v>126.89700000000001</v>
      </c>
      <c r="AA138" s="79">
        <v>133.09100000000001</v>
      </c>
      <c r="AB138" s="79">
        <v>102.95</v>
      </c>
      <c r="AC138" s="79">
        <v>113.3665</v>
      </c>
      <c r="AD138" s="79">
        <v>144.4</v>
      </c>
      <c r="AE138" s="79">
        <v>125.2</v>
      </c>
      <c r="AF138" s="79">
        <v>3408.197275</v>
      </c>
    </row>
    <row r="139" spans="1:32" x14ac:dyDescent="0.3">
      <c r="A139" s="1"/>
      <c r="B139" s="77" t="s">
        <v>626</v>
      </c>
      <c r="C139" s="77" t="s">
        <v>1077</v>
      </c>
      <c r="D139" s="77" t="s">
        <v>73</v>
      </c>
      <c r="E139" s="78" t="s">
        <v>599</v>
      </c>
      <c r="F139" s="79">
        <v>663.9</v>
      </c>
      <c r="G139" s="79">
        <v>473.5</v>
      </c>
      <c r="H139" s="79">
        <v>538.5</v>
      </c>
      <c r="I139" s="79">
        <v>300</v>
      </c>
      <c r="J139" s="79">
        <v>150.6</v>
      </c>
      <c r="K139" s="79">
        <v>391.31</v>
      </c>
      <c r="L139" s="79">
        <v>414.1</v>
      </c>
      <c r="M139" s="79">
        <v>395.45</v>
      </c>
      <c r="N139" s="79">
        <v>388.45</v>
      </c>
      <c r="O139" s="79">
        <v>268.25</v>
      </c>
      <c r="P139" s="79">
        <v>78.5</v>
      </c>
      <c r="Q139" s="79">
        <v>432.6</v>
      </c>
      <c r="R139" s="79">
        <v>383.8</v>
      </c>
      <c r="S139" s="79">
        <v>385.35</v>
      </c>
      <c r="T139" s="79">
        <v>291.75</v>
      </c>
      <c r="U139" s="79">
        <v>337.7</v>
      </c>
      <c r="V139" s="79">
        <v>331</v>
      </c>
      <c r="W139" s="79">
        <v>333</v>
      </c>
      <c r="X139" s="79">
        <v>450.05</v>
      </c>
      <c r="Y139" s="79">
        <v>233.5</v>
      </c>
      <c r="Z139" s="79">
        <v>394.35</v>
      </c>
      <c r="AA139" s="79">
        <v>486.3</v>
      </c>
      <c r="AB139" s="79">
        <v>556.20000000000005</v>
      </c>
      <c r="AC139" s="79">
        <v>563.79999999999995</v>
      </c>
      <c r="AD139" s="79">
        <v>232.9</v>
      </c>
      <c r="AE139" s="79">
        <v>225.7</v>
      </c>
      <c r="AF139" s="79">
        <v>9700.56</v>
      </c>
    </row>
    <row r="140" spans="1:32" x14ac:dyDescent="0.3">
      <c r="A140" s="1"/>
      <c r="B140" s="77" t="s">
        <v>627</v>
      </c>
      <c r="C140" s="77" t="s">
        <v>1218</v>
      </c>
      <c r="D140" s="77" t="s">
        <v>73</v>
      </c>
      <c r="E140" s="78" t="s">
        <v>599</v>
      </c>
      <c r="F140" s="79">
        <v>1694.8</v>
      </c>
      <c r="G140" s="79">
        <v>1312.5</v>
      </c>
      <c r="H140" s="79">
        <v>1334.8</v>
      </c>
      <c r="I140" s="79">
        <v>678.65</v>
      </c>
      <c r="J140" s="79">
        <v>366.3</v>
      </c>
      <c r="K140" s="79">
        <v>1144.55</v>
      </c>
      <c r="L140" s="79">
        <v>1183.55</v>
      </c>
      <c r="M140" s="79">
        <v>1174.95</v>
      </c>
      <c r="N140" s="79">
        <v>1146.1500000000001</v>
      </c>
      <c r="O140" s="79">
        <v>789.2</v>
      </c>
      <c r="P140" s="79">
        <v>266.45</v>
      </c>
      <c r="Q140" s="79">
        <v>1213.05</v>
      </c>
      <c r="R140" s="79">
        <v>1235.5999999999999</v>
      </c>
      <c r="S140" s="79">
        <v>1252.6500000000001</v>
      </c>
      <c r="T140" s="79">
        <v>928.15</v>
      </c>
      <c r="U140" s="79">
        <v>1095.0999999999999</v>
      </c>
      <c r="V140" s="79">
        <v>1039.8</v>
      </c>
      <c r="W140" s="79">
        <v>1133.95</v>
      </c>
      <c r="X140" s="79">
        <v>1509.55</v>
      </c>
      <c r="Y140" s="79">
        <v>885</v>
      </c>
      <c r="Z140" s="79">
        <v>1094.4000000000001</v>
      </c>
      <c r="AA140" s="79">
        <v>1330.85</v>
      </c>
      <c r="AB140" s="79">
        <v>1602.4</v>
      </c>
      <c r="AC140" s="79">
        <v>1610.05</v>
      </c>
      <c r="AD140" s="79">
        <v>713.9</v>
      </c>
      <c r="AE140" s="79">
        <v>650.65</v>
      </c>
      <c r="AF140" s="79">
        <v>28387</v>
      </c>
    </row>
    <row r="141" spans="1:32" x14ac:dyDescent="0.3">
      <c r="A141" s="1"/>
      <c r="B141" s="77" t="s">
        <v>402</v>
      </c>
      <c r="C141" s="77" t="s">
        <v>1079</v>
      </c>
      <c r="D141" s="77" t="s">
        <v>73</v>
      </c>
      <c r="E141" s="78" t="s">
        <v>597</v>
      </c>
      <c r="F141" s="79">
        <v>114.6</v>
      </c>
      <c r="G141" s="79">
        <v>112.05</v>
      </c>
      <c r="H141" s="79">
        <v>110.75</v>
      </c>
      <c r="I141" s="79">
        <v>80.650000000000006</v>
      </c>
      <c r="J141" s="79">
        <v>67.150000000000006</v>
      </c>
      <c r="K141" s="79">
        <v>69.8</v>
      </c>
      <c r="L141" s="79">
        <v>96.6</v>
      </c>
      <c r="M141" s="79">
        <v>93.1</v>
      </c>
      <c r="N141" s="79">
        <v>104.3</v>
      </c>
      <c r="O141" s="79">
        <v>104.45</v>
      </c>
      <c r="P141" s="79">
        <v>93.25</v>
      </c>
      <c r="Q141" s="79">
        <v>99.6</v>
      </c>
      <c r="R141" s="79">
        <v>94.55</v>
      </c>
      <c r="S141" s="79">
        <v>97.2</v>
      </c>
      <c r="T141" s="79">
        <v>101.3</v>
      </c>
      <c r="U141" s="79">
        <v>100.8</v>
      </c>
      <c r="V141" s="79">
        <v>100.8</v>
      </c>
      <c r="W141" s="79">
        <v>18.899999999999999</v>
      </c>
      <c r="X141" s="79"/>
      <c r="Y141" s="79"/>
      <c r="Z141" s="79"/>
      <c r="AA141" s="79"/>
      <c r="AB141" s="79"/>
      <c r="AC141" s="79"/>
      <c r="AD141" s="79"/>
      <c r="AE141" s="79"/>
      <c r="AF141" s="79">
        <v>1659.85</v>
      </c>
    </row>
    <row r="142" spans="1:32" x14ac:dyDescent="0.3">
      <c r="A142" s="1"/>
      <c r="B142" s="77" t="s">
        <v>402</v>
      </c>
      <c r="C142" s="77" t="s">
        <v>1219</v>
      </c>
      <c r="D142" s="77" t="s">
        <v>73</v>
      </c>
      <c r="E142" s="78" t="s">
        <v>597</v>
      </c>
      <c r="F142" s="79">
        <v>60.25</v>
      </c>
      <c r="G142" s="79">
        <v>60.9</v>
      </c>
      <c r="H142" s="79">
        <v>59.6</v>
      </c>
      <c r="I142" s="79">
        <v>59.05</v>
      </c>
      <c r="J142" s="79">
        <v>39.1</v>
      </c>
      <c r="K142" s="79">
        <v>64.8</v>
      </c>
      <c r="L142" s="79">
        <v>39.450000000000003</v>
      </c>
      <c r="M142" s="79">
        <v>30.7</v>
      </c>
      <c r="N142" s="79">
        <v>30.2</v>
      </c>
      <c r="O142" s="79">
        <v>30.95</v>
      </c>
      <c r="P142" s="79">
        <v>27.8</v>
      </c>
      <c r="Q142" s="79">
        <v>27.35</v>
      </c>
      <c r="R142" s="79">
        <v>28.3</v>
      </c>
      <c r="S142" s="79">
        <v>29.15</v>
      </c>
      <c r="T142" s="79">
        <v>28.1</v>
      </c>
      <c r="U142" s="79">
        <v>27.95</v>
      </c>
      <c r="V142" s="79">
        <v>28.15</v>
      </c>
      <c r="W142" s="79">
        <v>5.4</v>
      </c>
      <c r="X142" s="79"/>
      <c r="Y142" s="79"/>
      <c r="Z142" s="79"/>
      <c r="AA142" s="79"/>
      <c r="AB142" s="79"/>
      <c r="AC142" s="79"/>
      <c r="AD142" s="79"/>
      <c r="AE142" s="79"/>
      <c r="AF142" s="79">
        <v>677.2</v>
      </c>
    </row>
    <row r="143" spans="1:32" x14ac:dyDescent="0.3">
      <c r="A143" s="1"/>
      <c r="B143" s="77" t="s">
        <v>402</v>
      </c>
      <c r="C143" s="77" t="s">
        <v>1220</v>
      </c>
      <c r="D143" s="77" t="s">
        <v>73</v>
      </c>
      <c r="E143" s="78" t="s">
        <v>597</v>
      </c>
      <c r="F143" s="79">
        <v>57.6</v>
      </c>
      <c r="G143" s="79">
        <v>55.75</v>
      </c>
      <c r="H143" s="79">
        <v>55.7</v>
      </c>
      <c r="I143" s="79">
        <v>53.75</v>
      </c>
      <c r="J143" s="79">
        <v>50.75</v>
      </c>
      <c r="K143" s="79">
        <v>43.4</v>
      </c>
      <c r="L143" s="79">
        <v>51.45</v>
      </c>
      <c r="M143" s="79">
        <v>52.2</v>
      </c>
      <c r="N143" s="79">
        <v>52.8</v>
      </c>
      <c r="O143" s="79">
        <v>52.7</v>
      </c>
      <c r="P143" s="79">
        <v>54.7</v>
      </c>
      <c r="Q143" s="79">
        <v>57.55</v>
      </c>
      <c r="R143" s="79">
        <v>53.75</v>
      </c>
      <c r="S143" s="79">
        <v>51.55</v>
      </c>
      <c r="T143" s="79">
        <v>56.5</v>
      </c>
      <c r="U143" s="79">
        <v>57.6</v>
      </c>
      <c r="V143" s="79">
        <v>57.6</v>
      </c>
      <c r="W143" s="79">
        <v>10.8</v>
      </c>
      <c r="X143" s="79"/>
      <c r="Y143" s="79"/>
      <c r="Z143" s="79"/>
      <c r="AA143" s="79"/>
      <c r="AB143" s="79"/>
      <c r="AC143" s="79"/>
      <c r="AD143" s="79"/>
      <c r="AE143" s="79"/>
      <c r="AF143" s="79">
        <v>926.15</v>
      </c>
    </row>
    <row r="144" spans="1:32" x14ac:dyDescent="0.3">
      <c r="A144" s="1"/>
      <c r="B144" s="77" t="s">
        <v>402</v>
      </c>
      <c r="C144" s="77" t="s">
        <v>1221</v>
      </c>
      <c r="D144" s="77" t="s">
        <v>73</v>
      </c>
      <c r="E144" s="78" t="s">
        <v>597</v>
      </c>
      <c r="F144" s="79">
        <v>52.8</v>
      </c>
      <c r="G144" s="79">
        <v>52.8</v>
      </c>
      <c r="H144" s="79">
        <v>52.8</v>
      </c>
      <c r="I144" s="79">
        <v>52.15</v>
      </c>
      <c r="J144" s="79">
        <v>52.7</v>
      </c>
      <c r="K144" s="79">
        <v>43.75</v>
      </c>
      <c r="L144" s="79">
        <v>50.4</v>
      </c>
      <c r="M144" s="79">
        <v>31.2</v>
      </c>
      <c r="N144" s="79">
        <v>20.25</v>
      </c>
      <c r="O144" s="79">
        <v>17.350000000000001</v>
      </c>
      <c r="P144" s="79">
        <v>4.2</v>
      </c>
      <c r="Q144" s="79"/>
      <c r="R144" s="79"/>
      <c r="S144" s="79"/>
      <c r="T144" s="79"/>
      <c r="U144" s="79">
        <v>9.75</v>
      </c>
      <c r="V144" s="79">
        <v>19.899999999999999</v>
      </c>
      <c r="W144" s="79">
        <v>21.6</v>
      </c>
      <c r="X144" s="79">
        <v>21.6</v>
      </c>
      <c r="Y144" s="79">
        <v>21.6</v>
      </c>
      <c r="Z144" s="79">
        <v>26.05</v>
      </c>
      <c r="AA144" s="79">
        <v>48</v>
      </c>
      <c r="AB144" s="79">
        <v>48</v>
      </c>
      <c r="AC144" s="79">
        <v>48</v>
      </c>
      <c r="AD144" s="79">
        <v>33</v>
      </c>
      <c r="AE144" s="79">
        <v>48</v>
      </c>
      <c r="AF144" s="79">
        <v>775.9</v>
      </c>
    </row>
    <row r="145" spans="1:32" ht="27.6" x14ac:dyDescent="0.3">
      <c r="A145" s="1"/>
      <c r="B145" s="77" t="s">
        <v>604</v>
      </c>
      <c r="C145" s="77" t="s">
        <v>1222</v>
      </c>
      <c r="D145" s="77" t="s">
        <v>1223</v>
      </c>
      <c r="E145" s="78" t="s">
        <v>597</v>
      </c>
      <c r="F145" s="79"/>
      <c r="G145" s="79">
        <v>121.4</v>
      </c>
      <c r="H145" s="79">
        <v>322.95</v>
      </c>
      <c r="I145" s="79">
        <v>2333.4499999999998</v>
      </c>
      <c r="J145" s="79">
        <v>1217.0999999999999</v>
      </c>
      <c r="K145" s="79">
        <v>2717.6550000000002</v>
      </c>
      <c r="L145" s="79">
        <v>1986.8</v>
      </c>
      <c r="M145" s="79">
        <v>1113.2</v>
      </c>
      <c r="N145" s="79">
        <v>805.7</v>
      </c>
      <c r="O145" s="79">
        <v>1069.6500000000001</v>
      </c>
      <c r="P145" s="79"/>
      <c r="Q145" s="79"/>
      <c r="R145" s="79">
        <v>507.4</v>
      </c>
      <c r="S145" s="79">
        <v>846.3</v>
      </c>
      <c r="T145" s="79">
        <v>181.1</v>
      </c>
      <c r="U145" s="79"/>
      <c r="V145" s="79"/>
      <c r="W145" s="79"/>
      <c r="X145" s="79"/>
      <c r="Y145" s="79"/>
      <c r="Z145" s="79">
        <v>1279.8499999999999</v>
      </c>
      <c r="AA145" s="79">
        <v>374.5</v>
      </c>
      <c r="AB145" s="79"/>
      <c r="AC145" s="79">
        <v>305.45</v>
      </c>
      <c r="AD145" s="79">
        <v>389.9</v>
      </c>
      <c r="AE145" s="79">
        <v>584.04999999999995</v>
      </c>
      <c r="AF145" s="79">
        <v>16156.455</v>
      </c>
    </row>
    <row r="146" spans="1:32" ht="27.6" x14ac:dyDescent="0.3">
      <c r="A146" s="1"/>
      <c r="B146" s="77" t="s">
        <v>604</v>
      </c>
      <c r="C146" s="77" t="s">
        <v>1222</v>
      </c>
      <c r="D146" s="77" t="s">
        <v>1224</v>
      </c>
      <c r="E146" s="78" t="s">
        <v>597</v>
      </c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>
        <v>4.25</v>
      </c>
      <c r="X146" s="79"/>
      <c r="Y146" s="79"/>
      <c r="Z146" s="79"/>
      <c r="AA146" s="79"/>
      <c r="AB146" s="79"/>
      <c r="AC146" s="79"/>
      <c r="AD146" s="79"/>
      <c r="AE146" s="79"/>
      <c r="AF146" s="79">
        <v>4.25</v>
      </c>
    </row>
    <row r="147" spans="1:32" x14ac:dyDescent="0.3">
      <c r="A147" s="1"/>
      <c r="B147" s="77" t="s">
        <v>640</v>
      </c>
      <c r="C147" s="77" t="s">
        <v>1083</v>
      </c>
      <c r="D147" s="77" t="s">
        <v>73</v>
      </c>
      <c r="E147" s="78" t="s">
        <v>598</v>
      </c>
      <c r="F147" s="79"/>
      <c r="G147" s="79"/>
      <c r="H147" s="79">
        <v>100.9</v>
      </c>
      <c r="I147" s="79">
        <v>106.3</v>
      </c>
      <c r="J147" s="79">
        <v>101.95</v>
      </c>
      <c r="K147" s="79">
        <v>99.844999999999999</v>
      </c>
      <c r="L147" s="79">
        <v>108.4</v>
      </c>
      <c r="M147" s="79">
        <v>102.75</v>
      </c>
      <c r="N147" s="79">
        <v>118</v>
      </c>
      <c r="O147" s="79">
        <v>117.75</v>
      </c>
      <c r="P147" s="79">
        <v>104.5</v>
      </c>
      <c r="Q147" s="79">
        <v>90.7</v>
      </c>
      <c r="R147" s="79">
        <v>119.55</v>
      </c>
      <c r="S147" s="79">
        <v>120.4</v>
      </c>
      <c r="T147" s="79">
        <v>117.85</v>
      </c>
      <c r="U147" s="79">
        <v>116.85</v>
      </c>
      <c r="V147" s="79">
        <v>119.05</v>
      </c>
      <c r="W147" s="79">
        <v>118.3</v>
      </c>
      <c r="X147" s="79">
        <v>118.35</v>
      </c>
      <c r="Y147" s="79">
        <v>118.5</v>
      </c>
      <c r="Z147" s="79">
        <v>113.5</v>
      </c>
      <c r="AA147" s="79">
        <v>110.55</v>
      </c>
      <c r="AB147" s="79">
        <v>114</v>
      </c>
      <c r="AC147" s="79">
        <v>93.8</v>
      </c>
      <c r="AD147" s="79">
        <v>101.65</v>
      </c>
      <c r="AE147" s="79">
        <v>109.9</v>
      </c>
      <c r="AF147" s="79">
        <v>2643.3449999999998</v>
      </c>
    </row>
    <row r="148" spans="1:32" x14ac:dyDescent="0.3">
      <c r="A148" s="1"/>
      <c r="B148" s="77" t="s">
        <v>148</v>
      </c>
      <c r="C148" s="77" t="s">
        <v>149</v>
      </c>
      <c r="D148" s="77" t="s">
        <v>1193</v>
      </c>
      <c r="E148" s="78" t="s">
        <v>597</v>
      </c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>
        <v>236.35</v>
      </c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>
        <v>236.35</v>
      </c>
    </row>
    <row r="149" spans="1:32" x14ac:dyDescent="0.3">
      <c r="A149" s="1"/>
      <c r="B149" s="77" t="s">
        <v>148</v>
      </c>
      <c r="C149" s="77" t="s">
        <v>149</v>
      </c>
      <c r="D149" s="77" t="s">
        <v>1194</v>
      </c>
      <c r="E149" s="78" t="s">
        <v>597</v>
      </c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>
        <v>0</v>
      </c>
    </row>
    <row r="150" spans="1:32" x14ac:dyDescent="0.3">
      <c r="A150" s="1"/>
      <c r="B150" s="77" t="s">
        <v>148</v>
      </c>
      <c r="C150" s="77" t="s">
        <v>149</v>
      </c>
      <c r="D150" s="77" t="s">
        <v>1186</v>
      </c>
      <c r="E150" s="78" t="s">
        <v>597</v>
      </c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>
        <v>0</v>
      </c>
    </row>
    <row r="151" spans="1:32" x14ac:dyDescent="0.3">
      <c r="A151" s="1"/>
      <c r="B151" s="77" t="s">
        <v>148</v>
      </c>
      <c r="C151" s="77" t="s">
        <v>149</v>
      </c>
      <c r="D151" s="77" t="s">
        <v>91</v>
      </c>
      <c r="E151" s="78" t="s">
        <v>597</v>
      </c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>
        <v>0</v>
      </c>
    </row>
    <row r="152" spans="1:32" x14ac:dyDescent="0.3">
      <c r="A152" s="1"/>
      <c r="B152" s="77" t="s">
        <v>603</v>
      </c>
      <c r="C152" s="77" t="s">
        <v>1012</v>
      </c>
      <c r="D152" s="77" t="s">
        <v>73</v>
      </c>
      <c r="E152" s="78" t="s">
        <v>596</v>
      </c>
      <c r="F152" s="79">
        <v>2264.6</v>
      </c>
      <c r="G152" s="79">
        <v>2629.2</v>
      </c>
      <c r="H152" s="79">
        <v>2630.5</v>
      </c>
      <c r="I152" s="79">
        <v>2632</v>
      </c>
      <c r="J152" s="79">
        <v>2631.45</v>
      </c>
      <c r="K152" s="79">
        <v>2627.835</v>
      </c>
      <c r="L152" s="79">
        <v>2631</v>
      </c>
      <c r="M152" s="79">
        <v>2624.75</v>
      </c>
      <c r="N152" s="79">
        <v>2626.55</v>
      </c>
      <c r="O152" s="79">
        <v>1945.55</v>
      </c>
      <c r="P152" s="79">
        <v>2628.8</v>
      </c>
      <c r="Q152" s="79">
        <v>2628.25</v>
      </c>
      <c r="R152" s="79">
        <v>2627.9</v>
      </c>
      <c r="S152" s="79">
        <v>2626.65</v>
      </c>
      <c r="T152" s="79">
        <v>2630.7</v>
      </c>
      <c r="U152" s="79">
        <v>2403.75</v>
      </c>
      <c r="V152" s="79">
        <v>2015.8</v>
      </c>
      <c r="W152" s="79">
        <v>2625.65</v>
      </c>
      <c r="X152" s="79">
        <v>2626.2</v>
      </c>
      <c r="Y152" s="79">
        <v>2619.4</v>
      </c>
      <c r="Z152" s="79">
        <v>2401.9</v>
      </c>
      <c r="AA152" s="79">
        <v>2448.1999999999998</v>
      </c>
      <c r="AB152" s="79">
        <v>2379.8000000000002</v>
      </c>
      <c r="AC152" s="79">
        <v>2432.9</v>
      </c>
      <c r="AD152" s="79">
        <v>2319.35</v>
      </c>
      <c r="AE152" s="79">
        <v>2325.9499999999998</v>
      </c>
      <c r="AF152" s="79">
        <v>64984.635000000002</v>
      </c>
    </row>
    <row r="153" spans="1:32" x14ac:dyDescent="0.3">
      <c r="A153" s="1"/>
      <c r="B153" s="77" t="s">
        <v>603</v>
      </c>
      <c r="C153" s="77" t="s">
        <v>1013</v>
      </c>
      <c r="D153" s="77" t="s">
        <v>73</v>
      </c>
      <c r="E153" s="78" t="s">
        <v>596</v>
      </c>
      <c r="F153" s="79">
        <v>47.75</v>
      </c>
      <c r="G153" s="79">
        <v>45.6</v>
      </c>
      <c r="H153" s="79">
        <v>45.6</v>
      </c>
      <c r="I153" s="79">
        <v>45.1</v>
      </c>
      <c r="J153" s="79">
        <v>47.45</v>
      </c>
      <c r="K153" s="79">
        <v>49.75</v>
      </c>
      <c r="L153" s="79">
        <v>48</v>
      </c>
      <c r="M153" s="79">
        <v>48</v>
      </c>
      <c r="N153" s="79">
        <v>28.65</v>
      </c>
      <c r="O153" s="79">
        <v>2.8</v>
      </c>
      <c r="P153" s="79">
        <v>4.8499999999999996</v>
      </c>
      <c r="Q153" s="79">
        <v>21.15</v>
      </c>
      <c r="R153" s="79">
        <v>28.35</v>
      </c>
      <c r="S153" s="79">
        <v>38.4</v>
      </c>
      <c r="T153" s="79">
        <v>36.200000000000003</v>
      </c>
      <c r="U153" s="79">
        <v>36</v>
      </c>
      <c r="V153" s="79">
        <v>31.55</v>
      </c>
      <c r="W153" s="79">
        <v>33.6</v>
      </c>
      <c r="X153" s="79">
        <v>33.549999999999997</v>
      </c>
      <c r="Y153" s="79">
        <v>33.6</v>
      </c>
      <c r="Z153" s="79">
        <v>33.6</v>
      </c>
      <c r="AA153" s="79">
        <v>31.65</v>
      </c>
      <c r="AB153" s="79">
        <v>31.2</v>
      </c>
      <c r="AC153" s="79">
        <v>31.2</v>
      </c>
      <c r="AD153" s="79">
        <v>32.200000000000003</v>
      </c>
      <c r="AE153" s="79">
        <v>31.2</v>
      </c>
      <c r="AF153" s="79">
        <v>897</v>
      </c>
    </row>
    <row r="154" spans="1:32" x14ac:dyDescent="0.3">
      <c r="A154" s="1"/>
      <c r="B154" s="77" t="s">
        <v>601</v>
      </c>
      <c r="C154" s="77" t="s">
        <v>1225</v>
      </c>
      <c r="D154" s="77" t="s">
        <v>1226</v>
      </c>
      <c r="E154" s="78" t="s">
        <v>597</v>
      </c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>
        <v>0</v>
      </c>
    </row>
    <row r="155" spans="1:32" x14ac:dyDescent="0.3">
      <c r="A155" s="1"/>
      <c r="B155" s="77" t="s">
        <v>601</v>
      </c>
      <c r="C155" s="77" t="s">
        <v>1225</v>
      </c>
      <c r="D155" s="77" t="s">
        <v>1227</v>
      </c>
      <c r="E155" s="78" t="s">
        <v>597</v>
      </c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>
        <v>0</v>
      </c>
    </row>
    <row r="156" spans="1:32" x14ac:dyDescent="0.3">
      <c r="A156" s="1"/>
      <c r="B156" s="77" t="s">
        <v>601</v>
      </c>
      <c r="C156" s="77" t="s">
        <v>1225</v>
      </c>
      <c r="D156" s="77" t="s">
        <v>1228</v>
      </c>
      <c r="E156" s="78" t="s">
        <v>597</v>
      </c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>
        <v>96.85</v>
      </c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>
        <v>96.85</v>
      </c>
    </row>
    <row r="157" spans="1:32" x14ac:dyDescent="0.3">
      <c r="A157" s="1"/>
      <c r="B157" s="77" t="s">
        <v>1014</v>
      </c>
      <c r="C157" s="77" t="s">
        <v>1015</v>
      </c>
      <c r="D157" s="77" t="s">
        <v>73</v>
      </c>
      <c r="E157" s="78" t="s">
        <v>596</v>
      </c>
      <c r="F157" s="79">
        <v>481.55</v>
      </c>
      <c r="G157" s="79">
        <v>481.6</v>
      </c>
      <c r="H157" s="79">
        <v>480.8</v>
      </c>
      <c r="I157" s="79">
        <v>480.75</v>
      </c>
      <c r="J157" s="79">
        <v>481.75</v>
      </c>
      <c r="K157" s="79">
        <v>479.22</v>
      </c>
      <c r="L157" s="79">
        <v>480.95</v>
      </c>
      <c r="M157" s="79">
        <v>480.65</v>
      </c>
      <c r="N157" s="79">
        <v>480.3</v>
      </c>
      <c r="O157" s="79">
        <v>481</v>
      </c>
      <c r="P157" s="79">
        <v>480.65</v>
      </c>
      <c r="Q157" s="79">
        <v>480.5</v>
      </c>
      <c r="R157" s="79">
        <v>479.95</v>
      </c>
      <c r="S157" s="79">
        <v>481.15</v>
      </c>
      <c r="T157" s="79">
        <v>481.55</v>
      </c>
      <c r="U157" s="79">
        <v>481.25</v>
      </c>
      <c r="V157" s="79">
        <v>480.7</v>
      </c>
      <c r="W157" s="79">
        <v>481</v>
      </c>
      <c r="X157" s="79">
        <v>480.45</v>
      </c>
      <c r="Y157" s="79">
        <v>479.35</v>
      </c>
      <c r="Z157" s="79">
        <v>479.15</v>
      </c>
      <c r="AA157" s="79">
        <v>476.8</v>
      </c>
      <c r="AB157" s="79">
        <v>472</v>
      </c>
      <c r="AC157" s="79">
        <v>471.4</v>
      </c>
      <c r="AD157" s="79">
        <v>472.55</v>
      </c>
      <c r="AE157" s="79">
        <v>468.65</v>
      </c>
      <c r="AF157" s="79">
        <v>12455.67</v>
      </c>
    </row>
    <row r="158" spans="1:32" x14ac:dyDescent="0.3">
      <c r="A158" s="1"/>
      <c r="B158" s="77" t="s">
        <v>1014</v>
      </c>
      <c r="C158" s="77" t="s">
        <v>1016</v>
      </c>
      <c r="D158" s="77" t="s">
        <v>73</v>
      </c>
      <c r="E158" s="78" t="s">
        <v>596</v>
      </c>
      <c r="F158" s="79">
        <v>232.75</v>
      </c>
      <c r="G158" s="79">
        <v>232.6</v>
      </c>
      <c r="H158" s="79">
        <v>233.85</v>
      </c>
      <c r="I158" s="79">
        <v>236.3</v>
      </c>
      <c r="J158" s="79">
        <v>235.55</v>
      </c>
      <c r="K158" s="79">
        <v>233.8</v>
      </c>
      <c r="L158" s="79">
        <v>233.55</v>
      </c>
      <c r="M158" s="79">
        <v>219.55</v>
      </c>
      <c r="N158" s="79">
        <v>200.75</v>
      </c>
      <c r="O158" s="79">
        <v>186</v>
      </c>
      <c r="P158" s="79">
        <v>187</v>
      </c>
      <c r="Q158" s="79">
        <v>187.2</v>
      </c>
      <c r="R158" s="79">
        <v>195.75</v>
      </c>
      <c r="S158" s="79">
        <v>223.85</v>
      </c>
      <c r="T158" s="79">
        <v>235.75</v>
      </c>
      <c r="U158" s="79">
        <v>238.15</v>
      </c>
      <c r="V158" s="79">
        <v>183.25</v>
      </c>
      <c r="W158" s="79">
        <v>182.4</v>
      </c>
      <c r="X158" s="79">
        <v>182.05</v>
      </c>
      <c r="Y158" s="79">
        <v>182.45</v>
      </c>
      <c r="Z158" s="79">
        <v>219.15</v>
      </c>
      <c r="AA158" s="79">
        <v>239.75</v>
      </c>
      <c r="AB158" s="79">
        <v>239.95</v>
      </c>
      <c r="AC158" s="79">
        <v>239.9</v>
      </c>
      <c r="AD158" s="79">
        <v>239.85</v>
      </c>
      <c r="AE158" s="79">
        <v>239.75</v>
      </c>
      <c r="AF158" s="79">
        <v>5660.9</v>
      </c>
    </row>
    <row r="159" spans="1:32" x14ac:dyDescent="0.3">
      <c r="A159" s="1"/>
      <c r="B159" s="77" t="s">
        <v>1014</v>
      </c>
      <c r="C159" s="77" t="s">
        <v>1017</v>
      </c>
      <c r="D159" s="77" t="s">
        <v>73</v>
      </c>
      <c r="E159" s="78" t="s">
        <v>596</v>
      </c>
      <c r="F159" s="79">
        <v>480.6</v>
      </c>
      <c r="G159" s="79">
        <v>480.4</v>
      </c>
      <c r="H159" s="79">
        <v>479.75</v>
      </c>
      <c r="I159" s="79">
        <v>480.3</v>
      </c>
      <c r="J159" s="79">
        <v>480.55</v>
      </c>
      <c r="K159" s="79">
        <v>478.57</v>
      </c>
      <c r="L159" s="79">
        <v>479.7</v>
      </c>
      <c r="M159" s="79">
        <v>480</v>
      </c>
      <c r="N159" s="79">
        <v>479.35</v>
      </c>
      <c r="O159" s="79">
        <v>480.1</v>
      </c>
      <c r="P159" s="79">
        <v>479.9</v>
      </c>
      <c r="Q159" s="79">
        <v>479.85</v>
      </c>
      <c r="R159" s="79">
        <v>479.2</v>
      </c>
      <c r="S159" s="79">
        <v>480.05</v>
      </c>
      <c r="T159" s="79">
        <v>480.3</v>
      </c>
      <c r="U159" s="79">
        <v>480.3</v>
      </c>
      <c r="V159" s="79">
        <v>479.85</v>
      </c>
      <c r="W159" s="79">
        <v>480.15</v>
      </c>
      <c r="X159" s="79">
        <v>479.5</v>
      </c>
      <c r="Y159" s="79">
        <v>477.95</v>
      </c>
      <c r="Z159" s="79">
        <v>476.75</v>
      </c>
      <c r="AA159" s="79">
        <v>472.4</v>
      </c>
      <c r="AB159" s="79">
        <v>461.95</v>
      </c>
      <c r="AC159" s="79">
        <v>459.45</v>
      </c>
      <c r="AD159" s="79">
        <v>459.4</v>
      </c>
      <c r="AE159" s="79">
        <v>447.4</v>
      </c>
      <c r="AF159" s="79">
        <v>12373.72</v>
      </c>
    </row>
    <row r="160" spans="1:32" x14ac:dyDescent="0.3">
      <c r="A160" s="1"/>
      <c r="B160" s="77" t="s">
        <v>151</v>
      </c>
      <c r="C160" s="77" t="s">
        <v>1018</v>
      </c>
      <c r="D160" s="77" t="s">
        <v>73</v>
      </c>
      <c r="E160" s="78" t="s">
        <v>596</v>
      </c>
      <c r="F160" s="79">
        <v>91.2</v>
      </c>
      <c r="G160" s="79">
        <v>91.2</v>
      </c>
      <c r="H160" s="79">
        <v>91.2</v>
      </c>
      <c r="I160" s="79">
        <v>91.2</v>
      </c>
      <c r="J160" s="79">
        <v>91.2</v>
      </c>
      <c r="K160" s="79">
        <v>79.8</v>
      </c>
      <c r="L160" s="79">
        <v>91.2</v>
      </c>
      <c r="M160" s="79">
        <v>90.95</v>
      </c>
      <c r="N160" s="79">
        <v>90.4</v>
      </c>
      <c r="O160" s="79">
        <v>91.15</v>
      </c>
      <c r="P160" s="79">
        <v>91.2</v>
      </c>
      <c r="Q160" s="79">
        <v>91.2</v>
      </c>
      <c r="R160" s="79">
        <v>91.2</v>
      </c>
      <c r="S160" s="79">
        <v>87.4</v>
      </c>
      <c r="T160" s="79">
        <v>86.4</v>
      </c>
      <c r="U160" s="79">
        <v>86.4</v>
      </c>
      <c r="V160" s="79">
        <v>86.4</v>
      </c>
      <c r="W160" s="79">
        <v>86.4</v>
      </c>
      <c r="X160" s="79">
        <v>85.85</v>
      </c>
      <c r="Y160" s="79">
        <v>74.8</v>
      </c>
      <c r="Z160" s="79">
        <v>66.25</v>
      </c>
      <c r="AA160" s="79">
        <v>86.4</v>
      </c>
      <c r="AB160" s="79">
        <v>86.4</v>
      </c>
      <c r="AC160" s="79">
        <v>86.4</v>
      </c>
      <c r="AD160" s="79">
        <v>86.4</v>
      </c>
      <c r="AE160" s="79">
        <v>86.4</v>
      </c>
      <c r="AF160" s="79">
        <v>2265</v>
      </c>
    </row>
    <row r="161" spans="1:32" x14ac:dyDescent="0.3">
      <c r="A161" s="1"/>
      <c r="B161" s="77" t="s">
        <v>151</v>
      </c>
      <c r="C161" s="77" t="s">
        <v>152</v>
      </c>
      <c r="D161" s="77" t="s">
        <v>73</v>
      </c>
      <c r="E161" s="78" t="s">
        <v>596</v>
      </c>
      <c r="F161" s="79">
        <v>890.4</v>
      </c>
      <c r="G161" s="79">
        <v>881.15</v>
      </c>
      <c r="H161" s="79">
        <v>836.8</v>
      </c>
      <c r="I161" s="79">
        <v>748.75</v>
      </c>
      <c r="J161" s="79">
        <v>623.85</v>
      </c>
      <c r="K161" s="79">
        <v>543.9</v>
      </c>
      <c r="L161" s="79">
        <v>490.25</v>
      </c>
      <c r="M161" s="79">
        <v>456.75</v>
      </c>
      <c r="N161" s="79">
        <v>473.55</v>
      </c>
      <c r="O161" s="79">
        <v>486.35</v>
      </c>
      <c r="P161" s="79">
        <v>541.65</v>
      </c>
      <c r="Q161" s="79">
        <v>600.29999999999995</v>
      </c>
      <c r="R161" s="79">
        <v>416</v>
      </c>
      <c r="S161" s="79">
        <v>632.45000000000005</v>
      </c>
      <c r="T161" s="79">
        <v>1004.95</v>
      </c>
      <c r="U161" s="79">
        <v>1004.6</v>
      </c>
      <c r="V161" s="79">
        <v>1004.1</v>
      </c>
      <c r="W161" s="79">
        <v>1001.45</v>
      </c>
      <c r="X161" s="79">
        <v>1002.9</v>
      </c>
      <c r="Y161" s="79">
        <v>1015.75</v>
      </c>
      <c r="Z161" s="79">
        <v>959</v>
      </c>
      <c r="AA161" s="79">
        <v>868.8</v>
      </c>
      <c r="AB161" s="79">
        <v>973.1</v>
      </c>
      <c r="AC161" s="79">
        <v>913.15</v>
      </c>
      <c r="AD161" s="79">
        <v>982.15</v>
      </c>
      <c r="AE161" s="79">
        <v>973.25</v>
      </c>
      <c r="AF161" s="79">
        <v>20325.349999999999</v>
      </c>
    </row>
    <row r="162" spans="1:32" x14ac:dyDescent="0.3">
      <c r="A162" s="1"/>
      <c r="B162" s="77" t="s">
        <v>151</v>
      </c>
      <c r="C162" s="77" t="s">
        <v>154</v>
      </c>
      <c r="D162" s="77" t="s">
        <v>73</v>
      </c>
      <c r="E162" s="78" t="s">
        <v>596</v>
      </c>
      <c r="F162" s="79">
        <v>3497.95</v>
      </c>
      <c r="G162" s="79">
        <v>3812.6</v>
      </c>
      <c r="H162" s="79">
        <v>3564.9</v>
      </c>
      <c r="I162" s="79">
        <v>3202.1</v>
      </c>
      <c r="J162" s="79">
        <v>3307.8</v>
      </c>
      <c r="K162" s="79">
        <v>3168.4349999999999</v>
      </c>
      <c r="L162" s="79">
        <v>3087.85</v>
      </c>
      <c r="M162" s="79">
        <v>2817.85</v>
      </c>
      <c r="N162" s="79">
        <v>2996.7</v>
      </c>
      <c r="O162" s="79">
        <v>2764</v>
      </c>
      <c r="P162" s="79">
        <v>3176.35</v>
      </c>
      <c r="Q162" s="79">
        <v>2950.85</v>
      </c>
      <c r="R162" s="79">
        <v>2822.7</v>
      </c>
      <c r="S162" s="79">
        <v>2471.85</v>
      </c>
      <c r="T162" s="79">
        <v>2499.6999999999998</v>
      </c>
      <c r="U162" s="79">
        <v>2448.6</v>
      </c>
      <c r="V162" s="79">
        <v>2521.5</v>
      </c>
      <c r="W162" s="79">
        <v>2343.9</v>
      </c>
      <c r="X162" s="79">
        <v>2316.8000000000002</v>
      </c>
      <c r="Y162" s="79">
        <v>2045.35</v>
      </c>
      <c r="Z162" s="79">
        <v>2150.75</v>
      </c>
      <c r="AA162" s="79">
        <v>2270.3000000000002</v>
      </c>
      <c r="AB162" s="79">
        <v>2304</v>
      </c>
      <c r="AC162" s="79">
        <v>2180.65</v>
      </c>
      <c r="AD162" s="79">
        <v>2016</v>
      </c>
      <c r="AE162" s="79">
        <v>2290.35</v>
      </c>
      <c r="AF162" s="79">
        <v>71029.835000000006</v>
      </c>
    </row>
    <row r="163" spans="1:32" x14ac:dyDescent="0.3">
      <c r="A163" s="1"/>
      <c r="B163" s="77" t="s">
        <v>151</v>
      </c>
      <c r="C163" s="77" t="s">
        <v>157</v>
      </c>
      <c r="D163" s="77" t="s">
        <v>73</v>
      </c>
      <c r="E163" s="78" t="s">
        <v>596</v>
      </c>
      <c r="F163" s="79">
        <v>303.64999999999998</v>
      </c>
      <c r="G163" s="79">
        <v>337.3</v>
      </c>
      <c r="H163" s="79">
        <v>337.7</v>
      </c>
      <c r="I163" s="79">
        <v>280.7</v>
      </c>
      <c r="J163" s="79">
        <v>291.75</v>
      </c>
      <c r="K163" s="79">
        <v>280.05</v>
      </c>
      <c r="L163" s="79">
        <v>270.95</v>
      </c>
      <c r="M163" s="79">
        <v>260.75</v>
      </c>
      <c r="N163" s="79">
        <v>261.14999999999998</v>
      </c>
      <c r="O163" s="79">
        <v>258.05</v>
      </c>
      <c r="P163" s="79">
        <v>268.5</v>
      </c>
      <c r="Q163" s="79">
        <v>255.7</v>
      </c>
      <c r="R163" s="79">
        <v>270.5</v>
      </c>
      <c r="S163" s="79">
        <v>230.65</v>
      </c>
      <c r="T163" s="79">
        <v>269.39999999999998</v>
      </c>
      <c r="U163" s="79">
        <v>294.39999999999998</v>
      </c>
      <c r="V163" s="79">
        <v>270.89999999999998</v>
      </c>
      <c r="W163" s="79">
        <v>236.05</v>
      </c>
      <c r="X163" s="79">
        <v>201.9</v>
      </c>
      <c r="Y163" s="79">
        <v>143.9</v>
      </c>
      <c r="Z163" s="79">
        <v>234.75</v>
      </c>
      <c r="AA163" s="79">
        <v>236.25</v>
      </c>
      <c r="AB163" s="79">
        <v>255.7</v>
      </c>
      <c r="AC163" s="79">
        <v>234.1</v>
      </c>
      <c r="AD163" s="79">
        <v>233.1</v>
      </c>
      <c r="AE163" s="79">
        <v>309.75</v>
      </c>
      <c r="AF163" s="79">
        <v>6827.6</v>
      </c>
    </row>
    <row r="164" spans="1:32" x14ac:dyDescent="0.3">
      <c r="A164" s="1"/>
      <c r="B164" s="77" t="s">
        <v>151</v>
      </c>
      <c r="C164" s="77" t="s">
        <v>1019</v>
      </c>
      <c r="D164" s="77" t="s">
        <v>73</v>
      </c>
      <c r="E164" s="78" t="s">
        <v>596</v>
      </c>
      <c r="F164" s="79">
        <v>1028.05</v>
      </c>
      <c r="G164" s="79">
        <v>1041.0999999999999</v>
      </c>
      <c r="H164" s="79">
        <v>1019.85</v>
      </c>
      <c r="I164" s="79">
        <v>1033.7</v>
      </c>
      <c r="J164" s="79">
        <v>1013.3</v>
      </c>
      <c r="K164" s="79">
        <v>1034.345</v>
      </c>
      <c r="L164" s="79">
        <v>1071.2</v>
      </c>
      <c r="M164" s="79">
        <v>1057.4000000000001</v>
      </c>
      <c r="N164" s="79">
        <v>1044.75</v>
      </c>
      <c r="O164" s="79">
        <v>1059.0999999999999</v>
      </c>
      <c r="P164" s="79">
        <v>1039.0999999999999</v>
      </c>
      <c r="Q164" s="79">
        <v>917.1</v>
      </c>
      <c r="R164" s="79">
        <v>754.2</v>
      </c>
      <c r="S164" s="79">
        <v>657.05</v>
      </c>
      <c r="T164" s="79">
        <v>655.15</v>
      </c>
      <c r="U164" s="79">
        <v>417</v>
      </c>
      <c r="V164" s="79">
        <v>282.25</v>
      </c>
      <c r="W164" s="79">
        <v>417</v>
      </c>
      <c r="X164" s="79">
        <v>376</v>
      </c>
      <c r="Y164" s="79">
        <v>332.3</v>
      </c>
      <c r="Z164" s="79">
        <v>319.89999999999998</v>
      </c>
      <c r="AA164" s="79">
        <v>403.35</v>
      </c>
      <c r="AB164" s="79">
        <v>296.89999999999998</v>
      </c>
      <c r="AC164" s="79">
        <v>251.8</v>
      </c>
      <c r="AD164" s="79">
        <v>344.9</v>
      </c>
      <c r="AE164" s="79">
        <v>358.1</v>
      </c>
      <c r="AF164" s="79">
        <v>18224.895</v>
      </c>
    </row>
    <row r="165" spans="1:32" x14ac:dyDescent="0.3">
      <c r="A165" s="1"/>
      <c r="B165" s="77" t="s">
        <v>151</v>
      </c>
      <c r="C165" s="77" t="s">
        <v>1020</v>
      </c>
      <c r="D165" s="77" t="s">
        <v>73</v>
      </c>
      <c r="E165" s="78" t="s">
        <v>596</v>
      </c>
      <c r="F165" s="79">
        <v>2232.3000000000002</v>
      </c>
      <c r="G165" s="79">
        <v>2344.15</v>
      </c>
      <c r="H165" s="79">
        <v>2562.65</v>
      </c>
      <c r="I165" s="79">
        <v>2569</v>
      </c>
      <c r="J165" s="79">
        <v>2569.1999999999998</v>
      </c>
      <c r="K165" s="79">
        <v>2563.27</v>
      </c>
      <c r="L165" s="79">
        <v>2500.35</v>
      </c>
      <c r="M165" s="79">
        <v>2489.5</v>
      </c>
      <c r="N165" s="79">
        <v>2564.15</v>
      </c>
      <c r="O165" s="79">
        <v>2564.5500000000002</v>
      </c>
      <c r="P165" s="79">
        <v>2572.0500000000002</v>
      </c>
      <c r="Q165" s="79">
        <v>2569.1999999999998</v>
      </c>
      <c r="R165" s="79">
        <v>2564.4</v>
      </c>
      <c r="S165" s="79">
        <v>2561.8000000000002</v>
      </c>
      <c r="T165" s="79">
        <v>2553.5500000000002</v>
      </c>
      <c r="U165" s="79">
        <v>2566</v>
      </c>
      <c r="V165" s="79">
        <v>2476</v>
      </c>
      <c r="W165" s="79">
        <v>2396.4</v>
      </c>
      <c r="X165" s="79">
        <v>2492.1</v>
      </c>
      <c r="Y165" s="79">
        <v>2560.5500000000002</v>
      </c>
      <c r="Z165" s="79">
        <v>2559.65</v>
      </c>
      <c r="AA165" s="79">
        <v>2578.4</v>
      </c>
      <c r="AB165" s="79">
        <v>2559.15</v>
      </c>
      <c r="AC165" s="79">
        <v>2572.9</v>
      </c>
      <c r="AD165" s="79">
        <v>2493.35</v>
      </c>
      <c r="AE165" s="79">
        <v>2586.65</v>
      </c>
      <c r="AF165" s="79">
        <v>65621.27</v>
      </c>
    </row>
    <row r="166" spans="1:32" x14ac:dyDescent="0.3">
      <c r="A166" s="1"/>
      <c r="B166" s="77" t="s">
        <v>1116</v>
      </c>
      <c r="C166" s="77" t="s">
        <v>1145</v>
      </c>
      <c r="D166" s="77" t="s">
        <v>73</v>
      </c>
      <c r="E166" s="78" t="s">
        <v>598</v>
      </c>
      <c r="F166" s="79">
        <v>135.35</v>
      </c>
      <c r="G166" s="79">
        <v>125.4</v>
      </c>
      <c r="H166" s="79">
        <v>119.15</v>
      </c>
      <c r="I166" s="79">
        <v>144.75</v>
      </c>
      <c r="J166" s="79">
        <v>132.05000000000001</v>
      </c>
      <c r="K166" s="79">
        <v>143.65</v>
      </c>
      <c r="L166" s="79">
        <v>70.75</v>
      </c>
      <c r="M166" s="79">
        <v>35.5</v>
      </c>
      <c r="N166" s="79">
        <v>115.8</v>
      </c>
      <c r="O166" s="79">
        <v>133.5</v>
      </c>
      <c r="P166" s="79">
        <v>116.1</v>
      </c>
      <c r="Q166" s="79">
        <v>106.25</v>
      </c>
      <c r="R166" s="79">
        <v>106.35</v>
      </c>
      <c r="S166" s="79">
        <v>122.55</v>
      </c>
      <c r="T166" s="79">
        <v>131.15</v>
      </c>
      <c r="U166" s="79">
        <v>128.25</v>
      </c>
      <c r="V166" s="79">
        <v>118.95</v>
      </c>
      <c r="W166" s="79">
        <v>101.9</v>
      </c>
      <c r="X166" s="79">
        <v>113</v>
      </c>
      <c r="Y166" s="79">
        <v>99</v>
      </c>
      <c r="Z166" s="79">
        <v>100.45</v>
      </c>
      <c r="AA166" s="79">
        <v>106.6</v>
      </c>
      <c r="AB166" s="79">
        <v>80.75</v>
      </c>
      <c r="AC166" s="79">
        <v>110.45</v>
      </c>
      <c r="AD166" s="79">
        <v>115.5</v>
      </c>
      <c r="AE166" s="79">
        <v>104.95</v>
      </c>
      <c r="AF166" s="79">
        <v>2918.1</v>
      </c>
    </row>
    <row r="167" spans="1:32" x14ac:dyDescent="0.3">
      <c r="A167" s="1"/>
      <c r="B167" s="77" t="s">
        <v>159</v>
      </c>
      <c r="C167" s="77" t="s">
        <v>1229</v>
      </c>
      <c r="D167" s="77" t="s">
        <v>1193</v>
      </c>
      <c r="E167" s="78" t="s">
        <v>597</v>
      </c>
      <c r="F167" s="79">
        <v>331.4</v>
      </c>
      <c r="G167" s="79"/>
      <c r="H167" s="79">
        <v>2084.6999999999998</v>
      </c>
      <c r="I167" s="79">
        <v>5015.3999999999996</v>
      </c>
      <c r="J167" s="79">
        <v>5012.3500000000004</v>
      </c>
      <c r="K167" s="79">
        <v>5013.6850000000004</v>
      </c>
      <c r="L167" s="79">
        <v>4685.3</v>
      </c>
      <c r="M167" s="79">
        <v>4976.8500000000004</v>
      </c>
      <c r="N167" s="79">
        <v>640.85</v>
      </c>
      <c r="O167" s="79">
        <v>1849.2</v>
      </c>
      <c r="P167" s="79">
        <v>4558.7</v>
      </c>
      <c r="Q167" s="79">
        <v>5007.75</v>
      </c>
      <c r="R167" s="79">
        <v>4861.05</v>
      </c>
      <c r="S167" s="79">
        <v>4947.75</v>
      </c>
      <c r="T167" s="79">
        <v>1518.9</v>
      </c>
      <c r="U167" s="79">
        <v>815</v>
      </c>
      <c r="V167" s="79">
        <v>688.6</v>
      </c>
      <c r="W167" s="79">
        <v>1154.75</v>
      </c>
      <c r="X167" s="79">
        <v>757.35</v>
      </c>
      <c r="Y167" s="79">
        <v>2398.9</v>
      </c>
      <c r="Z167" s="79">
        <v>5020.5</v>
      </c>
      <c r="AA167" s="79">
        <v>5025.3500000000004</v>
      </c>
      <c r="AB167" s="79">
        <v>5006.3</v>
      </c>
      <c r="AC167" s="79">
        <v>4150.3</v>
      </c>
      <c r="AD167" s="79">
        <v>4930.8999999999996</v>
      </c>
      <c r="AE167" s="79">
        <v>4978.25</v>
      </c>
      <c r="AF167" s="79">
        <v>85430.085000000006</v>
      </c>
    </row>
    <row r="168" spans="1:32" x14ac:dyDescent="0.3">
      <c r="A168" s="1"/>
      <c r="B168" s="77" t="s">
        <v>159</v>
      </c>
      <c r="C168" s="77" t="s">
        <v>1229</v>
      </c>
      <c r="D168" s="77" t="s">
        <v>1157</v>
      </c>
      <c r="E168" s="78" t="s">
        <v>597</v>
      </c>
      <c r="F168" s="79"/>
      <c r="G168" s="79"/>
      <c r="H168" s="79">
        <v>907</v>
      </c>
      <c r="I168" s="79">
        <v>2421.65</v>
      </c>
      <c r="J168" s="79">
        <v>2419.5</v>
      </c>
      <c r="K168" s="79">
        <v>2422.1</v>
      </c>
      <c r="L168" s="79">
        <v>2318.15</v>
      </c>
      <c r="M168" s="79">
        <v>2403.1999999999998</v>
      </c>
      <c r="N168" s="79">
        <v>141.25</v>
      </c>
      <c r="O168" s="79">
        <v>797.6</v>
      </c>
      <c r="P168" s="79">
        <v>2267.75</v>
      </c>
      <c r="Q168" s="79">
        <v>2413.15</v>
      </c>
      <c r="R168" s="79">
        <v>2376.15</v>
      </c>
      <c r="S168" s="79">
        <v>2404.8000000000002</v>
      </c>
      <c r="T168" s="79">
        <v>754.05</v>
      </c>
      <c r="U168" s="79"/>
      <c r="V168" s="79"/>
      <c r="W168" s="79"/>
      <c r="X168" s="79"/>
      <c r="Y168" s="79">
        <v>1067.25</v>
      </c>
      <c r="Z168" s="79">
        <v>2419.3000000000002</v>
      </c>
      <c r="AA168" s="79">
        <v>2422.9</v>
      </c>
      <c r="AB168" s="79">
        <v>2415</v>
      </c>
      <c r="AC168" s="79">
        <v>2148.5500000000002</v>
      </c>
      <c r="AD168" s="79">
        <v>2389.6999999999998</v>
      </c>
      <c r="AE168" s="79">
        <v>2397.25</v>
      </c>
      <c r="AF168" s="79">
        <v>39306.300000000003</v>
      </c>
    </row>
    <row r="169" spans="1:32" x14ac:dyDescent="0.3">
      <c r="A169" s="1"/>
      <c r="B169" s="77" t="s">
        <v>164</v>
      </c>
      <c r="C169" s="77" t="s">
        <v>1230</v>
      </c>
      <c r="D169" s="77" t="s">
        <v>1193</v>
      </c>
      <c r="E169" s="78" t="s">
        <v>597</v>
      </c>
      <c r="F169" s="79">
        <v>748.25</v>
      </c>
      <c r="G169" s="79">
        <v>149.9</v>
      </c>
      <c r="H169" s="79">
        <v>576.54999999999995</v>
      </c>
      <c r="I169" s="79">
        <v>54.25</v>
      </c>
      <c r="J169" s="79"/>
      <c r="K169" s="79"/>
      <c r="L169" s="79"/>
      <c r="M169" s="79"/>
      <c r="N169" s="79">
        <v>875.65</v>
      </c>
      <c r="O169" s="79">
        <v>1091.8499999999999</v>
      </c>
      <c r="P169" s="79"/>
      <c r="Q169" s="79"/>
      <c r="R169" s="79"/>
      <c r="S169" s="79"/>
      <c r="T169" s="79"/>
      <c r="U169" s="79"/>
      <c r="V169" s="79">
        <v>600.20000000000005</v>
      </c>
      <c r="W169" s="79">
        <v>27.05</v>
      </c>
      <c r="X169" s="79"/>
      <c r="Y169" s="79"/>
      <c r="Z169" s="79"/>
      <c r="AA169" s="79"/>
      <c r="AB169" s="79"/>
      <c r="AC169" s="79">
        <v>977</v>
      </c>
      <c r="AD169" s="79">
        <v>1084.25</v>
      </c>
      <c r="AE169" s="79"/>
      <c r="AF169" s="79">
        <v>6184.95</v>
      </c>
    </row>
    <row r="170" spans="1:32" x14ac:dyDescent="0.3">
      <c r="A170" s="1"/>
      <c r="B170" s="77" t="s">
        <v>164</v>
      </c>
      <c r="C170" s="77" t="s">
        <v>1230</v>
      </c>
      <c r="D170" s="77" t="s">
        <v>1194</v>
      </c>
      <c r="E170" s="78" t="s">
        <v>597</v>
      </c>
      <c r="F170" s="79"/>
      <c r="G170" s="79">
        <v>1053.6500000000001</v>
      </c>
      <c r="H170" s="79">
        <v>61.85</v>
      </c>
      <c r="I170" s="79">
        <v>549.15</v>
      </c>
      <c r="J170" s="79">
        <v>478.7</v>
      </c>
      <c r="K170" s="79">
        <v>382.2</v>
      </c>
      <c r="L170" s="79">
        <v>577.6</v>
      </c>
      <c r="M170" s="79"/>
      <c r="N170" s="79"/>
      <c r="O170" s="79"/>
      <c r="P170" s="79"/>
      <c r="Q170" s="79"/>
      <c r="R170" s="79"/>
      <c r="S170" s="79"/>
      <c r="T170" s="79"/>
      <c r="U170" s="79"/>
      <c r="V170" s="79">
        <v>904.5</v>
      </c>
      <c r="W170" s="79">
        <v>28.3</v>
      </c>
      <c r="X170" s="79"/>
      <c r="Y170" s="79">
        <v>520.4</v>
      </c>
      <c r="Z170" s="79">
        <v>433.15</v>
      </c>
      <c r="AA170" s="79"/>
      <c r="AB170" s="79">
        <v>468.3</v>
      </c>
      <c r="AC170" s="79"/>
      <c r="AD170" s="79"/>
      <c r="AE170" s="79">
        <v>756.1</v>
      </c>
      <c r="AF170" s="79">
        <v>6213.9</v>
      </c>
    </row>
    <row r="171" spans="1:32" x14ac:dyDescent="0.3">
      <c r="A171" s="1"/>
      <c r="B171" s="77" t="s">
        <v>613</v>
      </c>
      <c r="C171" s="77" t="s">
        <v>1021</v>
      </c>
      <c r="D171" s="77" t="s">
        <v>73</v>
      </c>
      <c r="E171" s="78" t="s">
        <v>596</v>
      </c>
      <c r="F171" s="79">
        <v>134.9</v>
      </c>
      <c r="G171" s="79"/>
      <c r="H171" s="79">
        <v>96.7</v>
      </c>
      <c r="I171" s="79">
        <v>188.55</v>
      </c>
      <c r="J171" s="79">
        <v>152.6</v>
      </c>
      <c r="K171" s="79"/>
      <c r="L171" s="79">
        <v>114.25</v>
      </c>
      <c r="M171" s="79">
        <v>155.11600000000001</v>
      </c>
      <c r="N171" s="79">
        <v>188.95</v>
      </c>
      <c r="O171" s="79">
        <v>188.15</v>
      </c>
      <c r="P171" s="79">
        <v>188.6</v>
      </c>
      <c r="Q171" s="79">
        <v>188.65</v>
      </c>
      <c r="R171" s="79">
        <v>187.6</v>
      </c>
      <c r="S171" s="79">
        <v>187.95</v>
      </c>
      <c r="T171" s="79">
        <v>189.1</v>
      </c>
      <c r="U171" s="79">
        <v>188.9</v>
      </c>
      <c r="V171" s="79">
        <v>188.05</v>
      </c>
      <c r="W171" s="79">
        <v>188.8</v>
      </c>
      <c r="X171" s="79">
        <v>188.4</v>
      </c>
      <c r="Y171" s="79">
        <v>188.4</v>
      </c>
      <c r="Z171" s="79">
        <v>188.55</v>
      </c>
      <c r="AA171" s="79">
        <v>187.75</v>
      </c>
      <c r="AB171" s="79">
        <v>188.8</v>
      </c>
      <c r="AC171" s="79">
        <v>189.46299999999999</v>
      </c>
      <c r="AD171" s="79">
        <v>188.2</v>
      </c>
      <c r="AE171" s="79">
        <v>188.45</v>
      </c>
      <c r="AF171" s="79">
        <v>4234.8789999999999</v>
      </c>
    </row>
    <row r="172" spans="1:32" x14ac:dyDescent="0.3">
      <c r="A172" s="1"/>
      <c r="B172" s="77" t="s">
        <v>613</v>
      </c>
      <c r="C172" s="77" t="s">
        <v>1022</v>
      </c>
      <c r="D172" s="77" t="s">
        <v>73</v>
      </c>
      <c r="E172" s="78" t="s">
        <v>596</v>
      </c>
      <c r="F172" s="79">
        <v>169.9</v>
      </c>
      <c r="G172" s="79">
        <v>172.55</v>
      </c>
      <c r="H172" s="79">
        <v>173.55</v>
      </c>
      <c r="I172" s="79">
        <v>177.6</v>
      </c>
      <c r="J172" s="79">
        <v>173</v>
      </c>
      <c r="K172" s="79">
        <v>174.10499999999999</v>
      </c>
      <c r="L172" s="79">
        <v>148.30000000000001</v>
      </c>
      <c r="M172" s="79">
        <v>97.055599999999998</v>
      </c>
      <c r="N172" s="79">
        <v>96.2</v>
      </c>
      <c r="O172" s="79">
        <v>92.4</v>
      </c>
      <c r="P172" s="79">
        <v>95.05</v>
      </c>
      <c r="Q172" s="79">
        <v>93.3</v>
      </c>
      <c r="R172" s="79">
        <v>93.3</v>
      </c>
      <c r="S172" s="79">
        <v>91.6</v>
      </c>
      <c r="T172" s="79">
        <v>89.8</v>
      </c>
      <c r="U172" s="79">
        <v>104.7</v>
      </c>
      <c r="V172" s="79">
        <v>118.05</v>
      </c>
      <c r="W172" s="79">
        <v>107.035</v>
      </c>
      <c r="X172" s="79">
        <v>80.75</v>
      </c>
      <c r="Y172" s="79">
        <v>84.2</v>
      </c>
      <c r="Z172" s="79">
        <v>85</v>
      </c>
      <c r="AA172" s="79">
        <v>83.8</v>
      </c>
      <c r="AB172" s="79">
        <v>94</v>
      </c>
      <c r="AC172" s="79">
        <v>142.97200000000001</v>
      </c>
      <c r="AD172" s="79">
        <v>85.3</v>
      </c>
      <c r="AE172" s="79">
        <v>86.95</v>
      </c>
      <c r="AF172" s="79">
        <v>3010.4675999999999</v>
      </c>
    </row>
    <row r="173" spans="1:32" x14ac:dyDescent="0.3">
      <c r="A173" s="1"/>
      <c r="B173" s="77" t="s">
        <v>618</v>
      </c>
      <c r="C173" s="77" t="s">
        <v>1023</v>
      </c>
      <c r="D173" s="77" t="s">
        <v>1023</v>
      </c>
      <c r="E173" s="78" t="s">
        <v>596</v>
      </c>
      <c r="F173" s="79">
        <v>491.9</v>
      </c>
      <c r="G173" s="79">
        <v>492.7</v>
      </c>
      <c r="H173" s="79">
        <v>369.5</v>
      </c>
      <c r="I173" s="79">
        <v>493.1</v>
      </c>
      <c r="J173" s="79">
        <v>493.05</v>
      </c>
      <c r="K173" s="79">
        <v>479.26</v>
      </c>
      <c r="L173" s="79">
        <v>492.6</v>
      </c>
      <c r="M173" s="79">
        <v>471.35</v>
      </c>
      <c r="N173" s="79">
        <v>481.85</v>
      </c>
      <c r="O173" s="79">
        <v>492.3</v>
      </c>
      <c r="P173" s="79">
        <v>429.25</v>
      </c>
      <c r="Q173" s="79">
        <v>492.45</v>
      </c>
      <c r="R173" s="79">
        <v>491.9</v>
      </c>
      <c r="S173" s="79">
        <v>491.3</v>
      </c>
      <c r="T173" s="79">
        <v>491.65</v>
      </c>
      <c r="U173" s="79">
        <v>152.69999999999999</v>
      </c>
      <c r="V173" s="79">
        <v>118.6</v>
      </c>
      <c r="W173" s="79">
        <v>499.75</v>
      </c>
      <c r="X173" s="79">
        <v>478.65</v>
      </c>
      <c r="Y173" s="79">
        <v>451.4</v>
      </c>
      <c r="Z173" s="79">
        <v>452.05</v>
      </c>
      <c r="AA173" s="79">
        <v>451.15</v>
      </c>
      <c r="AB173" s="79">
        <v>437</v>
      </c>
      <c r="AC173" s="79">
        <v>410.55</v>
      </c>
      <c r="AD173" s="79">
        <v>403.3</v>
      </c>
      <c r="AE173" s="79">
        <v>385.75</v>
      </c>
      <c r="AF173" s="79">
        <v>11395.06</v>
      </c>
    </row>
    <row r="174" spans="1:32" x14ac:dyDescent="0.3">
      <c r="A174" s="1"/>
      <c r="B174" s="220" t="s">
        <v>1231</v>
      </c>
      <c r="C174" s="220"/>
      <c r="D174" s="220"/>
      <c r="E174" s="220"/>
      <c r="F174" s="80">
        <v>161908.79</v>
      </c>
      <c r="G174" s="80">
        <v>166982.245</v>
      </c>
      <c r="H174" s="80">
        <v>163701.46</v>
      </c>
      <c r="I174" s="80">
        <v>175796.01949999999</v>
      </c>
      <c r="J174" s="80">
        <v>179386.15035000001</v>
      </c>
      <c r="K174" s="80">
        <v>179632.20999500001</v>
      </c>
      <c r="L174" s="80">
        <v>176647.9</v>
      </c>
      <c r="M174" s="80">
        <v>178303.8216</v>
      </c>
      <c r="N174" s="80">
        <v>173509.255</v>
      </c>
      <c r="O174" s="80">
        <v>158079.80893999999</v>
      </c>
      <c r="P174" s="80">
        <v>172584.02799999999</v>
      </c>
      <c r="Q174" s="80">
        <v>180167.9</v>
      </c>
      <c r="R174" s="80">
        <v>176061.9595</v>
      </c>
      <c r="S174" s="80">
        <v>176039.43350000001</v>
      </c>
      <c r="T174" s="80">
        <v>175508.25</v>
      </c>
      <c r="U174" s="80">
        <v>172650.45</v>
      </c>
      <c r="V174" s="80">
        <v>159363.65</v>
      </c>
      <c r="W174" s="80">
        <v>172741.005</v>
      </c>
      <c r="X174" s="80">
        <v>175316.08</v>
      </c>
      <c r="Y174" s="80">
        <v>173053.285</v>
      </c>
      <c r="Z174" s="80">
        <v>172839.361</v>
      </c>
      <c r="AA174" s="80">
        <v>171081.576</v>
      </c>
      <c r="AB174" s="80">
        <v>172502.45</v>
      </c>
      <c r="AC174" s="80">
        <v>163500.482605</v>
      </c>
      <c r="AD174" s="80">
        <v>174252.79999999999</v>
      </c>
      <c r="AE174" s="80">
        <v>176547</v>
      </c>
      <c r="AF174" s="80">
        <v>4478157.3709899997</v>
      </c>
    </row>
    <row r="175" spans="1:3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7.399999999999999" x14ac:dyDescent="0.3">
      <c r="A177" s="1"/>
      <c r="B177" s="2" t="s">
        <v>1232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22.95" customHeight="1" x14ac:dyDescent="0.3">
      <c r="A178" s="1"/>
      <c r="B178" s="206" t="s">
        <v>3</v>
      </c>
      <c r="C178" s="206" t="s">
        <v>73</v>
      </c>
      <c r="D178" s="206" t="s">
        <v>1152</v>
      </c>
      <c r="E178" s="206" t="s">
        <v>1153</v>
      </c>
      <c r="F178" s="206" t="s">
        <v>1154</v>
      </c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  <c r="AA178" s="206"/>
      <c r="AB178" s="206"/>
      <c r="AC178" s="206"/>
      <c r="AD178" s="206"/>
      <c r="AE178" s="206"/>
      <c r="AF178" s="206"/>
    </row>
    <row r="179" spans="1:32" ht="22.95" customHeight="1" x14ac:dyDescent="0.3">
      <c r="A179" s="1"/>
      <c r="B179" s="206"/>
      <c r="C179" s="206"/>
      <c r="D179" s="206"/>
      <c r="E179" s="206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 t="s">
        <v>961</v>
      </c>
    </row>
    <row r="180" spans="1:32" x14ac:dyDescent="0.3">
      <c r="A180" s="1"/>
      <c r="B180" s="77" t="s">
        <v>647</v>
      </c>
      <c r="C180" s="77" t="s">
        <v>1233</v>
      </c>
      <c r="D180" s="77" t="s">
        <v>1168</v>
      </c>
      <c r="E180" s="78" t="s">
        <v>596</v>
      </c>
      <c r="F180" s="79">
        <v>267.88099999999997</v>
      </c>
      <c r="G180" s="79"/>
      <c r="H180" s="79">
        <v>237.227</v>
      </c>
      <c r="I180" s="79">
        <v>279.51299999999998</v>
      </c>
      <c r="J180" s="79">
        <v>243.08600000000001</v>
      </c>
      <c r="K180" s="79">
        <v>272.05500000000001</v>
      </c>
      <c r="L180" s="79">
        <v>241.916</v>
      </c>
      <c r="M180" s="79">
        <v>276.14999999999998</v>
      </c>
      <c r="N180" s="79">
        <v>269.35500000000002</v>
      </c>
      <c r="O180" s="79">
        <v>217.65</v>
      </c>
      <c r="P180" s="79">
        <v>277.45</v>
      </c>
      <c r="Q180" s="79">
        <v>279.55</v>
      </c>
      <c r="R180" s="79">
        <v>281.70299999999997</v>
      </c>
      <c r="S180" s="79">
        <v>278.81900000000002</v>
      </c>
      <c r="T180" s="79">
        <v>272.875</v>
      </c>
      <c r="U180" s="79">
        <v>266.74400000000003</v>
      </c>
      <c r="V180" s="79">
        <v>258.75</v>
      </c>
      <c r="W180" s="79">
        <v>259.61500000000001</v>
      </c>
      <c r="X180" s="79">
        <v>237.5</v>
      </c>
      <c r="Y180" s="79"/>
      <c r="Z180" s="79">
        <v>249.214</v>
      </c>
      <c r="AA180" s="79">
        <v>257.05</v>
      </c>
      <c r="AB180" s="79">
        <v>257.85000000000002</v>
      </c>
      <c r="AC180" s="79">
        <v>251.36911499999999</v>
      </c>
      <c r="AD180" s="79">
        <v>263.74669499999999</v>
      </c>
      <c r="AE180" s="79">
        <v>260.14999999999998</v>
      </c>
      <c r="AF180" s="79">
        <v>6257.2188100000003</v>
      </c>
    </row>
    <row r="181" spans="1:32" ht="27.6" x14ac:dyDescent="0.3">
      <c r="A181" s="1"/>
      <c r="B181" s="77" t="s">
        <v>43</v>
      </c>
      <c r="C181" s="77" t="s">
        <v>3446</v>
      </c>
      <c r="D181" s="77" t="s">
        <v>1168</v>
      </c>
      <c r="E181" s="78" t="s">
        <v>3447</v>
      </c>
      <c r="F181" s="79">
        <v>173.26249999999999</v>
      </c>
      <c r="G181" s="79">
        <v>193.815</v>
      </c>
      <c r="H181" s="79">
        <v>190.33150000000001</v>
      </c>
      <c r="I181" s="79">
        <v>154.084</v>
      </c>
      <c r="J181" s="79">
        <v>154.084</v>
      </c>
      <c r="K181" s="79">
        <v>154.095</v>
      </c>
      <c r="L181" s="79">
        <v>194.59931</v>
      </c>
      <c r="M181" s="79">
        <v>156.72999999999999</v>
      </c>
      <c r="N181" s="79">
        <v>151.49899500000001</v>
      </c>
      <c r="O181" s="79">
        <v>191.93</v>
      </c>
      <c r="P181" s="79">
        <v>179.64</v>
      </c>
      <c r="Q181" s="79">
        <v>192.755</v>
      </c>
      <c r="R181" s="79">
        <v>192.4385</v>
      </c>
      <c r="S181" s="79">
        <v>192.41050000000001</v>
      </c>
      <c r="T181" s="79">
        <v>205.64517000000001</v>
      </c>
      <c r="U181" s="79">
        <v>166.110725</v>
      </c>
      <c r="V181" s="79">
        <v>192.1</v>
      </c>
      <c r="W181" s="79">
        <v>165.38499999999999</v>
      </c>
      <c r="X181" s="79">
        <v>135.44</v>
      </c>
      <c r="Y181" s="79">
        <v>164.685</v>
      </c>
      <c r="Z181" s="79">
        <v>114.06699999999999</v>
      </c>
      <c r="AA181" s="79">
        <v>123.6</v>
      </c>
      <c r="AB181" s="79">
        <v>129.65</v>
      </c>
      <c r="AC181" s="79">
        <v>81.230500000000006</v>
      </c>
      <c r="AD181" s="79">
        <v>84.25</v>
      </c>
      <c r="AE181" s="79">
        <v>90.480860000000007</v>
      </c>
      <c r="AF181" s="79">
        <v>4124.3185599999997</v>
      </c>
    </row>
    <row r="182" spans="1:32" x14ac:dyDescent="0.3">
      <c r="A182" s="1"/>
      <c r="B182" s="77" t="s">
        <v>648</v>
      </c>
      <c r="C182" s="77" t="s">
        <v>1234</v>
      </c>
      <c r="D182" s="77" t="s">
        <v>73</v>
      </c>
      <c r="E182" s="78" t="s">
        <v>596</v>
      </c>
      <c r="F182" s="79">
        <v>288.75</v>
      </c>
      <c r="G182" s="79">
        <v>316.75</v>
      </c>
      <c r="H182" s="79">
        <v>316.8</v>
      </c>
      <c r="I182" s="79">
        <v>316.8</v>
      </c>
      <c r="J182" s="79">
        <v>315.89999999999998</v>
      </c>
      <c r="K182" s="79">
        <v>309.72000000000003</v>
      </c>
      <c r="L182" s="79">
        <v>277.2</v>
      </c>
      <c r="M182" s="79">
        <v>316.8</v>
      </c>
      <c r="N182" s="79">
        <v>316.8</v>
      </c>
      <c r="O182" s="79">
        <v>316.75</v>
      </c>
      <c r="P182" s="79">
        <v>316.8</v>
      </c>
      <c r="Q182" s="79">
        <v>315.85000000000002</v>
      </c>
      <c r="R182" s="79">
        <v>307.8</v>
      </c>
      <c r="S182" s="79">
        <v>299.8</v>
      </c>
      <c r="T182" s="79">
        <v>289.45</v>
      </c>
      <c r="U182" s="79">
        <v>276.64999999999998</v>
      </c>
      <c r="V182" s="79">
        <v>273.60000000000002</v>
      </c>
      <c r="W182" s="79">
        <v>273.60000000000002</v>
      </c>
      <c r="X182" s="79">
        <v>265.64999999999998</v>
      </c>
      <c r="Y182" s="79">
        <v>255.2</v>
      </c>
      <c r="Z182" s="79">
        <v>252.9</v>
      </c>
      <c r="AA182" s="79">
        <v>249.15</v>
      </c>
      <c r="AB182" s="79">
        <v>241.8</v>
      </c>
      <c r="AC182" s="79">
        <v>124.4</v>
      </c>
      <c r="AD182" s="79">
        <v>225.9</v>
      </c>
      <c r="AE182" s="79">
        <v>229.2</v>
      </c>
      <c r="AF182" s="79">
        <v>7290.02</v>
      </c>
    </row>
    <row r="183" spans="1:32" x14ac:dyDescent="0.3">
      <c r="A183" s="1"/>
      <c r="B183" s="77" t="s">
        <v>649</v>
      </c>
      <c r="C183" s="77" t="s">
        <v>1235</v>
      </c>
      <c r="D183" s="77" t="s">
        <v>73</v>
      </c>
      <c r="E183" s="78" t="s">
        <v>597</v>
      </c>
      <c r="F183" s="79">
        <v>611.64193499999999</v>
      </c>
      <c r="G183" s="79">
        <v>674.88</v>
      </c>
      <c r="H183" s="79">
        <v>611.80269499999997</v>
      </c>
      <c r="I183" s="79">
        <v>609.185655</v>
      </c>
      <c r="J183" s="79">
        <v>605.86463000000003</v>
      </c>
      <c r="K183" s="79">
        <v>674.88</v>
      </c>
      <c r="L183" s="79">
        <v>603.97018000000003</v>
      </c>
      <c r="M183" s="79">
        <v>607.12121999999999</v>
      </c>
      <c r="N183" s="79">
        <v>613.09764500000006</v>
      </c>
      <c r="O183" s="79">
        <v>611.6</v>
      </c>
      <c r="P183" s="79">
        <v>600.5</v>
      </c>
      <c r="Q183" s="79">
        <v>602.70000000000005</v>
      </c>
      <c r="R183" s="79">
        <v>604.607755</v>
      </c>
      <c r="S183" s="79">
        <v>610.09495500000003</v>
      </c>
      <c r="T183" s="79">
        <v>610.12234000000001</v>
      </c>
      <c r="U183" s="79">
        <v>611.05262500000003</v>
      </c>
      <c r="V183" s="79">
        <v>607.04999999999995</v>
      </c>
      <c r="W183" s="79">
        <v>611.05499999999995</v>
      </c>
      <c r="X183" s="79">
        <v>614.91022999999996</v>
      </c>
      <c r="Y183" s="79">
        <v>611.05499999999995</v>
      </c>
      <c r="Z183" s="79">
        <v>613.97033499999998</v>
      </c>
      <c r="AA183" s="79">
        <v>612.85</v>
      </c>
      <c r="AB183" s="79">
        <v>605.5</v>
      </c>
      <c r="AC183" s="79">
        <v>607.20577000000003</v>
      </c>
      <c r="AD183" s="79">
        <v>609.82251499999995</v>
      </c>
      <c r="AE183" s="79">
        <v>613.34792500000003</v>
      </c>
      <c r="AF183" s="79">
        <v>15969.88841</v>
      </c>
    </row>
    <row r="184" spans="1:32" x14ac:dyDescent="0.3">
      <c r="A184" s="1"/>
      <c r="B184" s="77" t="s">
        <v>1236</v>
      </c>
      <c r="C184" s="77" t="s">
        <v>1237</v>
      </c>
      <c r="D184" s="77" t="s">
        <v>1237</v>
      </c>
      <c r="E184" s="78" t="s">
        <v>597</v>
      </c>
      <c r="F184" s="79">
        <v>454.67601000000002</v>
      </c>
      <c r="G184" s="79">
        <v>453.86500000000001</v>
      </c>
      <c r="H184" s="79">
        <v>454.60557999999997</v>
      </c>
      <c r="I184" s="79">
        <v>454.57080500000001</v>
      </c>
      <c r="J184" s="79">
        <v>454.59124500000001</v>
      </c>
      <c r="K184" s="79">
        <v>454.565</v>
      </c>
      <c r="L184" s="79">
        <v>446.86315500000001</v>
      </c>
      <c r="M184" s="79">
        <v>404.81621000000001</v>
      </c>
      <c r="N184" s="79">
        <v>454.58177499999999</v>
      </c>
      <c r="O184" s="79">
        <v>454.85</v>
      </c>
      <c r="P184" s="79">
        <v>454.35</v>
      </c>
      <c r="Q184" s="79">
        <v>454.55</v>
      </c>
      <c r="R184" s="79">
        <v>454.80737499999998</v>
      </c>
      <c r="S184" s="79">
        <v>454.87263000000002</v>
      </c>
      <c r="T184" s="79">
        <v>454.87042000000002</v>
      </c>
      <c r="U184" s="79">
        <v>454.88493</v>
      </c>
      <c r="V184" s="79">
        <v>456</v>
      </c>
      <c r="W184" s="79">
        <v>454.88499999999999</v>
      </c>
      <c r="X184" s="79">
        <v>456</v>
      </c>
      <c r="Y184" s="79">
        <v>454.88499999999999</v>
      </c>
      <c r="Z184" s="79">
        <v>455.12400000000002</v>
      </c>
      <c r="AA184" s="79">
        <v>456</v>
      </c>
      <c r="AB184" s="79">
        <v>456</v>
      </c>
      <c r="AC184" s="79">
        <v>454.99915499999997</v>
      </c>
      <c r="AD184" s="79">
        <v>444.27139499999998</v>
      </c>
      <c r="AE184" s="79">
        <v>390.65242000000001</v>
      </c>
      <c r="AF184" s="79">
        <v>11695.137105</v>
      </c>
    </row>
    <row r="185" spans="1:32" x14ac:dyDescent="0.3">
      <c r="A185" s="1"/>
      <c r="B185" s="77" t="s">
        <v>1014</v>
      </c>
      <c r="C185" s="77" t="s">
        <v>1238</v>
      </c>
      <c r="D185" s="77" t="s">
        <v>73</v>
      </c>
      <c r="E185" s="78" t="s">
        <v>596</v>
      </c>
      <c r="F185" s="79">
        <v>254.8</v>
      </c>
      <c r="G185" s="79">
        <v>260.3</v>
      </c>
      <c r="H185" s="79">
        <v>276.64999999999998</v>
      </c>
      <c r="I185" s="79">
        <v>269.39999999999998</v>
      </c>
      <c r="J185" s="79">
        <v>267.3</v>
      </c>
      <c r="K185" s="79">
        <v>257.89999999999998</v>
      </c>
      <c r="L185" s="79">
        <v>255.65</v>
      </c>
      <c r="M185" s="79">
        <v>247.9</v>
      </c>
      <c r="N185" s="79">
        <v>189</v>
      </c>
      <c r="O185" s="79">
        <v>185.35</v>
      </c>
      <c r="P185" s="79">
        <v>181.8</v>
      </c>
      <c r="Q185" s="79">
        <v>164.85</v>
      </c>
      <c r="R185" s="79">
        <v>165.15</v>
      </c>
      <c r="S185" s="79">
        <v>216.95</v>
      </c>
      <c r="T185" s="79">
        <v>258.85000000000002</v>
      </c>
      <c r="U185" s="79">
        <v>268.60000000000002</v>
      </c>
      <c r="V185" s="79">
        <v>187.8</v>
      </c>
      <c r="W185" s="79">
        <v>140.65</v>
      </c>
      <c r="X185" s="79">
        <v>144.94999999999999</v>
      </c>
      <c r="Y185" s="79">
        <v>138.5</v>
      </c>
      <c r="Z185" s="79">
        <v>170.3</v>
      </c>
      <c r="AA185" s="79">
        <v>262.64999999999998</v>
      </c>
      <c r="AB185" s="79">
        <v>263.14999999999998</v>
      </c>
      <c r="AC185" s="79">
        <v>269.39999999999998</v>
      </c>
      <c r="AD185" s="79">
        <v>274.45</v>
      </c>
      <c r="AE185" s="79">
        <v>275.85000000000002</v>
      </c>
      <c r="AF185" s="79">
        <v>5848.15</v>
      </c>
    </row>
    <row r="186" spans="1:32" x14ac:dyDescent="0.3">
      <c r="A186" s="1"/>
      <c r="B186" s="77" t="s">
        <v>1014</v>
      </c>
      <c r="C186" s="77" t="s">
        <v>1239</v>
      </c>
      <c r="D186" s="77" t="s">
        <v>73</v>
      </c>
      <c r="E186" s="78" t="s">
        <v>596</v>
      </c>
      <c r="F186" s="79">
        <v>382.75</v>
      </c>
      <c r="G186" s="79">
        <v>386.1</v>
      </c>
      <c r="H186" s="79">
        <v>386.3</v>
      </c>
      <c r="I186" s="79">
        <v>383.65</v>
      </c>
      <c r="J186" s="79">
        <v>385.9</v>
      </c>
      <c r="K186" s="79">
        <v>348.5</v>
      </c>
      <c r="L186" s="79">
        <v>385.25</v>
      </c>
      <c r="M186" s="79">
        <v>385.7</v>
      </c>
      <c r="N186" s="79">
        <v>370.85</v>
      </c>
      <c r="O186" s="79">
        <v>145.05000000000001</v>
      </c>
      <c r="P186" s="79">
        <v>160.9</v>
      </c>
      <c r="Q186" s="79">
        <v>180</v>
      </c>
      <c r="R186" s="79">
        <v>240.5</v>
      </c>
      <c r="S186" s="79">
        <v>385.8</v>
      </c>
      <c r="T186" s="79">
        <v>385.65</v>
      </c>
      <c r="U186" s="79">
        <v>385.85</v>
      </c>
      <c r="V186" s="79">
        <v>385.65</v>
      </c>
      <c r="W186" s="79">
        <v>385.6</v>
      </c>
      <c r="X186" s="79">
        <v>385.75</v>
      </c>
      <c r="Y186" s="79">
        <v>385.85</v>
      </c>
      <c r="Z186" s="79">
        <v>385.55</v>
      </c>
      <c r="AA186" s="79">
        <v>371.7</v>
      </c>
      <c r="AB186" s="79">
        <v>385.5</v>
      </c>
      <c r="AC186" s="79">
        <v>365.95</v>
      </c>
      <c r="AD186" s="79">
        <v>362.95</v>
      </c>
      <c r="AE186" s="79">
        <v>144.6</v>
      </c>
      <c r="AF186" s="79">
        <v>8857.85</v>
      </c>
    </row>
    <row r="187" spans="1:32" x14ac:dyDescent="0.3">
      <c r="A187" s="1"/>
      <c r="B187" s="77" t="s">
        <v>646</v>
      </c>
      <c r="C187" s="77" t="s">
        <v>1240</v>
      </c>
      <c r="D187" s="77" t="s">
        <v>73</v>
      </c>
      <c r="E187" s="78" t="s">
        <v>596</v>
      </c>
      <c r="F187" s="79">
        <v>430.69245999999998</v>
      </c>
      <c r="G187" s="79">
        <v>316.792665</v>
      </c>
      <c r="H187" s="79">
        <v>429.42810500000002</v>
      </c>
      <c r="I187" s="79">
        <v>427.80648000000002</v>
      </c>
      <c r="J187" s="79">
        <v>466.639185</v>
      </c>
      <c r="K187" s="79">
        <v>415.755</v>
      </c>
      <c r="L187" s="79">
        <v>579.57240999999999</v>
      </c>
      <c r="M187" s="79">
        <v>576.25742500000001</v>
      </c>
      <c r="N187" s="79">
        <v>578.163635</v>
      </c>
      <c r="O187" s="79">
        <v>577.95000000000005</v>
      </c>
      <c r="P187" s="79">
        <v>564.15</v>
      </c>
      <c r="Q187" s="79">
        <v>576.04999999999995</v>
      </c>
      <c r="R187" s="79">
        <v>486.00528500000001</v>
      </c>
      <c r="S187" s="79">
        <v>549.14377500000001</v>
      </c>
      <c r="T187" s="79">
        <v>579.51633500000003</v>
      </c>
      <c r="U187" s="79">
        <v>578.81095500000004</v>
      </c>
      <c r="V187" s="79">
        <v>578.04999999999995</v>
      </c>
      <c r="W187" s="79">
        <v>562.9</v>
      </c>
      <c r="X187" s="79">
        <v>546.70000000000005</v>
      </c>
      <c r="Y187" s="79">
        <v>576</v>
      </c>
      <c r="Z187" s="79">
        <v>576</v>
      </c>
      <c r="AA187" s="79">
        <v>568</v>
      </c>
      <c r="AB187" s="79">
        <v>577.54999999999995</v>
      </c>
      <c r="AC187" s="79">
        <v>427.05</v>
      </c>
      <c r="AD187" s="79">
        <v>495.75</v>
      </c>
      <c r="AE187" s="79">
        <v>487.55</v>
      </c>
      <c r="AF187" s="79">
        <v>13528.283715</v>
      </c>
    </row>
    <row r="188" spans="1:32" x14ac:dyDescent="0.3">
      <c r="A188" s="1"/>
      <c r="B188" s="220" t="s">
        <v>1241</v>
      </c>
      <c r="C188" s="220"/>
      <c r="D188" s="220"/>
      <c r="E188" s="220"/>
      <c r="F188" s="80">
        <v>2864.4539049999998</v>
      </c>
      <c r="G188" s="80">
        <v>2602.502665</v>
      </c>
      <c r="H188" s="80">
        <v>2903.1448799999998</v>
      </c>
      <c r="I188" s="80">
        <v>2895.0099399999999</v>
      </c>
      <c r="J188" s="80">
        <v>2893.3650600000001</v>
      </c>
      <c r="K188" s="80">
        <v>2887.47</v>
      </c>
      <c r="L188" s="80">
        <v>2985.0210550000002</v>
      </c>
      <c r="M188" s="80">
        <v>2971.4748549999999</v>
      </c>
      <c r="N188" s="80">
        <v>2943.3470499999999</v>
      </c>
      <c r="O188" s="80">
        <v>2701.13</v>
      </c>
      <c r="P188" s="80">
        <v>2735.59</v>
      </c>
      <c r="Q188" s="80">
        <v>2766.3049999999998</v>
      </c>
      <c r="R188" s="80">
        <v>2733.011915</v>
      </c>
      <c r="S188" s="80">
        <v>2987.89086</v>
      </c>
      <c r="T188" s="80">
        <v>3056.9792649999999</v>
      </c>
      <c r="U188" s="80">
        <v>3008.7032349999999</v>
      </c>
      <c r="V188" s="80">
        <v>2939</v>
      </c>
      <c r="W188" s="80">
        <v>2853.69</v>
      </c>
      <c r="X188" s="80">
        <v>2786.9002300000002</v>
      </c>
      <c r="Y188" s="80">
        <v>2586.1750000000002</v>
      </c>
      <c r="Z188" s="80">
        <v>2817.1253350000002</v>
      </c>
      <c r="AA188" s="80">
        <v>2901</v>
      </c>
      <c r="AB188" s="80">
        <v>2917</v>
      </c>
      <c r="AC188" s="80">
        <v>2581.6045399999998</v>
      </c>
      <c r="AD188" s="80">
        <v>2761.1406050000001</v>
      </c>
      <c r="AE188" s="80">
        <v>2491.831205</v>
      </c>
      <c r="AF188" s="80">
        <v>73570.866599999994</v>
      </c>
    </row>
    <row r="189" spans="1:3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3">
      <c r="A193" s="1"/>
      <c r="B193" s="1"/>
      <c r="C193" s="1"/>
      <c r="D193" s="1"/>
      <c r="E193" s="1"/>
      <c r="F193" s="1"/>
      <c r="G193" s="1"/>
      <c r="H193" s="1"/>
      <c r="I193" s="81" t="s">
        <v>106</v>
      </c>
      <c r="J193" s="81">
        <v>879842.01999499998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3">
      <c r="A194" s="1"/>
      <c r="B194" s="1"/>
      <c r="C194" s="1"/>
      <c r="D194" s="1"/>
      <c r="E194" s="1"/>
      <c r="F194" s="1"/>
      <c r="G194" s="1"/>
      <c r="H194" s="1"/>
      <c r="I194" s="81" t="s">
        <v>130</v>
      </c>
      <c r="J194" s="81">
        <v>546296.23950000003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3">
      <c r="A195" s="1"/>
      <c r="B195" s="1"/>
      <c r="C195" s="1"/>
      <c r="D195" s="1"/>
      <c r="E195" s="1"/>
      <c r="F195" s="1"/>
      <c r="G195" s="1"/>
      <c r="H195" s="1"/>
      <c r="I195" s="81" t="s">
        <v>80</v>
      </c>
      <c r="J195" s="81">
        <v>534190.98499999999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3">
      <c r="A196" s="1"/>
      <c r="B196" s="1"/>
      <c r="C196" s="1"/>
      <c r="D196" s="1"/>
      <c r="E196" s="1"/>
      <c r="F196" s="1"/>
      <c r="G196" s="1"/>
      <c r="H196" s="1"/>
      <c r="I196" s="81" t="s">
        <v>93</v>
      </c>
      <c r="J196" s="81">
        <v>526273.25500999996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3">
      <c r="A197" s="1"/>
      <c r="B197" s="1"/>
      <c r="C197" s="1"/>
      <c r="D197" s="1"/>
      <c r="E197" s="1"/>
      <c r="F197" s="1"/>
      <c r="G197" s="1"/>
      <c r="H197" s="1"/>
      <c r="I197" s="81" t="s">
        <v>103</v>
      </c>
      <c r="J197" s="81">
        <v>292940.61998999998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3">
      <c r="A198" s="1"/>
      <c r="B198" s="1"/>
      <c r="C198" s="1"/>
      <c r="D198" s="1"/>
      <c r="E198" s="1"/>
      <c r="F198" s="1"/>
      <c r="G198" s="1"/>
      <c r="H198" s="1"/>
      <c r="I198" s="81" t="s">
        <v>151</v>
      </c>
      <c r="J198" s="81">
        <v>184293.95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3">
      <c r="A199" s="1"/>
      <c r="B199" s="1"/>
      <c r="C199" s="1"/>
      <c r="D199" s="1"/>
      <c r="E199" s="1"/>
      <c r="F199" s="1"/>
      <c r="G199" s="1"/>
      <c r="H199" s="1"/>
      <c r="I199" s="81" t="s">
        <v>122</v>
      </c>
      <c r="J199" s="81">
        <v>161380.94500000001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3">
      <c r="A200" s="1"/>
      <c r="B200" s="1"/>
      <c r="C200" s="1"/>
      <c r="D200" s="1"/>
      <c r="E200" s="1"/>
      <c r="F200" s="1"/>
      <c r="G200" s="1"/>
      <c r="H200" s="1"/>
      <c r="I200" s="81" t="s">
        <v>83</v>
      </c>
      <c r="J200" s="81">
        <v>150216.47500000001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3">
      <c r="A201" s="1"/>
      <c r="B201" s="1"/>
      <c r="C201" s="1"/>
      <c r="D201" s="1"/>
      <c r="E201" s="1"/>
      <c r="F201" s="1"/>
      <c r="G201" s="1"/>
      <c r="H201" s="1"/>
      <c r="I201" s="81" t="s">
        <v>159</v>
      </c>
      <c r="J201" s="81">
        <v>124736.38499999999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3">
      <c r="A202" s="1"/>
      <c r="B202" s="1"/>
      <c r="C202" s="1"/>
      <c r="D202" s="1"/>
      <c r="E202" s="1"/>
      <c r="F202" s="1"/>
      <c r="G202" s="1"/>
      <c r="H202" s="1"/>
      <c r="I202" s="81" t="s">
        <v>606</v>
      </c>
      <c r="J202" s="81">
        <v>101681.78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3">
      <c r="A203" s="1"/>
      <c r="B203" s="1"/>
      <c r="C203" s="1"/>
      <c r="D203" s="1"/>
      <c r="E203" s="1"/>
      <c r="F203" s="1"/>
      <c r="G203" s="1"/>
      <c r="H203" s="1"/>
      <c r="I203" s="81" t="s">
        <v>70</v>
      </c>
      <c r="J203" s="81">
        <v>101196.68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3">
      <c r="A204" s="1"/>
      <c r="B204" s="1"/>
      <c r="C204" s="1"/>
      <c r="D204" s="1"/>
      <c r="E204" s="1"/>
      <c r="F204" s="1"/>
      <c r="G204" s="1"/>
      <c r="H204" s="1"/>
      <c r="I204" s="81" t="s">
        <v>600</v>
      </c>
      <c r="J204" s="81">
        <v>88066.69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3">
      <c r="A205" s="1"/>
      <c r="B205" s="1"/>
      <c r="C205" s="1"/>
      <c r="D205" s="1"/>
      <c r="E205" s="1"/>
      <c r="F205" s="1"/>
      <c r="G205" s="1"/>
      <c r="H205" s="1"/>
      <c r="I205" s="81" t="s">
        <v>603</v>
      </c>
      <c r="J205" s="81">
        <v>65881.634999999995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3">
      <c r="A206" s="1"/>
      <c r="B206" s="1"/>
      <c r="C206" s="1"/>
      <c r="D206" s="1"/>
      <c r="E206" s="1"/>
      <c r="F206" s="1"/>
      <c r="G206" s="1"/>
      <c r="H206" s="1"/>
      <c r="I206" s="81" t="s">
        <v>602</v>
      </c>
      <c r="J206" s="81">
        <v>57342.48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3">
      <c r="A207" s="1"/>
      <c r="B207" s="1"/>
      <c r="C207" s="1"/>
      <c r="D207" s="1"/>
      <c r="E207" s="1"/>
      <c r="F207" s="1"/>
      <c r="G207" s="1"/>
      <c r="H207" s="1"/>
      <c r="I207" s="81" t="s">
        <v>75</v>
      </c>
      <c r="J207" s="81">
        <v>50588.34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3">
      <c r="A208" s="1"/>
      <c r="B208" s="1"/>
      <c r="C208" s="1"/>
      <c r="D208" s="1"/>
      <c r="E208" s="1"/>
      <c r="F208" s="1"/>
      <c r="G208" s="1"/>
      <c r="H208" s="1"/>
      <c r="I208" s="81" t="s">
        <v>638</v>
      </c>
      <c r="J208" s="81">
        <v>49717.45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3">
      <c r="A209" s="1"/>
      <c r="B209" s="1"/>
      <c r="C209" s="1"/>
      <c r="D209" s="1"/>
      <c r="E209" s="1"/>
      <c r="F209" s="1"/>
      <c r="G209" s="1"/>
      <c r="H209" s="1"/>
      <c r="I209" s="81" t="s">
        <v>605</v>
      </c>
      <c r="J209" s="81">
        <v>45248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3">
      <c r="A210" s="1"/>
      <c r="B210" s="1"/>
      <c r="C210" s="1"/>
      <c r="D210" s="1"/>
      <c r="E210" s="1"/>
      <c r="F210" s="1"/>
      <c r="G210" s="1"/>
      <c r="H210" s="1"/>
      <c r="I210" s="81" t="s">
        <v>634</v>
      </c>
      <c r="J210" s="81">
        <v>34253.74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3">
      <c r="A211" s="1"/>
      <c r="B211" s="1"/>
      <c r="C211" s="1"/>
      <c r="D211" s="1"/>
      <c r="E211" s="1"/>
      <c r="F211" s="1"/>
      <c r="G211" s="1"/>
      <c r="H211" s="1"/>
      <c r="I211" s="81" t="s">
        <v>615</v>
      </c>
      <c r="J211" s="81">
        <v>33169.514999999999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3">
      <c r="A212" s="1"/>
      <c r="B212" s="1"/>
      <c r="C212" s="1"/>
      <c r="D212" s="1"/>
      <c r="E212" s="1"/>
      <c r="F212" s="1"/>
      <c r="G212" s="1"/>
      <c r="H212" s="1"/>
      <c r="I212" s="81" t="s">
        <v>609</v>
      </c>
      <c r="J212" s="81">
        <v>33047.89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3">
      <c r="A213" s="1"/>
      <c r="B213" s="1"/>
      <c r="C213" s="1"/>
      <c r="D213" s="1"/>
      <c r="E213" s="1"/>
      <c r="F213" s="1"/>
      <c r="G213" s="1"/>
      <c r="H213" s="1"/>
      <c r="I213" s="81" t="s">
        <v>637</v>
      </c>
      <c r="J213" s="81">
        <v>30676.7595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3">
      <c r="A214" s="1"/>
      <c r="B214" s="1"/>
      <c r="C214" s="1"/>
      <c r="D214" s="1"/>
      <c r="E214" s="1"/>
      <c r="F214" s="1"/>
      <c r="G214" s="1"/>
      <c r="H214" s="1"/>
      <c r="I214" s="81" t="s">
        <v>641</v>
      </c>
      <c r="J214" s="81">
        <v>30490.29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3">
      <c r="A215" s="1"/>
      <c r="B215" s="1"/>
      <c r="C215" s="1"/>
      <c r="D215" s="1"/>
      <c r="E215" s="1"/>
      <c r="F215" s="1"/>
      <c r="G215" s="1"/>
      <c r="H215" s="1"/>
      <c r="I215" s="81" t="s">
        <v>627</v>
      </c>
      <c r="J215" s="81">
        <v>28387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3">
      <c r="A216" s="1"/>
      <c r="B216" s="1"/>
      <c r="C216" s="1"/>
      <c r="D216" s="1"/>
      <c r="E216" s="1"/>
      <c r="F216" s="1"/>
      <c r="G216" s="1"/>
      <c r="H216" s="1"/>
      <c r="I216" s="81" t="s">
        <v>611</v>
      </c>
      <c r="J216" s="81">
        <v>28250.325000000001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3">
      <c r="A217" s="1"/>
      <c r="B217" s="1"/>
      <c r="C217" s="1"/>
      <c r="D217" s="1"/>
      <c r="E217" s="1"/>
      <c r="F217" s="1"/>
      <c r="G217" s="1"/>
      <c r="H217" s="1"/>
      <c r="I217" s="81" t="s">
        <v>635</v>
      </c>
      <c r="J217" s="81">
        <v>27991.555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3">
      <c r="A218" s="1"/>
      <c r="B218" s="1"/>
      <c r="C218" s="1"/>
      <c r="D218" s="1"/>
      <c r="E218" s="1"/>
      <c r="F218" s="1"/>
      <c r="G218" s="1"/>
      <c r="H218" s="1"/>
      <c r="I218" s="81" t="s">
        <v>86</v>
      </c>
      <c r="J218" s="81">
        <v>23330.85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3">
      <c r="A219" s="1"/>
      <c r="B219" s="1"/>
      <c r="C219" s="1"/>
      <c r="D219" s="1"/>
      <c r="E219" s="1"/>
      <c r="F219" s="1"/>
      <c r="G219" s="1"/>
      <c r="H219" s="1"/>
      <c r="I219" s="81" t="s">
        <v>604</v>
      </c>
      <c r="J219" s="81">
        <v>16160.705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3">
      <c r="A220" s="1"/>
      <c r="B220" s="1"/>
      <c r="C220" s="1"/>
      <c r="D220" s="1"/>
      <c r="E220" s="1"/>
      <c r="F220" s="1"/>
      <c r="G220" s="1"/>
      <c r="H220" s="1"/>
      <c r="I220" s="81" t="s">
        <v>616</v>
      </c>
      <c r="J220" s="81">
        <v>15568.8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3">
      <c r="A221" s="1"/>
      <c r="B221" s="1"/>
      <c r="C221" s="1"/>
      <c r="D221" s="1"/>
      <c r="E221" s="1"/>
      <c r="F221" s="1"/>
      <c r="G221" s="1"/>
      <c r="H221" s="1"/>
      <c r="I221" s="81" t="s">
        <v>636</v>
      </c>
      <c r="J221" s="81">
        <v>13131.805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3">
      <c r="A222" s="1"/>
      <c r="B222" s="1"/>
      <c r="C222" s="1"/>
      <c r="D222" s="1"/>
      <c r="E222" s="1"/>
      <c r="F222" s="1"/>
      <c r="G222" s="1"/>
      <c r="H222" s="1"/>
      <c r="I222" s="81" t="s">
        <v>164</v>
      </c>
      <c r="J222" s="81">
        <v>12398.85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3">
      <c r="A223" s="1"/>
      <c r="B223" s="1"/>
      <c r="C223" s="1"/>
      <c r="D223" s="1"/>
      <c r="E223" s="1"/>
      <c r="F223" s="1"/>
      <c r="G223" s="1"/>
      <c r="H223" s="1"/>
      <c r="I223" s="81" t="s">
        <v>608</v>
      </c>
      <c r="J223" s="81">
        <v>11778.924955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3">
      <c r="A224" s="1"/>
      <c r="B224" s="1"/>
      <c r="C224" s="1"/>
      <c r="D224" s="1"/>
      <c r="E224" s="1"/>
      <c r="F224" s="1"/>
      <c r="G224" s="1"/>
      <c r="H224" s="1"/>
      <c r="I224" s="81" t="s">
        <v>607</v>
      </c>
      <c r="J224" s="81">
        <v>11647.06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3">
      <c r="A225" s="1"/>
      <c r="B225" s="1"/>
      <c r="C225" s="1"/>
      <c r="D225" s="1"/>
      <c r="E225" s="1"/>
      <c r="F225" s="1"/>
      <c r="G225" s="1"/>
      <c r="H225" s="1"/>
      <c r="I225" s="81" t="s">
        <v>618</v>
      </c>
      <c r="J225" s="81">
        <v>11395.06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3">
      <c r="A226" s="1"/>
      <c r="B226" s="1"/>
      <c r="C226" s="1"/>
      <c r="D226" s="1"/>
      <c r="E226" s="1"/>
      <c r="F226" s="1"/>
      <c r="G226" s="1"/>
      <c r="H226" s="1"/>
      <c r="I226" s="81" t="s">
        <v>620</v>
      </c>
      <c r="J226" s="81">
        <v>10931.74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3">
      <c r="A227" s="1"/>
      <c r="B227" s="1"/>
      <c r="C227" s="1"/>
      <c r="D227" s="1"/>
      <c r="E227" s="1"/>
      <c r="F227" s="1"/>
      <c r="G227" s="1"/>
      <c r="H227" s="1"/>
      <c r="I227" s="81" t="s">
        <v>28</v>
      </c>
      <c r="J227" s="81">
        <v>10915.754999999999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3">
      <c r="A228" s="1"/>
      <c r="B228" s="1"/>
      <c r="C228" s="1"/>
      <c r="D228" s="1"/>
      <c r="E228" s="1"/>
      <c r="F228" s="1"/>
      <c r="G228" s="1"/>
      <c r="H228" s="1"/>
      <c r="I228" s="81" t="s">
        <v>621</v>
      </c>
      <c r="J228" s="81">
        <v>9993.32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3">
      <c r="A229" s="1"/>
      <c r="B229" s="1"/>
      <c r="C229" s="1"/>
      <c r="D229" s="1"/>
      <c r="E229" s="1"/>
      <c r="F229" s="1"/>
      <c r="G229" s="1"/>
      <c r="H229" s="1"/>
      <c r="I229" s="81" t="s">
        <v>626</v>
      </c>
      <c r="J229" s="81">
        <v>9700.56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3">
      <c r="A230" s="1"/>
      <c r="B230" s="1"/>
      <c r="C230" s="1"/>
      <c r="D230" s="1"/>
      <c r="E230" s="1"/>
      <c r="F230" s="1"/>
      <c r="G230" s="1"/>
      <c r="H230" s="1"/>
      <c r="I230" s="81" t="s">
        <v>643</v>
      </c>
      <c r="J230" s="81">
        <v>8956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3">
      <c r="A231" s="1"/>
      <c r="B231" s="1"/>
      <c r="C231" s="1"/>
      <c r="D231" s="1"/>
      <c r="E231" s="1"/>
      <c r="F231" s="1"/>
      <c r="G231" s="1"/>
      <c r="H231" s="1"/>
      <c r="I231" s="81" t="s">
        <v>233</v>
      </c>
      <c r="J231" s="81">
        <v>8269.2710499999994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3">
      <c r="A232" s="1"/>
      <c r="B232" s="1"/>
      <c r="C232" s="1"/>
      <c r="D232" s="1"/>
      <c r="E232" s="1"/>
      <c r="F232" s="1"/>
      <c r="G232" s="1"/>
      <c r="H232" s="1"/>
      <c r="I232" s="81" t="s">
        <v>630</v>
      </c>
      <c r="J232" s="81">
        <v>7716.72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3">
      <c r="A233" s="1"/>
      <c r="B233" s="1"/>
      <c r="C233" s="1"/>
      <c r="D233" s="1"/>
      <c r="E233" s="1"/>
      <c r="F233" s="1"/>
      <c r="G233" s="1"/>
      <c r="H233" s="1"/>
      <c r="I233" s="81" t="s">
        <v>613</v>
      </c>
      <c r="J233" s="81">
        <v>7245.3465999999999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3">
      <c r="A234" s="1"/>
      <c r="B234" s="1"/>
      <c r="C234" s="1"/>
      <c r="D234" s="1"/>
      <c r="E234" s="1"/>
      <c r="F234" s="1"/>
      <c r="G234" s="1"/>
      <c r="H234" s="1"/>
      <c r="I234" s="81" t="s">
        <v>21</v>
      </c>
      <c r="J234" s="81">
        <v>6899.38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3">
      <c r="A235" s="1"/>
      <c r="B235" s="1"/>
      <c r="C235" s="1"/>
      <c r="D235" s="1"/>
      <c r="E235" s="1"/>
      <c r="F235" s="1"/>
      <c r="G235" s="1"/>
      <c r="H235" s="1"/>
      <c r="I235" s="81" t="s">
        <v>331</v>
      </c>
      <c r="J235" s="81">
        <v>6756.1850000000004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3">
      <c r="A236" s="1"/>
      <c r="B236" s="1"/>
      <c r="C236" s="1"/>
      <c r="D236" s="1"/>
      <c r="E236" s="1"/>
      <c r="F236" s="1"/>
      <c r="G236" s="1"/>
      <c r="H236" s="1"/>
      <c r="I236" s="81" t="s">
        <v>622</v>
      </c>
      <c r="J236" s="81">
        <v>6393.53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3">
      <c r="A237" s="1"/>
      <c r="B237" s="1"/>
      <c r="C237" s="1"/>
      <c r="D237" s="1"/>
      <c r="E237" s="1"/>
      <c r="F237" s="1"/>
      <c r="G237" s="1"/>
      <c r="H237" s="1"/>
      <c r="I237" s="81" t="s">
        <v>327</v>
      </c>
      <c r="J237" s="81">
        <v>5810.8050000000003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3">
      <c r="A238" s="1"/>
      <c r="B238" s="1"/>
      <c r="C238" s="1"/>
      <c r="D238" s="1"/>
      <c r="E238" s="1"/>
      <c r="F238" s="1"/>
      <c r="G238" s="1"/>
      <c r="H238" s="1"/>
      <c r="I238" s="81" t="s">
        <v>642</v>
      </c>
      <c r="J238" s="81">
        <v>5751.85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3">
      <c r="A239" s="1"/>
      <c r="B239" s="1"/>
      <c r="C239" s="1"/>
      <c r="D239" s="1"/>
      <c r="E239" s="1"/>
      <c r="F239" s="1"/>
      <c r="G239" s="1"/>
      <c r="H239" s="1"/>
      <c r="I239" s="81" t="s">
        <v>644</v>
      </c>
      <c r="J239" s="81">
        <v>5719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3">
      <c r="A240" s="1"/>
      <c r="B240" s="1"/>
      <c r="C240" s="1"/>
      <c r="D240" s="1"/>
      <c r="E240" s="1"/>
      <c r="F240" s="1"/>
      <c r="G240" s="1"/>
      <c r="H240" s="1"/>
      <c r="I240" s="81" t="s">
        <v>377</v>
      </c>
      <c r="J240" s="81">
        <v>5072.5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3">
      <c r="A241" s="1"/>
      <c r="B241" s="1"/>
      <c r="C241" s="1"/>
      <c r="D241" s="1"/>
      <c r="E241" s="1"/>
      <c r="F241" s="1"/>
      <c r="G241" s="1"/>
      <c r="H241" s="1"/>
      <c r="I241" s="81" t="s">
        <v>645</v>
      </c>
      <c r="J241" s="81">
        <v>4313.5969500000001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3">
      <c r="A242" s="1"/>
      <c r="B242" s="1"/>
      <c r="C242" s="1"/>
      <c r="D242" s="1"/>
      <c r="E242" s="1"/>
      <c r="F242" s="1"/>
      <c r="G242" s="1"/>
      <c r="H242" s="1"/>
      <c r="I242" s="81" t="s">
        <v>343</v>
      </c>
      <c r="J242" s="81">
        <v>4129.45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3">
      <c r="A243" s="1"/>
      <c r="B243" s="1"/>
      <c r="C243" s="1"/>
      <c r="D243" s="1"/>
      <c r="E243" s="1"/>
      <c r="F243" s="1"/>
      <c r="G243" s="1"/>
      <c r="H243" s="1"/>
      <c r="I243" s="81" t="s">
        <v>402</v>
      </c>
      <c r="J243" s="81">
        <v>4039.1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3">
      <c r="A244" s="1"/>
      <c r="B244" s="1"/>
      <c r="C244" s="1"/>
      <c r="D244" s="1"/>
      <c r="E244" s="1"/>
      <c r="F244" s="1"/>
      <c r="G244" s="1"/>
      <c r="H244" s="1"/>
      <c r="I244" s="81" t="s">
        <v>625</v>
      </c>
      <c r="J244" s="81">
        <v>3408.197275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3">
      <c r="A245" s="1"/>
      <c r="B245" s="1"/>
      <c r="C245" s="1"/>
      <c r="D245" s="1"/>
      <c r="E245" s="1"/>
      <c r="F245" s="1"/>
      <c r="G245" s="1"/>
      <c r="H245" s="1"/>
      <c r="I245" s="81" t="s">
        <v>628</v>
      </c>
      <c r="J245" s="81">
        <v>2918.1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3">
      <c r="A246" s="1"/>
      <c r="B246" s="1"/>
      <c r="C246" s="1"/>
      <c r="D246" s="1"/>
      <c r="E246" s="1"/>
      <c r="F246" s="1"/>
      <c r="G246" s="1"/>
      <c r="H246" s="1"/>
      <c r="I246" s="81" t="s">
        <v>624</v>
      </c>
      <c r="J246" s="81">
        <v>2823.969165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3">
      <c r="A247" s="1"/>
      <c r="B247" s="1"/>
      <c r="C247" s="1"/>
      <c r="D247" s="1"/>
      <c r="E247" s="1"/>
      <c r="F247" s="1"/>
      <c r="G247" s="1"/>
      <c r="H247" s="1"/>
      <c r="I247" s="81" t="s">
        <v>639</v>
      </c>
      <c r="J247" s="81">
        <v>2780.16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3">
      <c r="A248" s="1"/>
      <c r="B248" s="1"/>
      <c r="C248" s="1"/>
      <c r="D248" s="1"/>
      <c r="E248" s="1"/>
      <c r="F248" s="1"/>
      <c r="G248" s="1"/>
      <c r="H248" s="1"/>
      <c r="I248" s="81" t="s">
        <v>640</v>
      </c>
      <c r="J248" s="81">
        <v>2643.3449999999998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3">
      <c r="A249" s="1"/>
      <c r="B249" s="1"/>
      <c r="C249" s="1"/>
      <c r="D249" s="1"/>
      <c r="E249" s="1"/>
      <c r="F249" s="1"/>
      <c r="G249" s="1"/>
      <c r="H249" s="1"/>
      <c r="I249" s="81" t="s">
        <v>278</v>
      </c>
      <c r="J249" s="81">
        <v>2263.431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3">
      <c r="A250" s="1"/>
      <c r="B250" s="1"/>
      <c r="C250" s="1"/>
      <c r="D250" s="1"/>
      <c r="E250" s="1"/>
      <c r="F250" s="1"/>
      <c r="G250" s="1"/>
      <c r="H250" s="1"/>
      <c r="I250" s="81" t="s">
        <v>629</v>
      </c>
      <c r="J250" s="81">
        <v>2093.61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3">
      <c r="A251" s="1"/>
      <c r="B251" s="1"/>
      <c r="C251" s="1"/>
      <c r="D251" s="1"/>
      <c r="E251" s="1"/>
      <c r="F251" s="1"/>
      <c r="G251" s="1"/>
      <c r="H251" s="1"/>
      <c r="I251" s="81" t="s">
        <v>351</v>
      </c>
      <c r="J251" s="81">
        <v>1901.61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3">
      <c r="A252" s="1"/>
      <c r="B252" s="1"/>
      <c r="C252" s="1"/>
      <c r="D252" s="1"/>
      <c r="E252" s="1"/>
      <c r="F252" s="1"/>
      <c r="G252" s="1"/>
      <c r="H252" s="1"/>
      <c r="I252" s="81" t="s">
        <v>192</v>
      </c>
      <c r="J252" s="81">
        <v>1782.31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3">
      <c r="A253" s="1"/>
      <c r="B253" s="1"/>
      <c r="C253" s="1"/>
      <c r="D253" s="1"/>
      <c r="E253" s="1"/>
      <c r="F253" s="1"/>
      <c r="G253" s="1"/>
      <c r="H253" s="1"/>
      <c r="I253" s="81" t="s">
        <v>619</v>
      </c>
      <c r="J253" s="81">
        <v>1650.15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3">
      <c r="A254" s="1"/>
      <c r="B254" s="1"/>
      <c r="C254" s="1"/>
      <c r="D254" s="1"/>
      <c r="E254" s="1"/>
      <c r="F254" s="1"/>
      <c r="G254" s="1"/>
      <c r="H254" s="1"/>
      <c r="I254" s="81" t="s">
        <v>631</v>
      </c>
      <c r="J254" s="81">
        <v>1347.07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3">
      <c r="A255" s="1"/>
      <c r="B255" s="1"/>
      <c r="C255" s="1"/>
      <c r="D255" s="1"/>
      <c r="E255" s="1"/>
      <c r="F255" s="1"/>
      <c r="G255" s="1"/>
      <c r="H255" s="1"/>
      <c r="I255" s="81" t="s">
        <v>623</v>
      </c>
      <c r="J255" s="81">
        <v>1280.55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3">
      <c r="A256" s="1"/>
      <c r="B256" s="1"/>
      <c r="C256" s="1"/>
      <c r="D256" s="1"/>
      <c r="E256" s="1"/>
      <c r="F256" s="1"/>
      <c r="G256" s="1"/>
      <c r="H256" s="1"/>
      <c r="I256" s="81" t="s">
        <v>612</v>
      </c>
      <c r="J256" s="81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3">
      <c r="A257" s="1"/>
      <c r="B257" s="1"/>
      <c r="C257" s="1"/>
      <c r="D257" s="1"/>
      <c r="E257" s="1"/>
      <c r="F257" s="1"/>
      <c r="G257" s="1"/>
      <c r="H257" s="1"/>
      <c r="I257" s="81" t="s">
        <v>148</v>
      </c>
      <c r="J257" s="81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3">
      <c r="A258" s="1"/>
      <c r="B258" s="1"/>
      <c r="C258" s="1"/>
      <c r="D258" s="1"/>
      <c r="E258" s="1"/>
      <c r="F258" s="1"/>
      <c r="G258" s="1"/>
      <c r="H258" s="1"/>
      <c r="I258" s="81" t="s">
        <v>614</v>
      </c>
      <c r="J258" s="81">
        <v>203.8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3">
      <c r="A259" s="1"/>
      <c r="B259" s="1"/>
      <c r="C259" s="1"/>
      <c r="D259" s="1"/>
      <c r="E259" s="1"/>
      <c r="F259" s="1"/>
      <c r="G259" s="1"/>
      <c r="H259" s="1"/>
      <c r="I259" s="81" t="s">
        <v>601</v>
      </c>
      <c r="J259" s="81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3">
      <c r="A260" s="1"/>
      <c r="B260" s="1"/>
      <c r="C260" s="1"/>
      <c r="D260" s="1"/>
      <c r="E260" s="1"/>
      <c r="F260" s="1"/>
      <c r="G260" s="1"/>
      <c r="H260" s="1"/>
      <c r="I260" s="81" t="s">
        <v>181</v>
      </c>
      <c r="J260" s="81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3">
      <c r="A261" s="1"/>
      <c r="B261" s="1"/>
      <c r="C261" s="1"/>
      <c r="D261" s="1"/>
      <c r="E261" s="1"/>
      <c r="F261" s="1"/>
      <c r="G261" s="1"/>
      <c r="H261" s="1"/>
      <c r="I261" s="81" t="s">
        <v>632</v>
      </c>
      <c r="J261" s="81">
        <v>79.75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3">
      <c r="A262" s="1"/>
      <c r="B262" s="1"/>
      <c r="C262" s="1"/>
      <c r="D262" s="1"/>
      <c r="E262" s="1"/>
      <c r="F262" s="1"/>
      <c r="G262" s="1"/>
      <c r="H262" s="1"/>
      <c r="I262" s="81" t="s">
        <v>617</v>
      </c>
      <c r="J262" s="81">
        <v>56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3">
      <c r="A263" s="1"/>
      <c r="B263" s="1"/>
      <c r="C263" s="1"/>
      <c r="D263" s="1"/>
      <c r="E263" s="1"/>
      <c r="F263" s="1"/>
      <c r="G263" s="1"/>
      <c r="H263" s="1"/>
      <c r="I263" s="81" t="s">
        <v>633</v>
      </c>
      <c r="J263" s="81">
        <v>54.1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3">
      <c r="A264" s="1"/>
      <c r="B264" s="1"/>
      <c r="C264" s="1"/>
      <c r="D264" s="1"/>
      <c r="E264" s="1"/>
      <c r="F264" s="1"/>
      <c r="G264" s="1"/>
      <c r="H264" s="1"/>
      <c r="I264" s="81"/>
      <c r="J264" s="8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</sheetData>
  <mergeCells count="13">
    <mergeCell ref="B3:G3"/>
    <mergeCell ref="B6:B7"/>
    <mergeCell ref="C6:C7"/>
    <mergeCell ref="D6:D7"/>
    <mergeCell ref="E6:E7"/>
    <mergeCell ref="F6:AF6"/>
    <mergeCell ref="F178:AF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5" t="s">
        <v>590</v>
      </c>
      <c r="C5" s="221" t="s">
        <v>1242</v>
      </c>
      <c r="D5" s="221" t="s">
        <v>1242</v>
      </c>
      <c r="E5" s="221" t="s">
        <v>1242</v>
      </c>
      <c r="F5" s="221" t="s">
        <v>1242</v>
      </c>
      <c r="G5" s="221" t="s">
        <v>1242</v>
      </c>
      <c r="H5" s="221" t="s">
        <v>1242</v>
      </c>
      <c r="I5" s="221" t="s">
        <v>1242</v>
      </c>
      <c r="J5" s="221" t="s">
        <v>1242</v>
      </c>
      <c r="K5" s="221" t="s">
        <v>1242</v>
      </c>
      <c r="L5" s="221" t="s">
        <v>1242</v>
      </c>
      <c r="M5" s="221" t="s">
        <v>1242</v>
      </c>
      <c r="N5" s="221" t="s">
        <v>1242</v>
      </c>
      <c r="O5" s="221" t="s">
        <v>1242</v>
      </c>
      <c r="P5" s="221" t="s">
        <v>1242</v>
      </c>
      <c r="Q5" s="221" t="s">
        <v>1242</v>
      </c>
      <c r="R5" s="221" t="s">
        <v>1242</v>
      </c>
      <c r="S5" s="225" t="s">
        <v>590</v>
      </c>
      <c r="T5" s="222" t="s">
        <v>1243</v>
      </c>
      <c r="U5" s="222" t="s">
        <v>1243</v>
      </c>
      <c r="V5" s="222" t="s">
        <v>1243</v>
      </c>
      <c r="W5" s="222" t="s">
        <v>1243</v>
      </c>
      <c r="X5" s="222" t="s">
        <v>1243</v>
      </c>
      <c r="Y5" s="225" t="s">
        <v>590</v>
      </c>
      <c r="Z5" s="223" t="s">
        <v>1243</v>
      </c>
      <c r="AA5" s="223" t="s">
        <v>1243</v>
      </c>
      <c r="AB5" s="223" t="s">
        <v>1243</v>
      </c>
      <c r="AC5" s="223" t="s">
        <v>1243</v>
      </c>
      <c r="AD5" s="223" t="s">
        <v>1243</v>
      </c>
    </row>
    <row r="6" spans="1:30" ht="21" x14ac:dyDescent="0.3">
      <c r="A6" s="1"/>
      <c r="B6" s="225"/>
      <c r="C6" s="224" t="s">
        <v>595</v>
      </c>
      <c r="D6" s="224" t="s">
        <v>595</v>
      </c>
      <c r="E6" s="224" t="s">
        <v>595</v>
      </c>
      <c r="F6" s="224" t="s">
        <v>595</v>
      </c>
      <c r="G6" s="224" t="s">
        <v>594</v>
      </c>
      <c r="H6" s="224" t="s">
        <v>594</v>
      </c>
      <c r="I6" s="224" t="s">
        <v>594</v>
      </c>
      <c r="J6" s="224" t="s">
        <v>594</v>
      </c>
      <c r="K6" s="224" t="s">
        <v>593</v>
      </c>
      <c r="L6" s="224" t="s">
        <v>593</v>
      </c>
      <c r="M6" s="224" t="s">
        <v>593</v>
      </c>
      <c r="N6" s="224" t="s">
        <v>593</v>
      </c>
      <c r="O6" s="221" t="s">
        <v>1244</v>
      </c>
      <c r="P6" s="221" t="s">
        <v>1244</v>
      </c>
      <c r="Q6" s="221" t="s">
        <v>1244</v>
      </c>
      <c r="R6" s="221" t="s">
        <v>1244</v>
      </c>
      <c r="S6" s="225"/>
      <c r="T6" s="222" t="s">
        <v>1245</v>
      </c>
      <c r="U6" s="222" t="s">
        <v>1245</v>
      </c>
      <c r="V6" s="222" t="s">
        <v>1245</v>
      </c>
      <c r="W6" s="222" t="s">
        <v>1245</v>
      </c>
      <c r="X6" s="222" t="s">
        <v>1245</v>
      </c>
      <c r="Y6" s="225"/>
      <c r="Z6" s="223" t="s">
        <v>1246</v>
      </c>
      <c r="AA6" s="223" t="s">
        <v>1246</v>
      </c>
      <c r="AB6" s="223" t="s">
        <v>1246</v>
      </c>
      <c r="AC6" s="223" t="s">
        <v>1246</v>
      </c>
      <c r="AD6" s="223" t="s">
        <v>1246</v>
      </c>
    </row>
    <row r="7" spans="1:30" ht="30.6" x14ac:dyDescent="0.3">
      <c r="A7" s="1"/>
      <c r="B7" s="225"/>
      <c r="C7" s="82" t="s">
        <v>1247</v>
      </c>
      <c r="D7" s="82" t="s">
        <v>1248</v>
      </c>
      <c r="E7" s="82" t="s">
        <v>1249</v>
      </c>
      <c r="F7" s="82" t="s">
        <v>1250</v>
      </c>
      <c r="G7" s="82" t="s">
        <v>1251</v>
      </c>
      <c r="H7" s="82" t="s">
        <v>1252</v>
      </c>
      <c r="I7" s="82" t="s">
        <v>1253</v>
      </c>
      <c r="J7" s="82" t="s">
        <v>1254</v>
      </c>
      <c r="K7" s="82" t="s">
        <v>1255</v>
      </c>
      <c r="L7" s="82" t="s">
        <v>1256</v>
      </c>
      <c r="M7" s="82" t="s">
        <v>1257</v>
      </c>
      <c r="N7" s="82" t="s">
        <v>1258</v>
      </c>
      <c r="O7" s="63" t="s">
        <v>1259</v>
      </c>
      <c r="P7" s="63" t="s">
        <v>1260</v>
      </c>
      <c r="Q7" s="63" t="s">
        <v>1261</v>
      </c>
      <c r="R7" s="63" t="s">
        <v>1262</v>
      </c>
      <c r="S7" s="226"/>
      <c r="T7" s="83" t="s">
        <v>596</v>
      </c>
      <c r="U7" s="83" t="s">
        <v>597</v>
      </c>
      <c r="V7" s="83" t="s">
        <v>598</v>
      </c>
      <c r="W7" s="83" t="s">
        <v>599</v>
      </c>
      <c r="X7" s="83" t="s">
        <v>1262</v>
      </c>
      <c r="Y7" s="226"/>
      <c r="Z7" s="84" t="s">
        <v>1263</v>
      </c>
      <c r="AA7" s="84" t="s">
        <v>1264</v>
      </c>
      <c r="AB7" s="84" t="s">
        <v>1265</v>
      </c>
      <c r="AC7" s="84" t="s">
        <v>1266</v>
      </c>
      <c r="AD7" s="84" t="s">
        <v>1030</v>
      </c>
    </row>
    <row r="8" spans="1:30" x14ac:dyDescent="0.3">
      <c r="A8" s="1"/>
      <c r="B8" s="85" t="s">
        <v>808</v>
      </c>
      <c r="C8" s="86">
        <v>203</v>
      </c>
      <c r="D8" s="86">
        <v>55.3</v>
      </c>
      <c r="E8" s="86">
        <v>0</v>
      </c>
      <c r="F8" s="86">
        <v>64.3</v>
      </c>
      <c r="G8" s="86">
        <v>2765.2</v>
      </c>
      <c r="H8" s="86">
        <v>2974</v>
      </c>
      <c r="I8" s="86">
        <v>0</v>
      </c>
      <c r="J8" s="86">
        <v>15.3</v>
      </c>
      <c r="K8" s="86">
        <v>626.6</v>
      </c>
      <c r="L8" s="86">
        <v>0</v>
      </c>
      <c r="M8" s="86">
        <v>0</v>
      </c>
      <c r="N8" s="86">
        <v>0</v>
      </c>
      <c r="O8" s="86">
        <v>322.60000000000002</v>
      </c>
      <c r="P8" s="86">
        <v>5754.5</v>
      </c>
      <c r="Q8" s="86">
        <v>626.6</v>
      </c>
      <c r="R8" s="87">
        <v>6703.7</v>
      </c>
      <c r="S8" s="85" t="s">
        <v>808</v>
      </c>
      <c r="T8" s="86">
        <v>3594.8</v>
      </c>
      <c r="U8" s="86">
        <v>3029.3</v>
      </c>
      <c r="V8" s="86">
        <v>0</v>
      </c>
      <c r="W8" s="86">
        <v>79.599999999999994</v>
      </c>
      <c r="X8" s="87">
        <v>6703.7</v>
      </c>
      <c r="Y8" s="85" t="s">
        <v>808</v>
      </c>
      <c r="Z8" s="86">
        <v>239.3</v>
      </c>
      <c r="AA8" s="86">
        <v>41.4</v>
      </c>
      <c r="AB8" s="86">
        <v>0</v>
      </c>
      <c r="AC8" s="86">
        <v>79.599999999999994</v>
      </c>
      <c r="AD8" s="87">
        <v>360.3</v>
      </c>
    </row>
    <row r="9" spans="1:30" x14ac:dyDescent="0.3">
      <c r="A9" s="1"/>
      <c r="B9" s="85" t="s">
        <v>809</v>
      </c>
      <c r="C9" s="86">
        <v>181.8</v>
      </c>
      <c r="D9" s="86">
        <v>55.2</v>
      </c>
      <c r="E9" s="86">
        <v>0</v>
      </c>
      <c r="F9" s="86">
        <v>61.9</v>
      </c>
      <c r="G9" s="86">
        <v>2829.3</v>
      </c>
      <c r="H9" s="86">
        <v>2852</v>
      </c>
      <c r="I9" s="86">
        <v>0</v>
      </c>
      <c r="J9" s="86">
        <v>13.2</v>
      </c>
      <c r="K9" s="86">
        <v>563.5</v>
      </c>
      <c r="L9" s="86">
        <v>0</v>
      </c>
      <c r="M9" s="86">
        <v>0</v>
      </c>
      <c r="N9" s="86">
        <v>0</v>
      </c>
      <c r="O9" s="86">
        <v>298.89999999999998</v>
      </c>
      <c r="P9" s="86">
        <v>5694.5</v>
      </c>
      <c r="Q9" s="86">
        <v>563.5</v>
      </c>
      <c r="R9" s="87">
        <v>6556.9</v>
      </c>
      <c r="S9" s="85" t="s">
        <v>809</v>
      </c>
      <c r="T9" s="86">
        <v>3574.6</v>
      </c>
      <c r="U9" s="86">
        <v>2907.2</v>
      </c>
      <c r="V9" s="86">
        <v>0</v>
      </c>
      <c r="W9" s="86">
        <v>75.099999999999994</v>
      </c>
      <c r="X9" s="87">
        <v>6556.9</v>
      </c>
      <c r="Y9" s="85" t="s">
        <v>809</v>
      </c>
      <c r="Z9" s="86">
        <v>228.7</v>
      </c>
      <c r="AA9" s="86">
        <v>41.1</v>
      </c>
      <c r="AB9" s="86">
        <v>0</v>
      </c>
      <c r="AC9" s="86">
        <v>75.099999999999994</v>
      </c>
      <c r="AD9" s="87">
        <v>344.9</v>
      </c>
    </row>
    <row r="10" spans="1:30" x14ac:dyDescent="0.3">
      <c r="A10" s="1"/>
      <c r="B10" s="85" t="s">
        <v>810</v>
      </c>
      <c r="C10" s="86">
        <v>178</v>
      </c>
      <c r="D10" s="86">
        <v>54.9</v>
      </c>
      <c r="E10" s="86">
        <v>0</v>
      </c>
      <c r="F10" s="86">
        <v>60</v>
      </c>
      <c r="G10" s="86">
        <v>2759.3</v>
      </c>
      <c r="H10" s="86">
        <v>2856.7</v>
      </c>
      <c r="I10" s="86">
        <v>0</v>
      </c>
      <c r="J10" s="86">
        <v>12.5</v>
      </c>
      <c r="K10" s="86">
        <v>550.5</v>
      </c>
      <c r="L10" s="86">
        <v>0</v>
      </c>
      <c r="M10" s="86">
        <v>0</v>
      </c>
      <c r="N10" s="86">
        <v>0</v>
      </c>
      <c r="O10" s="86">
        <v>292.89999999999998</v>
      </c>
      <c r="P10" s="86">
        <v>5628.5</v>
      </c>
      <c r="Q10" s="86">
        <v>550.5</v>
      </c>
      <c r="R10" s="87">
        <v>6471.9</v>
      </c>
      <c r="S10" s="85" t="s">
        <v>810</v>
      </c>
      <c r="T10" s="86">
        <v>3487.8</v>
      </c>
      <c r="U10" s="86">
        <v>2911.6</v>
      </c>
      <c r="V10" s="86">
        <v>0</v>
      </c>
      <c r="W10" s="86">
        <v>72.5</v>
      </c>
      <c r="X10" s="87">
        <v>6471.9</v>
      </c>
      <c r="Y10" s="85" t="s">
        <v>810</v>
      </c>
      <c r="Z10" s="86">
        <v>227</v>
      </c>
      <c r="AA10" s="86">
        <v>41.5</v>
      </c>
      <c r="AB10" s="86">
        <v>0</v>
      </c>
      <c r="AC10" s="86">
        <v>72.5</v>
      </c>
      <c r="AD10" s="87">
        <v>341</v>
      </c>
    </row>
    <row r="11" spans="1:30" x14ac:dyDescent="0.3">
      <c r="A11" s="1"/>
      <c r="B11" s="85" t="s">
        <v>811</v>
      </c>
      <c r="C11" s="86">
        <v>181.4</v>
      </c>
      <c r="D11" s="86">
        <v>54.5</v>
      </c>
      <c r="E11" s="86">
        <v>0</v>
      </c>
      <c r="F11" s="86">
        <v>61.7</v>
      </c>
      <c r="G11" s="86">
        <v>2786.6</v>
      </c>
      <c r="H11" s="86">
        <v>2856.5</v>
      </c>
      <c r="I11" s="86">
        <v>0</v>
      </c>
      <c r="J11" s="86">
        <v>6.2</v>
      </c>
      <c r="K11" s="86">
        <v>561.20000000000005</v>
      </c>
      <c r="L11" s="86">
        <v>0</v>
      </c>
      <c r="M11" s="86">
        <v>0</v>
      </c>
      <c r="N11" s="86">
        <v>0</v>
      </c>
      <c r="O11" s="86">
        <v>297.60000000000002</v>
      </c>
      <c r="P11" s="86">
        <v>5649.3</v>
      </c>
      <c r="Q11" s="86">
        <v>561.20000000000005</v>
      </c>
      <c r="R11" s="87">
        <v>6508.1</v>
      </c>
      <c r="S11" s="85" t="s">
        <v>811</v>
      </c>
      <c r="T11" s="86">
        <v>3529.2</v>
      </c>
      <c r="U11" s="86">
        <v>2911</v>
      </c>
      <c r="V11" s="86">
        <v>0</v>
      </c>
      <c r="W11" s="86">
        <v>67.900000000000006</v>
      </c>
      <c r="X11" s="87">
        <v>6508.1</v>
      </c>
      <c r="Y11" s="85" t="s">
        <v>811</v>
      </c>
      <c r="Z11" s="86">
        <v>228.7</v>
      </c>
      <c r="AA11" s="86">
        <v>41.6</v>
      </c>
      <c r="AB11" s="86">
        <v>0</v>
      </c>
      <c r="AC11" s="86">
        <v>67.900000000000006</v>
      </c>
      <c r="AD11" s="87">
        <v>338.2</v>
      </c>
    </row>
    <row r="12" spans="1:30" x14ac:dyDescent="0.3">
      <c r="A12" s="1"/>
      <c r="B12" s="85" t="s">
        <v>812</v>
      </c>
      <c r="C12" s="86">
        <v>180.9</v>
      </c>
      <c r="D12" s="86">
        <v>55.4</v>
      </c>
      <c r="E12" s="86">
        <v>0</v>
      </c>
      <c r="F12" s="86">
        <v>65.900000000000006</v>
      </c>
      <c r="G12" s="86">
        <v>2826.4</v>
      </c>
      <c r="H12" s="86">
        <v>2770.7</v>
      </c>
      <c r="I12" s="86">
        <v>0</v>
      </c>
      <c r="J12" s="86">
        <v>14.1</v>
      </c>
      <c r="K12" s="86">
        <v>558.70000000000005</v>
      </c>
      <c r="L12" s="86">
        <v>0</v>
      </c>
      <c r="M12" s="86">
        <v>0</v>
      </c>
      <c r="N12" s="86">
        <v>0</v>
      </c>
      <c r="O12" s="86">
        <v>302.2</v>
      </c>
      <c r="P12" s="86">
        <v>5611.2</v>
      </c>
      <c r="Q12" s="86">
        <v>558.70000000000005</v>
      </c>
      <c r="R12" s="87">
        <v>6472.1</v>
      </c>
      <c r="S12" s="85" t="s">
        <v>812</v>
      </c>
      <c r="T12" s="86">
        <v>3566</v>
      </c>
      <c r="U12" s="86">
        <v>2826.1</v>
      </c>
      <c r="V12" s="86">
        <v>0</v>
      </c>
      <c r="W12" s="86">
        <v>80</v>
      </c>
      <c r="X12" s="87">
        <v>6472.1</v>
      </c>
      <c r="Y12" s="85" t="s">
        <v>812</v>
      </c>
      <c r="Z12" s="86">
        <v>228.3</v>
      </c>
      <c r="AA12" s="86">
        <v>41.4</v>
      </c>
      <c r="AB12" s="86">
        <v>0</v>
      </c>
      <c r="AC12" s="86">
        <v>80</v>
      </c>
      <c r="AD12" s="87">
        <v>349.7</v>
      </c>
    </row>
    <row r="13" spans="1:30" x14ac:dyDescent="0.3">
      <c r="A13" s="1"/>
      <c r="B13" s="85" t="s">
        <v>813</v>
      </c>
      <c r="C13" s="86">
        <v>185.1</v>
      </c>
      <c r="D13" s="86">
        <v>55.5</v>
      </c>
      <c r="E13" s="86">
        <v>0</v>
      </c>
      <c r="F13" s="86">
        <v>62.3</v>
      </c>
      <c r="G13" s="86">
        <v>2699.2</v>
      </c>
      <c r="H13" s="86">
        <v>2840.2</v>
      </c>
      <c r="I13" s="86">
        <v>0</v>
      </c>
      <c r="J13" s="86">
        <v>25.6</v>
      </c>
      <c r="K13" s="86">
        <v>556.9</v>
      </c>
      <c r="L13" s="86">
        <v>0</v>
      </c>
      <c r="M13" s="86">
        <v>0</v>
      </c>
      <c r="N13" s="86">
        <v>0</v>
      </c>
      <c r="O13" s="86">
        <v>302.89999999999998</v>
      </c>
      <c r="P13" s="86">
        <v>5565</v>
      </c>
      <c r="Q13" s="86">
        <v>556.9</v>
      </c>
      <c r="R13" s="87">
        <v>6424.8</v>
      </c>
      <c r="S13" s="85" t="s">
        <v>813</v>
      </c>
      <c r="T13" s="86">
        <v>3441.2</v>
      </c>
      <c r="U13" s="86">
        <v>2895.7</v>
      </c>
      <c r="V13" s="86">
        <v>0</v>
      </c>
      <c r="W13" s="86">
        <v>87.9</v>
      </c>
      <c r="X13" s="87">
        <v>6424.8</v>
      </c>
      <c r="Y13" s="85" t="s">
        <v>813</v>
      </c>
      <c r="Z13" s="86">
        <v>232.5</v>
      </c>
      <c r="AA13" s="86">
        <v>41.6</v>
      </c>
      <c r="AB13" s="86">
        <v>0</v>
      </c>
      <c r="AC13" s="86">
        <v>87.9</v>
      </c>
      <c r="AD13" s="87">
        <v>362</v>
      </c>
    </row>
    <row r="14" spans="1:30" x14ac:dyDescent="0.3">
      <c r="A14" s="1"/>
      <c r="B14" s="85" t="s">
        <v>814</v>
      </c>
      <c r="C14" s="86">
        <v>185.8</v>
      </c>
      <c r="D14" s="86">
        <v>54.9</v>
      </c>
      <c r="E14" s="86">
        <v>0</v>
      </c>
      <c r="F14" s="86">
        <v>56.5</v>
      </c>
      <c r="G14" s="86">
        <v>2695.7</v>
      </c>
      <c r="H14" s="86">
        <v>2845.9</v>
      </c>
      <c r="I14" s="86">
        <v>0</v>
      </c>
      <c r="J14" s="86">
        <v>18.7</v>
      </c>
      <c r="K14" s="86">
        <v>559.20000000000005</v>
      </c>
      <c r="L14" s="86">
        <v>0</v>
      </c>
      <c r="M14" s="86">
        <v>0</v>
      </c>
      <c r="N14" s="86">
        <v>0</v>
      </c>
      <c r="O14" s="86">
        <v>297.2</v>
      </c>
      <c r="P14" s="86">
        <v>5560.3</v>
      </c>
      <c r="Q14" s="86">
        <v>559.20000000000005</v>
      </c>
      <c r="R14" s="87">
        <v>6416.7</v>
      </c>
      <c r="S14" s="85" t="s">
        <v>814</v>
      </c>
      <c r="T14" s="86">
        <v>3440.7</v>
      </c>
      <c r="U14" s="86">
        <v>2900.8</v>
      </c>
      <c r="V14" s="86">
        <v>0</v>
      </c>
      <c r="W14" s="86">
        <v>75.2</v>
      </c>
      <c r="X14" s="87">
        <v>6416.7</v>
      </c>
      <c r="Y14" s="85" t="s">
        <v>814</v>
      </c>
      <c r="Z14" s="86">
        <v>233</v>
      </c>
      <c r="AA14" s="86">
        <v>41</v>
      </c>
      <c r="AB14" s="86">
        <v>0</v>
      </c>
      <c r="AC14" s="86">
        <v>75.2</v>
      </c>
      <c r="AD14" s="87">
        <v>349.2</v>
      </c>
    </row>
    <row r="15" spans="1:30" x14ac:dyDescent="0.3">
      <c r="A15" s="1"/>
      <c r="B15" s="85" t="s">
        <v>815</v>
      </c>
      <c r="C15" s="86">
        <v>186.7</v>
      </c>
      <c r="D15" s="86">
        <v>55.2</v>
      </c>
      <c r="E15" s="86">
        <v>0</v>
      </c>
      <c r="F15" s="86">
        <v>61.9</v>
      </c>
      <c r="G15" s="86">
        <v>2636.8</v>
      </c>
      <c r="H15" s="86">
        <v>2870.2</v>
      </c>
      <c r="I15" s="86">
        <v>0</v>
      </c>
      <c r="J15" s="86">
        <v>20.7</v>
      </c>
      <c r="K15" s="86">
        <v>560.20000000000005</v>
      </c>
      <c r="L15" s="86">
        <v>0</v>
      </c>
      <c r="M15" s="86">
        <v>0</v>
      </c>
      <c r="N15" s="86">
        <v>0</v>
      </c>
      <c r="O15" s="86">
        <v>303.8</v>
      </c>
      <c r="P15" s="86">
        <v>5527.7</v>
      </c>
      <c r="Q15" s="86">
        <v>560.20000000000005</v>
      </c>
      <c r="R15" s="87">
        <v>6391.7</v>
      </c>
      <c r="S15" s="85" t="s">
        <v>815</v>
      </c>
      <c r="T15" s="86">
        <v>3383.7</v>
      </c>
      <c r="U15" s="86">
        <v>2925.4</v>
      </c>
      <c r="V15" s="86">
        <v>0</v>
      </c>
      <c r="W15" s="86">
        <v>82.6</v>
      </c>
      <c r="X15" s="87">
        <v>6391.7</v>
      </c>
      <c r="Y15" s="85" t="s">
        <v>815</v>
      </c>
      <c r="Z15" s="86">
        <v>233.3</v>
      </c>
      <c r="AA15" s="86">
        <v>40.9</v>
      </c>
      <c r="AB15" s="86">
        <v>0</v>
      </c>
      <c r="AC15" s="86">
        <v>82.6</v>
      </c>
      <c r="AD15" s="87">
        <v>356.8</v>
      </c>
    </row>
    <row r="16" spans="1:30" x14ac:dyDescent="0.3">
      <c r="A16" s="1"/>
      <c r="B16" s="85" t="s">
        <v>816</v>
      </c>
      <c r="C16" s="86">
        <v>169.1</v>
      </c>
      <c r="D16" s="86">
        <v>55</v>
      </c>
      <c r="E16" s="86">
        <v>0</v>
      </c>
      <c r="F16" s="86">
        <v>64.599999999999994</v>
      </c>
      <c r="G16" s="86">
        <v>2586.9</v>
      </c>
      <c r="H16" s="86">
        <v>2888.6</v>
      </c>
      <c r="I16" s="86">
        <v>0</v>
      </c>
      <c r="J16" s="86">
        <v>23.3</v>
      </c>
      <c r="K16" s="86">
        <v>561</v>
      </c>
      <c r="L16" s="86">
        <v>0</v>
      </c>
      <c r="M16" s="86">
        <v>0</v>
      </c>
      <c r="N16" s="86">
        <v>0</v>
      </c>
      <c r="O16" s="86">
        <v>288.7</v>
      </c>
      <c r="P16" s="86">
        <v>5498.8</v>
      </c>
      <c r="Q16" s="86">
        <v>561</v>
      </c>
      <c r="R16" s="87">
        <v>6348.5</v>
      </c>
      <c r="S16" s="85" t="s">
        <v>816</v>
      </c>
      <c r="T16" s="86">
        <v>3317</v>
      </c>
      <c r="U16" s="86">
        <v>2943.6</v>
      </c>
      <c r="V16" s="86">
        <v>0</v>
      </c>
      <c r="W16" s="86">
        <v>87.9</v>
      </c>
      <c r="X16" s="87">
        <v>6348.5</v>
      </c>
      <c r="Y16" s="85" t="s">
        <v>816</v>
      </c>
      <c r="Z16" s="86">
        <v>233.3</v>
      </c>
      <c r="AA16" s="86">
        <v>41</v>
      </c>
      <c r="AB16" s="86">
        <v>0</v>
      </c>
      <c r="AC16" s="86">
        <v>87.9</v>
      </c>
      <c r="AD16" s="87">
        <v>362.2</v>
      </c>
    </row>
    <row r="17" spans="1:30" x14ac:dyDescent="0.3">
      <c r="A17" s="1"/>
      <c r="B17" s="85" t="s">
        <v>817</v>
      </c>
      <c r="C17" s="86">
        <v>170.3</v>
      </c>
      <c r="D17" s="86">
        <v>54.9</v>
      </c>
      <c r="E17" s="86">
        <v>0</v>
      </c>
      <c r="F17" s="86">
        <v>75.400000000000006</v>
      </c>
      <c r="G17" s="86">
        <v>2571.5</v>
      </c>
      <c r="H17" s="86">
        <v>2881.4</v>
      </c>
      <c r="I17" s="86">
        <v>0</v>
      </c>
      <c r="J17" s="86">
        <v>19</v>
      </c>
      <c r="K17" s="86">
        <v>540.4</v>
      </c>
      <c r="L17" s="86">
        <v>0</v>
      </c>
      <c r="M17" s="86">
        <v>0</v>
      </c>
      <c r="N17" s="86">
        <v>0</v>
      </c>
      <c r="O17" s="86">
        <v>300.60000000000002</v>
      </c>
      <c r="P17" s="86">
        <v>5471.9</v>
      </c>
      <c r="Q17" s="86">
        <v>540.4</v>
      </c>
      <c r="R17" s="87">
        <v>6312.9</v>
      </c>
      <c r="S17" s="85" t="s">
        <v>817</v>
      </c>
      <c r="T17" s="86">
        <v>3282.2</v>
      </c>
      <c r="U17" s="86">
        <v>2936.3</v>
      </c>
      <c r="V17" s="86">
        <v>0</v>
      </c>
      <c r="W17" s="86">
        <v>94.4</v>
      </c>
      <c r="X17" s="87">
        <v>6312.9</v>
      </c>
      <c r="Y17" s="85" t="s">
        <v>817</v>
      </c>
      <c r="Z17" s="86">
        <v>232.1</v>
      </c>
      <c r="AA17" s="86">
        <v>41.1</v>
      </c>
      <c r="AB17" s="86">
        <v>0</v>
      </c>
      <c r="AC17" s="86">
        <v>94.4</v>
      </c>
      <c r="AD17" s="87">
        <v>367.6</v>
      </c>
    </row>
    <row r="18" spans="1:30" x14ac:dyDescent="0.3">
      <c r="A18" s="1"/>
      <c r="B18" s="85" t="s">
        <v>818</v>
      </c>
      <c r="C18" s="86">
        <v>166.8</v>
      </c>
      <c r="D18" s="86">
        <v>53.9</v>
      </c>
      <c r="E18" s="86">
        <v>0</v>
      </c>
      <c r="F18" s="86">
        <v>81.5</v>
      </c>
      <c r="G18" s="86">
        <v>2680.8</v>
      </c>
      <c r="H18" s="86">
        <v>2933.1</v>
      </c>
      <c r="I18" s="86">
        <v>0</v>
      </c>
      <c r="J18" s="86">
        <v>30.5</v>
      </c>
      <c r="K18" s="86">
        <v>532.29999999999995</v>
      </c>
      <c r="L18" s="86">
        <v>0</v>
      </c>
      <c r="M18" s="86">
        <v>0</v>
      </c>
      <c r="N18" s="86">
        <v>0</v>
      </c>
      <c r="O18" s="86">
        <v>302.2</v>
      </c>
      <c r="P18" s="86">
        <v>5644.4</v>
      </c>
      <c r="Q18" s="86">
        <v>532.29999999999995</v>
      </c>
      <c r="R18" s="87">
        <v>6478.9</v>
      </c>
      <c r="S18" s="85" t="s">
        <v>818</v>
      </c>
      <c r="T18" s="86">
        <v>3379.9</v>
      </c>
      <c r="U18" s="86">
        <v>2987</v>
      </c>
      <c r="V18" s="86">
        <v>0</v>
      </c>
      <c r="W18" s="86">
        <v>112</v>
      </c>
      <c r="X18" s="87">
        <v>6478.9</v>
      </c>
      <c r="Y18" s="85" t="s">
        <v>818</v>
      </c>
      <c r="Z18" s="86">
        <v>230.6</v>
      </c>
      <c r="AA18" s="86">
        <v>40.4</v>
      </c>
      <c r="AB18" s="86">
        <v>0</v>
      </c>
      <c r="AC18" s="86">
        <v>112</v>
      </c>
      <c r="AD18" s="87">
        <v>383</v>
      </c>
    </row>
    <row r="19" spans="1:30" x14ac:dyDescent="0.3">
      <c r="A19" s="1"/>
      <c r="B19" s="85" t="s">
        <v>819</v>
      </c>
      <c r="C19" s="86">
        <v>232.1</v>
      </c>
      <c r="D19" s="86">
        <v>52.3</v>
      </c>
      <c r="E19" s="86">
        <v>0</v>
      </c>
      <c r="F19" s="86">
        <v>82</v>
      </c>
      <c r="G19" s="86">
        <v>2825</v>
      </c>
      <c r="H19" s="86">
        <v>2909.6</v>
      </c>
      <c r="I19" s="86">
        <v>0</v>
      </c>
      <c r="J19" s="86">
        <v>40.5</v>
      </c>
      <c r="K19" s="86">
        <v>564.9</v>
      </c>
      <c r="L19" s="86">
        <v>0</v>
      </c>
      <c r="M19" s="86">
        <v>1.2</v>
      </c>
      <c r="N19" s="86">
        <v>0</v>
      </c>
      <c r="O19" s="86">
        <v>366.4</v>
      </c>
      <c r="P19" s="86">
        <v>5775.1</v>
      </c>
      <c r="Q19" s="86">
        <v>566.1</v>
      </c>
      <c r="R19" s="87">
        <v>6707.6</v>
      </c>
      <c r="S19" s="85" t="s">
        <v>819</v>
      </c>
      <c r="T19" s="86">
        <v>3622</v>
      </c>
      <c r="U19" s="86">
        <v>2961.9</v>
      </c>
      <c r="V19" s="86">
        <v>1.2</v>
      </c>
      <c r="W19" s="86">
        <v>122.5</v>
      </c>
      <c r="X19" s="87">
        <v>6707.6</v>
      </c>
      <c r="Y19" s="85" t="s">
        <v>819</v>
      </c>
      <c r="Z19" s="86">
        <v>242.9</v>
      </c>
      <c r="AA19" s="86">
        <v>38.5</v>
      </c>
      <c r="AB19" s="86">
        <v>1.2</v>
      </c>
      <c r="AC19" s="86">
        <v>122.5</v>
      </c>
      <c r="AD19" s="87">
        <v>405.1</v>
      </c>
    </row>
    <row r="20" spans="1:30" x14ac:dyDescent="0.3">
      <c r="A20" s="1"/>
      <c r="B20" s="85" t="s">
        <v>820</v>
      </c>
      <c r="C20" s="86">
        <v>232.9</v>
      </c>
      <c r="D20" s="86">
        <v>51.9</v>
      </c>
      <c r="E20" s="86">
        <v>0</v>
      </c>
      <c r="F20" s="86">
        <v>89.1</v>
      </c>
      <c r="G20" s="86">
        <v>2921.4</v>
      </c>
      <c r="H20" s="86">
        <v>2907.3</v>
      </c>
      <c r="I20" s="86">
        <v>0</v>
      </c>
      <c r="J20" s="86">
        <v>46.5</v>
      </c>
      <c r="K20" s="86">
        <v>571.79999999999995</v>
      </c>
      <c r="L20" s="86">
        <v>0</v>
      </c>
      <c r="M20" s="86">
        <v>29.6</v>
      </c>
      <c r="N20" s="86">
        <v>0</v>
      </c>
      <c r="O20" s="86">
        <v>373.9</v>
      </c>
      <c r="P20" s="86">
        <v>5875.2</v>
      </c>
      <c r="Q20" s="86">
        <v>601.4</v>
      </c>
      <c r="R20" s="87">
        <v>6850.5</v>
      </c>
      <c r="S20" s="85" t="s">
        <v>820</v>
      </c>
      <c r="T20" s="86">
        <v>3726.1</v>
      </c>
      <c r="U20" s="86">
        <v>2959.2</v>
      </c>
      <c r="V20" s="86">
        <v>29.6</v>
      </c>
      <c r="W20" s="86">
        <v>135.6</v>
      </c>
      <c r="X20" s="87">
        <v>6850.5</v>
      </c>
      <c r="Y20" s="85" t="s">
        <v>820</v>
      </c>
      <c r="Z20" s="86">
        <v>243.4</v>
      </c>
      <c r="AA20" s="86">
        <v>36</v>
      </c>
      <c r="AB20" s="86">
        <v>29.6</v>
      </c>
      <c r="AC20" s="86">
        <v>135.6</v>
      </c>
      <c r="AD20" s="87">
        <v>444.6</v>
      </c>
    </row>
    <row r="21" spans="1:30" x14ac:dyDescent="0.3">
      <c r="A21" s="1"/>
      <c r="B21" s="85" t="s">
        <v>821</v>
      </c>
      <c r="C21" s="86">
        <v>231.3</v>
      </c>
      <c r="D21" s="86">
        <v>60</v>
      </c>
      <c r="E21" s="86">
        <v>0</v>
      </c>
      <c r="F21" s="86">
        <v>83.1</v>
      </c>
      <c r="G21" s="86">
        <v>2644.6</v>
      </c>
      <c r="H21" s="86">
        <v>2940.1</v>
      </c>
      <c r="I21" s="86">
        <v>0</v>
      </c>
      <c r="J21" s="86">
        <v>65</v>
      </c>
      <c r="K21" s="86">
        <v>576</v>
      </c>
      <c r="L21" s="86">
        <v>0</v>
      </c>
      <c r="M21" s="86">
        <v>245.9</v>
      </c>
      <c r="N21" s="86">
        <v>0</v>
      </c>
      <c r="O21" s="86">
        <v>374.4</v>
      </c>
      <c r="P21" s="86">
        <v>5649.7</v>
      </c>
      <c r="Q21" s="86">
        <v>821.9</v>
      </c>
      <c r="R21" s="87">
        <v>6846</v>
      </c>
      <c r="S21" s="85" t="s">
        <v>821</v>
      </c>
      <c r="T21" s="86">
        <v>3451.9</v>
      </c>
      <c r="U21" s="86">
        <v>3000.1</v>
      </c>
      <c r="V21" s="86">
        <v>245.9</v>
      </c>
      <c r="W21" s="86">
        <v>148.1</v>
      </c>
      <c r="X21" s="87">
        <v>6846</v>
      </c>
      <c r="Y21" s="85" t="s">
        <v>821</v>
      </c>
      <c r="Z21" s="86">
        <v>244</v>
      </c>
      <c r="AA21" s="86">
        <v>37.299999999999997</v>
      </c>
      <c r="AB21" s="86">
        <v>245.9</v>
      </c>
      <c r="AC21" s="86">
        <v>148.1</v>
      </c>
      <c r="AD21" s="87">
        <v>675.3</v>
      </c>
    </row>
    <row r="22" spans="1:30" x14ac:dyDescent="0.3">
      <c r="A22" s="1"/>
      <c r="B22" s="85" t="s">
        <v>822</v>
      </c>
      <c r="C22" s="86">
        <v>248.6</v>
      </c>
      <c r="D22" s="86">
        <v>95.8</v>
      </c>
      <c r="E22" s="86">
        <v>0</v>
      </c>
      <c r="F22" s="86">
        <v>72</v>
      </c>
      <c r="G22" s="86">
        <v>2567.5</v>
      </c>
      <c r="H22" s="86">
        <v>2929.4</v>
      </c>
      <c r="I22" s="86">
        <v>0.1</v>
      </c>
      <c r="J22" s="86">
        <v>87.2</v>
      </c>
      <c r="K22" s="86">
        <v>581.5</v>
      </c>
      <c r="L22" s="86">
        <v>0</v>
      </c>
      <c r="M22" s="86">
        <v>496.6</v>
      </c>
      <c r="N22" s="86">
        <v>0</v>
      </c>
      <c r="O22" s="86">
        <v>416.4</v>
      </c>
      <c r="P22" s="86">
        <v>5584.2</v>
      </c>
      <c r="Q22" s="86">
        <v>1078.0999999999999</v>
      </c>
      <c r="R22" s="87">
        <v>7078.7</v>
      </c>
      <c r="S22" s="85" t="s">
        <v>822</v>
      </c>
      <c r="T22" s="86">
        <v>3397.6</v>
      </c>
      <c r="U22" s="86">
        <v>3025.2</v>
      </c>
      <c r="V22" s="86">
        <v>496.7</v>
      </c>
      <c r="W22" s="86">
        <v>159.19999999999999</v>
      </c>
      <c r="X22" s="87">
        <v>7078.7</v>
      </c>
      <c r="Y22" s="85" t="s">
        <v>822</v>
      </c>
      <c r="Z22" s="86">
        <v>244.4</v>
      </c>
      <c r="AA22" s="86">
        <v>37</v>
      </c>
      <c r="AB22" s="86">
        <v>496.7</v>
      </c>
      <c r="AC22" s="86">
        <v>159.19999999999999</v>
      </c>
      <c r="AD22" s="87">
        <v>937.3</v>
      </c>
    </row>
    <row r="23" spans="1:30" x14ac:dyDescent="0.3">
      <c r="A23" s="1"/>
      <c r="B23" s="85" t="s">
        <v>823</v>
      </c>
      <c r="C23" s="86">
        <v>243.5</v>
      </c>
      <c r="D23" s="86">
        <v>96.8</v>
      </c>
      <c r="E23" s="86">
        <v>0.1</v>
      </c>
      <c r="F23" s="86">
        <v>65.099999999999994</v>
      </c>
      <c r="G23" s="86">
        <v>2391.5</v>
      </c>
      <c r="H23" s="86">
        <v>2850</v>
      </c>
      <c r="I23" s="86">
        <v>0.4</v>
      </c>
      <c r="J23" s="86">
        <v>89.9</v>
      </c>
      <c r="K23" s="86">
        <v>565</v>
      </c>
      <c r="L23" s="86">
        <v>0</v>
      </c>
      <c r="M23" s="86">
        <v>727.4</v>
      </c>
      <c r="N23" s="86">
        <v>0</v>
      </c>
      <c r="O23" s="86">
        <v>405.5</v>
      </c>
      <c r="P23" s="86">
        <v>5331.8</v>
      </c>
      <c r="Q23" s="86">
        <v>1292.4000000000001</v>
      </c>
      <c r="R23" s="87">
        <v>7029.7</v>
      </c>
      <c r="S23" s="85" t="s">
        <v>823</v>
      </c>
      <c r="T23" s="86">
        <v>3200</v>
      </c>
      <c r="U23" s="86">
        <v>2946.8</v>
      </c>
      <c r="V23" s="86">
        <v>727.9</v>
      </c>
      <c r="W23" s="86">
        <v>155</v>
      </c>
      <c r="X23" s="87">
        <v>7029.7</v>
      </c>
      <c r="Y23" s="85" t="s">
        <v>823</v>
      </c>
      <c r="Z23" s="86">
        <v>240.3</v>
      </c>
      <c r="AA23" s="86">
        <v>37.5</v>
      </c>
      <c r="AB23" s="86">
        <v>727.9</v>
      </c>
      <c r="AC23" s="86">
        <v>155</v>
      </c>
      <c r="AD23" s="87">
        <v>1160.7</v>
      </c>
    </row>
    <row r="24" spans="1:30" x14ac:dyDescent="0.3">
      <c r="A24" s="1"/>
      <c r="B24" s="85" t="s">
        <v>824</v>
      </c>
      <c r="C24" s="86">
        <v>246.8</v>
      </c>
      <c r="D24" s="86">
        <v>96.9</v>
      </c>
      <c r="E24" s="86">
        <v>0.1</v>
      </c>
      <c r="F24" s="86">
        <v>66.400000000000006</v>
      </c>
      <c r="G24" s="86">
        <v>2636.3</v>
      </c>
      <c r="H24" s="86">
        <v>2935.3</v>
      </c>
      <c r="I24" s="86">
        <v>0.9</v>
      </c>
      <c r="J24" s="86">
        <v>84.9</v>
      </c>
      <c r="K24" s="86">
        <v>570.20000000000005</v>
      </c>
      <c r="L24" s="86">
        <v>0</v>
      </c>
      <c r="M24" s="86">
        <v>757.3</v>
      </c>
      <c r="N24" s="86">
        <v>0</v>
      </c>
      <c r="O24" s="86">
        <v>410.2</v>
      </c>
      <c r="P24" s="86">
        <v>5657.4</v>
      </c>
      <c r="Q24" s="86">
        <v>1327.5</v>
      </c>
      <c r="R24" s="87">
        <v>7395.1</v>
      </c>
      <c r="S24" s="85" t="s">
        <v>824</v>
      </c>
      <c r="T24" s="86">
        <v>3453.3</v>
      </c>
      <c r="U24" s="86">
        <v>3032.2</v>
      </c>
      <c r="V24" s="86">
        <v>758.3</v>
      </c>
      <c r="W24" s="86">
        <v>151.30000000000001</v>
      </c>
      <c r="X24" s="87">
        <v>7395.1</v>
      </c>
      <c r="Y24" s="85" t="s">
        <v>824</v>
      </c>
      <c r="Z24" s="86">
        <v>235</v>
      </c>
      <c r="AA24" s="86">
        <v>37.200000000000003</v>
      </c>
      <c r="AB24" s="86">
        <v>758.3</v>
      </c>
      <c r="AC24" s="86">
        <v>151.30000000000001</v>
      </c>
      <c r="AD24" s="87">
        <v>1181.8</v>
      </c>
    </row>
    <row r="25" spans="1:30" x14ac:dyDescent="0.3">
      <c r="A25" s="1"/>
      <c r="B25" s="85" t="s">
        <v>825</v>
      </c>
      <c r="C25" s="86">
        <v>259.60000000000002</v>
      </c>
      <c r="D25" s="86">
        <v>97.6</v>
      </c>
      <c r="E25" s="86">
        <v>0.2</v>
      </c>
      <c r="F25" s="86">
        <v>66.599999999999994</v>
      </c>
      <c r="G25" s="86">
        <v>2633.9</v>
      </c>
      <c r="H25" s="86">
        <v>2893.8</v>
      </c>
      <c r="I25" s="86">
        <v>1.1000000000000001</v>
      </c>
      <c r="J25" s="86">
        <v>96.3</v>
      </c>
      <c r="K25" s="86">
        <v>579.1</v>
      </c>
      <c r="L25" s="86">
        <v>0</v>
      </c>
      <c r="M25" s="86">
        <v>786.4</v>
      </c>
      <c r="N25" s="86">
        <v>0</v>
      </c>
      <c r="O25" s="86">
        <v>424</v>
      </c>
      <c r="P25" s="86">
        <v>5625.1</v>
      </c>
      <c r="Q25" s="86">
        <v>1365.5</v>
      </c>
      <c r="R25" s="87">
        <v>7414.6</v>
      </c>
      <c r="S25" s="85" t="s">
        <v>825</v>
      </c>
      <c r="T25" s="86">
        <v>3472.6</v>
      </c>
      <c r="U25" s="86">
        <v>2991.4</v>
      </c>
      <c r="V25" s="86">
        <v>787.7</v>
      </c>
      <c r="W25" s="86">
        <v>162.9</v>
      </c>
      <c r="X25" s="87">
        <v>7414.6</v>
      </c>
      <c r="Y25" s="85" t="s">
        <v>825</v>
      </c>
      <c r="Z25" s="86">
        <v>232.1</v>
      </c>
      <c r="AA25" s="86">
        <v>38.200000000000003</v>
      </c>
      <c r="AB25" s="86">
        <v>787.7</v>
      </c>
      <c r="AC25" s="86">
        <v>162.9</v>
      </c>
      <c r="AD25" s="87">
        <v>1220.9000000000001</v>
      </c>
    </row>
    <row r="26" spans="1:30" x14ac:dyDescent="0.3">
      <c r="A26" s="1"/>
      <c r="B26" s="85" t="s">
        <v>826</v>
      </c>
      <c r="C26" s="86">
        <v>278.3</v>
      </c>
      <c r="D26" s="86">
        <v>98.3</v>
      </c>
      <c r="E26" s="86">
        <v>0.3</v>
      </c>
      <c r="F26" s="86">
        <v>72.2</v>
      </c>
      <c r="G26" s="86">
        <v>2805.8</v>
      </c>
      <c r="H26" s="86">
        <v>2937.2</v>
      </c>
      <c r="I26" s="86">
        <v>1.3</v>
      </c>
      <c r="J26" s="86">
        <v>98.8</v>
      </c>
      <c r="K26" s="86">
        <v>570.79999999999995</v>
      </c>
      <c r="L26" s="86">
        <v>0</v>
      </c>
      <c r="M26" s="86">
        <v>810.8</v>
      </c>
      <c r="N26" s="86">
        <v>0</v>
      </c>
      <c r="O26" s="86">
        <v>449.1</v>
      </c>
      <c r="P26" s="86">
        <v>5843.1</v>
      </c>
      <c r="Q26" s="86">
        <v>1381.6</v>
      </c>
      <c r="R26" s="87">
        <v>7673.8</v>
      </c>
      <c r="S26" s="85" t="s">
        <v>826</v>
      </c>
      <c r="T26" s="86">
        <v>3654.9</v>
      </c>
      <c r="U26" s="86">
        <v>3035.5</v>
      </c>
      <c r="V26" s="86">
        <v>812.4</v>
      </c>
      <c r="W26" s="86">
        <v>171</v>
      </c>
      <c r="X26" s="87">
        <v>7673.8</v>
      </c>
      <c r="Y26" s="85" t="s">
        <v>826</v>
      </c>
      <c r="Z26" s="86">
        <v>232.4</v>
      </c>
      <c r="AA26" s="86">
        <v>39</v>
      </c>
      <c r="AB26" s="86">
        <v>812.4</v>
      </c>
      <c r="AC26" s="86">
        <v>171</v>
      </c>
      <c r="AD26" s="87">
        <v>1254.8</v>
      </c>
    </row>
    <row r="27" spans="1:30" x14ac:dyDescent="0.3">
      <c r="A27" s="1"/>
      <c r="B27" s="85" t="s">
        <v>827</v>
      </c>
      <c r="C27" s="86">
        <v>305.60000000000002</v>
      </c>
      <c r="D27" s="86">
        <v>100.6</v>
      </c>
      <c r="E27" s="86">
        <v>0.3</v>
      </c>
      <c r="F27" s="86">
        <v>76.599999999999994</v>
      </c>
      <c r="G27" s="86">
        <v>2824.5</v>
      </c>
      <c r="H27" s="86">
        <v>2874.6</v>
      </c>
      <c r="I27" s="86">
        <v>1.3</v>
      </c>
      <c r="J27" s="86">
        <v>116.3</v>
      </c>
      <c r="K27" s="86">
        <v>561.9</v>
      </c>
      <c r="L27" s="86">
        <v>0</v>
      </c>
      <c r="M27" s="86">
        <v>817.7</v>
      </c>
      <c r="N27" s="86">
        <v>0</v>
      </c>
      <c r="O27" s="86">
        <v>483.1</v>
      </c>
      <c r="P27" s="86">
        <v>5816.7</v>
      </c>
      <c r="Q27" s="86">
        <v>1379.6</v>
      </c>
      <c r="R27" s="87">
        <v>7679.4</v>
      </c>
      <c r="S27" s="85" t="s">
        <v>827</v>
      </c>
      <c r="T27" s="86">
        <v>3692</v>
      </c>
      <c r="U27" s="86">
        <v>2975.2</v>
      </c>
      <c r="V27" s="86">
        <v>819.3</v>
      </c>
      <c r="W27" s="86">
        <v>192.9</v>
      </c>
      <c r="X27" s="87">
        <v>7679.4</v>
      </c>
      <c r="Y27" s="85" t="s">
        <v>827</v>
      </c>
      <c r="Z27" s="86">
        <v>231.2</v>
      </c>
      <c r="AA27" s="86">
        <v>41.3</v>
      </c>
      <c r="AB27" s="86">
        <v>819.3</v>
      </c>
      <c r="AC27" s="86">
        <v>192.9</v>
      </c>
      <c r="AD27" s="87">
        <v>1284.7</v>
      </c>
    </row>
    <row r="28" spans="1:30" x14ac:dyDescent="0.3">
      <c r="A28" s="1"/>
      <c r="B28" s="85" t="s">
        <v>828</v>
      </c>
      <c r="C28" s="86">
        <v>317</v>
      </c>
      <c r="D28" s="86">
        <v>99.9</v>
      </c>
      <c r="E28" s="86">
        <v>0.3</v>
      </c>
      <c r="F28" s="86">
        <v>81.2</v>
      </c>
      <c r="G28" s="86">
        <v>2944.2</v>
      </c>
      <c r="H28" s="86">
        <v>2816.8</v>
      </c>
      <c r="I28" s="86">
        <v>1.4</v>
      </c>
      <c r="J28" s="86">
        <v>119.4</v>
      </c>
      <c r="K28" s="86">
        <v>574.1</v>
      </c>
      <c r="L28" s="86">
        <v>0</v>
      </c>
      <c r="M28" s="86">
        <v>816.7</v>
      </c>
      <c r="N28" s="86">
        <v>0</v>
      </c>
      <c r="O28" s="86">
        <v>498.4</v>
      </c>
      <c r="P28" s="86">
        <v>5881.8</v>
      </c>
      <c r="Q28" s="86">
        <v>1390.8</v>
      </c>
      <c r="R28" s="87">
        <v>7771</v>
      </c>
      <c r="S28" s="85" t="s">
        <v>828</v>
      </c>
      <c r="T28" s="86">
        <v>3835.3</v>
      </c>
      <c r="U28" s="86">
        <v>2916.7</v>
      </c>
      <c r="V28" s="86">
        <v>818.4</v>
      </c>
      <c r="W28" s="86">
        <v>200.6</v>
      </c>
      <c r="X28" s="87">
        <v>7771</v>
      </c>
      <c r="Y28" s="85" t="s">
        <v>828</v>
      </c>
      <c r="Z28" s="86">
        <v>232.9</v>
      </c>
      <c r="AA28" s="86">
        <v>41.1</v>
      </c>
      <c r="AB28" s="86">
        <v>818.4</v>
      </c>
      <c r="AC28" s="86">
        <v>200.6</v>
      </c>
      <c r="AD28" s="87">
        <v>1293</v>
      </c>
    </row>
    <row r="29" spans="1:30" x14ac:dyDescent="0.3">
      <c r="A29" s="1"/>
      <c r="B29" s="85" t="s">
        <v>829</v>
      </c>
      <c r="C29" s="86">
        <v>313.60000000000002</v>
      </c>
      <c r="D29" s="86">
        <v>99.7</v>
      </c>
      <c r="E29" s="86">
        <v>0.1</v>
      </c>
      <c r="F29" s="86">
        <v>78.599999999999994</v>
      </c>
      <c r="G29" s="86">
        <v>2967.9</v>
      </c>
      <c r="H29" s="86">
        <v>2824.7</v>
      </c>
      <c r="I29" s="86">
        <v>1.6</v>
      </c>
      <c r="J29" s="86">
        <v>138.69999999999999</v>
      </c>
      <c r="K29" s="86">
        <v>571.29999999999995</v>
      </c>
      <c r="L29" s="86">
        <v>0</v>
      </c>
      <c r="M29" s="86">
        <v>815.7</v>
      </c>
      <c r="N29" s="86">
        <v>0</v>
      </c>
      <c r="O29" s="86">
        <v>492</v>
      </c>
      <c r="P29" s="86">
        <v>5932.9</v>
      </c>
      <c r="Q29" s="86">
        <v>1387</v>
      </c>
      <c r="R29" s="87">
        <v>7811.9</v>
      </c>
      <c r="S29" s="85" t="s">
        <v>829</v>
      </c>
      <c r="T29" s="86">
        <v>3852.8</v>
      </c>
      <c r="U29" s="86">
        <v>2924.4</v>
      </c>
      <c r="V29" s="86">
        <v>817.4</v>
      </c>
      <c r="W29" s="86">
        <v>217.3</v>
      </c>
      <c r="X29" s="87">
        <v>7811.9</v>
      </c>
      <c r="Y29" s="85" t="s">
        <v>829</v>
      </c>
      <c r="Z29" s="86">
        <v>233.9</v>
      </c>
      <c r="AA29" s="86">
        <v>41.7</v>
      </c>
      <c r="AB29" s="86">
        <v>817.4</v>
      </c>
      <c r="AC29" s="86">
        <v>217.3</v>
      </c>
      <c r="AD29" s="87">
        <v>1310.3</v>
      </c>
    </row>
    <row r="30" spans="1:30" x14ac:dyDescent="0.3">
      <c r="A30" s="1"/>
      <c r="B30" s="85" t="s">
        <v>830</v>
      </c>
      <c r="C30" s="86">
        <v>312.60000000000002</v>
      </c>
      <c r="D30" s="86">
        <v>139.1</v>
      </c>
      <c r="E30" s="86">
        <v>0.4</v>
      </c>
      <c r="F30" s="86">
        <v>72.8</v>
      </c>
      <c r="G30" s="86">
        <v>2951.2</v>
      </c>
      <c r="H30" s="86">
        <v>2808.5</v>
      </c>
      <c r="I30" s="86">
        <v>1.6</v>
      </c>
      <c r="J30" s="86">
        <v>170</v>
      </c>
      <c r="K30" s="86">
        <v>575.4</v>
      </c>
      <c r="L30" s="86">
        <v>0</v>
      </c>
      <c r="M30" s="86">
        <v>818.6</v>
      </c>
      <c r="N30" s="86">
        <v>0</v>
      </c>
      <c r="O30" s="86">
        <v>524.9</v>
      </c>
      <c r="P30" s="86">
        <v>5931.3</v>
      </c>
      <c r="Q30" s="86">
        <v>1394</v>
      </c>
      <c r="R30" s="87">
        <v>7850.2</v>
      </c>
      <c r="S30" s="85" t="s">
        <v>830</v>
      </c>
      <c r="T30" s="86">
        <v>3839.2</v>
      </c>
      <c r="U30" s="86">
        <v>2947.6</v>
      </c>
      <c r="V30" s="86">
        <v>820.6</v>
      </c>
      <c r="W30" s="86">
        <v>242.8</v>
      </c>
      <c r="X30" s="87">
        <v>7850.2</v>
      </c>
      <c r="Y30" s="85" t="s">
        <v>830</v>
      </c>
      <c r="Z30" s="86">
        <v>231.3</v>
      </c>
      <c r="AA30" s="86">
        <v>42.1</v>
      </c>
      <c r="AB30" s="86">
        <v>820.6</v>
      </c>
      <c r="AC30" s="86">
        <v>242.8</v>
      </c>
      <c r="AD30" s="87">
        <v>1336.8</v>
      </c>
    </row>
    <row r="31" spans="1:30" x14ac:dyDescent="0.3">
      <c r="A31" s="1"/>
      <c r="B31" s="85" t="s">
        <v>831</v>
      </c>
      <c r="C31" s="86">
        <v>308.2</v>
      </c>
      <c r="D31" s="86">
        <v>139.1</v>
      </c>
      <c r="E31" s="86">
        <v>0.5</v>
      </c>
      <c r="F31" s="86">
        <v>70</v>
      </c>
      <c r="G31" s="86">
        <v>3007.3</v>
      </c>
      <c r="H31" s="86">
        <v>2812.8</v>
      </c>
      <c r="I31" s="86">
        <v>1.6</v>
      </c>
      <c r="J31" s="86">
        <v>209.3</v>
      </c>
      <c r="K31" s="86">
        <v>571.5</v>
      </c>
      <c r="L31" s="86">
        <v>0</v>
      </c>
      <c r="M31" s="86">
        <v>825.3</v>
      </c>
      <c r="N31" s="86">
        <v>0</v>
      </c>
      <c r="O31" s="86">
        <v>517.79999999999995</v>
      </c>
      <c r="P31" s="86">
        <v>6031</v>
      </c>
      <c r="Q31" s="86">
        <v>1396.8</v>
      </c>
      <c r="R31" s="87">
        <v>7945.6</v>
      </c>
      <c r="S31" s="85" t="s">
        <v>831</v>
      </c>
      <c r="T31" s="86">
        <v>3887</v>
      </c>
      <c r="U31" s="86">
        <v>2951.9</v>
      </c>
      <c r="V31" s="86">
        <v>827.4</v>
      </c>
      <c r="W31" s="86">
        <v>279.3</v>
      </c>
      <c r="X31" s="87">
        <v>7945.6</v>
      </c>
      <c r="Y31" s="85" t="s">
        <v>831</v>
      </c>
      <c r="Z31" s="86">
        <v>229.6</v>
      </c>
      <c r="AA31" s="86">
        <v>41.6</v>
      </c>
      <c r="AB31" s="86">
        <v>827.4</v>
      </c>
      <c r="AC31" s="86">
        <v>279.3</v>
      </c>
      <c r="AD31" s="87">
        <v>1377.9</v>
      </c>
    </row>
    <row r="32" spans="1:30" x14ac:dyDescent="0.3">
      <c r="A32" s="1"/>
      <c r="B32" s="85" t="s">
        <v>832</v>
      </c>
      <c r="C32" s="86">
        <v>314</v>
      </c>
      <c r="D32" s="86">
        <v>138.1</v>
      </c>
      <c r="E32" s="86">
        <v>0.4</v>
      </c>
      <c r="F32" s="86">
        <v>62.2</v>
      </c>
      <c r="G32" s="86">
        <v>2894.2</v>
      </c>
      <c r="H32" s="86">
        <v>2806.2</v>
      </c>
      <c r="I32" s="86">
        <v>1.6</v>
      </c>
      <c r="J32" s="86">
        <v>274</v>
      </c>
      <c r="K32" s="86">
        <v>571.5</v>
      </c>
      <c r="L32" s="86">
        <v>0</v>
      </c>
      <c r="M32" s="86">
        <v>836.3</v>
      </c>
      <c r="N32" s="86">
        <v>0</v>
      </c>
      <c r="O32" s="86">
        <v>514.70000000000005</v>
      </c>
      <c r="P32" s="86">
        <v>5976</v>
      </c>
      <c r="Q32" s="86">
        <v>1407.8</v>
      </c>
      <c r="R32" s="87">
        <v>7898.5</v>
      </c>
      <c r="S32" s="85" t="s">
        <v>832</v>
      </c>
      <c r="T32" s="86">
        <v>3779.7</v>
      </c>
      <c r="U32" s="86">
        <v>2944.3</v>
      </c>
      <c r="V32" s="86">
        <v>838.3</v>
      </c>
      <c r="W32" s="86">
        <v>336.2</v>
      </c>
      <c r="X32" s="87">
        <v>7898.5</v>
      </c>
      <c r="Y32" s="85" t="s">
        <v>832</v>
      </c>
      <c r="Z32" s="86">
        <v>228.1</v>
      </c>
      <c r="AA32" s="86">
        <v>40.799999999999997</v>
      </c>
      <c r="AB32" s="86">
        <v>838.3</v>
      </c>
      <c r="AC32" s="86">
        <v>336.2</v>
      </c>
      <c r="AD32" s="87">
        <v>1443.4</v>
      </c>
    </row>
    <row r="33" spans="1:30" x14ac:dyDescent="0.3">
      <c r="A33" s="1"/>
      <c r="B33" s="85" t="s">
        <v>833</v>
      </c>
      <c r="C33" s="86">
        <v>291.7</v>
      </c>
      <c r="D33" s="86">
        <v>137.69999999999999</v>
      </c>
      <c r="E33" s="86">
        <v>0.4</v>
      </c>
      <c r="F33" s="86">
        <v>59.1</v>
      </c>
      <c r="G33" s="86">
        <v>2646.6</v>
      </c>
      <c r="H33" s="86">
        <v>2886.6</v>
      </c>
      <c r="I33" s="86">
        <v>1.6</v>
      </c>
      <c r="J33" s="86">
        <v>337.2</v>
      </c>
      <c r="K33" s="86">
        <v>568.4</v>
      </c>
      <c r="L33" s="86">
        <v>0</v>
      </c>
      <c r="M33" s="86">
        <v>843.1</v>
      </c>
      <c r="N33" s="86">
        <v>0</v>
      </c>
      <c r="O33" s="86">
        <v>488.9</v>
      </c>
      <c r="P33" s="86">
        <v>5872</v>
      </c>
      <c r="Q33" s="86">
        <v>1411.5</v>
      </c>
      <c r="R33" s="87">
        <v>7772.4</v>
      </c>
      <c r="S33" s="85" t="s">
        <v>833</v>
      </c>
      <c r="T33" s="86">
        <v>3506.7</v>
      </c>
      <c r="U33" s="86">
        <v>3024.3</v>
      </c>
      <c r="V33" s="86">
        <v>845.1</v>
      </c>
      <c r="W33" s="86">
        <v>396.3</v>
      </c>
      <c r="X33" s="87">
        <v>7772.4</v>
      </c>
      <c r="Y33" s="85" t="s">
        <v>833</v>
      </c>
      <c r="Z33" s="86">
        <v>232.6</v>
      </c>
      <c r="AA33" s="86">
        <v>40.799999999999997</v>
      </c>
      <c r="AB33" s="86">
        <v>845.1</v>
      </c>
      <c r="AC33" s="86">
        <v>396.3</v>
      </c>
      <c r="AD33" s="87">
        <v>1514.8</v>
      </c>
    </row>
    <row r="34" spans="1:30" x14ac:dyDescent="0.3">
      <c r="A34" s="1"/>
      <c r="B34" s="85" t="s">
        <v>834</v>
      </c>
      <c r="C34" s="86">
        <v>271</v>
      </c>
      <c r="D34" s="86">
        <v>138.30000000000001</v>
      </c>
      <c r="E34" s="86">
        <v>0.4</v>
      </c>
      <c r="F34" s="86">
        <v>53.9</v>
      </c>
      <c r="G34" s="86">
        <v>2600.8000000000002</v>
      </c>
      <c r="H34" s="86">
        <v>2931.6</v>
      </c>
      <c r="I34" s="86">
        <v>1.3</v>
      </c>
      <c r="J34" s="86">
        <v>363.7</v>
      </c>
      <c r="K34" s="86">
        <v>571.29999999999995</v>
      </c>
      <c r="L34" s="86">
        <v>0</v>
      </c>
      <c r="M34" s="86">
        <v>842</v>
      </c>
      <c r="N34" s="86">
        <v>0</v>
      </c>
      <c r="O34" s="86">
        <v>463.6</v>
      </c>
      <c r="P34" s="86">
        <v>5897.4</v>
      </c>
      <c r="Q34" s="86">
        <v>1413.3</v>
      </c>
      <c r="R34" s="87">
        <v>7774.3</v>
      </c>
      <c r="S34" s="85" t="s">
        <v>834</v>
      </c>
      <c r="T34" s="86">
        <v>3443.1</v>
      </c>
      <c r="U34" s="86">
        <v>3069.9</v>
      </c>
      <c r="V34" s="86">
        <v>843.7</v>
      </c>
      <c r="W34" s="86">
        <v>417.6</v>
      </c>
      <c r="X34" s="87">
        <v>7774.3</v>
      </c>
      <c r="Y34" s="85" t="s">
        <v>834</v>
      </c>
      <c r="Z34" s="86">
        <v>231.5</v>
      </c>
      <c r="AA34" s="86">
        <v>40.9</v>
      </c>
      <c r="AB34" s="86">
        <v>843.7</v>
      </c>
      <c r="AC34" s="86">
        <v>417.6</v>
      </c>
      <c r="AD34" s="87">
        <v>1533.7</v>
      </c>
    </row>
    <row r="35" spans="1:30" x14ac:dyDescent="0.3">
      <c r="A35" s="1"/>
      <c r="B35" s="85" t="s">
        <v>835</v>
      </c>
      <c r="C35" s="86">
        <v>271.2</v>
      </c>
      <c r="D35" s="86">
        <v>161.4</v>
      </c>
      <c r="E35" s="86">
        <v>0.4</v>
      </c>
      <c r="F35" s="86">
        <v>58.6</v>
      </c>
      <c r="G35" s="86">
        <v>2641.1</v>
      </c>
      <c r="H35" s="86">
        <v>2923.2</v>
      </c>
      <c r="I35" s="86">
        <v>1.5</v>
      </c>
      <c r="J35" s="86">
        <v>358.8</v>
      </c>
      <c r="K35" s="86">
        <v>587.20000000000005</v>
      </c>
      <c r="L35" s="86">
        <v>0</v>
      </c>
      <c r="M35" s="86">
        <v>838.7</v>
      </c>
      <c r="N35" s="86">
        <v>0</v>
      </c>
      <c r="O35" s="86">
        <v>491.6</v>
      </c>
      <c r="P35" s="86">
        <v>5924.6</v>
      </c>
      <c r="Q35" s="86">
        <v>1425.9</v>
      </c>
      <c r="R35" s="87">
        <v>7842.1</v>
      </c>
      <c r="S35" s="85" t="s">
        <v>835</v>
      </c>
      <c r="T35" s="86">
        <v>3499.5</v>
      </c>
      <c r="U35" s="86">
        <v>3084.6</v>
      </c>
      <c r="V35" s="86">
        <v>840.6</v>
      </c>
      <c r="W35" s="86">
        <v>417.4</v>
      </c>
      <c r="X35" s="87">
        <v>7842.1</v>
      </c>
      <c r="Y35" s="85" t="s">
        <v>835</v>
      </c>
      <c r="Z35" s="86">
        <v>231.7</v>
      </c>
      <c r="AA35" s="86">
        <v>39.5</v>
      </c>
      <c r="AB35" s="86">
        <v>840.6</v>
      </c>
      <c r="AC35" s="86">
        <v>417.4</v>
      </c>
      <c r="AD35" s="87">
        <v>1529.2</v>
      </c>
    </row>
    <row r="36" spans="1:30" x14ac:dyDescent="0.3">
      <c r="A36" s="1"/>
      <c r="B36" s="85" t="s">
        <v>836</v>
      </c>
      <c r="C36" s="86">
        <v>271.60000000000002</v>
      </c>
      <c r="D36" s="86">
        <v>203</v>
      </c>
      <c r="E36" s="86">
        <v>0.3</v>
      </c>
      <c r="F36" s="86">
        <v>70.5</v>
      </c>
      <c r="G36" s="86">
        <v>2600.3000000000002</v>
      </c>
      <c r="H36" s="86">
        <v>2997.4</v>
      </c>
      <c r="I36" s="86">
        <v>1.2</v>
      </c>
      <c r="J36" s="86">
        <v>345.9</v>
      </c>
      <c r="K36" s="86">
        <v>571.79999999999995</v>
      </c>
      <c r="L36" s="86">
        <v>0</v>
      </c>
      <c r="M36" s="86">
        <v>834.5</v>
      </c>
      <c r="N36" s="86">
        <v>0</v>
      </c>
      <c r="O36" s="86">
        <v>545.4</v>
      </c>
      <c r="P36" s="86">
        <v>5944.8</v>
      </c>
      <c r="Q36" s="86">
        <v>1406.3</v>
      </c>
      <c r="R36" s="87">
        <v>7896.5</v>
      </c>
      <c r="S36" s="85" t="s">
        <v>836</v>
      </c>
      <c r="T36" s="86">
        <v>3443.7</v>
      </c>
      <c r="U36" s="86">
        <v>3200.4</v>
      </c>
      <c r="V36" s="86">
        <v>836</v>
      </c>
      <c r="W36" s="86">
        <v>416.4</v>
      </c>
      <c r="X36" s="87">
        <v>7896.5</v>
      </c>
      <c r="Y36" s="85" t="s">
        <v>836</v>
      </c>
      <c r="Z36" s="86">
        <v>230.3</v>
      </c>
      <c r="AA36" s="86">
        <v>38.700000000000003</v>
      </c>
      <c r="AB36" s="86">
        <v>836</v>
      </c>
      <c r="AC36" s="86">
        <v>416.4</v>
      </c>
      <c r="AD36" s="87">
        <v>1521.4</v>
      </c>
    </row>
    <row r="37" spans="1:30" x14ac:dyDescent="0.3">
      <c r="A37" s="1"/>
      <c r="B37" s="85" t="s">
        <v>837</v>
      </c>
      <c r="C37" s="86">
        <v>247.5</v>
      </c>
      <c r="D37" s="86">
        <v>207.4</v>
      </c>
      <c r="E37" s="86">
        <v>0.3</v>
      </c>
      <c r="F37" s="86">
        <v>65.2</v>
      </c>
      <c r="G37" s="86">
        <v>2694.7</v>
      </c>
      <c r="H37" s="86">
        <v>3005.2</v>
      </c>
      <c r="I37" s="86">
        <v>1.1000000000000001</v>
      </c>
      <c r="J37" s="86">
        <v>367.6</v>
      </c>
      <c r="K37" s="86">
        <v>575</v>
      </c>
      <c r="L37" s="86">
        <v>0</v>
      </c>
      <c r="M37" s="86">
        <v>813.6</v>
      </c>
      <c r="N37" s="86">
        <v>0</v>
      </c>
      <c r="O37" s="86">
        <v>520.4</v>
      </c>
      <c r="P37" s="86">
        <v>6068.6</v>
      </c>
      <c r="Q37" s="86">
        <v>1388.6</v>
      </c>
      <c r="R37" s="87">
        <v>7977.6</v>
      </c>
      <c r="S37" s="85" t="s">
        <v>837</v>
      </c>
      <c r="T37" s="86">
        <v>3517.2</v>
      </c>
      <c r="U37" s="86">
        <v>3212.6</v>
      </c>
      <c r="V37" s="86">
        <v>815</v>
      </c>
      <c r="W37" s="86">
        <v>432.8</v>
      </c>
      <c r="X37" s="87">
        <v>7977.6</v>
      </c>
      <c r="Y37" s="85" t="s">
        <v>837</v>
      </c>
      <c r="Z37" s="86">
        <v>228.6</v>
      </c>
      <c r="AA37" s="86">
        <v>36.700000000000003</v>
      </c>
      <c r="AB37" s="86">
        <v>815</v>
      </c>
      <c r="AC37" s="86">
        <v>432.8</v>
      </c>
      <c r="AD37" s="87">
        <v>1513.1</v>
      </c>
    </row>
    <row r="38" spans="1:30" x14ac:dyDescent="0.3">
      <c r="A38" s="1"/>
      <c r="B38" s="85" t="s">
        <v>838</v>
      </c>
      <c r="C38" s="86">
        <v>249.2</v>
      </c>
      <c r="D38" s="86">
        <v>212.1</v>
      </c>
      <c r="E38" s="86">
        <v>0.3</v>
      </c>
      <c r="F38" s="86">
        <v>57.4</v>
      </c>
      <c r="G38" s="86">
        <v>2682.1</v>
      </c>
      <c r="H38" s="86">
        <v>2972.2</v>
      </c>
      <c r="I38" s="86">
        <v>0.9</v>
      </c>
      <c r="J38" s="86">
        <v>459.7</v>
      </c>
      <c r="K38" s="86">
        <v>591.79999999999995</v>
      </c>
      <c r="L38" s="86">
        <v>0</v>
      </c>
      <c r="M38" s="86">
        <v>771.1</v>
      </c>
      <c r="N38" s="86">
        <v>0</v>
      </c>
      <c r="O38" s="86">
        <v>519</v>
      </c>
      <c r="P38" s="86">
        <v>6114.9</v>
      </c>
      <c r="Q38" s="86">
        <v>1362.9</v>
      </c>
      <c r="R38" s="87">
        <v>7996.8</v>
      </c>
      <c r="S38" s="85" t="s">
        <v>838</v>
      </c>
      <c r="T38" s="86">
        <v>3523.1</v>
      </c>
      <c r="U38" s="86">
        <v>3184.3</v>
      </c>
      <c r="V38" s="86">
        <v>772.3</v>
      </c>
      <c r="W38" s="86">
        <v>517.1</v>
      </c>
      <c r="X38" s="87">
        <v>7996.8</v>
      </c>
      <c r="Y38" s="85" t="s">
        <v>838</v>
      </c>
      <c r="Z38" s="86">
        <v>228</v>
      </c>
      <c r="AA38" s="86">
        <v>39</v>
      </c>
      <c r="AB38" s="86">
        <v>772.3</v>
      </c>
      <c r="AC38" s="86">
        <v>517.1</v>
      </c>
      <c r="AD38" s="87">
        <v>1556.4</v>
      </c>
    </row>
    <row r="39" spans="1:30" x14ac:dyDescent="0.3">
      <c r="A39" s="1"/>
      <c r="B39" s="85" t="s">
        <v>839</v>
      </c>
      <c r="C39" s="86">
        <v>244.7</v>
      </c>
      <c r="D39" s="86">
        <v>217.2</v>
      </c>
      <c r="E39" s="86">
        <v>0.2</v>
      </c>
      <c r="F39" s="86">
        <v>55.9</v>
      </c>
      <c r="G39" s="86">
        <v>2731.9</v>
      </c>
      <c r="H39" s="86">
        <v>3034.3</v>
      </c>
      <c r="I39" s="86">
        <v>0.7</v>
      </c>
      <c r="J39" s="86">
        <v>476.9</v>
      </c>
      <c r="K39" s="86">
        <v>618</v>
      </c>
      <c r="L39" s="86">
        <v>0</v>
      </c>
      <c r="M39" s="86">
        <v>606.79999999999995</v>
      </c>
      <c r="N39" s="86">
        <v>0</v>
      </c>
      <c r="O39" s="86">
        <v>518</v>
      </c>
      <c r="P39" s="86">
        <v>6243.8</v>
      </c>
      <c r="Q39" s="86">
        <v>1224.8</v>
      </c>
      <c r="R39" s="87">
        <v>7986.6</v>
      </c>
      <c r="S39" s="85" t="s">
        <v>839</v>
      </c>
      <c r="T39" s="86">
        <v>3594.6</v>
      </c>
      <c r="U39" s="86">
        <v>3251.5</v>
      </c>
      <c r="V39" s="86">
        <v>607.70000000000005</v>
      </c>
      <c r="W39" s="86">
        <v>532.79999999999995</v>
      </c>
      <c r="X39" s="87">
        <v>7986.6</v>
      </c>
      <c r="Y39" s="85" t="s">
        <v>839</v>
      </c>
      <c r="Z39" s="86">
        <v>225.7</v>
      </c>
      <c r="AA39" s="86">
        <v>38.299999999999997</v>
      </c>
      <c r="AB39" s="86">
        <v>607.70000000000005</v>
      </c>
      <c r="AC39" s="86">
        <v>532.79999999999995</v>
      </c>
      <c r="AD39" s="87">
        <v>1404.5</v>
      </c>
    </row>
    <row r="40" spans="1:30" x14ac:dyDescent="0.3">
      <c r="A40" s="1"/>
      <c r="B40" s="85" t="s">
        <v>840</v>
      </c>
      <c r="C40" s="86">
        <v>241.2</v>
      </c>
      <c r="D40" s="86">
        <v>216.7</v>
      </c>
      <c r="E40" s="86">
        <v>0.1</v>
      </c>
      <c r="F40" s="86">
        <v>55.1</v>
      </c>
      <c r="G40" s="86">
        <v>2857.3</v>
      </c>
      <c r="H40" s="86">
        <v>3204.1</v>
      </c>
      <c r="I40" s="86">
        <v>0.3</v>
      </c>
      <c r="J40" s="86">
        <v>501.9</v>
      </c>
      <c r="K40" s="86">
        <v>616.9</v>
      </c>
      <c r="L40" s="86">
        <v>0</v>
      </c>
      <c r="M40" s="86">
        <v>306.5</v>
      </c>
      <c r="N40" s="86">
        <v>0</v>
      </c>
      <c r="O40" s="86">
        <v>513.1</v>
      </c>
      <c r="P40" s="86">
        <v>6563.6</v>
      </c>
      <c r="Q40" s="86">
        <v>923.4</v>
      </c>
      <c r="R40" s="87">
        <v>8000.1</v>
      </c>
      <c r="S40" s="85" t="s">
        <v>840</v>
      </c>
      <c r="T40" s="86">
        <v>3715.4</v>
      </c>
      <c r="U40" s="86">
        <v>3420.8</v>
      </c>
      <c r="V40" s="86">
        <v>306.89999999999998</v>
      </c>
      <c r="W40" s="86">
        <v>557</v>
      </c>
      <c r="X40" s="87">
        <v>8000.1</v>
      </c>
      <c r="Y40" s="85" t="s">
        <v>840</v>
      </c>
      <c r="Z40" s="86">
        <v>224.6</v>
      </c>
      <c r="AA40" s="86">
        <v>38.6</v>
      </c>
      <c r="AB40" s="86">
        <v>306.89999999999998</v>
      </c>
      <c r="AC40" s="86">
        <v>557</v>
      </c>
      <c r="AD40" s="87">
        <v>1127.0999999999999</v>
      </c>
    </row>
    <row r="41" spans="1:30" x14ac:dyDescent="0.3">
      <c r="A41" s="1"/>
      <c r="B41" s="85" t="s">
        <v>841</v>
      </c>
      <c r="C41" s="86">
        <v>240.4</v>
      </c>
      <c r="D41" s="86">
        <v>195.6</v>
      </c>
      <c r="E41" s="86">
        <v>0.1</v>
      </c>
      <c r="F41" s="86">
        <v>55.1</v>
      </c>
      <c r="G41" s="86">
        <v>2847.3</v>
      </c>
      <c r="H41" s="86">
        <v>3292</v>
      </c>
      <c r="I41" s="86">
        <v>0</v>
      </c>
      <c r="J41" s="86">
        <v>523.1</v>
      </c>
      <c r="K41" s="86">
        <v>662.8</v>
      </c>
      <c r="L41" s="86">
        <v>0</v>
      </c>
      <c r="M41" s="86">
        <v>36.6</v>
      </c>
      <c r="N41" s="86">
        <v>0</v>
      </c>
      <c r="O41" s="86">
        <v>491.2</v>
      </c>
      <c r="P41" s="86">
        <v>6662.4</v>
      </c>
      <c r="Q41" s="86">
        <v>699.4</v>
      </c>
      <c r="R41" s="87">
        <v>7853</v>
      </c>
      <c r="S41" s="85" t="s">
        <v>841</v>
      </c>
      <c r="T41" s="86">
        <v>3750.5</v>
      </c>
      <c r="U41" s="86">
        <v>3487.6</v>
      </c>
      <c r="V41" s="86">
        <v>36.700000000000003</v>
      </c>
      <c r="W41" s="86">
        <v>578.20000000000005</v>
      </c>
      <c r="X41" s="87">
        <v>7853</v>
      </c>
      <c r="Y41" s="85" t="s">
        <v>841</v>
      </c>
      <c r="Z41" s="86">
        <v>221.8</v>
      </c>
      <c r="AA41" s="86">
        <v>38.6</v>
      </c>
      <c r="AB41" s="86">
        <v>36.700000000000003</v>
      </c>
      <c r="AC41" s="86">
        <v>578.20000000000005</v>
      </c>
      <c r="AD41" s="87">
        <v>875.3</v>
      </c>
    </row>
    <row r="42" spans="1:30" x14ac:dyDescent="0.3">
      <c r="A42" s="1"/>
      <c r="B42" s="85" t="s">
        <v>842</v>
      </c>
      <c r="C42" s="86">
        <v>267.2</v>
      </c>
      <c r="D42" s="86">
        <v>174.6</v>
      </c>
      <c r="E42" s="86">
        <v>0</v>
      </c>
      <c r="F42" s="86">
        <v>50.3</v>
      </c>
      <c r="G42" s="86">
        <v>2973.9</v>
      </c>
      <c r="H42" s="86">
        <v>3351.9</v>
      </c>
      <c r="I42" s="86">
        <v>0</v>
      </c>
      <c r="J42" s="86">
        <v>537.79999999999995</v>
      </c>
      <c r="K42" s="86">
        <v>616.29999999999995</v>
      </c>
      <c r="L42" s="86">
        <v>0</v>
      </c>
      <c r="M42" s="86">
        <v>0</v>
      </c>
      <c r="N42" s="86">
        <v>0</v>
      </c>
      <c r="O42" s="86">
        <v>492.1</v>
      </c>
      <c r="P42" s="86">
        <v>6863.6</v>
      </c>
      <c r="Q42" s="86">
        <v>616.29999999999995</v>
      </c>
      <c r="R42" s="87">
        <v>7972</v>
      </c>
      <c r="S42" s="85" t="s">
        <v>842</v>
      </c>
      <c r="T42" s="86">
        <v>3857.4</v>
      </c>
      <c r="U42" s="86">
        <v>3526.5</v>
      </c>
      <c r="V42" s="86">
        <v>0</v>
      </c>
      <c r="W42" s="86">
        <v>588.1</v>
      </c>
      <c r="X42" s="87">
        <v>7972</v>
      </c>
      <c r="Y42" s="85" t="s">
        <v>842</v>
      </c>
      <c r="Z42" s="86">
        <v>229.1</v>
      </c>
      <c r="AA42" s="86">
        <v>40.200000000000003</v>
      </c>
      <c r="AB42" s="86">
        <v>0</v>
      </c>
      <c r="AC42" s="86">
        <v>588.1</v>
      </c>
      <c r="AD42" s="87">
        <v>857.4</v>
      </c>
    </row>
    <row r="43" spans="1:30" x14ac:dyDescent="0.3">
      <c r="A43" s="1"/>
      <c r="B43" s="85" t="s">
        <v>843</v>
      </c>
      <c r="C43" s="86">
        <v>269.10000000000002</v>
      </c>
      <c r="D43" s="86">
        <v>173.9</v>
      </c>
      <c r="E43" s="86">
        <v>0</v>
      </c>
      <c r="F43" s="86">
        <v>48.4</v>
      </c>
      <c r="G43" s="86">
        <v>2895.9</v>
      </c>
      <c r="H43" s="86">
        <v>3275.7</v>
      </c>
      <c r="I43" s="86">
        <v>0</v>
      </c>
      <c r="J43" s="86">
        <v>536.79999999999995</v>
      </c>
      <c r="K43" s="86">
        <v>614.5</v>
      </c>
      <c r="L43" s="86">
        <v>0</v>
      </c>
      <c r="M43" s="86">
        <v>0</v>
      </c>
      <c r="N43" s="86">
        <v>0</v>
      </c>
      <c r="O43" s="86">
        <v>491.4</v>
      </c>
      <c r="P43" s="86">
        <v>6708.4</v>
      </c>
      <c r="Q43" s="86">
        <v>614.5</v>
      </c>
      <c r="R43" s="87">
        <v>7814.3</v>
      </c>
      <c r="S43" s="85" t="s">
        <v>843</v>
      </c>
      <c r="T43" s="86">
        <v>3779.5</v>
      </c>
      <c r="U43" s="86">
        <v>3449.6</v>
      </c>
      <c r="V43" s="86">
        <v>0</v>
      </c>
      <c r="W43" s="86">
        <v>585.20000000000005</v>
      </c>
      <c r="X43" s="87">
        <v>7814.3</v>
      </c>
      <c r="Y43" s="85" t="s">
        <v>843</v>
      </c>
      <c r="Z43" s="86">
        <v>229</v>
      </c>
      <c r="AA43" s="86">
        <v>40.4</v>
      </c>
      <c r="AB43" s="86">
        <v>0</v>
      </c>
      <c r="AC43" s="86">
        <v>585.20000000000005</v>
      </c>
      <c r="AD43" s="87">
        <v>854.6</v>
      </c>
    </row>
    <row r="44" spans="1:30" x14ac:dyDescent="0.3">
      <c r="A44" s="1"/>
      <c r="B44" s="85" t="s">
        <v>844</v>
      </c>
      <c r="C44" s="86">
        <v>270.10000000000002</v>
      </c>
      <c r="D44" s="86">
        <v>174.6</v>
      </c>
      <c r="E44" s="86">
        <v>0</v>
      </c>
      <c r="F44" s="86">
        <v>40.4</v>
      </c>
      <c r="G44" s="86">
        <v>2980.7</v>
      </c>
      <c r="H44" s="86">
        <v>3286.4</v>
      </c>
      <c r="I44" s="86">
        <v>0</v>
      </c>
      <c r="J44" s="86">
        <v>536.4</v>
      </c>
      <c r="K44" s="86">
        <v>616.5</v>
      </c>
      <c r="L44" s="86">
        <v>0</v>
      </c>
      <c r="M44" s="86">
        <v>0</v>
      </c>
      <c r="N44" s="86">
        <v>0</v>
      </c>
      <c r="O44" s="86">
        <v>485.1</v>
      </c>
      <c r="P44" s="86">
        <v>6803.5</v>
      </c>
      <c r="Q44" s="86">
        <v>616.5</v>
      </c>
      <c r="R44" s="87">
        <v>7905.1</v>
      </c>
      <c r="S44" s="85" t="s">
        <v>844</v>
      </c>
      <c r="T44" s="86">
        <v>3867.3</v>
      </c>
      <c r="U44" s="86">
        <v>3461</v>
      </c>
      <c r="V44" s="86">
        <v>0</v>
      </c>
      <c r="W44" s="86">
        <v>576.79999999999995</v>
      </c>
      <c r="X44" s="87">
        <v>7905.1</v>
      </c>
      <c r="Y44" s="85" t="s">
        <v>844</v>
      </c>
      <c r="Z44" s="86">
        <v>238.7</v>
      </c>
      <c r="AA44" s="86">
        <v>40.4</v>
      </c>
      <c r="AB44" s="86">
        <v>0</v>
      </c>
      <c r="AC44" s="86">
        <v>576.79999999999995</v>
      </c>
      <c r="AD44" s="87">
        <v>855.9</v>
      </c>
    </row>
    <row r="45" spans="1:30" x14ac:dyDescent="0.3">
      <c r="A45" s="1"/>
      <c r="B45" s="85" t="s">
        <v>845</v>
      </c>
      <c r="C45" s="86">
        <v>330.3</v>
      </c>
      <c r="D45" s="86">
        <v>174.3</v>
      </c>
      <c r="E45" s="86">
        <v>0</v>
      </c>
      <c r="F45" s="86">
        <v>37.700000000000003</v>
      </c>
      <c r="G45" s="86">
        <v>2854.5</v>
      </c>
      <c r="H45" s="86">
        <v>3272.3</v>
      </c>
      <c r="I45" s="86">
        <v>0</v>
      </c>
      <c r="J45" s="86">
        <v>549</v>
      </c>
      <c r="K45" s="86">
        <v>613.4</v>
      </c>
      <c r="L45" s="86">
        <v>0</v>
      </c>
      <c r="M45" s="86">
        <v>0</v>
      </c>
      <c r="N45" s="86">
        <v>0</v>
      </c>
      <c r="O45" s="86">
        <v>542.29999999999995</v>
      </c>
      <c r="P45" s="86">
        <v>6675.8</v>
      </c>
      <c r="Q45" s="86">
        <v>613.4</v>
      </c>
      <c r="R45" s="87">
        <v>7831.5</v>
      </c>
      <c r="S45" s="85" t="s">
        <v>845</v>
      </c>
      <c r="T45" s="86">
        <v>3798.2</v>
      </c>
      <c r="U45" s="86">
        <v>3446.6</v>
      </c>
      <c r="V45" s="86">
        <v>0</v>
      </c>
      <c r="W45" s="86">
        <v>586.70000000000005</v>
      </c>
      <c r="X45" s="87">
        <v>7831.5</v>
      </c>
      <c r="Y45" s="85" t="s">
        <v>845</v>
      </c>
      <c r="Z45" s="86">
        <v>237.9</v>
      </c>
      <c r="AA45" s="86">
        <v>39.4</v>
      </c>
      <c r="AB45" s="86">
        <v>0</v>
      </c>
      <c r="AC45" s="86">
        <v>586.70000000000005</v>
      </c>
      <c r="AD45" s="87">
        <v>864</v>
      </c>
    </row>
    <row r="46" spans="1:30" x14ac:dyDescent="0.3">
      <c r="A46" s="1"/>
      <c r="B46" s="85" t="s">
        <v>846</v>
      </c>
      <c r="C46" s="86">
        <v>332.7</v>
      </c>
      <c r="D46" s="86">
        <v>213.1</v>
      </c>
      <c r="E46" s="86">
        <v>0</v>
      </c>
      <c r="F46" s="86">
        <v>37.299999999999997</v>
      </c>
      <c r="G46" s="86">
        <v>3098.6</v>
      </c>
      <c r="H46" s="86">
        <v>2946.4</v>
      </c>
      <c r="I46" s="86">
        <v>0</v>
      </c>
      <c r="J46" s="86">
        <v>510.6</v>
      </c>
      <c r="K46" s="86">
        <v>654.9</v>
      </c>
      <c r="L46" s="86">
        <v>0</v>
      </c>
      <c r="M46" s="86">
        <v>0</v>
      </c>
      <c r="N46" s="86">
        <v>0</v>
      </c>
      <c r="O46" s="86">
        <v>583.1</v>
      </c>
      <c r="P46" s="86">
        <v>6555.6</v>
      </c>
      <c r="Q46" s="86">
        <v>654.9</v>
      </c>
      <c r="R46" s="87">
        <v>7793.6</v>
      </c>
      <c r="S46" s="85" t="s">
        <v>846</v>
      </c>
      <c r="T46" s="86">
        <v>4086.2</v>
      </c>
      <c r="U46" s="86">
        <v>3159.5</v>
      </c>
      <c r="V46" s="86">
        <v>0</v>
      </c>
      <c r="W46" s="86">
        <v>547.9</v>
      </c>
      <c r="X46" s="87">
        <v>7793.6</v>
      </c>
      <c r="Y46" s="85" t="s">
        <v>846</v>
      </c>
      <c r="Z46" s="86">
        <v>241.4</v>
      </c>
      <c r="AA46" s="86">
        <v>38.1</v>
      </c>
      <c r="AB46" s="86">
        <v>0</v>
      </c>
      <c r="AC46" s="86">
        <v>547.9</v>
      </c>
      <c r="AD46" s="87">
        <v>827.4</v>
      </c>
    </row>
    <row r="47" spans="1:30" x14ac:dyDescent="0.3">
      <c r="A47" s="1"/>
      <c r="B47" s="85" t="s">
        <v>847</v>
      </c>
      <c r="C47" s="86">
        <v>334.5</v>
      </c>
      <c r="D47" s="86">
        <v>213.1</v>
      </c>
      <c r="E47" s="86">
        <v>0</v>
      </c>
      <c r="F47" s="86">
        <v>46.5</v>
      </c>
      <c r="G47" s="86">
        <v>3197.1</v>
      </c>
      <c r="H47" s="86">
        <v>2932</v>
      </c>
      <c r="I47" s="86">
        <v>0</v>
      </c>
      <c r="J47" s="86">
        <v>474</v>
      </c>
      <c r="K47" s="86">
        <v>656</v>
      </c>
      <c r="L47" s="86">
        <v>0</v>
      </c>
      <c r="M47" s="86">
        <v>0</v>
      </c>
      <c r="N47" s="86">
        <v>0</v>
      </c>
      <c r="O47" s="86">
        <v>594.1</v>
      </c>
      <c r="P47" s="86">
        <v>6603.1</v>
      </c>
      <c r="Q47" s="86">
        <v>656</v>
      </c>
      <c r="R47" s="87">
        <v>7853.2</v>
      </c>
      <c r="S47" s="85" t="s">
        <v>847</v>
      </c>
      <c r="T47" s="86">
        <v>4187.6000000000004</v>
      </c>
      <c r="U47" s="86">
        <v>3145.1</v>
      </c>
      <c r="V47" s="86">
        <v>0</v>
      </c>
      <c r="W47" s="86">
        <v>520.5</v>
      </c>
      <c r="X47" s="87">
        <v>7853.2</v>
      </c>
      <c r="Y47" s="85" t="s">
        <v>847</v>
      </c>
      <c r="Z47" s="86">
        <v>242.7</v>
      </c>
      <c r="AA47" s="86">
        <v>37</v>
      </c>
      <c r="AB47" s="86">
        <v>0</v>
      </c>
      <c r="AC47" s="86">
        <v>520.5</v>
      </c>
      <c r="AD47" s="87">
        <v>800.2</v>
      </c>
    </row>
    <row r="48" spans="1:30" x14ac:dyDescent="0.3">
      <c r="A48" s="1"/>
      <c r="B48" s="85" t="s">
        <v>848</v>
      </c>
      <c r="C48" s="86">
        <v>332.8</v>
      </c>
      <c r="D48" s="86">
        <v>206.1</v>
      </c>
      <c r="E48" s="86">
        <v>0</v>
      </c>
      <c r="F48" s="86">
        <v>49.5</v>
      </c>
      <c r="G48" s="86">
        <v>3249.1</v>
      </c>
      <c r="H48" s="86">
        <v>2932.2</v>
      </c>
      <c r="I48" s="86">
        <v>0</v>
      </c>
      <c r="J48" s="86">
        <v>414</v>
      </c>
      <c r="K48" s="86">
        <v>656.5</v>
      </c>
      <c r="L48" s="86">
        <v>0</v>
      </c>
      <c r="M48" s="86">
        <v>0</v>
      </c>
      <c r="N48" s="86">
        <v>0</v>
      </c>
      <c r="O48" s="86">
        <v>588.4</v>
      </c>
      <c r="P48" s="86">
        <v>6595.3</v>
      </c>
      <c r="Q48" s="86">
        <v>656.5</v>
      </c>
      <c r="R48" s="87">
        <v>7840.2</v>
      </c>
      <c r="S48" s="85" t="s">
        <v>848</v>
      </c>
      <c r="T48" s="86">
        <v>4238.3999999999996</v>
      </c>
      <c r="U48" s="86">
        <v>3138.3</v>
      </c>
      <c r="V48" s="86">
        <v>0</v>
      </c>
      <c r="W48" s="86">
        <v>463.5</v>
      </c>
      <c r="X48" s="87">
        <v>7840.2</v>
      </c>
      <c r="Y48" s="85" t="s">
        <v>848</v>
      </c>
      <c r="Z48" s="86">
        <v>243.6</v>
      </c>
      <c r="AA48" s="86">
        <v>36.1</v>
      </c>
      <c r="AB48" s="86">
        <v>0</v>
      </c>
      <c r="AC48" s="86">
        <v>463.5</v>
      </c>
      <c r="AD48" s="87">
        <v>743.2</v>
      </c>
    </row>
    <row r="49" spans="1:30" x14ac:dyDescent="0.3">
      <c r="A49" s="1"/>
      <c r="B49" s="85" t="s">
        <v>849</v>
      </c>
      <c r="C49" s="86">
        <v>328.7</v>
      </c>
      <c r="D49" s="86">
        <v>145.19999999999999</v>
      </c>
      <c r="E49" s="86">
        <v>0</v>
      </c>
      <c r="F49" s="86">
        <v>71.5</v>
      </c>
      <c r="G49" s="86">
        <v>3139.2</v>
      </c>
      <c r="H49" s="86">
        <v>3092.7</v>
      </c>
      <c r="I49" s="86">
        <v>0</v>
      </c>
      <c r="J49" s="86">
        <v>353</v>
      </c>
      <c r="K49" s="86">
        <v>655</v>
      </c>
      <c r="L49" s="86">
        <v>0</v>
      </c>
      <c r="M49" s="86">
        <v>0</v>
      </c>
      <c r="N49" s="86">
        <v>0</v>
      </c>
      <c r="O49" s="86">
        <v>545.4</v>
      </c>
      <c r="P49" s="86">
        <v>6584.9</v>
      </c>
      <c r="Q49" s="86">
        <v>655</v>
      </c>
      <c r="R49" s="87">
        <v>7785.3</v>
      </c>
      <c r="S49" s="85" t="s">
        <v>849</v>
      </c>
      <c r="T49" s="86">
        <v>4122.8999999999996</v>
      </c>
      <c r="U49" s="86">
        <v>3237.9</v>
      </c>
      <c r="V49" s="86">
        <v>0</v>
      </c>
      <c r="W49" s="86">
        <v>424.5</v>
      </c>
      <c r="X49" s="87">
        <v>7785.3</v>
      </c>
      <c r="Y49" s="85" t="s">
        <v>849</v>
      </c>
      <c r="Z49" s="86">
        <v>240.7</v>
      </c>
      <c r="AA49" s="86">
        <v>40</v>
      </c>
      <c r="AB49" s="86">
        <v>0</v>
      </c>
      <c r="AC49" s="86">
        <v>424.5</v>
      </c>
      <c r="AD49" s="87">
        <v>705.2</v>
      </c>
    </row>
    <row r="50" spans="1:30" x14ac:dyDescent="0.3">
      <c r="A50" s="1"/>
      <c r="B50" s="85" t="s">
        <v>850</v>
      </c>
      <c r="C50" s="86">
        <v>328.6</v>
      </c>
      <c r="D50" s="86">
        <v>136.19999999999999</v>
      </c>
      <c r="E50" s="86">
        <v>0</v>
      </c>
      <c r="F50" s="86">
        <v>64.5</v>
      </c>
      <c r="G50" s="86">
        <v>3204.2</v>
      </c>
      <c r="H50" s="86">
        <v>3115.7</v>
      </c>
      <c r="I50" s="86">
        <v>0</v>
      </c>
      <c r="J50" s="86">
        <v>268.89999999999998</v>
      </c>
      <c r="K50" s="86">
        <v>656.5</v>
      </c>
      <c r="L50" s="86">
        <v>0</v>
      </c>
      <c r="M50" s="86">
        <v>0</v>
      </c>
      <c r="N50" s="86">
        <v>0</v>
      </c>
      <c r="O50" s="86">
        <v>529.29999999999995</v>
      </c>
      <c r="P50" s="86">
        <v>6588.8</v>
      </c>
      <c r="Q50" s="86">
        <v>656.5</v>
      </c>
      <c r="R50" s="87">
        <v>7774.6</v>
      </c>
      <c r="S50" s="85" t="s">
        <v>850</v>
      </c>
      <c r="T50" s="86">
        <v>4189.3</v>
      </c>
      <c r="U50" s="86">
        <v>3251.9</v>
      </c>
      <c r="V50" s="86">
        <v>0</v>
      </c>
      <c r="W50" s="86">
        <v>333.4</v>
      </c>
      <c r="X50" s="87">
        <v>7774.6</v>
      </c>
      <c r="Y50" s="85" t="s">
        <v>850</v>
      </c>
      <c r="Z50" s="86">
        <v>239.8</v>
      </c>
      <c r="AA50" s="86">
        <v>39.700000000000003</v>
      </c>
      <c r="AB50" s="86">
        <v>0</v>
      </c>
      <c r="AC50" s="86">
        <v>333.4</v>
      </c>
      <c r="AD50" s="87">
        <v>612.9</v>
      </c>
    </row>
    <row r="51" spans="1:30" x14ac:dyDescent="0.3">
      <c r="A51" s="1"/>
      <c r="B51" s="85" t="s">
        <v>851</v>
      </c>
      <c r="C51" s="86">
        <v>322.3</v>
      </c>
      <c r="D51" s="86">
        <v>135.19999999999999</v>
      </c>
      <c r="E51" s="86">
        <v>0</v>
      </c>
      <c r="F51" s="86">
        <v>54.3</v>
      </c>
      <c r="G51" s="86">
        <v>3060.6</v>
      </c>
      <c r="H51" s="86">
        <v>3241.7</v>
      </c>
      <c r="I51" s="86">
        <v>0</v>
      </c>
      <c r="J51" s="86">
        <v>262</v>
      </c>
      <c r="K51" s="86">
        <v>659.6</v>
      </c>
      <c r="L51" s="86">
        <v>0</v>
      </c>
      <c r="M51" s="86">
        <v>0</v>
      </c>
      <c r="N51" s="86">
        <v>0</v>
      </c>
      <c r="O51" s="86">
        <v>511.8</v>
      </c>
      <c r="P51" s="86">
        <v>6564.3</v>
      </c>
      <c r="Q51" s="86">
        <v>659.6</v>
      </c>
      <c r="R51" s="87">
        <v>7735.7</v>
      </c>
      <c r="S51" s="85" t="s">
        <v>851</v>
      </c>
      <c r="T51" s="86">
        <v>4042.5</v>
      </c>
      <c r="U51" s="86">
        <v>3376.9</v>
      </c>
      <c r="V51" s="86">
        <v>0</v>
      </c>
      <c r="W51" s="86">
        <v>316.3</v>
      </c>
      <c r="X51" s="87">
        <v>7735.7</v>
      </c>
      <c r="Y51" s="85" t="s">
        <v>851</v>
      </c>
      <c r="Z51" s="86">
        <v>241</v>
      </c>
      <c r="AA51" s="86">
        <v>40.799999999999997</v>
      </c>
      <c r="AB51" s="86">
        <v>0</v>
      </c>
      <c r="AC51" s="86">
        <v>316.3</v>
      </c>
      <c r="AD51" s="87">
        <v>598.1</v>
      </c>
    </row>
    <row r="52" spans="1:30" x14ac:dyDescent="0.3">
      <c r="A52" s="1"/>
      <c r="B52" s="85" t="s">
        <v>852</v>
      </c>
      <c r="C52" s="86">
        <v>320.5</v>
      </c>
      <c r="D52" s="86">
        <v>134.19999999999999</v>
      </c>
      <c r="E52" s="86">
        <v>0</v>
      </c>
      <c r="F52" s="86">
        <v>50.3</v>
      </c>
      <c r="G52" s="86">
        <v>3095.9</v>
      </c>
      <c r="H52" s="86">
        <v>3042.9</v>
      </c>
      <c r="I52" s="86">
        <v>0</v>
      </c>
      <c r="J52" s="86">
        <v>200.6</v>
      </c>
      <c r="K52" s="86">
        <v>647.6</v>
      </c>
      <c r="L52" s="86">
        <v>0</v>
      </c>
      <c r="M52" s="86">
        <v>0</v>
      </c>
      <c r="N52" s="86">
        <v>0</v>
      </c>
      <c r="O52" s="86">
        <v>505</v>
      </c>
      <c r="P52" s="86">
        <v>6339.4</v>
      </c>
      <c r="Q52" s="86">
        <v>647.6</v>
      </c>
      <c r="R52" s="87">
        <v>7492</v>
      </c>
      <c r="S52" s="85" t="s">
        <v>852</v>
      </c>
      <c r="T52" s="86">
        <v>4064</v>
      </c>
      <c r="U52" s="86">
        <v>3177.1</v>
      </c>
      <c r="V52" s="86">
        <v>0</v>
      </c>
      <c r="W52" s="86">
        <v>250.9</v>
      </c>
      <c r="X52" s="87">
        <v>7492</v>
      </c>
      <c r="Y52" s="85" t="s">
        <v>852</v>
      </c>
      <c r="Z52" s="86">
        <v>240.5</v>
      </c>
      <c r="AA52" s="86">
        <v>40.799999999999997</v>
      </c>
      <c r="AB52" s="86">
        <v>0</v>
      </c>
      <c r="AC52" s="86">
        <v>250.9</v>
      </c>
      <c r="AD52" s="87">
        <v>532.20000000000005</v>
      </c>
    </row>
    <row r="53" spans="1:30" x14ac:dyDescent="0.3">
      <c r="A53" s="1"/>
      <c r="B53" s="85" t="s">
        <v>853</v>
      </c>
      <c r="C53" s="86">
        <v>231.6</v>
      </c>
      <c r="D53" s="86">
        <v>52.1</v>
      </c>
      <c r="E53" s="86">
        <v>0</v>
      </c>
      <c r="F53" s="86">
        <v>51.7</v>
      </c>
      <c r="G53" s="86">
        <v>3105.3</v>
      </c>
      <c r="H53" s="86">
        <v>2977.8</v>
      </c>
      <c r="I53" s="86">
        <v>0</v>
      </c>
      <c r="J53" s="86">
        <v>161.1</v>
      </c>
      <c r="K53" s="86">
        <v>652.4</v>
      </c>
      <c r="L53" s="86">
        <v>0</v>
      </c>
      <c r="M53" s="86">
        <v>0</v>
      </c>
      <c r="N53" s="86">
        <v>0</v>
      </c>
      <c r="O53" s="86">
        <v>335.4</v>
      </c>
      <c r="P53" s="86">
        <v>6244.2</v>
      </c>
      <c r="Q53" s="86">
        <v>652.4</v>
      </c>
      <c r="R53" s="87">
        <v>7232</v>
      </c>
      <c r="S53" s="85" t="s">
        <v>853</v>
      </c>
      <c r="T53" s="86">
        <v>3989.3</v>
      </c>
      <c r="U53" s="86">
        <v>3029.9</v>
      </c>
      <c r="V53" s="86">
        <v>0</v>
      </c>
      <c r="W53" s="86">
        <v>212.8</v>
      </c>
      <c r="X53" s="87">
        <v>7232</v>
      </c>
      <c r="Y53" s="85" t="s">
        <v>853</v>
      </c>
      <c r="Z53" s="86">
        <v>243.8</v>
      </c>
      <c r="AA53" s="86">
        <v>40.1</v>
      </c>
      <c r="AB53" s="86">
        <v>0</v>
      </c>
      <c r="AC53" s="86">
        <v>212.8</v>
      </c>
      <c r="AD53" s="87">
        <v>496.7</v>
      </c>
    </row>
    <row r="54" spans="1:30" x14ac:dyDescent="0.3">
      <c r="A54" s="1"/>
      <c r="B54" s="85" t="s">
        <v>854</v>
      </c>
      <c r="C54" s="86">
        <v>225.2</v>
      </c>
      <c r="D54" s="86">
        <v>51.6</v>
      </c>
      <c r="E54" s="86">
        <v>0</v>
      </c>
      <c r="F54" s="86">
        <v>56.5</v>
      </c>
      <c r="G54" s="86">
        <v>2939.4</v>
      </c>
      <c r="H54" s="86">
        <v>2973.2</v>
      </c>
      <c r="I54" s="86">
        <v>0</v>
      </c>
      <c r="J54" s="86">
        <v>167.1</v>
      </c>
      <c r="K54" s="86">
        <v>645.79999999999995</v>
      </c>
      <c r="L54" s="86">
        <v>0</v>
      </c>
      <c r="M54" s="86">
        <v>0</v>
      </c>
      <c r="N54" s="86">
        <v>0</v>
      </c>
      <c r="O54" s="86">
        <v>333.3</v>
      </c>
      <c r="P54" s="86">
        <v>6079.7</v>
      </c>
      <c r="Q54" s="86">
        <v>645.79999999999995</v>
      </c>
      <c r="R54" s="87">
        <v>7058.8</v>
      </c>
      <c r="S54" s="85" t="s">
        <v>854</v>
      </c>
      <c r="T54" s="86">
        <v>3810.4</v>
      </c>
      <c r="U54" s="86">
        <v>3024.8</v>
      </c>
      <c r="V54" s="86">
        <v>0</v>
      </c>
      <c r="W54" s="86">
        <v>223.6</v>
      </c>
      <c r="X54" s="87">
        <v>7058.8</v>
      </c>
      <c r="Y54" s="85" t="s">
        <v>854</v>
      </c>
      <c r="Z54" s="86">
        <v>242.1</v>
      </c>
      <c r="AA54" s="86">
        <v>39.1</v>
      </c>
      <c r="AB54" s="86">
        <v>0</v>
      </c>
      <c r="AC54" s="86">
        <v>223.6</v>
      </c>
      <c r="AD54" s="87">
        <v>504.8</v>
      </c>
    </row>
    <row r="55" spans="1:30" x14ac:dyDescent="0.3">
      <c r="A55" s="1"/>
      <c r="B55" s="85" t="s">
        <v>68</v>
      </c>
      <c r="C55" s="86">
        <v>217.2</v>
      </c>
      <c r="D55" s="86">
        <v>52</v>
      </c>
      <c r="E55" s="86">
        <v>0</v>
      </c>
      <c r="F55" s="86">
        <v>56.1</v>
      </c>
      <c r="G55" s="86">
        <v>2789.1</v>
      </c>
      <c r="H55" s="86">
        <v>2975.6</v>
      </c>
      <c r="I55" s="86">
        <v>0</v>
      </c>
      <c r="J55" s="86">
        <v>145.9</v>
      </c>
      <c r="K55" s="86">
        <v>631.6</v>
      </c>
      <c r="L55" s="86">
        <v>0</v>
      </c>
      <c r="M55" s="86">
        <v>0</v>
      </c>
      <c r="N55" s="86">
        <v>0</v>
      </c>
      <c r="O55" s="86">
        <v>325.3</v>
      </c>
      <c r="P55" s="86">
        <v>5910.6</v>
      </c>
      <c r="Q55" s="86">
        <v>631.6</v>
      </c>
      <c r="R55" s="87">
        <v>6867.5</v>
      </c>
      <c r="S55" s="85" t="s">
        <v>68</v>
      </c>
      <c r="T55" s="86">
        <v>3637.9</v>
      </c>
      <c r="U55" s="86">
        <v>3027.6</v>
      </c>
      <c r="V55" s="86">
        <v>0</v>
      </c>
      <c r="W55" s="86">
        <v>202</v>
      </c>
      <c r="X55" s="87">
        <v>6867.5</v>
      </c>
      <c r="Y55" s="85" t="s">
        <v>68</v>
      </c>
      <c r="Z55" s="86">
        <v>244.7</v>
      </c>
      <c r="AA55" s="86">
        <v>39.1</v>
      </c>
      <c r="AB55" s="86">
        <v>0</v>
      </c>
      <c r="AC55" s="86">
        <v>202</v>
      </c>
      <c r="AD55" s="87">
        <v>485.8</v>
      </c>
    </row>
    <row r="56" spans="1:30" x14ac:dyDescent="0.3">
      <c r="A56" s="1"/>
      <c r="B56" s="88" t="s">
        <v>1008</v>
      </c>
      <c r="C56" s="89">
        <v>6136.15</v>
      </c>
      <c r="D56" s="89">
        <v>2848.2</v>
      </c>
      <c r="E56" s="89">
        <v>2.6</v>
      </c>
      <c r="F56" s="89">
        <v>1499.85</v>
      </c>
      <c r="G56" s="89">
        <v>67869.3</v>
      </c>
      <c r="H56" s="89">
        <v>71239.350000000006</v>
      </c>
      <c r="I56" s="89">
        <v>10.75</v>
      </c>
      <c r="J56" s="89">
        <v>5343.95</v>
      </c>
      <c r="K56" s="89">
        <v>14257.65</v>
      </c>
      <c r="L56" s="89">
        <v>0</v>
      </c>
      <c r="M56" s="89">
        <v>7339.2</v>
      </c>
      <c r="N56" s="89">
        <v>0</v>
      </c>
      <c r="O56" s="89">
        <v>10486.8</v>
      </c>
      <c r="P56" s="89">
        <v>144463.35</v>
      </c>
      <c r="Q56" s="89">
        <v>21596.85</v>
      </c>
      <c r="R56" s="89">
        <v>176547</v>
      </c>
      <c r="S56" s="88" t="s">
        <v>1008</v>
      </c>
      <c r="T56" s="89">
        <v>88263.1</v>
      </c>
      <c r="U56" s="89">
        <v>74087.55</v>
      </c>
      <c r="V56" s="89">
        <v>7352.55</v>
      </c>
      <c r="W56" s="89">
        <v>6843.8</v>
      </c>
      <c r="X56" s="89">
        <v>176547</v>
      </c>
      <c r="Y56" s="88" t="s">
        <v>1008</v>
      </c>
      <c r="Z56" s="89">
        <v>5629.05</v>
      </c>
      <c r="AA56" s="89">
        <v>952.3</v>
      </c>
      <c r="AB56" s="89">
        <v>7352.55</v>
      </c>
      <c r="AC56" s="89">
        <v>6843.8</v>
      </c>
      <c r="AD56" s="89">
        <v>20777.7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168</v>
      </c>
      <c r="C6" s="3" t="s">
        <v>1268</v>
      </c>
      <c r="D6" s="3" t="s">
        <v>1269</v>
      </c>
      <c r="E6" s="3" t="s">
        <v>1270</v>
      </c>
      <c r="F6" s="3" t="s">
        <v>171</v>
      </c>
      <c r="G6" s="3" t="s">
        <v>172</v>
      </c>
      <c r="H6" s="3" t="s">
        <v>1271</v>
      </c>
      <c r="I6" s="3" t="s">
        <v>1272</v>
      </c>
      <c r="J6" s="3" t="s">
        <v>1273</v>
      </c>
      <c r="K6" s="3" t="s">
        <v>1274</v>
      </c>
      <c r="L6" s="3" t="s">
        <v>1275</v>
      </c>
      <c r="M6" s="3" t="s">
        <v>1276</v>
      </c>
      <c r="N6" s="3" t="s">
        <v>1277</v>
      </c>
      <c r="O6" s="3" t="s">
        <v>1278</v>
      </c>
      <c r="P6" s="3" t="s">
        <v>1279</v>
      </c>
    </row>
    <row r="7" spans="1:16" x14ac:dyDescent="0.3">
      <c r="A7" s="1"/>
      <c r="B7" s="6" t="s">
        <v>644</v>
      </c>
      <c r="C7" s="6" t="s">
        <v>1032</v>
      </c>
      <c r="D7" s="90" t="s">
        <v>73</v>
      </c>
      <c r="E7" s="6" t="s">
        <v>1280</v>
      </c>
      <c r="F7" s="90" t="s">
        <v>52</v>
      </c>
      <c r="G7" s="90" t="s">
        <v>53</v>
      </c>
      <c r="H7" s="90" t="s">
        <v>965</v>
      </c>
      <c r="I7" s="90" t="s">
        <v>965</v>
      </c>
      <c r="J7" s="90" t="s">
        <v>1281</v>
      </c>
      <c r="K7" s="90" t="s">
        <v>965</v>
      </c>
      <c r="L7" s="90" t="s">
        <v>965</v>
      </c>
      <c r="M7" s="90" t="s">
        <v>965</v>
      </c>
      <c r="N7" s="90" t="s">
        <v>965</v>
      </c>
      <c r="O7" s="6" t="s">
        <v>1282</v>
      </c>
      <c r="P7" s="6"/>
    </row>
    <row r="8" spans="1:16" ht="26.4" x14ac:dyDescent="0.3">
      <c r="A8" s="1"/>
      <c r="B8" s="6" t="s">
        <v>645</v>
      </c>
      <c r="C8" s="6" t="s">
        <v>1035</v>
      </c>
      <c r="D8" s="90" t="s">
        <v>73</v>
      </c>
      <c r="E8" s="6" t="s">
        <v>1283</v>
      </c>
      <c r="F8" s="90" t="s">
        <v>52</v>
      </c>
      <c r="G8" s="90" t="s">
        <v>53</v>
      </c>
      <c r="H8" s="90" t="s">
        <v>965</v>
      </c>
      <c r="I8" s="90" t="s">
        <v>965</v>
      </c>
      <c r="J8" s="90" t="s">
        <v>1281</v>
      </c>
      <c r="K8" s="90" t="s">
        <v>965</v>
      </c>
      <c r="L8" s="90" t="s">
        <v>965</v>
      </c>
      <c r="M8" s="90" t="s">
        <v>965</v>
      </c>
      <c r="N8" s="90" t="s">
        <v>965</v>
      </c>
      <c r="O8" s="6" t="s">
        <v>1282</v>
      </c>
      <c r="P8" s="6"/>
    </row>
    <row r="9" spans="1:16" x14ac:dyDescent="0.3">
      <c r="A9" s="1"/>
      <c r="B9" s="6" t="s">
        <v>642</v>
      </c>
      <c r="C9" s="6" t="s">
        <v>1038</v>
      </c>
      <c r="D9" s="90" t="s">
        <v>73</v>
      </c>
      <c r="E9" s="6" t="s">
        <v>1284</v>
      </c>
      <c r="F9" s="90" t="s">
        <v>52</v>
      </c>
      <c r="G9" s="90" t="s">
        <v>1285</v>
      </c>
      <c r="H9" s="90" t="s">
        <v>965</v>
      </c>
      <c r="I9" s="90" t="s">
        <v>965</v>
      </c>
      <c r="J9" s="90" t="s">
        <v>1281</v>
      </c>
      <c r="K9" s="90" t="s">
        <v>965</v>
      </c>
      <c r="L9" s="90" t="s">
        <v>965</v>
      </c>
      <c r="M9" s="90" t="s">
        <v>965</v>
      </c>
      <c r="N9" s="90" t="s">
        <v>965</v>
      </c>
      <c r="O9" s="6" t="s">
        <v>1282</v>
      </c>
      <c r="P9" s="6"/>
    </row>
    <row r="10" spans="1:16" x14ac:dyDescent="0.3">
      <c r="A10" s="1"/>
      <c r="B10" s="6" t="s">
        <v>642</v>
      </c>
      <c r="C10" s="6" t="s">
        <v>1038</v>
      </c>
      <c r="D10" s="90" t="s">
        <v>1286</v>
      </c>
      <c r="E10" s="6" t="s">
        <v>1287</v>
      </c>
      <c r="F10" s="90" t="s">
        <v>1285</v>
      </c>
      <c r="G10" s="90" t="s">
        <v>53</v>
      </c>
      <c r="H10" s="90" t="s">
        <v>965</v>
      </c>
      <c r="I10" s="90" t="s">
        <v>965</v>
      </c>
      <c r="J10" s="90" t="s">
        <v>1281</v>
      </c>
      <c r="K10" s="90" t="s">
        <v>965</v>
      </c>
      <c r="L10" s="90" t="s">
        <v>965</v>
      </c>
      <c r="M10" s="90" t="s">
        <v>965</v>
      </c>
      <c r="N10" s="90" t="s">
        <v>965</v>
      </c>
      <c r="O10" s="6" t="s">
        <v>1282</v>
      </c>
      <c r="P10" s="6"/>
    </row>
    <row r="11" spans="1:16" x14ac:dyDescent="0.3">
      <c r="A11" s="1"/>
      <c r="B11" s="6" t="s">
        <v>28</v>
      </c>
      <c r="C11" s="6" t="s">
        <v>1169</v>
      </c>
      <c r="D11" s="90" t="s">
        <v>73</v>
      </c>
      <c r="E11" s="6" t="s">
        <v>1288</v>
      </c>
      <c r="F11" s="90" t="s">
        <v>1289</v>
      </c>
      <c r="G11" s="90" t="s">
        <v>1290</v>
      </c>
      <c r="H11" s="90" t="s">
        <v>1291</v>
      </c>
      <c r="I11" s="90" t="s">
        <v>965</v>
      </c>
      <c r="J11" s="90" t="s">
        <v>1292</v>
      </c>
      <c r="K11" s="90" t="s">
        <v>965</v>
      </c>
      <c r="L11" s="90" t="s">
        <v>965</v>
      </c>
      <c r="M11" s="90" t="s">
        <v>965</v>
      </c>
      <c r="N11" s="90" t="s">
        <v>965</v>
      </c>
      <c r="O11" s="6" t="s">
        <v>1282</v>
      </c>
      <c r="P11" s="6"/>
    </row>
    <row r="12" spans="1:16" x14ac:dyDescent="0.3">
      <c r="A12" s="1"/>
      <c r="B12" s="6" t="s">
        <v>28</v>
      </c>
      <c r="C12" s="6" t="s">
        <v>1169</v>
      </c>
      <c r="D12" s="90" t="s">
        <v>1293</v>
      </c>
      <c r="E12" s="6" t="s">
        <v>1288</v>
      </c>
      <c r="F12" s="90" t="s">
        <v>1294</v>
      </c>
      <c r="G12" s="90" t="s">
        <v>1295</v>
      </c>
      <c r="H12" s="90" t="s">
        <v>1296</v>
      </c>
      <c r="I12" s="90" t="s">
        <v>965</v>
      </c>
      <c r="J12" s="90" t="s">
        <v>1297</v>
      </c>
      <c r="K12" s="90" t="s">
        <v>965</v>
      </c>
      <c r="L12" s="90" t="s">
        <v>965</v>
      </c>
      <c r="M12" s="90" t="s">
        <v>965</v>
      </c>
      <c r="N12" s="90" t="s">
        <v>965</v>
      </c>
      <c r="O12" s="6" t="s">
        <v>1298</v>
      </c>
      <c r="P12" s="6"/>
    </row>
    <row r="13" spans="1:16" x14ac:dyDescent="0.3">
      <c r="A13" s="1"/>
      <c r="B13" s="6" t="s">
        <v>28</v>
      </c>
      <c r="C13" s="6" t="s">
        <v>1169</v>
      </c>
      <c r="D13" s="90" t="s">
        <v>73</v>
      </c>
      <c r="E13" s="6" t="s">
        <v>1288</v>
      </c>
      <c r="F13" s="90" t="s">
        <v>1290</v>
      </c>
      <c r="G13" s="90" t="s">
        <v>1299</v>
      </c>
      <c r="H13" s="90" t="s">
        <v>965</v>
      </c>
      <c r="I13" s="90" t="s">
        <v>1300</v>
      </c>
      <c r="J13" s="90" t="s">
        <v>1301</v>
      </c>
      <c r="K13" s="90" t="s">
        <v>965</v>
      </c>
      <c r="L13" s="90" t="s">
        <v>965</v>
      </c>
      <c r="M13" s="90" t="s">
        <v>965</v>
      </c>
      <c r="N13" s="90" t="s">
        <v>965</v>
      </c>
      <c r="O13" s="6" t="s">
        <v>1282</v>
      </c>
      <c r="P13" s="6"/>
    </row>
    <row r="14" spans="1:16" x14ac:dyDescent="0.3">
      <c r="A14" s="1"/>
      <c r="B14" s="6" t="s">
        <v>80</v>
      </c>
      <c r="C14" s="6" t="s">
        <v>1171</v>
      </c>
      <c r="D14" s="90" t="s">
        <v>1172</v>
      </c>
      <c r="E14" s="6" t="s">
        <v>1302</v>
      </c>
      <c r="F14" s="90" t="s">
        <v>1303</v>
      </c>
      <c r="G14" s="90" t="s">
        <v>1304</v>
      </c>
      <c r="H14" s="90" t="s">
        <v>1305</v>
      </c>
      <c r="I14" s="90" t="s">
        <v>965</v>
      </c>
      <c r="J14" s="90" t="s">
        <v>1292</v>
      </c>
      <c r="K14" s="90" t="s">
        <v>965</v>
      </c>
      <c r="L14" s="90" t="s">
        <v>965</v>
      </c>
      <c r="M14" s="90" t="s">
        <v>965</v>
      </c>
      <c r="N14" s="90" t="s">
        <v>1306</v>
      </c>
      <c r="O14" s="6" t="s">
        <v>1282</v>
      </c>
      <c r="P14" s="6"/>
    </row>
    <row r="15" spans="1:16" x14ac:dyDescent="0.3">
      <c r="A15" s="1"/>
      <c r="B15" s="6" t="s">
        <v>80</v>
      </c>
      <c r="C15" s="6" t="s">
        <v>1171</v>
      </c>
      <c r="D15" s="90" t="s">
        <v>1173</v>
      </c>
      <c r="E15" s="6" t="s">
        <v>1307</v>
      </c>
      <c r="F15" s="90" t="s">
        <v>1308</v>
      </c>
      <c r="G15" s="90" t="s">
        <v>1304</v>
      </c>
      <c r="H15" s="90" t="s">
        <v>1305</v>
      </c>
      <c r="I15" s="90" t="s">
        <v>965</v>
      </c>
      <c r="J15" s="90" t="s">
        <v>1292</v>
      </c>
      <c r="K15" s="90" t="s">
        <v>965</v>
      </c>
      <c r="L15" s="90" t="s">
        <v>965</v>
      </c>
      <c r="M15" s="90" t="s">
        <v>965</v>
      </c>
      <c r="N15" s="90" t="s">
        <v>1306</v>
      </c>
      <c r="O15" s="6" t="s">
        <v>1282</v>
      </c>
      <c r="P15" s="6"/>
    </row>
    <row r="16" spans="1:16" x14ac:dyDescent="0.3">
      <c r="A16" s="1"/>
      <c r="B16" s="6" t="s">
        <v>80</v>
      </c>
      <c r="C16" s="6" t="s">
        <v>1171</v>
      </c>
      <c r="D16" s="90" t="s">
        <v>1172</v>
      </c>
      <c r="E16" s="6" t="s">
        <v>1302</v>
      </c>
      <c r="F16" s="90" t="s">
        <v>1304</v>
      </c>
      <c r="G16" s="90" t="s">
        <v>1309</v>
      </c>
      <c r="H16" s="90" t="s">
        <v>965</v>
      </c>
      <c r="I16" s="90" t="s">
        <v>1310</v>
      </c>
      <c r="J16" s="90" t="s">
        <v>1301</v>
      </c>
      <c r="K16" s="90" t="s">
        <v>965</v>
      </c>
      <c r="L16" s="90" t="s">
        <v>965</v>
      </c>
      <c r="M16" s="90" t="s">
        <v>965</v>
      </c>
      <c r="N16" s="90" t="s">
        <v>965</v>
      </c>
      <c r="O16" s="6" t="s">
        <v>1282</v>
      </c>
      <c r="P16" s="6"/>
    </row>
    <row r="17" spans="1:16" x14ac:dyDescent="0.3">
      <c r="A17" s="1"/>
      <c r="B17" s="6" t="s">
        <v>80</v>
      </c>
      <c r="C17" s="6" t="s">
        <v>1171</v>
      </c>
      <c r="D17" s="90" t="s">
        <v>1173</v>
      </c>
      <c r="E17" s="6" t="s">
        <v>1307</v>
      </c>
      <c r="F17" s="90" t="s">
        <v>1304</v>
      </c>
      <c r="G17" s="90" t="s">
        <v>1309</v>
      </c>
      <c r="H17" s="90" t="s">
        <v>965</v>
      </c>
      <c r="I17" s="90" t="s">
        <v>1310</v>
      </c>
      <c r="J17" s="90" t="s">
        <v>1301</v>
      </c>
      <c r="K17" s="90" t="s">
        <v>965</v>
      </c>
      <c r="L17" s="90" t="s">
        <v>965</v>
      </c>
      <c r="M17" s="90" t="s">
        <v>965</v>
      </c>
      <c r="N17" s="90" t="s">
        <v>965</v>
      </c>
      <c r="O17" s="6" t="s">
        <v>1282</v>
      </c>
      <c r="P17" s="6"/>
    </row>
    <row r="18" spans="1:16" x14ac:dyDescent="0.3">
      <c r="A18" s="1"/>
      <c r="B18" s="6" t="s">
        <v>86</v>
      </c>
      <c r="C18" s="6" t="s">
        <v>1174</v>
      </c>
      <c r="D18" s="90" t="s">
        <v>73</v>
      </c>
      <c r="E18" s="6" t="s">
        <v>1311</v>
      </c>
      <c r="F18" s="90" t="s">
        <v>1312</v>
      </c>
      <c r="G18" s="90" t="s">
        <v>1313</v>
      </c>
      <c r="H18" s="90" t="s">
        <v>1314</v>
      </c>
      <c r="I18" s="90" t="s">
        <v>1315</v>
      </c>
      <c r="J18" s="90" t="s">
        <v>1292</v>
      </c>
      <c r="K18" s="90" t="s">
        <v>965</v>
      </c>
      <c r="L18" s="90" t="s">
        <v>965</v>
      </c>
      <c r="M18" s="90" t="s">
        <v>965</v>
      </c>
      <c r="N18" s="90" t="s">
        <v>965</v>
      </c>
      <c r="O18" s="6" t="s">
        <v>1282</v>
      </c>
      <c r="P18" s="6"/>
    </row>
    <row r="19" spans="1:16" x14ac:dyDescent="0.3">
      <c r="A19" s="1"/>
      <c r="B19" s="6" t="s">
        <v>86</v>
      </c>
      <c r="C19" s="6" t="s">
        <v>1176</v>
      </c>
      <c r="D19" s="90" t="s">
        <v>73</v>
      </c>
      <c r="E19" s="6" t="s">
        <v>1316</v>
      </c>
      <c r="F19" s="90" t="s">
        <v>1317</v>
      </c>
      <c r="G19" s="90" t="s">
        <v>1318</v>
      </c>
      <c r="H19" s="90" t="s">
        <v>1319</v>
      </c>
      <c r="I19" s="90" t="s">
        <v>1320</v>
      </c>
      <c r="J19" s="90" t="s">
        <v>1292</v>
      </c>
      <c r="K19" s="90" t="s">
        <v>965</v>
      </c>
      <c r="L19" s="90" t="s">
        <v>965</v>
      </c>
      <c r="M19" s="90" t="s">
        <v>965</v>
      </c>
      <c r="N19" s="90" t="s">
        <v>1306</v>
      </c>
      <c r="O19" s="6" t="s">
        <v>1282</v>
      </c>
      <c r="P19" s="6"/>
    </row>
    <row r="20" spans="1:16" x14ac:dyDescent="0.3">
      <c r="A20" s="1"/>
      <c r="B20" s="6" t="s">
        <v>86</v>
      </c>
      <c r="C20" s="6" t="s">
        <v>1176</v>
      </c>
      <c r="D20" s="90" t="s">
        <v>73</v>
      </c>
      <c r="E20" s="6" t="s">
        <v>1316</v>
      </c>
      <c r="F20" s="90" t="s">
        <v>1321</v>
      </c>
      <c r="G20" s="90" t="s">
        <v>1322</v>
      </c>
      <c r="H20" s="90" t="s">
        <v>965</v>
      </c>
      <c r="I20" s="90" t="s">
        <v>965</v>
      </c>
      <c r="J20" s="90" t="s">
        <v>1292</v>
      </c>
      <c r="K20" s="90" t="s">
        <v>965</v>
      </c>
      <c r="L20" s="90" t="s">
        <v>965</v>
      </c>
      <c r="M20" s="90" t="s">
        <v>965</v>
      </c>
      <c r="N20" s="90" t="s">
        <v>1306</v>
      </c>
      <c r="O20" s="6" t="s">
        <v>1282</v>
      </c>
      <c r="P20" s="6"/>
    </row>
    <row r="21" spans="1:16" x14ac:dyDescent="0.3">
      <c r="A21" s="1"/>
      <c r="B21" s="6" t="s">
        <v>86</v>
      </c>
      <c r="C21" s="6" t="s">
        <v>1176</v>
      </c>
      <c r="D21" s="90" t="s">
        <v>73</v>
      </c>
      <c r="E21" s="6" t="s">
        <v>1316</v>
      </c>
      <c r="F21" s="90" t="s">
        <v>1322</v>
      </c>
      <c r="G21" s="90" t="s">
        <v>1323</v>
      </c>
      <c r="H21" s="90" t="s">
        <v>965</v>
      </c>
      <c r="I21" s="90" t="s">
        <v>1324</v>
      </c>
      <c r="J21" s="90" t="s">
        <v>1292</v>
      </c>
      <c r="K21" s="90" t="s">
        <v>965</v>
      </c>
      <c r="L21" s="90" t="s">
        <v>965</v>
      </c>
      <c r="M21" s="90" t="s">
        <v>965</v>
      </c>
      <c r="N21" s="90" t="s">
        <v>965</v>
      </c>
      <c r="O21" s="6" t="s">
        <v>1282</v>
      </c>
      <c r="P21" s="6" t="s">
        <v>1325</v>
      </c>
    </row>
    <row r="22" spans="1:16" x14ac:dyDescent="0.3">
      <c r="A22" s="1"/>
      <c r="B22" s="6" t="s">
        <v>86</v>
      </c>
      <c r="C22" s="6" t="s">
        <v>1177</v>
      </c>
      <c r="D22" s="90" t="s">
        <v>73</v>
      </c>
      <c r="E22" s="6" t="s">
        <v>1326</v>
      </c>
      <c r="F22" s="90" t="s">
        <v>1327</v>
      </c>
      <c r="G22" s="90" t="s">
        <v>1328</v>
      </c>
      <c r="H22" s="90" t="s">
        <v>1329</v>
      </c>
      <c r="I22" s="90" t="s">
        <v>1330</v>
      </c>
      <c r="J22" s="90" t="s">
        <v>1297</v>
      </c>
      <c r="K22" s="90" t="s">
        <v>965</v>
      </c>
      <c r="L22" s="90" t="s">
        <v>965</v>
      </c>
      <c r="M22" s="90" t="s">
        <v>965</v>
      </c>
      <c r="N22" s="90" t="s">
        <v>965</v>
      </c>
      <c r="O22" s="6" t="s">
        <v>1298</v>
      </c>
      <c r="P22" s="6"/>
    </row>
    <row r="23" spans="1:16" x14ac:dyDescent="0.3">
      <c r="A23" s="1"/>
      <c r="B23" s="6" t="s">
        <v>93</v>
      </c>
      <c r="C23" s="6" t="s">
        <v>99</v>
      </c>
      <c r="D23" s="90" t="s">
        <v>73</v>
      </c>
      <c r="E23" s="6" t="s">
        <v>1331</v>
      </c>
      <c r="F23" s="90" t="s">
        <v>52</v>
      </c>
      <c r="G23" s="90" t="s">
        <v>53</v>
      </c>
      <c r="H23" s="90" t="s">
        <v>965</v>
      </c>
      <c r="I23" s="90" t="s">
        <v>965</v>
      </c>
      <c r="J23" s="90" t="s">
        <v>1292</v>
      </c>
      <c r="K23" s="90" t="s">
        <v>965</v>
      </c>
      <c r="L23" s="90" t="s">
        <v>965</v>
      </c>
      <c r="M23" s="90" t="s">
        <v>965</v>
      </c>
      <c r="N23" s="90" t="s">
        <v>965</v>
      </c>
      <c r="O23" s="6" t="s">
        <v>1282</v>
      </c>
      <c r="P23" s="6"/>
    </row>
    <row r="24" spans="1:16" x14ac:dyDescent="0.3">
      <c r="A24" s="1"/>
      <c r="B24" s="6" t="s">
        <v>93</v>
      </c>
      <c r="C24" s="6" t="s">
        <v>102</v>
      </c>
      <c r="D24" s="90" t="s">
        <v>1187</v>
      </c>
      <c r="E24" s="6" t="s">
        <v>1332</v>
      </c>
      <c r="F24" s="90" t="s">
        <v>1333</v>
      </c>
      <c r="G24" s="90" t="s">
        <v>1334</v>
      </c>
      <c r="H24" s="90" t="s">
        <v>1335</v>
      </c>
      <c r="I24" s="90" t="s">
        <v>965</v>
      </c>
      <c r="J24" s="90" t="s">
        <v>1292</v>
      </c>
      <c r="K24" s="90" t="s">
        <v>965</v>
      </c>
      <c r="L24" s="90" t="s">
        <v>965</v>
      </c>
      <c r="M24" s="90" t="s">
        <v>965</v>
      </c>
      <c r="N24" s="90" t="s">
        <v>965</v>
      </c>
      <c r="O24" s="6" t="s">
        <v>1282</v>
      </c>
      <c r="P24" s="6"/>
    </row>
    <row r="25" spans="1:16" x14ac:dyDescent="0.3">
      <c r="A25" s="1"/>
      <c r="B25" s="6" t="s">
        <v>93</v>
      </c>
      <c r="C25" s="6" t="s">
        <v>102</v>
      </c>
      <c r="D25" s="90" t="s">
        <v>1187</v>
      </c>
      <c r="E25" s="6" t="s">
        <v>1332</v>
      </c>
      <c r="F25" s="90" t="s">
        <v>1334</v>
      </c>
      <c r="G25" s="90" t="s">
        <v>1336</v>
      </c>
      <c r="H25" s="90" t="s">
        <v>965</v>
      </c>
      <c r="I25" s="90" t="s">
        <v>1337</v>
      </c>
      <c r="J25" s="90" t="s">
        <v>1301</v>
      </c>
      <c r="K25" s="90" t="s">
        <v>965</v>
      </c>
      <c r="L25" s="90" t="s">
        <v>965</v>
      </c>
      <c r="M25" s="90" t="s">
        <v>965</v>
      </c>
      <c r="N25" s="90" t="s">
        <v>965</v>
      </c>
      <c r="O25" s="6" t="s">
        <v>1282</v>
      </c>
      <c r="P25" s="6"/>
    </row>
    <row r="26" spans="1:16" x14ac:dyDescent="0.3">
      <c r="A26" s="1"/>
      <c r="B26" s="6" t="s">
        <v>103</v>
      </c>
      <c r="C26" s="6" t="s">
        <v>104</v>
      </c>
      <c r="D26" s="90" t="s">
        <v>73</v>
      </c>
      <c r="E26" s="6" t="s">
        <v>1338</v>
      </c>
      <c r="F26" s="90" t="s">
        <v>52</v>
      </c>
      <c r="G26" s="90" t="s">
        <v>53</v>
      </c>
      <c r="H26" s="90" t="s">
        <v>965</v>
      </c>
      <c r="I26" s="90" t="s">
        <v>965</v>
      </c>
      <c r="J26" s="90" t="s">
        <v>1292</v>
      </c>
      <c r="K26" s="90" t="s">
        <v>965</v>
      </c>
      <c r="L26" s="90" t="s">
        <v>965</v>
      </c>
      <c r="M26" s="90" t="s">
        <v>965</v>
      </c>
      <c r="N26" s="90" t="s">
        <v>965</v>
      </c>
      <c r="O26" s="6" t="s">
        <v>1282</v>
      </c>
      <c r="P26" s="6"/>
    </row>
    <row r="27" spans="1:16" ht="26.4" x14ac:dyDescent="0.3">
      <c r="A27" s="1"/>
      <c r="B27" s="6" t="s">
        <v>643</v>
      </c>
      <c r="C27" s="6" t="s">
        <v>1198</v>
      </c>
      <c r="D27" s="90" t="s">
        <v>1199</v>
      </c>
      <c r="E27" s="6" t="s">
        <v>1339</v>
      </c>
      <c r="F27" s="90" t="s">
        <v>52</v>
      </c>
      <c r="G27" s="90" t="s">
        <v>53</v>
      </c>
      <c r="H27" s="90" t="s">
        <v>965</v>
      </c>
      <c r="I27" s="90" t="s">
        <v>965</v>
      </c>
      <c r="J27" s="90" t="s">
        <v>1281</v>
      </c>
      <c r="K27" s="90" t="s">
        <v>965</v>
      </c>
      <c r="L27" s="90" t="s">
        <v>965</v>
      </c>
      <c r="M27" s="90" t="s">
        <v>965</v>
      </c>
      <c r="N27" s="90" t="s">
        <v>965</v>
      </c>
      <c r="O27" s="6" t="s">
        <v>1282</v>
      </c>
      <c r="P27" s="6"/>
    </row>
    <row r="28" spans="1:16" x14ac:dyDescent="0.3">
      <c r="A28" s="1"/>
      <c r="B28" s="6" t="s">
        <v>106</v>
      </c>
      <c r="C28" s="6" t="s">
        <v>115</v>
      </c>
      <c r="D28" s="90" t="s">
        <v>73</v>
      </c>
      <c r="E28" s="6" t="s">
        <v>1340</v>
      </c>
      <c r="F28" s="90" t="s">
        <v>52</v>
      </c>
      <c r="G28" s="90" t="s">
        <v>1341</v>
      </c>
      <c r="H28" s="90" t="s">
        <v>965</v>
      </c>
      <c r="I28" s="90" t="s">
        <v>965</v>
      </c>
      <c r="J28" s="90" t="s">
        <v>1292</v>
      </c>
      <c r="K28" s="90" t="s">
        <v>965</v>
      </c>
      <c r="L28" s="90" t="s">
        <v>965</v>
      </c>
      <c r="M28" s="90" t="s">
        <v>965</v>
      </c>
      <c r="N28" s="90" t="s">
        <v>965</v>
      </c>
      <c r="O28" s="6" t="s">
        <v>1282</v>
      </c>
      <c r="P28" s="6"/>
    </row>
    <row r="29" spans="1:16" x14ac:dyDescent="0.3">
      <c r="A29" s="1"/>
      <c r="B29" s="6" t="s">
        <v>106</v>
      </c>
      <c r="C29" s="6" t="s">
        <v>115</v>
      </c>
      <c r="D29" s="90" t="s">
        <v>73</v>
      </c>
      <c r="E29" s="6" t="s">
        <v>1342</v>
      </c>
      <c r="F29" s="90" t="s">
        <v>1341</v>
      </c>
      <c r="G29" s="90" t="s">
        <v>1343</v>
      </c>
      <c r="H29" s="90" t="s">
        <v>965</v>
      </c>
      <c r="I29" s="90" t="s">
        <v>965</v>
      </c>
      <c r="J29" s="90" t="s">
        <v>1292</v>
      </c>
      <c r="K29" s="90" t="s">
        <v>965</v>
      </c>
      <c r="L29" s="90" t="s">
        <v>965</v>
      </c>
      <c r="M29" s="90" t="s">
        <v>965</v>
      </c>
      <c r="N29" s="90" t="s">
        <v>965</v>
      </c>
      <c r="O29" s="6" t="s">
        <v>1282</v>
      </c>
      <c r="P29" s="6"/>
    </row>
    <row r="30" spans="1:16" x14ac:dyDescent="0.3">
      <c r="A30" s="1"/>
      <c r="B30" s="6" t="s">
        <v>106</v>
      </c>
      <c r="C30" s="6" t="s">
        <v>115</v>
      </c>
      <c r="D30" s="90" t="s">
        <v>1194</v>
      </c>
      <c r="E30" s="6" t="s">
        <v>1344</v>
      </c>
      <c r="F30" s="90" t="s">
        <v>1341</v>
      </c>
      <c r="G30" s="90" t="s">
        <v>1345</v>
      </c>
      <c r="H30" s="90" t="s">
        <v>965</v>
      </c>
      <c r="I30" s="90" t="s">
        <v>965</v>
      </c>
      <c r="J30" s="90" t="s">
        <v>1301</v>
      </c>
      <c r="K30" s="90" t="s">
        <v>965</v>
      </c>
      <c r="L30" s="90" t="s">
        <v>965</v>
      </c>
      <c r="M30" s="90" t="s">
        <v>965</v>
      </c>
      <c r="N30" s="90" t="s">
        <v>965</v>
      </c>
      <c r="O30" s="6" t="s">
        <v>1282</v>
      </c>
      <c r="P30" s="6"/>
    </row>
    <row r="31" spans="1:16" x14ac:dyDescent="0.3">
      <c r="A31" s="1"/>
      <c r="B31" s="6" t="s">
        <v>106</v>
      </c>
      <c r="C31" s="6" t="s">
        <v>115</v>
      </c>
      <c r="D31" s="90" t="s">
        <v>73</v>
      </c>
      <c r="E31" s="6" t="s">
        <v>1342</v>
      </c>
      <c r="F31" s="90" t="s">
        <v>1343</v>
      </c>
      <c r="G31" s="90" t="s">
        <v>1346</v>
      </c>
      <c r="H31" s="90" t="s">
        <v>965</v>
      </c>
      <c r="I31" s="90" t="s">
        <v>965</v>
      </c>
      <c r="J31" s="90" t="s">
        <v>1301</v>
      </c>
      <c r="K31" s="90" t="s">
        <v>965</v>
      </c>
      <c r="L31" s="90" t="s">
        <v>965</v>
      </c>
      <c r="M31" s="90" t="s">
        <v>965</v>
      </c>
      <c r="N31" s="90" t="s">
        <v>965</v>
      </c>
      <c r="O31" s="6" t="s">
        <v>1282</v>
      </c>
      <c r="P31" s="6"/>
    </row>
    <row r="32" spans="1:16" x14ac:dyDescent="0.3">
      <c r="A32" s="1"/>
      <c r="B32" s="6" t="s">
        <v>106</v>
      </c>
      <c r="C32" s="6" t="s">
        <v>115</v>
      </c>
      <c r="D32" s="90" t="s">
        <v>73</v>
      </c>
      <c r="E32" s="6" t="s">
        <v>1342</v>
      </c>
      <c r="F32" s="90" t="s">
        <v>1346</v>
      </c>
      <c r="G32" s="90" t="s">
        <v>53</v>
      </c>
      <c r="H32" s="90" t="s">
        <v>965</v>
      </c>
      <c r="I32" s="90" t="s">
        <v>965</v>
      </c>
      <c r="J32" s="90" t="s">
        <v>1292</v>
      </c>
      <c r="K32" s="90" t="s">
        <v>965</v>
      </c>
      <c r="L32" s="90" t="s">
        <v>965</v>
      </c>
      <c r="M32" s="90" t="s">
        <v>965</v>
      </c>
      <c r="N32" s="90" t="s">
        <v>965</v>
      </c>
      <c r="O32" s="6" t="s">
        <v>1282</v>
      </c>
      <c r="P32" s="6" t="s">
        <v>1347</v>
      </c>
    </row>
    <row r="33" spans="1:16" x14ac:dyDescent="0.3">
      <c r="A33" s="1"/>
      <c r="B33" s="6" t="s">
        <v>106</v>
      </c>
      <c r="C33" s="6" t="s">
        <v>119</v>
      </c>
      <c r="D33" s="90" t="s">
        <v>73</v>
      </c>
      <c r="E33" s="6" t="s">
        <v>1348</v>
      </c>
      <c r="F33" s="90" t="s">
        <v>52</v>
      </c>
      <c r="G33" s="90" t="s">
        <v>53</v>
      </c>
      <c r="H33" s="90" t="s">
        <v>965</v>
      </c>
      <c r="I33" s="90" t="s">
        <v>965</v>
      </c>
      <c r="J33" s="90" t="s">
        <v>1292</v>
      </c>
      <c r="K33" s="90" t="s">
        <v>965</v>
      </c>
      <c r="L33" s="90" t="s">
        <v>965</v>
      </c>
      <c r="M33" s="90" t="s">
        <v>965</v>
      </c>
      <c r="N33" s="90" t="s">
        <v>965</v>
      </c>
      <c r="O33" s="6" t="s">
        <v>1282</v>
      </c>
      <c r="P33" s="6"/>
    </row>
    <row r="34" spans="1:16" x14ac:dyDescent="0.3">
      <c r="A34" s="1"/>
      <c r="B34" s="6" t="s">
        <v>130</v>
      </c>
      <c r="C34" s="6" t="s">
        <v>1214</v>
      </c>
      <c r="D34" s="90" t="s">
        <v>139</v>
      </c>
      <c r="E34" s="6" t="s">
        <v>1349</v>
      </c>
      <c r="F34" s="90" t="s">
        <v>52</v>
      </c>
      <c r="G34" s="90" t="s">
        <v>1350</v>
      </c>
      <c r="H34" s="90" t="s">
        <v>965</v>
      </c>
      <c r="I34" s="90" t="s">
        <v>1351</v>
      </c>
      <c r="J34" s="90" t="s">
        <v>1301</v>
      </c>
      <c r="K34" s="90" t="s">
        <v>965</v>
      </c>
      <c r="L34" s="90" t="s">
        <v>965</v>
      </c>
      <c r="M34" s="90" t="s">
        <v>965</v>
      </c>
      <c r="N34" s="90" t="s">
        <v>965</v>
      </c>
      <c r="O34" s="6" t="s">
        <v>1282</v>
      </c>
      <c r="P34" s="6"/>
    </row>
    <row r="35" spans="1:16" x14ac:dyDescent="0.3">
      <c r="A35" s="1"/>
      <c r="B35" s="6" t="s">
        <v>130</v>
      </c>
      <c r="C35" s="6" t="s">
        <v>142</v>
      </c>
      <c r="D35" s="90" t="s">
        <v>73</v>
      </c>
      <c r="E35" s="6" t="s">
        <v>1352</v>
      </c>
      <c r="F35" s="90" t="s">
        <v>1353</v>
      </c>
      <c r="G35" s="90" t="s">
        <v>1354</v>
      </c>
      <c r="H35" s="90" t="s">
        <v>1355</v>
      </c>
      <c r="I35" s="90" t="s">
        <v>965</v>
      </c>
      <c r="J35" s="90" t="s">
        <v>1301</v>
      </c>
      <c r="K35" s="90" t="s">
        <v>965</v>
      </c>
      <c r="L35" s="90" t="s">
        <v>965</v>
      </c>
      <c r="M35" s="90" t="s">
        <v>965</v>
      </c>
      <c r="N35" s="90" t="s">
        <v>965</v>
      </c>
      <c r="O35" s="6" t="s">
        <v>1282</v>
      </c>
      <c r="P35" s="6"/>
    </row>
    <row r="36" spans="1:16" x14ac:dyDescent="0.3">
      <c r="A36" s="1"/>
      <c r="B36" s="6" t="s">
        <v>130</v>
      </c>
      <c r="C36" s="6" t="s">
        <v>142</v>
      </c>
      <c r="D36" s="90" t="s">
        <v>73</v>
      </c>
      <c r="E36" s="6" t="s">
        <v>1352</v>
      </c>
      <c r="F36" s="90" t="s">
        <v>1354</v>
      </c>
      <c r="G36" s="90" t="s">
        <v>1356</v>
      </c>
      <c r="H36" s="90" t="s">
        <v>965</v>
      </c>
      <c r="I36" s="90" t="s">
        <v>965</v>
      </c>
      <c r="J36" s="90" t="s">
        <v>1292</v>
      </c>
      <c r="K36" s="90" t="s">
        <v>965</v>
      </c>
      <c r="L36" s="90" t="s">
        <v>965</v>
      </c>
      <c r="M36" s="90" t="s">
        <v>965</v>
      </c>
      <c r="N36" s="90" t="s">
        <v>965</v>
      </c>
      <c r="O36" s="6" t="s">
        <v>1282</v>
      </c>
      <c r="P36" s="6"/>
    </row>
    <row r="37" spans="1:16" x14ac:dyDescent="0.3">
      <c r="A37" s="1"/>
      <c r="B37" s="6" t="s">
        <v>130</v>
      </c>
      <c r="C37" s="6" t="s">
        <v>142</v>
      </c>
      <c r="D37" s="90" t="s">
        <v>73</v>
      </c>
      <c r="E37" s="6" t="s">
        <v>1352</v>
      </c>
      <c r="F37" s="90" t="s">
        <v>1356</v>
      </c>
      <c r="G37" s="90" t="s">
        <v>1357</v>
      </c>
      <c r="H37" s="90" t="s">
        <v>965</v>
      </c>
      <c r="I37" s="90" t="s">
        <v>965</v>
      </c>
      <c r="J37" s="90" t="s">
        <v>1301</v>
      </c>
      <c r="K37" s="90" t="s">
        <v>965</v>
      </c>
      <c r="L37" s="90" t="s">
        <v>965</v>
      </c>
      <c r="M37" s="90" t="s">
        <v>965</v>
      </c>
      <c r="N37" s="90" t="s">
        <v>965</v>
      </c>
      <c r="O37" s="6" t="s">
        <v>1282</v>
      </c>
      <c r="P37" s="6"/>
    </row>
    <row r="38" spans="1:16" x14ac:dyDescent="0.3">
      <c r="A38" s="1"/>
      <c r="B38" s="6" t="s">
        <v>130</v>
      </c>
      <c r="C38" s="6" t="s">
        <v>142</v>
      </c>
      <c r="D38" s="90" t="s">
        <v>73</v>
      </c>
      <c r="E38" s="6" t="s">
        <v>1352</v>
      </c>
      <c r="F38" s="90" t="s">
        <v>1357</v>
      </c>
      <c r="G38" s="90" t="s">
        <v>1358</v>
      </c>
      <c r="H38" s="90" t="s">
        <v>965</v>
      </c>
      <c r="I38" s="90" t="s">
        <v>965</v>
      </c>
      <c r="J38" s="90" t="s">
        <v>1292</v>
      </c>
      <c r="K38" s="90" t="s">
        <v>965</v>
      </c>
      <c r="L38" s="90" t="s">
        <v>965</v>
      </c>
      <c r="M38" s="90" t="s">
        <v>965</v>
      </c>
      <c r="N38" s="90" t="s">
        <v>965</v>
      </c>
      <c r="O38" s="6" t="s">
        <v>1282</v>
      </c>
      <c r="P38" s="6"/>
    </row>
    <row r="39" spans="1:16" x14ac:dyDescent="0.3">
      <c r="A39" s="1"/>
      <c r="B39" s="6" t="s">
        <v>130</v>
      </c>
      <c r="C39" s="6" t="s">
        <v>142</v>
      </c>
      <c r="D39" s="90" t="s">
        <v>73</v>
      </c>
      <c r="E39" s="6" t="s">
        <v>1352</v>
      </c>
      <c r="F39" s="90" t="s">
        <v>1358</v>
      </c>
      <c r="G39" s="90" t="s">
        <v>1359</v>
      </c>
      <c r="H39" s="90" t="s">
        <v>965</v>
      </c>
      <c r="I39" s="90" t="s">
        <v>965</v>
      </c>
      <c r="J39" s="90" t="s">
        <v>1301</v>
      </c>
      <c r="K39" s="90" t="s">
        <v>965</v>
      </c>
      <c r="L39" s="90" t="s">
        <v>965</v>
      </c>
      <c r="M39" s="90" t="s">
        <v>965</v>
      </c>
      <c r="N39" s="90" t="s">
        <v>965</v>
      </c>
      <c r="O39" s="6" t="s">
        <v>1282</v>
      </c>
      <c r="P39" s="6"/>
    </row>
    <row r="40" spans="1:16" x14ac:dyDescent="0.3">
      <c r="A40" s="1"/>
      <c r="B40" s="6" t="s">
        <v>130</v>
      </c>
      <c r="C40" s="6" t="s">
        <v>145</v>
      </c>
      <c r="D40" s="90" t="s">
        <v>73</v>
      </c>
      <c r="E40" s="6" t="s">
        <v>1360</v>
      </c>
      <c r="F40" s="90" t="s">
        <v>52</v>
      </c>
      <c r="G40" s="90" t="s">
        <v>1361</v>
      </c>
      <c r="H40" s="90" t="s">
        <v>965</v>
      </c>
      <c r="I40" s="90" t="s">
        <v>965</v>
      </c>
      <c r="J40" s="90" t="s">
        <v>1292</v>
      </c>
      <c r="K40" s="90" t="s">
        <v>965</v>
      </c>
      <c r="L40" s="90" t="s">
        <v>965</v>
      </c>
      <c r="M40" s="90" t="s">
        <v>965</v>
      </c>
      <c r="N40" s="90" t="s">
        <v>965</v>
      </c>
      <c r="O40" s="6" t="s">
        <v>1282</v>
      </c>
      <c r="P40" s="6"/>
    </row>
    <row r="41" spans="1:16" ht="26.4" x14ac:dyDescent="0.3">
      <c r="A41" s="1"/>
      <c r="B41" s="6" t="s">
        <v>130</v>
      </c>
      <c r="C41" s="6" t="s">
        <v>145</v>
      </c>
      <c r="D41" s="90" t="s">
        <v>73</v>
      </c>
      <c r="E41" s="6" t="s">
        <v>1362</v>
      </c>
      <c r="F41" s="90" t="s">
        <v>1361</v>
      </c>
      <c r="G41" s="90" t="s">
        <v>1363</v>
      </c>
      <c r="H41" s="90" t="s">
        <v>965</v>
      </c>
      <c r="I41" s="90" t="s">
        <v>965</v>
      </c>
      <c r="J41" s="90" t="s">
        <v>1292</v>
      </c>
      <c r="K41" s="90" t="s">
        <v>965</v>
      </c>
      <c r="L41" s="90" t="s">
        <v>965</v>
      </c>
      <c r="M41" s="90" t="s">
        <v>965</v>
      </c>
      <c r="N41" s="90" t="s">
        <v>965</v>
      </c>
      <c r="O41" s="6" t="s">
        <v>1282</v>
      </c>
      <c r="P41" s="6"/>
    </row>
    <row r="42" spans="1:16" ht="26.4" x14ac:dyDescent="0.3">
      <c r="A42" s="1"/>
      <c r="B42" s="6" t="s">
        <v>130</v>
      </c>
      <c r="C42" s="6" t="s">
        <v>145</v>
      </c>
      <c r="D42" s="90" t="s">
        <v>73</v>
      </c>
      <c r="E42" s="6" t="s">
        <v>1362</v>
      </c>
      <c r="F42" s="90" t="s">
        <v>1363</v>
      </c>
      <c r="G42" s="90" t="s">
        <v>1364</v>
      </c>
      <c r="H42" s="90" t="s">
        <v>965</v>
      </c>
      <c r="I42" s="90" t="s">
        <v>965</v>
      </c>
      <c r="J42" s="90" t="s">
        <v>1301</v>
      </c>
      <c r="K42" s="90" t="s">
        <v>965</v>
      </c>
      <c r="L42" s="90" t="s">
        <v>965</v>
      </c>
      <c r="M42" s="90" t="s">
        <v>965</v>
      </c>
      <c r="N42" s="90" t="s">
        <v>965</v>
      </c>
      <c r="O42" s="6" t="s">
        <v>1282</v>
      </c>
      <c r="P42" s="6"/>
    </row>
    <row r="43" spans="1:16" x14ac:dyDescent="0.3">
      <c r="A43" s="1"/>
      <c r="B43" s="6" t="s">
        <v>130</v>
      </c>
      <c r="C43" s="6" t="s">
        <v>145</v>
      </c>
      <c r="D43" s="90" t="s">
        <v>73</v>
      </c>
      <c r="E43" s="6" t="s">
        <v>1360</v>
      </c>
      <c r="F43" s="90" t="s">
        <v>1364</v>
      </c>
      <c r="G43" s="90" t="s">
        <v>53</v>
      </c>
      <c r="H43" s="90" t="s">
        <v>965</v>
      </c>
      <c r="I43" s="90" t="s">
        <v>965</v>
      </c>
      <c r="J43" s="90" t="s">
        <v>1292</v>
      </c>
      <c r="K43" s="90" t="s">
        <v>965</v>
      </c>
      <c r="L43" s="90" t="s">
        <v>965</v>
      </c>
      <c r="M43" s="90" t="s">
        <v>965</v>
      </c>
      <c r="N43" s="90" t="s">
        <v>965</v>
      </c>
      <c r="O43" s="6" t="s">
        <v>1282</v>
      </c>
      <c r="P43" s="6"/>
    </row>
    <row r="44" spans="1:16" x14ac:dyDescent="0.3">
      <c r="A44" s="1"/>
      <c r="B44" s="6" t="s">
        <v>402</v>
      </c>
      <c r="C44" s="6" t="s">
        <v>1221</v>
      </c>
      <c r="D44" s="90" t="s">
        <v>73</v>
      </c>
      <c r="E44" s="6" t="s">
        <v>1365</v>
      </c>
      <c r="F44" s="90" t="s">
        <v>52</v>
      </c>
      <c r="G44" s="90" t="s">
        <v>53</v>
      </c>
      <c r="H44" s="90" t="s">
        <v>965</v>
      </c>
      <c r="I44" s="90" t="s">
        <v>965</v>
      </c>
      <c r="J44" s="90" t="s">
        <v>1292</v>
      </c>
      <c r="K44" s="90" t="s">
        <v>965</v>
      </c>
      <c r="L44" s="90" t="s">
        <v>965</v>
      </c>
      <c r="M44" s="90" t="s">
        <v>965</v>
      </c>
      <c r="N44" s="90" t="s">
        <v>965</v>
      </c>
      <c r="O44" s="6" t="s">
        <v>1282</v>
      </c>
      <c r="P44" s="6"/>
    </row>
    <row r="45" spans="1:16" ht="26.4" x14ac:dyDescent="0.3">
      <c r="A45" s="1"/>
      <c r="B45" s="6" t="s">
        <v>604</v>
      </c>
      <c r="C45" s="6" t="s">
        <v>1222</v>
      </c>
      <c r="D45" s="90" t="s">
        <v>1223</v>
      </c>
      <c r="E45" s="6" t="s">
        <v>1366</v>
      </c>
      <c r="F45" s="90" t="s">
        <v>1367</v>
      </c>
      <c r="G45" s="90" t="s">
        <v>1368</v>
      </c>
      <c r="H45" s="90" t="s">
        <v>1369</v>
      </c>
      <c r="I45" s="90" t="s">
        <v>1370</v>
      </c>
      <c r="J45" s="90" t="s">
        <v>1371</v>
      </c>
      <c r="K45" s="90" t="s">
        <v>965</v>
      </c>
      <c r="L45" s="90" t="s">
        <v>965</v>
      </c>
      <c r="M45" s="90" t="s">
        <v>965</v>
      </c>
      <c r="N45" s="90" t="s">
        <v>1306</v>
      </c>
      <c r="O45" s="6" t="s">
        <v>1282</v>
      </c>
      <c r="P45" s="6" t="s">
        <v>1372</v>
      </c>
    </row>
    <row r="46" spans="1:16" x14ac:dyDescent="0.3">
      <c r="A46" s="1"/>
      <c r="B46" s="6" t="s">
        <v>159</v>
      </c>
      <c r="C46" s="6" t="s">
        <v>1229</v>
      </c>
      <c r="D46" s="90" t="s">
        <v>73</v>
      </c>
      <c r="E46" s="6" t="s">
        <v>1373</v>
      </c>
      <c r="F46" s="90" t="s">
        <v>52</v>
      </c>
      <c r="G46" s="90" t="s">
        <v>53</v>
      </c>
      <c r="H46" s="90" t="s">
        <v>965</v>
      </c>
      <c r="I46" s="90" t="s">
        <v>965</v>
      </c>
      <c r="J46" s="90" t="s">
        <v>1292</v>
      </c>
      <c r="K46" s="90" t="s">
        <v>965</v>
      </c>
      <c r="L46" s="90" t="s">
        <v>965</v>
      </c>
      <c r="M46" s="90" t="s">
        <v>965</v>
      </c>
      <c r="N46" s="90" t="s">
        <v>965</v>
      </c>
      <c r="O46" s="6" t="s">
        <v>1282</v>
      </c>
      <c r="P46" s="6"/>
    </row>
    <row r="47" spans="1:16" x14ac:dyDescent="0.3">
      <c r="A47" s="1"/>
      <c r="B47" s="6" t="s">
        <v>164</v>
      </c>
      <c r="C47" s="6" t="s">
        <v>1230</v>
      </c>
      <c r="D47" s="90" t="s">
        <v>1194</v>
      </c>
      <c r="E47" s="6" t="s">
        <v>1374</v>
      </c>
      <c r="F47" s="90" t="s">
        <v>1375</v>
      </c>
      <c r="G47" s="90" t="s">
        <v>1322</v>
      </c>
      <c r="H47" s="90" t="s">
        <v>965</v>
      </c>
      <c r="I47" s="90" t="s">
        <v>965</v>
      </c>
      <c r="J47" s="90" t="s">
        <v>1292</v>
      </c>
      <c r="K47" s="90" t="s">
        <v>965</v>
      </c>
      <c r="L47" s="90" t="s">
        <v>965</v>
      </c>
      <c r="M47" s="90" t="s">
        <v>965</v>
      </c>
      <c r="N47" s="90" t="s">
        <v>1306</v>
      </c>
      <c r="O47" s="6" t="s">
        <v>1282</v>
      </c>
      <c r="P47" s="6"/>
    </row>
    <row r="48" spans="1:16" x14ac:dyDescent="0.3">
      <c r="A48" s="1"/>
      <c r="B48" s="6" t="s">
        <v>164</v>
      </c>
      <c r="C48" s="6" t="s">
        <v>1230</v>
      </c>
      <c r="D48" s="90" t="s">
        <v>1194</v>
      </c>
      <c r="E48" s="6" t="s">
        <v>1374</v>
      </c>
      <c r="F48" s="90" t="s">
        <v>1322</v>
      </c>
      <c r="G48" s="90" t="s">
        <v>1376</v>
      </c>
      <c r="H48" s="90" t="s">
        <v>965</v>
      </c>
      <c r="I48" s="90" t="s">
        <v>965</v>
      </c>
      <c r="J48" s="90" t="s">
        <v>1301</v>
      </c>
      <c r="K48" s="90" t="s">
        <v>965</v>
      </c>
      <c r="L48" s="90" t="s">
        <v>965</v>
      </c>
      <c r="M48" s="90" t="s">
        <v>965</v>
      </c>
      <c r="N48" s="90" t="s">
        <v>965</v>
      </c>
      <c r="O48" s="6" t="s">
        <v>1282</v>
      </c>
      <c r="P48" s="6"/>
    </row>
    <row r="49" spans="1:16" x14ac:dyDescent="0.3">
      <c r="A49" s="1"/>
      <c r="B49" s="6" t="s">
        <v>164</v>
      </c>
      <c r="C49" s="6" t="s">
        <v>1230</v>
      </c>
      <c r="D49" s="90" t="s">
        <v>1194</v>
      </c>
      <c r="E49" s="6" t="s">
        <v>1374</v>
      </c>
      <c r="F49" s="90" t="s">
        <v>1376</v>
      </c>
      <c r="G49" s="90" t="s">
        <v>1377</v>
      </c>
      <c r="H49" s="90" t="s">
        <v>965</v>
      </c>
      <c r="I49" s="90" t="s">
        <v>965</v>
      </c>
      <c r="J49" s="90" t="s">
        <v>1292</v>
      </c>
      <c r="K49" s="90" t="s">
        <v>965</v>
      </c>
      <c r="L49" s="90" t="s">
        <v>965</v>
      </c>
      <c r="M49" s="90" t="s">
        <v>965</v>
      </c>
      <c r="N49" s="90" t="s">
        <v>965</v>
      </c>
      <c r="O49" s="6" t="s">
        <v>1282</v>
      </c>
      <c r="P49" s="6"/>
    </row>
    <row r="50" spans="1:16" x14ac:dyDescent="0.3">
      <c r="A50" s="1"/>
      <c r="B50" s="6" t="s">
        <v>164</v>
      </c>
      <c r="C50" s="6" t="s">
        <v>1230</v>
      </c>
      <c r="D50" s="90" t="s">
        <v>1194</v>
      </c>
      <c r="E50" s="6" t="s">
        <v>1374</v>
      </c>
      <c r="F50" s="90" t="s">
        <v>1377</v>
      </c>
      <c r="G50" s="90" t="s">
        <v>53</v>
      </c>
      <c r="H50" s="90" t="s">
        <v>965</v>
      </c>
      <c r="I50" s="90" t="s">
        <v>965</v>
      </c>
      <c r="J50" s="90" t="s">
        <v>1301</v>
      </c>
      <c r="K50" s="90" t="s">
        <v>965</v>
      </c>
      <c r="L50" s="90" t="s">
        <v>965</v>
      </c>
      <c r="M50" s="90" t="s">
        <v>965</v>
      </c>
      <c r="N50" s="90" t="s">
        <v>965</v>
      </c>
      <c r="O50" s="6" t="s">
        <v>1282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ht="26.4" x14ac:dyDescent="0.3">
      <c r="A7" s="1"/>
      <c r="B7" s="5" t="s">
        <v>181</v>
      </c>
      <c r="C7" s="5" t="s">
        <v>182</v>
      </c>
      <c r="D7" s="5" t="s">
        <v>73</v>
      </c>
      <c r="E7" s="4" t="s">
        <v>183</v>
      </c>
      <c r="F7" s="4" t="s">
        <v>184</v>
      </c>
      <c r="G7" s="6" t="s">
        <v>185</v>
      </c>
      <c r="H7" s="8">
        <v>17</v>
      </c>
      <c r="I7" s="5" t="s">
        <v>186</v>
      </c>
      <c r="J7" s="5" t="s">
        <v>187</v>
      </c>
      <c r="K7" s="5" t="s">
        <v>188</v>
      </c>
      <c r="L7" s="5" t="s">
        <v>189</v>
      </c>
      <c r="M7" s="8">
        <v>13417</v>
      </c>
      <c r="N7" s="5" t="s">
        <v>190</v>
      </c>
    </row>
    <row r="8" spans="1:14" ht="26.4" x14ac:dyDescent="0.3">
      <c r="A8" s="1"/>
      <c r="B8" s="5" t="s">
        <v>181</v>
      </c>
      <c r="C8" s="5" t="s">
        <v>182</v>
      </c>
      <c r="D8" s="5" t="s">
        <v>73</v>
      </c>
      <c r="E8" s="4" t="s">
        <v>183</v>
      </c>
      <c r="F8" s="4" t="s">
        <v>184</v>
      </c>
      <c r="G8" s="6" t="s">
        <v>1379</v>
      </c>
      <c r="H8" s="8">
        <v>17</v>
      </c>
      <c r="I8" s="5" t="s">
        <v>186</v>
      </c>
      <c r="J8" s="5" t="s">
        <v>187</v>
      </c>
      <c r="K8" s="5" t="s">
        <v>188</v>
      </c>
      <c r="L8" s="5" t="s">
        <v>189</v>
      </c>
      <c r="M8" s="8">
        <v>13417</v>
      </c>
      <c r="N8" s="5" t="s">
        <v>190</v>
      </c>
    </row>
    <row r="9" spans="1:14" x14ac:dyDescent="0.3">
      <c r="A9" s="1"/>
      <c r="B9" s="5" t="s">
        <v>192</v>
      </c>
      <c r="C9" s="5" t="s">
        <v>193</v>
      </c>
      <c r="D9" s="5" t="s">
        <v>73</v>
      </c>
      <c r="E9" s="4" t="s">
        <v>183</v>
      </c>
      <c r="F9" s="4" t="s">
        <v>184</v>
      </c>
      <c r="G9" s="6" t="s">
        <v>194</v>
      </c>
      <c r="H9" s="8">
        <v>8.15</v>
      </c>
      <c r="I9" s="5" t="s">
        <v>186</v>
      </c>
      <c r="J9" s="5" t="s">
        <v>187</v>
      </c>
      <c r="K9" s="5" t="s">
        <v>188</v>
      </c>
      <c r="L9" s="5" t="s">
        <v>195</v>
      </c>
      <c r="M9" s="8">
        <v>19865</v>
      </c>
      <c r="N9" s="5" t="s">
        <v>190</v>
      </c>
    </row>
    <row r="10" spans="1:14" x14ac:dyDescent="0.3">
      <c r="A10" s="1"/>
      <c r="B10" s="5" t="s">
        <v>233</v>
      </c>
      <c r="C10" s="5" t="s">
        <v>234</v>
      </c>
      <c r="D10" s="5" t="s">
        <v>73</v>
      </c>
      <c r="E10" s="4" t="s">
        <v>183</v>
      </c>
      <c r="F10" s="4" t="s">
        <v>184</v>
      </c>
      <c r="G10" s="6" t="s">
        <v>1380</v>
      </c>
      <c r="H10" s="8">
        <v>25</v>
      </c>
      <c r="I10" s="5" t="s">
        <v>236</v>
      </c>
      <c r="J10" s="5" t="s">
        <v>187</v>
      </c>
      <c r="K10" s="5" t="s">
        <v>188</v>
      </c>
      <c r="L10" s="5" t="s">
        <v>189</v>
      </c>
      <c r="M10" s="8">
        <v>26890</v>
      </c>
      <c r="N10" s="5" t="s">
        <v>190</v>
      </c>
    </row>
    <row r="11" spans="1:14" x14ac:dyDescent="0.3">
      <c r="A11" s="1"/>
      <c r="B11" s="5" t="s">
        <v>21</v>
      </c>
      <c r="C11" s="5" t="s">
        <v>22</v>
      </c>
      <c r="D11" s="5" t="s">
        <v>24</v>
      </c>
      <c r="E11" s="4" t="s">
        <v>237</v>
      </c>
      <c r="F11" s="4" t="s">
        <v>238</v>
      </c>
      <c r="G11" s="6" t="s">
        <v>1381</v>
      </c>
      <c r="H11" s="8">
        <v>7.55</v>
      </c>
      <c r="I11" s="5" t="s">
        <v>186</v>
      </c>
      <c r="J11" s="5" t="s">
        <v>187</v>
      </c>
      <c r="K11" s="5" t="s">
        <v>188</v>
      </c>
      <c r="L11" s="5" t="s">
        <v>240</v>
      </c>
      <c r="M11" s="8">
        <v>20668</v>
      </c>
      <c r="N11" s="5" t="s">
        <v>190</v>
      </c>
    </row>
    <row r="12" spans="1:14" ht="26.4" x14ac:dyDescent="0.3">
      <c r="A12" s="1"/>
      <c r="B12" s="5" t="s">
        <v>28</v>
      </c>
      <c r="C12" s="5" t="s">
        <v>29</v>
      </c>
      <c r="D12" s="5" t="s">
        <v>31</v>
      </c>
      <c r="E12" s="4" t="s">
        <v>264</v>
      </c>
      <c r="F12" s="4" t="s">
        <v>265</v>
      </c>
      <c r="G12" s="6" t="s">
        <v>1382</v>
      </c>
      <c r="H12" s="8">
        <v>5.7320000000000002</v>
      </c>
      <c r="I12" s="5" t="s">
        <v>236</v>
      </c>
      <c r="J12" s="5" t="s">
        <v>187</v>
      </c>
      <c r="K12" s="5" t="s">
        <v>188</v>
      </c>
      <c r="L12" s="5" t="s">
        <v>189</v>
      </c>
      <c r="M12" s="8">
        <v>12779</v>
      </c>
      <c r="N12" s="5" t="s">
        <v>190</v>
      </c>
    </row>
    <row r="13" spans="1:14" ht="26.4" x14ac:dyDescent="0.3">
      <c r="A13" s="1"/>
      <c r="B13" s="5" t="s">
        <v>28</v>
      </c>
      <c r="C13" s="5" t="s">
        <v>29</v>
      </c>
      <c r="D13" s="5" t="s">
        <v>31</v>
      </c>
      <c r="E13" s="4" t="s">
        <v>267</v>
      </c>
      <c r="F13" s="4" t="s">
        <v>184</v>
      </c>
      <c r="G13" s="6" t="s">
        <v>1383</v>
      </c>
      <c r="H13" s="8">
        <v>5.7320000000000002</v>
      </c>
      <c r="I13" s="5" t="s">
        <v>236</v>
      </c>
      <c r="J13" s="5" t="s">
        <v>187</v>
      </c>
      <c r="K13" s="5" t="s">
        <v>188</v>
      </c>
      <c r="L13" s="5" t="s">
        <v>240</v>
      </c>
      <c r="M13" s="8">
        <v>12779</v>
      </c>
      <c r="N13" s="5" t="s">
        <v>190</v>
      </c>
    </row>
    <row r="14" spans="1:14" x14ac:dyDescent="0.3">
      <c r="A14" s="1"/>
      <c r="B14" s="5" t="s">
        <v>80</v>
      </c>
      <c r="C14" s="5" t="s">
        <v>273</v>
      </c>
      <c r="D14" s="5" t="s">
        <v>274</v>
      </c>
      <c r="E14" s="4" t="s">
        <v>275</v>
      </c>
      <c r="F14" s="4" t="s">
        <v>276</v>
      </c>
      <c r="G14" s="6" t="s">
        <v>1384</v>
      </c>
      <c r="H14" s="8">
        <v>100</v>
      </c>
      <c r="I14" s="5" t="s">
        <v>186</v>
      </c>
      <c r="J14" s="5" t="s">
        <v>187</v>
      </c>
      <c r="K14" s="5" t="s">
        <v>188</v>
      </c>
      <c r="L14" s="5" t="s">
        <v>195</v>
      </c>
      <c r="M14" s="8">
        <v>4</v>
      </c>
      <c r="N14" s="5" t="s">
        <v>190</v>
      </c>
    </row>
    <row r="15" spans="1:14" x14ac:dyDescent="0.3">
      <c r="A15" s="1"/>
      <c r="B15" s="5" t="s">
        <v>278</v>
      </c>
      <c r="C15" s="5" t="s">
        <v>279</v>
      </c>
      <c r="D15" s="5" t="s">
        <v>280</v>
      </c>
      <c r="E15" s="4" t="s">
        <v>183</v>
      </c>
      <c r="F15" s="4" t="s">
        <v>184</v>
      </c>
      <c r="G15" s="6" t="s">
        <v>1385</v>
      </c>
      <c r="H15" s="8">
        <v>2.5070000000000001</v>
      </c>
      <c r="I15" s="5" t="s">
        <v>186</v>
      </c>
      <c r="J15" s="5" t="s">
        <v>187</v>
      </c>
      <c r="K15" s="5" t="s">
        <v>188</v>
      </c>
      <c r="L15" s="5" t="s">
        <v>195</v>
      </c>
      <c r="M15" s="8">
        <v>14793</v>
      </c>
      <c r="N15" s="5" t="s">
        <v>190</v>
      </c>
    </row>
    <row r="16" spans="1:14" x14ac:dyDescent="0.3">
      <c r="A16" s="1"/>
      <c r="B16" s="5" t="s">
        <v>83</v>
      </c>
      <c r="C16" s="5" t="s">
        <v>282</v>
      </c>
      <c r="D16" s="5" t="s">
        <v>110</v>
      </c>
      <c r="E16" s="4" t="s">
        <v>183</v>
      </c>
      <c r="F16" s="4" t="s">
        <v>184</v>
      </c>
      <c r="G16" s="6" t="s">
        <v>285</v>
      </c>
      <c r="H16" s="8">
        <v>235</v>
      </c>
      <c r="I16" s="5" t="s">
        <v>186</v>
      </c>
      <c r="J16" s="5" t="s">
        <v>187</v>
      </c>
      <c r="K16" s="5" t="s">
        <v>188</v>
      </c>
      <c r="L16" s="5" t="s">
        <v>195</v>
      </c>
      <c r="M16" s="8">
        <v>14972</v>
      </c>
      <c r="N16" s="5" t="s">
        <v>190</v>
      </c>
    </row>
    <row r="17" spans="1:14" x14ac:dyDescent="0.3">
      <c r="A17" s="1"/>
      <c r="B17" s="5" t="s">
        <v>286</v>
      </c>
      <c r="C17" s="5" t="s">
        <v>287</v>
      </c>
      <c r="D17" s="5" t="s">
        <v>288</v>
      </c>
      <c r="E17" s="4" t="s">
        <v>183</v>
      </c>
      <c r="F17" s="4" t="s">
        <v>184</v>
      </c>
      <c r="G17" s="6" t="s">
        <v>289</v>
      </c>
      <c r="H17" s="8">
        <v>47</v>
      </c>
      <c r="I17" s="5" t="s">
        <v>186</v>
      </c>
      <c r="J17" s="5" t="s">
        <v>187</v>
      </c>
      <c r="K17" s="5" t="s">
        <v>188</v>
      </c>
      <c r="L17" s="5" t="s">
        <v>195</v>
      </c>
      <c r="M17" s="8">
        <v>14007</v>
      </c>
      <c r="N17" s="5" t="s">
        <v>190</v>
      </c>
    </row>
    <row r="18" spans="1:14" x14ac:dyDescent="0.3">
      <c r="A18" s="1"/>
      <c r="B18" s="5" t="s">
        <v>286</v>
      </c>
      <c r="C18" s="5" t="s">
        <v>287</v>
      </c>
      <c r="D18" s="5" t="s">
        <v>73</v>
      </c>
      <c r="E18" s="4" t="s">
        <v>211</v>
      </c>
      <c r="F18" s="4" t="s">
        <v>290</v>
      </c>
      <c r="G18" s="6" t="s">
        <v>291</v>
      </c>
      <c r="H18" s="8">
        <v>94</v>
      </c>
      <c r="I18" s="5" t="s">
        <v>186</v>
      </c>
      <c r="J18" s="5" t="s">
        <v>187</v>
      </c>
      <c r="K18" s="5" t="s">
        <v>188</v>
      </c>
      <c r="L18" s="5" t="s">
        <v>195</v>
      </c>
      <c r="M18" s="8">
        <v>14005</v>
      </c>
      <c r="N18" s="5" t="s">
        <v>190</v>
      </c>
    </row>
    <row r="19" spans="1:14" x14ac:dyDescent="0.3">
      <c r="A19" s="1"/>
      <c r="B19" s="5" t="s">
        <v>86</v>
      </c>
      <c r="C19" s="5" t="s">
        <v>296</v>
      </c>
      <c r="D19" s="5" t="s">
        <v>297</v>
      </c>
      <c r="E19" s="4" t="s">
        <v>183</v>
      </c>
      <c r="F19" s="4" t="s">
        <v>298</v>
      </c>
      <c r="G19" s="6" t="s">
        <v>299</v>
      </c>
      <c r="H19" s="8">
        <v>0</v>
      </c>
      <c r="I19" s="5" t="s">
        <v>236</v>
      </c>
      <c r="J19" s="5" t="s">
        <v>187</v>
      </c>
      <c r="K19" s="5" t="s">
        <v>188</v>
      </c>
      <c r="L19" s="5" t="s">
        <v>240</v>
      </c>
      <c r="M19" s="8">
        <v>13555</v>
      </c>
      <c r="N19" s="5" t="s">
        <v>190</v>
      </c>
    </row>
    <row r="20" spans="1:14" x14ac:dyDescent="0.3">
      <c r="A20" s="1"/>
      <c r="B20" s="5" t="s">
        <v>86</v>
      </c>
      <c r="C20" s="5" t="s">
        <v>296</v>
      </c>
      <c r="D20" s="5" t="s">
        <v>297</v>
      </c>
      <c r="E20" s="4" t="s">
        <v>224</v>
      </c>
      <c r="F20" s="4" t="s">
        <v>300</v>
      </c>
      <c r="G20" s="6" t="s">
        <v>301</v>
      </c>
      <c r="H20" s="8">
        <v>0</v>
      </c>
      <c r="I20" s="5" t="s">
        <v>186</v>
      </c>
      <c r="J20" s="5" t="s">
        <v>187</v>
      </c>
      <c r="K20" s="5" t="s">
        <v>188</v>
      </c>
      <c r="L20" s="5" t="s">
        <v>243</v>
      </c>
      <c r="M20" s="8">
        <v>13555</v>
      </c>
      <c r="N20" s="5" t="s">
        <v>190</v>
      </c>
    </row>
    <row r="21" spans="1:14" x14ac:dyDescent="0.3">
      <c r="A21" s="1"/>
      <c r="B21" s="5" t="s">
        <v>343</v>
      </c>
      <c r="C21" s="5" t="s">
        <v>344</v>
      </c>
      <c r="D21" s="5" t="s">
        <v>110</v>
      </c>
      <c r="E21" s="4" t="s">
        <v>183</v>
      </c>
      <c r="F21" s="4" t="s">
        <v>184</v>
      </c>
      <c r="G21" s="6" t="s">
        <v>1386</v>
      </c>
      <c r="H21" s="8">
        <v>9.1999999999999993</v>
      </c>
      <c r="I21" s="5" t="s">
        <v>186</v>
      </c>
      <c r="J21" s="5" t="s">
        <v>187</v>
      </c>
      <c r="K21" s="5" t="s">
        <v>188</v>
      </c>
      <c r="L21" s="5" t="s">
        <v>240</v>
      </c>
      <c r="M21" s="8">
        <v>17553</v>
      </c>
      <c r="N21" s="5" t="s">
        <v>190</v>
      </c>
    </row>
    <row r="22" spans="1:14" x14ac:dyDescent="0.3">
      <c r="A22" s="1"/>
      <c r="B22" s="5" t="s">
        <v>600</v>
      </c>
      <c r="C22" s="5" t="s">
        <v>347</v>
      </c>
      <c r="D22" s="5" t="s">
        <v>110</v>
      </c>
      <c r="E22" s="4" t="s">
        <v>183</v>
      </c>
      <c r="F22" s="4" t="s">
        <v>184</v>
      </c>
      <c r="G22" s="6" t="s">
        <v>348</v>
      </c>
      <c r="H22" s="8">
        <v>104.5</v>
      </c>
      <c r="I22" s="5" t="s">
        <v>186</v>
      </c>
      <c r="J22" s="5" t="s">
        <v>187</v>
      </c>
      <c r="K22" s="5" t="s">
        <v>188</v>
      </c>
      <c r="L22" s="5" t="s">
        <v>240</v>
      </c>
      <c r="M22" s="8">
        <v>24608</v>
      </c>
      <c r="N22" s="5" t="s">
        <v>190</v>
      </c>
    </row>
    <row r="23" spans="1:14" x14ac:dyDescent="0.3">
      <c r="A23" s="1"/>
      <c r="B23" s="5" t="s">
        <v>351</v>
      </c>
      <c r="C23" s="5" t="s">
        <v>352</v>
      </c>
      <c r="D23" s="5" t="s">
        <v>353</v>
      </c>
      <c r="E23" s="4" t="s">
        <v>183</v>
      </c>
      <c r="F23" s="4" t="s">
        <v>184</v>
      </c>
      <c r="G23" s="6" t="s">
        <v>1387</v>
      </c>
      <c r="H23" s="8">
        <v>0.79612000000000005</v>
      </c>
      <c r="I23" s="5" t="s">
        <v>186</v>
      </c>
      <c r="J23" s="5" t="s">
        <v>187</v>
      </c>
      <c r="K23" s="5" t="s">
        <v>188</v>
      </c>
      <c r="L23" s="5" t="s">
        <v>240</v>
      </c>
      <c r="M23" s="8">
        <v>1020</v>
      </c>
      <c r="N23" s="5" t="s">
        <v>190</v>
      </c>
    </row>
    <row r="24" spans="1:14" x14ac:dyDescent="0.3">
      <c r="A24" s="1"/>
      <c r="B24" s="5" t="s">
        <v>351</v>
      </c>
      <c r="C24" s="5" t="s">
        <v>352</v>
      </c>
      <c r="D24" s="5" t="s">
        <v>355</v>
      </c>
      <c r="E24" s="4" t="s">
        <v>183</v>
      </c>
      <c r="F24" s="4" t="s">
        <v>184</v>
      </c>
      <c r="G24" s="6" t="s">
        <v>1387</v>
      </c>
      <c r="H24" s="8">
        <v>0.40029999999999999</v>
      </c>
      <c r="I24" s="5" t="s">
        <v>186</v>
      </c>
      <c r="J24" s="5" t="s">
        <v>187</v>
      </c>
      <c r="K24" s="5" t="s">
        <v>188</v>
      </c>
      <c r="L24" s="5" t="s">
        <v>240</v>
      </c>
      <c r="M24" s="8">
        <v>1034</v>
      </c>
      <c r="N24" s="5" t="s">
        <v>190</v>
      </c>
    </row>
    <row r="25" spans="1:14" x14ac:dyDescent="0.3">
      <c r="A25" s="1"/>
      <c r="B25" s="5" t="s">
        <v>106</v>
      </c>
      <c r="C25" s="5" t="s">
        <v>356</v>
      </c>
      <c r="D25" s="5" t="s">
        <v>357</v>
      </c>
      <c r="E25" s="4" t="s">
        <v>358</v>
      </c>
      <c r="F25" s="4" t="s">
        <v>184</v>
      </c>
      <c r="G25" s="6" t="s">
        <v>359</v>
      </c>
      <c r="H25" s="8">
        <v>0</v>
      </c>
      <c r="I25" s="5" t="s">
        <v>186</v>
      </c>
      <c r="J25" s="5" t="s">
        <v>187</v>
      </c>
      <c r="K25" s="5" t="s">
        <v>188</v>
      </c>
      <c r="L25" s="5" t="s">
        <v>195</v>
      </c>
      <c r="M25" s="8">
        <v>203</v>
      </c>
      <c r="N25" s="5" t="s">
        <v>190</v>
      </c>
    </row>
    <row r="26" spans="1:14" x14ac:dyDescent="0.3">
      <c r="A26" s="1"/>
      <c r="B26" s="5" t="s">
        <v>106</v>
      </c>
      <c r="C26" s="5" t="s">
        <v>364</v>
      </c>
      <c r="D26" s="5" t="s">
        <v>73</v>
      </c>
      <c r="E26" s="4" t="s">
        <v>183</v>
      </c>
      <c r="F26" s="4" t="s">
        <v>184</v>
      </c>
      <c r="G26" s="6" t="s">
        <v>365</v>
      </c>
      <c r="H26" s="8">
        <v>0</v>
      </c>
      <c r="I26" s="5" t="s">
        <v>186</v>
      </c>
      <c r="J26" s="5" t="s">
        <v>187</v>
      </c>
      <c r="K26" s="5" t="s">
        <v>188</v>
      </c>
      <c r="L26" s="5" t="s">
        <v>195</v>
      </c>
      <c r="M26" s="8">
        <v>17965</v>
      </c>
      <c r="N26" s="5" t="s">
        <v>190</v>
      </c>
    </row>
    <row r="27" spans="1:14" x14ac:dyDescent="0.3">
      <c r="A27" s="1"/>
      <c r="B27" s="5" t="s">
        <v>377</v>
      </c>
      <c r="C27" s="5" t="s">
        <v>378</v>
      </c>
      <c r="D27" s="5" t="s">
        <v>73</v>
      </c>
      <c r="E27" s="4" t="s">
        <v>183</v>
      </c>
      <c r="F27" s="4" t="s">
        <v>184</v>
      </c>
      <c r="G27" s="6" t="s">
        <v>1388</v>
      </c>
      <c r="H27" s="8">
        <v>175.92</v>
      </c>
      <c r="I27" s="5" t="s">
        <v>186</v>
      </c>
      <c r="J27" s="5" t="s">
        <v>187</v>
      </c>
      <c r="K27" s="5" t="s">
        <v>188</v>
      </c>
      <c r="L27" s="5" t="s">
        <v>195</v>
      </c>
      <c r="M27" s="8">
        <v>15107</v>
      </c>
      <c r="N27" s="5" t="s">
        <v>190</v>
      </c>
    </row>
    <row r="28" spans="1:14" x14ac:dyDescent="0.3">
      <c r="A28" s="1"/>
      <c r="B28" s="5" t="s">
        <v>130</v>
      </c>
      <c r="C28" s="5" t="s">
        <v>394</v>
      </c>
      <c r="D28" s="5" t="s">
        <v>24</v>
      </c>
      <c r="E28" s="4" t="s">
        <v>183</v>
      </c>
      <c r="F28" s="4" t="s">
        <v>184</v>
      </c>
      <c r="G28" s="6" t="s">
        <v>395</v>
      </c>
      <c r="H28" s="8">
        <v>66</v>
      </c>
      <c r="I28" s="5" t="s">
        <v>186</v>
      </c>
      <c r="J28" s="5" t="s">
        <v>187</v>
      </c>
      <c r="K28" s="5" t="s">
        <v>188</v>
      </c>
      <c r="L28" s="5" t="s">
        <v>195</v>
      </c>
      <c r="M28" s="8">
        <v>22</v>
      </c>
      <c r="N28" s="5" t="s">
        <v>190</v>
      </c>
    </row>
    <row r="29" spans="1:14" x14ac:dyDescent="0.3">
      <c r="A29" s="1"/>
      <c r="B29" s="5" t="s">
        <v>130</v>
      </c>
      <c r="C29" s="5" t="s">
        <v>394</v>
      </c>
      <c r="D29" s="5" t="s">
        <v>24</v>
      </c>
      <c r="E29" s="4" t="s">
        <v>183</v>
      </c>
      <c r="F29" s="4" t="s">
        <v>184</v>
      </c>
      <c r="G29" s="6" t="s">
        <v>1389</v>
      </c>
      <c r="H29" s="8">
        <v>66</v>
      </c>
      <c r="I29" s="5" t="s">
        <v>186</v>
      </c>
      <c r="J29" s="5" t="s">
        <v>187</v>
      </c>
      <c r="K29" s="5" t="s">
        <v>188</v>
      </c>
      <c r="L29" s="5" t="s">
        <v>195</v>
      </c>
      <c r="M29" s="8">
        <v>22</v>
      </c>
      <c r="N29" s="5" t="s">
        <v>190</v>
      </c>
    </row>
    <row r="30" spans="1:14" ht="26.4" x14ac:dyDescent="0.3">
      <c r="A30" s="1"/>
      <c r="B30" s="5" t="s">
        <v>402</v>
      </c>
      <c r="C30" s="5" t="s">
        <v>1390</v>
      </c>
      <c r="D30" s="5" t="s">
        <v>24</v>
      </c>
      <c r="E30" s="4" t="s">
        <v>183</v>
      </c>
      <c r="F30" s="4" t="s">
        <v>184</v>
      </c>
      <c r="G30" s="6" t="s">
        <v>404</v>
      </c>
      <c r="H30" s="8">
        <v>1.1000000000000001</v>
      </c>
      <c r="I30" s="5" t="s">
        <v>186</v>
      </c>
      <c r="J30" s="5" t="s">
        <v>187</v>
      </c>
      <c r="K30" s="5" t="s">
        <v>188</v>
      </c>
      <c r="L30" s="5" t="s">
        <v>195</v>
      </c>
      <c r="M30" s="8">
        <v>18813</v>
      </c>
      <c r="N30" s="5" t="s">
        <v>190</v>
      </c>
    </row>
    <row r="31" spans="1:14" ht="26.4" x14ac:dyDescent="0.3">
      <c r="A31" s="1"/>
      <c r="B31" s="5" t="s">
        <v>402</v>
      </c>
      <c r="C31" s="5" t="s">
        <v>1390</v>
      </c>
      <c r="D31" s="5" t="s">
        <v>110</v>
      </c>
      <c r="E31" s="4" t="s">
        <v>183</v>
      </c>
      <c r="F31" s="4" t="s">
        <v>184</v>
      </c>
      <c r="G31" s="6" t="s">
        <v>405</v>
      </c>
      <c r="H31" s="8">
        <v>1.1000000000000001</v>
      </c>
      <c r="I31" s="5" t="s">
        <v>186</v>
      </c>
      <c r="J31" s="5" t="s">
        <v>187</v>
      </c>
      <c r="K31" s="5" t="s">
        <v>188</v>
      </c>
      <c r="L31" s="5" t="s">
        <v>195</v>
      </c>
      <c r="M31" s="8">
        <v>18814</v>
      </c>
      <c r="N31" s="5" t="s">
        <v>190</v>
      </c>
    </row>
    <row r="32" spans="1:14" ht="26.4" x14ac:dyDescent="0.3">
      <c r="A32" s="1"/>
      <c r="B32" s="5" t="s">
        <v>402</v>
      </c>
      <c r="C32" s="5" t="s">
        <v>406</v>
      </c>
      <c r="D32" s="5" t="s">
        <v>24</v>
      </c>
      <c r="E32" s="4" t="s">
        <v>183</v>
      </c>
      <c r="F32" s="4" t="s">
        <v>184</v>
      </c>
      <c r="G32" s="6" t="s">
        <v>407</v>
      </c>
      <c r="H32" s="8">
        <v>1.5</v>
      </c>
      <c r="I32" s="5" t="s">
        <v>186</v>
      </c>
      <c r="J32" s="5" t="s">
        <v>187</v>
      </c>
      <c r="K32" s="5" t="s">
        <v>188</v>
      </c>
      <c r="L32" s="5" t="s">
        <v>195</v>
      </c>
      <c r="M32" s="8">
        <v>13299</v>
      </c>
      <c r="N32" s="5" t="s">
        <v>190</v>
      </c>
    </row>
    <row r="33" spans="1:14" ht="26.4" x14ac:dyDescent="0.3">
      <c r="A33" s="1"/>
      <c r="B33" s="5" t="s">
        <v>402</v>
      </c>
      <c r="C33" s="5" t="s">
        <v>406</v>
      </c>
      <c r="D33" s="5" t="s">
        <v>110</v>
      </c>
      <c r="E33" s="4" t="s">
        <v>183</v>
      </c>
      <c r="F33" s="4" t="s">
        <v>184</v>
      </c>
      <c r="G33" s="6" t="s">
        <v>408</v>
      </c>
      <c r="H33" s="8">
        <v>1.5</v>
      </c>
      <c r="I33" s="5" t="s">
        <v>186</v>
      </c>
      <c r="J33" s="5" t="s">
        <v>187</v>
      </c>
      <c r="K33" s="5" t="s">
        <v>188</v>
      </c>
      <c r="L33" s="5" t="s">
        <v>195</v>
      </c>
      <c r="M33" s="8">
        <v>13300</v>
      </c>
      <c r="N33" s="5" t="s">
        <v>190</v>
      </c>
    </row>
    <row r="34" spans="1:14" ht="26.4" x14ac:dyDescent="0.3">
      <c r="A34" s="1"/>
      <c r="B34" s="5" t="s">
        <v>402</v>
      </c>
      <c r="C34" s="5" t="s">
        <v>406</v>
      </c>
      <c r="D34" s="5" t="s">
        <v>96</v>
      </c>
      <c r="E34" s="4" t="s">
        <v>183</v>
      </c>
      <c r="F34" s="4" t="s">
        <v>184</v>
      </c>
      <c r="G34" s="6" t="s">
        <v>409</v>
      </c>
      <c r="H34" s="8">
        <v>1.5</v>
      </c>
      <c r="I34" s="5" t="s">
        <v>186</v>
      </c>
      <c r="J34" s="5" t="s">
        <v>187</v>
      </c>
      <c r="K34" s="5" t="s">
        <v>188</v>
      </c>
      <c r="L34" s="5" t="s">
        <v>195</v>
      </c>
      <c r="M34" s="8">
        <v>13301</v>
      </c>
      <c r="N34" s="5" t="s">
        <v>190</v>
      </c>
    </row>
    <row r="35" spans="1:14" ht="26.4" x14ac:dyDescent="0.3">
      <c r="A35" s="1"/>
      <c r="B35" s="5" t="s">
        <v>402</v>
      </c>
      <c r="C35" s="5" t="s">
        <v>410</v>
      </c>
      <c r="D35" s="5" t="s">
        <v>24</v>
      </c>
      <c r="E35" s="4" t="s">
        <v>183</v>
      </c>
      <c r="F35" s="4" t="s">
        <v>184</v>
      </c>
      <c r="G35" s="6" t="s">
        <v>411</v>
      </c>
      <c r="H35" s="8">
        <v>1.4</v>
      </c>
      <c r="I35" s="5" t="s">
        <v>186</v>
      </c>
      <c r="J35" s="5" t="s">
        <v>187</v>
      </c>
      <c r="K35" s="5" t="s">
        <v>188</v>
      </c>
      <c r="L35" s="5" t="s">
        <v>195</v>
      </c>
      <c r="M35" s="8">
        <v>15113</v>
      </c>
      <c r="N35" s="5" t="s">
        <v>190</v>
      </c>
    </row>
    <row r="36" spans="1:14" x14ac:dyDescent="0.3">
      <c r="A36" s="1"/>
      <c r="B36" s="5" t="s">
        <v>402</v>
      </c>
      <c r="C36" s="5" t="s">
        <v>410</v>
      </c>
      <c r="D36" s="5" t="s">
        <v>110</v>
      </c>
      <c r="E36" s="4" t="s">
        <v>183</v>
      </c>
      <c r="F36" s="4" t="s">
        <v>184</v>
      </c>
      <c r="G36" s="6" t="s">
        <v>412</v>
      </c>
      <c r="H36" s="8">
        <v>1.5</v>
      </c>
      <c r="I36" s="5" t="s">
        <v>186</v>
      </c>
      <c r="J36" s="5" t="s">
        <v>187</v>
      </c>
      <c r="K36" s="5" t="s">
        <v>188</v>
      </c>
      <c r="L36" s="5" t="s">
        <v>195</v>
      </c>
      <c r="M36" s="8">
        <v>15114</v>
      </c>
      <c r="N36" s="5" t="s">
        <v>190</v>
      </c>
    </row>
    <row r="37" spans="1:14" x14ac:dyDescent="0.3">
      <c r="A37" s="1"/>
      <c r="B37" s="5" t="s">
        <v>151</v>
      </c>
      <c r="C37" s="5" t="s">
        <v>537</v>
      </c>
      <c r="D37" s="5" t="s">
        <v>274</v>
      </c>
      <c r="E37" s="4" t="s">
        <v>538</v>
      </c>
      <c r="F37" s="4" t="s">
        <v>184</v>
      </c>
      <c r="G37" s="6" t="s">
        <v>1391</v>
      </c>
      <c r="H37" s="8">
        <v>11.997999999999999</v>
      </c>
      <c r="I37" s="5" t="s">
        <v>540</v>
      </c>
      <c r="J37" s="5" t="s">
        <v>187</v>
      </c>
      <c r="K37" s="5" t="s">
        <v>188</v>
      </c>
      <c r="L37" s="5" t="s">
        <v>195</v>
      </c>
      <c r="M37" s="8">
        <v>42</v>
      </c>
      <c r="N37" s="5" t="s">
        <v>190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GG49" activePane="bottomRight" state="frozen"/>
      <selection pane="topRight" activeCell="C1" sqref="C1"/>
      <selection pane="bottomLeft" activeCell="A7" sqref="A7"/>
      <selection pane="bottomRight" activeCell="HM62" sqref="HM62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1" t="s">
        <v>67</v>
      </c>
      <c r="C3" s="199"/>
      <c r="D3" s="199"/>
      <c r="E3" s="232" t="s">
        <v>1392</v>
      </c>
      <c r="F3" s="232"/>
      <c r="G3" s="232"/>
      <c r="H3" s="2"/>
      <c r="I3" s="2"/>
      <c r="J3" s="2"/>
      <c r="K3" s="2"/>
      <c r="L3" s="2" t="s">
        <v>1393</v>
      </c>
      <c r="M3" s="2"/>
      <c r="N3" s="2"/>
      <c r="O3" s="2"/>
      <c r="P3" s="2"/>
      <c r="Q3" s="2"/>
      <c r="R3" s="2"/>
      <c r="S3" s="2"/>
      <c r="T3" s="2"/>
      <c r="U3" s="2"/>
      <c r="V3" s="2" t="s">
        <v>1392</v>
      </c>
      <c r="W3" s="2"/>
      <c r="X3" s="2"/>
      <c r="Y3" s="2"/>
      <c r="Z3" s="2"/>
      <c r="AA3" s="2"/>
      <c r="AB3" s="2"/>
      <c r="AC3" s="2" t="s">
        <v>1393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1" t="s">
        <v>1394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1" t="s">
        <v>1395</v>
      </c>
      <c r="GW3" s="1"/>
      <c r="GX3" s="1"/>
      <c r="GY3" s="1"/>
      <c r="GZ3" s="1"/>
      <c r="HA3" s="1"/>
      <c r="HB3" s="1"/>
      <c r="HC3" s="1"/>
      <c r="HD3" s="1"/>
      <c r="HE3" s="91" t="s">
        <v>1396</v>
      </c>
      <c r="HF3" s="1"/>
      <c r="HG3" s="1"/>
      <c r="HH3" s="1"/>
      <c r="HI3" s="1"/>
      <c r="HJ3" s="1"/>
      <c r="HK3" s="1"/>
      <c r="HL3" s="1"/>
      <c r="HM3" s="1"/>
      <c r="HN3" s="91" t="s">
        <v>965</v>
      </c>
      <c r="HO3" s="1"/>
      <c r="HP3" s="1"/>
    </row>
    <row r="4" spans="1:224" ht="0" hidden="1" customHeight="1" x14ac:dyDescent="0.3">
      <c r="A4" s="1"/>
      <c r="B4" s="92" t="s">
        <v>1397</v>
      </c>
      <c r="C4" s="227" t="s">
        <v>1398</v>
      </c>
      <c r="D4" s="228" t="s">
        <v>80</v>
      </c>
      <c r="E4" s="230"/>
      <c r="F4" s="230"/>
      <c r="G4" s="229"/>
      <c r="H4" s="228" t="s">
        <v>1399</v>
      </c>
      <c r="I4" s="229"/>
      <c r="J4" s="228" t="s">
        <v>1400</v>
      </c>
      <c r="K4" s="229"/>
      <c r="L4" s="228" t="s">
        <v>106</v>
      </c>
      <c r="M4" s="230"/>
      <c r="N4" s="230"/>
      <c r="O4" s="230"/>
      <c r="P4" s="230"/>
      <c r="Q4" s="230"/>
      <c r="R4" s="230"/>
      <c r="S4" s="229"/>
      <c r="T4" s="228" t="s">
        <v>601</v>
      </c>
      <c r="U4" s="230"/>
      <c r="V4" s="229"/>
      <c r="W4" s="227" t="s">
        <v>1401</v>
      </c>
      <c r="X4" s="228" t="s">
        <v>28</v>
      </c>
      <c r="Y4" s="230"/>
      <c r="Z4" s="229"/>
      <c r="AA4" s="228" t="s">
        <v>75</v>
      </c>
      <c r="AB4" s="230"/>
      <c r="AC4" s="230"/>
      <c r="AD4" s="230"/>
      <c r="AE4" s="230"/>
      <c r="AF4" s="229"/>
      <c r="AG4" s="227" t="s">
        <v>1402</v>
      </c>
      <c r="AH4" s="227" t="s">
        <v>1403</v>
      </c>
      <c r="AI4" s="227" t="s">
        <v>1404</v>
      </c>
      <c r="AJ4" s="228" t="s">
        <v>1405</v>
      </c>
      <c r="AK4" s="229"/>
      <c r="AL4" s="228" t="s">
        <v>1406</v>
      </c>
      <c r="AM4" s="229"/>
      <c r="AN4" s="227" t="s">
        <v>1407</v>
      </c>
      <c r="AO4" s="228" t="s">
        <v>1408</v>
      </c>
      <c r="AP4" s="229"/>
      <c r="AQ4" s="227" t="s">
        <v>1409</v>
      </c>
      <c r="AR4" s="227" t="s">
        <v>1410</v>
      </c>
      <c r="AS4" s="227" t="s">
        <v>1411</v>
      </c>
      <c r="AT4" s="228" t="s">
        <v>103</v>
      </c>
      <c r="AU4" s="230"/>
      <c r="AV4" s="229"/>
      <c r="AW4" s="228" t="s">
        <v>151</v>
      </c>
      <c r="AX4" s="230"/>
      <c r="AY4" s="230"/>
      <c r="AZ4" s="230"/>
      <c r="BA4" s="230"/>
      <c r="BB4" s="229"/>
      <c r="BC4" s="228" t="s">
        <v>1412</v>
      </c>
      <c r="BD4" s="229"/>
      <c r="BE4" s="227" t="s">
        <v>287</v>
      </c>
      <c r="BF4" s="228" t="s">
        <v>86</v>
      </c>
      <c r="BG4" s="230"/>
      <c r="BH4" s="229"/>
      <c r="BI4" s="228" t="s">
        <v>93</v>
      </c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29"/>
      <c r="BW4" s="228" t="s">
        <v>1413</v>
      </c>
      <c r="BX4" s="229"/>
      <c r="BY4" s="227" t="s">
        <v>1414</v>
      </c>
      <c r="BZ4" s="228" t="s">
        <v>130</v>
      </c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29"/>
      <c r="CL4" s="228" t="s">
        <v>148</v>
      </c>
      <c r="CM4" s="230"/>
      <c r="CN4" s="230"/>
      <c r="CO4" s="229"/>
      <c r="CP4" s="228" t="s">
        <v>1415</v>
      </c>
      <c r="CQ4" s="229"/>
      <c r="CR4" s="228" t="s">
        <v>1416</v>
      </c>
      <c r="CS4" s="229"/>
      <c r="CT4" s="228" t="s">
        <v>1417</v>
      </c>
      <c r="CU4" s="230"/>
      <c r="CV4" s="229"/>
      <c r="CW4" s="228" t="s">
        <v>1418</v>
      </c>
      <c r="CX4" s="230"/>
      <c r="CY4" s="230"/>
      <c r="CZ4" s="229"/>
      <c r="DA4" s="228" t="s">
        <v>1419</v>
      </c>
      <c r="DB4" s="230"/>
      <c r="DC4" s="230"/>
      <c r="DD4" s="230"/>
      <c r="DE4" s="230"/>
      <c r="DF4" s="230"/>
      <c r="DG4" s="230"/>
      <c r="DH4" s="230"/>
      <c r="DI4" s="230"/>
      <c r="DJ4" s="230"/>
      <c r="DK4" s="230"/>
      <c r="DL4" s="230"/>
      <c r="DM4" s="229"/>
      <c r="DN4" s="228" t="s">
        <v>1420</v>
      </c>
      <c r="DO4" s="230"/>
      <c r="DP4" s="230"/>
      <c r="DQ4" s="229"/>
      <c r="DR4" s="228" t="s">
        <v>1421</v>
      </c>
      <c r="DS4" s="230"/>
      <c r="DT4" s="230"/>
      <c r="DU4" s="229"/>
      <c r="DV4" s="227"/>
      <c r="DW4" s="228" t="s">
        <v>1422</v>
      </c>
      <c r="DX4" s="230"/>
      <c r="DY4" s="230"/>
      <c r="DZ4" s="230"/>
      <c r="EA4" s="230"/>
      <c r="EB4" s="229"/>
      <c r="EC4" s="1"/>
      <c r="ED4" s="227" t="s">
        <v>1423</v>
      </c>
      <c r="EE4" s="227" t="s">
        <v>1424</v>
      </c>
      <c r="EF4" s="227" t="s">
        <v>1425</v>
      </c>
      <c r="EG4" s="227" t="s">
        <v>1426</v>
      </c>
      <c r="EH4" s="227" t="s">
        <v>1427</v>
      </c>
      <c r="EI4" s="227" t="s">
        <v>1428</v>
      </c>
      <c r="EJ4" s="227" t="s">
        <v>1429</v>
      </c>
      <c r="EK4" s="227" t="s">
        <v>1430</v>
      </c>
      <c r="EL4" s="228" t="s">
        <v>1399</v>
      </c>
      <c r="EM4" s="229"/>
      <c r="EN4" s="228" t="s">
        <v>356</v>
      </c>
      <c r="EO4" s="229"/>
      <c r="EP4" s="227" t="s">
        <v>1402</v>
      </c>
      <c r="EQ4" s="227" t="s">
        <v>1431</v>
      </c>
      <c r="ER4" s="227" t="s">
        <v>1432</v>
      </c>
      <c r="ES4" s="227" t="s">
        <v>1433</v>
      </c>
      <c r="ET4" s="227" t="s">
        <v>1434</v>
      </c>
      <c r="EU4" s="227" t="s">
        <v>1435</v>
      </c>
      <c r="EV4" s="227" t="s">
        <v>1436</v>
      </c>
      <c r="EW4" s="227" t="s">
        <v>1437</v>
      </c>
      <c r="EX4" s="227" t="s">
        <v>1438</v>
      </c>
      <c r="EY4" s="227" t="s">
        <v>1439</v>
      </c>
      <c r="EZ4" s="227" t="s">
        <v>1440</v>
      </c>
      <c r="FA4" s="227" t="s">
        <v>1441</v>
      </c>
      <c r="FB4" s="227" t="s">
        <v>1442</v>
      </c>
      <c r="FC4" s="227" t="s">
        <v>1443</v>
      </c>
      <c r="FD4" s="227" t="s">
        <v>1444</v>
      </c>
      <c r="FE4" s="227" t="s">
        <v>1445</v>
      </c>
      <c r="FF4" s="227" t="s">
        <v>1446</v>
      </c>
      <c r="FG4" s="227" t="s">
        <v>1447</v>
      </c>
      <c r="FH4" s="227" t="s">
        <v>1448</v>
      </c>
      <c r="FI4" s="227" t="s">
        <v>1449</v>
      </c>
      <c r="FJ4" s="227" t="s">
        <v>1450</v>
      </c>
      <c r="FK4" s="227" t="s">
        <v>1451</v>
      </c>
      <c r="FL4" s="227" t="s">
        <v>1452</v>
      </c>
      <c r="FM4" s="228" t="s">
        <v>634</v>
      </c>
      <c r="FN4" s="230"/>
      <c r="FO4" s="230"/>
      <c r="FP4" s="229"/>
      <c r="FQ4" s="228" t="s">
        <v>1453</v>
      </c>
      <c r="FR4" s="229"/>
      <c r="FS4" s="228" t="s">
        <v>93</v>
      </c>
      <c r="FT4" s="230"/>
      <c r="FU4" s="230"/>
      <c r="FV4" s="230"/>
      <c r="FW4" s="230"/>
      <c r="FX4" s="229"/>
      <c r="FY4" s="228" t="s">
        <v>1454</v>
      </c>
      <c r="FZ4" s="229"/>
      <c r="GA4" s="228" t="s">
        <v>637</v>
      </c>
      <c r="GB4" s="230"/>
      <c r="GC4" s="230"/>
      <c r="GD4" s="229"/>
      <c r="GE4" s="227" t="s">
        <v>1455</v>
      </c>
      <c r="GF4" s="227" t="s">
        <v>1456</v>
      </c>
      <c r="GG4" s="227" t="s">
        <v>1457</v>
      </c>
      <c r="GH4" s="228" t="s">
        <v>130</v>
      </c>
      <c r="GI4" s="230"/>
      <c r="GJ4" s="230"/>
      <c r="GK4" s="230"/>
      <c r="GL4" s="229"/>
      <c r="GM4" s="228" t="s">
        <v>402</v>
      </c>
      <c r="GN4" s="230"/>
      <c r="GO4" s="230"/>
      <c r="GP4" s="229"/>
      <c r="GQ4" s="227" t="s">
        <v>1458</v>
      </c>
      <c r="GR4" s="228" t="s">
        <v>1014</v>
      </c>
      <c r="GS4" s="230"/>
      <c r="GT4" s="229"/>
      <c r="GU4" s="1"/>
      <c r="GV4" s="227" t="s">
        <v>1423</v>
      </c>
      <c r="GW4" s="228" t="s">
        <v>1459</v>
      </c>
      <c r="GX4" s="229"/>
      <c r="GY4" s="227" t="s">
        <v>1431</v>
      </c>
      <c r="GZ4" s="227" t="s">
        <v>1445</v>
      </c>
      <c r="HA4" s="227" t="s">
        <v>1446</v>
      </c>
      <c r="HB4" s="227" t="s">
        <v>1447</v>
      </c>
      <c r="HC4" s="227" t="s">
        <v>1451</v>
      </c>
      <c r="HD4" s="1"/>
      <c r="HE4" s="227" t="s">
        <v>1460</v>
      </c>
      <c r="HF4" s="227" t="s">
        <v>1461</v>
      </c>
      <c r="HG4" s="227" t="s">
        <v>1462</v>
      </c>
      <c r="HH4" s="227" t="s">
        <v>1463</v>
      </c>
      <c r="HI4" s="227" t="s">
        <v>1464</v>
      </c>
      <c r="HJ4" s="227" t="s">
        <v>1465</v>
      </c>
      <c r="HK4" s="228" t="s">
        <v>1466</v>
      </c>
      <c r="HL4" s="229"/>
      <c r="HM4" s="1"/>
      <c r="HN4" s="228" t="s">
        <v>1421</v>
      </c>
      <c r="HO4" s="230"/>
      <c r="HP4" s="229"/>
    </row>
    <row r="5" spans="1:224" x14ac:dyDescent="0.3">
      <c r="A5" s="1"/>
      <c r="B5" s="93"/>
      <c r="C5" s="93">
        <v>65333</v>
      </c>
      <c r="D5" s="94">
        <v>101</v>
      </c>
      <c r="E5" s="95">
        <v>102</v>
      </c>
      <c r="F5" s="95">
        <v>42667</v>
      </c>
      <c r="G5" s="96">
        <v>42668</v>
      </c>
      <c r="H5" s="94">
        <v>126</v>
      </c>
      <c r="I5" s="96">
        <v>127</v>
      </c>
      <c r="J5" s="94">
        <v>138</v>
      </c>
      <c r="K5" s="96">
        <v>139</v>
      </c>
      <c r="L5" s="94">
        <v>197</v>
      </c>
      <c r="M5" s="95">
        <v>203</v>
      </c>
      <c r="N5" s="95">
        <v>204</v>
      </c>
      <c r="O5" s="95">
        <v>230</v>
      </c>
      <c r="P5" s="95">
        <v>209</v>
      </c>
      <c r="Q5" s="95">
        <v>56677</v>
      </c>
      <c r="R5" s="95">
        <v>796</v>
      </c>
      <c r="S5" s="96">
        <v>2146</v>
      </c>
      <c r="T5" s="94">
        <v>142</v>
      </c>
      <c r="U5" s="95">
        <v>143</v>
      </c>
      <c r="V5" s="96">
        <v>187</v>
      </c>
      <c r="W5" s="93">
        <v>163</v>
      </c>
      <c r="X5" s="94">
        <v>298</v>
      </c>
      <c r="Y5" s="95">
        <v>299</v>
      </c>
      <c r="Z5" s="96">
        <v>219</v>
      </c>
      <c r="AA5" s="94">
        <v>151</v>
      </c>
      <c r="AB5" s="95">
        <v>153</v>
      </c>
      <c r="AC5" s="95">
        <v>154</v>
      </c>
      <c r="AD5" s="95">
        <v>756</v>
      </c>
      <c r="AE5" s="95">
        <v>156</v>
      </c>
      <c r="AF5" s="96">
        <v>155</v>
      </c>
      <c r="AG5" s="93">
        <v>182</v>
      </c>
      <c r="AH5" s="93">
        <v>212</v>
      </c>
      <c r="AI5" s="93">
        <v>758</v>
      </c>
      <c r="AJ5" s="94">
        <v>263</v>
      </c>
      <c r="AK5" s="96">
        <v>265</v>
      </c>
      <c r="AL5" s="94">
        <v>775</v>
      </c>
      <c r="AM5" s="96">
        <v>777</v>
      </c>
      <c r="AN5" s="93">
        <v>2154</v>
      </c>
      <c r="AO5" s="94">
        <v>150</v>
      </c>
      <c r="AP5" s="96">
        <v>149</v>
      </c>
      <c r="AQ5" s="93">
        <v>188</v>
      </c>
      <c r="AR5" s="93">
        <v>2131</v>
      </c>
      <c r="AS5" s="93">
        <v>755</v>
      </c>
      <c r="AT5" s="94">
        <v>252</v>
      </c>
      <c r="AU5" s="95">
        <v>249</v>
      </c>
      <c r="AV5" s="96">
        <v>250</v>
      </c>
      <c r="AW5" s="94">
        <v>117</v>
      </c>
      <c r="AX5" s="95">
        <v>119</v>
      </c>
      <c r="AY5" s="95">
        <v>120</v>
      </c>
      <c r="AZ5" s="95">
        <v>189</v>
      </c>
      <c r="BA5" s="95">
        <v>122</v>
      </c>
      <c r="BB5" s="96">
        <v>266</v>
      </c>
      <c r="BC5" s="94">
        <v>337</v>
      </c>
      <c r="BD5" s="96">
        <v>338</v>
      </c>
      <c r="BE5" s="93">
        <v>251</v>
      </c>
      <c r="BF5" s="94">
        <v>115</v>
      </c>
      <c r="BG5" s="95">
        <v>239</v>
      </c>
      <c r="BH5" s="96">
        <v>288</v>
      </c>
      <c r="BI5" s="94">
        <v>240</v>
      </c>
      <c r="BJ5" s="95">
        <v>241</v>
      </c>
      <c r="BK5" s="95">
        <v>242</v>
      </c>
      <c r="BL5" s="95">
        <v>191</v>
      </c>
      <c r="BM5" s="95">
        <v>194</v>
      </c>
      <c r="BN5" s="95">
        <v>196</v>
      </c>
      <c r="BO5" s="95">
        <v>207</v>
      </c>
      <c r="BP5" s="95">
        <v>236</v>
      </c>
      <c r="BQ5" s="95">
        <v>795</v>
      </c>
      <c r="BR5" s="95">
        <v>285</v>
      </c>
      <c r="BS5" s="95">
        <v>995</v>
      </c>
      <c r="BT5" s="95">
        <v>996</v>
      </c>
      <c r="BU5" s="95">
        <v>997</v>
      </c>
      <c r="BV5" s="96">
        <v>766</v>
      </c>
      <c r="BW5" s="94">
        <v>926</v>
      </c>
      <c r="BX5" s="96">
        <v>924</v>
      </c>
      <c r="BY5" s="93">
        <v>121</v>
      </c>
      <c r="BZ5" s="94">
        <v>103</v>
      </c>
      <c r="CA5" s="95">
        <v>104</v>
      </c>
      <c r="CB5" s="95">
        <v>106</v>
      </c>
      <c r="CC5" s="95">
        <v>105</v>
      </c>
      <c r="CD5" s="95">
        <v>107</v>
      </c>
      <c r="CE5" s="95">
        <v>110</v>
      </c>
      <c r="CF5" s="95">
        <v>109</v>
      </c>
      <c r="CG5" s="95">
        <v>144</v>
      </c>
      <c r="CH5" s="95">
        <v>113</v>
      </c>
      <c r="CI5" s="95">
        <v>114</v>
      </c>
      <c r="CJ5" s="95">
        <v>193</v>
      </c>
      <c r="CK5" s="96">
        <v>208</v>
      </c>
      <c r="CL5" s="94">
        <v>786</v>
      </c>
      <c r="CM5" s="95">
        <v>787</v>
      </c>
      <c r="CN5" s="95">
        <v>788</v>
      </c>
      <c r="CO5" s="96">
        <v>789</v>
      </c>
      <c r="CP5" s="94">
        <v>248</v>
      </c>
      <c r="CQ5" s="96">
        <v>2159</v>
      </c>
      <c r="CR5" s="94">
        <v>267</v>
      </c>
      <c r="CS5" s="96">
        <v>268</v>
      </c>
      <c r="CT5" s="94">
        <v>-1222</v>
      </c>
      <c r="CU5" s="95">
        <v>-1223</v>
      </c>
      <c r="CV5" s="96">
        <v>-1224</v>
      </c>
      <c r="CW5" s="94">
        <v>1221</v>
      </c>
      <c r="CX5" s="95">
        <v>1222</v>
      </c>
      <c r="CY5" s="95">
        <v>1223</v>
      </c>
      <c r="CZ5" s="96">
        <v>1224</v>
      </c>
      <c r="DA5" s="94">
        <v>1250</v>
      </c>
      <c r="DB5" s="95">
        <v>1266</v>
      </c>
      <c r="DC5" s="95">
        <v>1251</v>
      </c>
      <c r="DD5" s="95">
        <v>1252</v>
      </c>
      <c r="DE5" s="95">
        <v>1253</v>
      </c>
      <c r="DF5" s="95">
        <v>1254</v>
      </c>
      <c r="DG5" s="95">
        <v>1255</v>
      </c>
      <c r="DH5" s="95">
        <v>1256</v>
      </c>
      <c r="DI5" s="95">
        <v>1257</v>
      </c>
      <c r="DJ5" s="95">
        <v>1258</v>
      </c>
      <c r="DK5" s="95">
        <v>1259</v>
      </c>
      <c r="DL5" s="95">
        <v>1260</v>
      </c>
      <c r="DM5" s="96">
        <v>1261</v>
      </c>
      <c r="DN5" s="94">
        <v>1226</v>
      </c>
      <c r="DO5" s="95">
        <v>1219</v>
      </c>
      <c r="DP5" s="95">
        <v>1220</v>
      </c>
      <c r="DQ5" s="96">
        <v>-1203</v>
      </c>
      <c r="DR5" s="94">
        <v>1227</v>
      </c>
      <c r="DS5" s="95">
        <v>1205</v>
      </c>
      <c r="DT5" s="95">
        <v>1207</v>
      </c>
      <c r="DU5" s="96">
        <v>1206</v>
      </c>
      <c r="DV5" s="93">
        <v>1218</v>
      </c>
      <c r="DW5" s="94">
        <v>1211</v>
      </c>
      <c r="DX5" s="95">
        <v>1212</v>
      </c>
      <c r="DY5" s="95">
        <v>1213</v>
      </c>
      <c r="DZ5" s="95">
        <v>1214</v>
      </c>
      <c r="EA5" s="95">
        <v>1229</v>
      </c>
      <c r="EB5" s="96">
        <v>-1221</v>
      </c>
      <c r="EC5" s="1"/>
      <c r="ED5" s="93">
        <v>289</v>
      </c>
      <c r="EE5" s="93">
        <v>2194</v>
      </c>
      <c r="EF5" s="93">
        <v>303</v>
      </c>
      <c r="EG5" s="93">
        <v>59715</v>
      </c>
      <c r="EH5" s="93">
        <v>62255</v>
      </c>
      <c r="EI5" s="93">
        <v>1263</v>
      </c>
      <c r="EJ5" s="93">
        <v>61800</v>
      </c>
      <c r="EK5" s="93">
        <v>69125</v>
      </c>
      <c r="EL5" s="94">
        <v>216</v>
      </c>
      <c r="EM5" s="96">
        <v>198</v>
      </c>
      <c r="EN5" s="94">
        <v>70400</v>
      </c>
      <c r="EO5" s="96">
        <v>76068</v>
      </c>
      <c r="EP5" s="93">
        <v>49607</v>
      </c>
      <c r="EQ5" s="93">
        <v>213</v>
      </c>
      <c r="ER5" s="93">
        <v>214</v>
      </c>
      <c r="ES5" s="93">
        <v>260</v>
      </c>
      <c r="ET5" s="93">
        <v>2152</v>
      </c>
      <c r="EU5" s="93">
        <v>2128</v>
      </c>
      <c r="EV5" s="93">
        <v>247</v>
      </c>
      <c r="EW5" s="93">
        <v>228</v>
      </c>
      <c r="EX5" s="93">
        <v>2135</v>
      </c>
      <c r="EY5" s="93">
        <v>261</v>
      </c>
      <c r="EZ5" s="93">
        <v>237</v>
      </c>
      <c r="FA5" s="93">
        <v>253</v>
      </c>
      <c r="FB5" s="93">
        <v>770</v>
      </c>
      <c r="FC5" s="93">
        <v>235</v>
      </c>
      <c r="FD5" s="93">
        <v>238</v>
      </c>
      <c r="FE5" s="93">
        <v>232</v>
      </c>
      <c r="FF5" s="93">
        <v>2190</v>
      </c>
      <c r="FG5" s="93">
        <v>69867</v>
      </c>
      <c r="FH5" s="93">
        <v>2184</v>
      </c>
      <c r="FI5" s="93">
        <v>61855</v>
      </c>
      <c r="FJ5" s="93">
        <v>223</v>
      </c>
      <c r="FK5" s="93">
        <v>75066</v>
      </c>
      <c r="FL5" s="93">
        <v>75566</v>
      </c>
      <c r="FM5" s="94">
        <v>226</v>
      </c>
      <c r="FN5" s="95">
        <v>201</v>
      </c>
      <c r="FO5" s="95">
        <v>258</v>
      </c>
      <c r="FP5" s="96">
        <v>259</v>
      </c>
      <c r="FQ5" s="94">
        <v>257</v>
      </c>
      <c r="FR5" s="96">
        <v>256</v>
      </c>
      <c r="FS5" s="94">
        <v>2148</v>
      </c>
      <c r="FT5" s="95">
        <v>58288</v>
      </c>
      <c r="FU5" s="95">
        <v>58289</v>
      </c>
      <c r="FV5" s="95">
        <v>58839</v>
      </c>
      <c r="FW5" s="95">
        <v>58840</v>
      </c>
      <c r="FX5" s="96">
        <v>75260</v>
      </c>
      <c r="FY5" s="94">
        <v>296</v>
      </c>
      <c r="FZ5" s="96">
        <v>297</v>
      </c>
      <c r="GA5" s="94">
        <v>211</v>
      </c>
      <c r="GB5" s="95">
        <v>2175</v>
      </c>
      <c r="GC5" s="95">
        <v>2178</v>
      </c>
      <c r="GD5" s="96">
        <v>2181</v>
      </c>
      <c r="GE5" s="93">
        <v>1262</v>
      </c>
      <c r="GF5" s="93">
        <v>63425</v>
      </c>
      <c r="GG5" s="93">
        <v>233</v>
      </c>
      <c r="GH5" s="94">
        <v>2150</v>
      </c>
      <c r="GI5" s="95">
        <v>2165</v>
      </c>
      <c r="GJ5" s="95">
        <v>2161</v>
      </c>
      <c r="GK5" s="95">
        <v>61197</v>
      </c>
      <c r="GL5" s="96">
        <v>58851</v>
      </c>
      <c r="GM5" s="94">
        <v>225</v>
      </c>
      <c r="GN5" s="95">
        <v>2201</v>
      </c>
      <c r="GO5" s="95">
        <v>2171</v>
      </c>
      <c r="GP5" s="96">
        <v>760</v>
      </c>
      <c r="GQ5" s="93">
        <v>234</v>
      </c>
      <c r="GR5" s="94">
        <v>215</v>
      </c>
      <c r="GS5" s="95">
        <v>917</v>
      </c>
      <c r="GT5" s="96">
        <v>920</v>
      </c>
      <c r="GU5" s="1"/>
      <c r="GV5" s="93">
        <v>289</v>
      </c>
      <c r="GW5" s="94">
        <v>58333</v>
      </c>
      <c r="GX5" s="96">
        <v>58336</v>
      </c>
      <c r="GY5" s="93">
        <v>213</v>
      </c>
      <c r="GZ5" s="93">
        <v>232</v>
      </c>
      <c r="HA5" s="93">
        <v>2190</v>
      </c>
      <c r="HB5" s="93">
        <v>69867</v>
      </c>
      <c r="HC5" s="93">
        <v>75066</v>
      </c>
      <c r="HD5" s="1"/>
      <c r="HE5" s="93">
        <v>221</v>
      </c>
      <c r="HF5" s="93">
        <v>222</v>
      </c>
      <c r="HG5" s="93">
        <v>224</v>
      </c>
      <c r="HH5" s="93">
        <v>2187</v>
      </c>
      <c r="HI5" s="93">
        <v>227</v>
      </c>
      <c r="HJ5" s="93">
        <v>49400</v>
      </c>
      <c r="HK5" s="94">
        <v>199</v>
      </c>
      <c r="HL5" s="96">
        <v>200</v>
      </c>
      <c r="HM5" s="1"/>
      <c r="HN5" s="94">
        <v>7000</v>
      </c>
      <c r="HO5" s="95">
        <v>7001</v>
      </c>
      <c r="HP5" s="96">
        <v>7002</v>
      </c>
    </row>
    <row r="6" spans="1:224" ht="169.95" customHeight="1" x14ac:dyDescent="0.3">
      <c r="A6" s="1"/>
      <c r="B6" s="97" t="s">
        <v>1467</v>
      </c>
      <c r="C6" s="97" t="s">
        <v>347</v>
      </c>
      <c r="D6" s="98" t="s">
        <v>273</v>
      </c>
      <c r="E6" s="99" t="s">
        <v>651</v>
      </c>
      <c r="F6" s="99" t="s">
        <v>652</v>
      </c>
      <c r="G6" s="100" t="s">
        <v>653</v>
      </c>
      <c r="H6" s="98" t="s">
        <v>654</v>
      </c>
      <c r="I6" s="100" t="s">
        <v>655</v>
      </c>
      <c r="J6" s="98" t="s">
        <v>656</v>
      </c>
      <c r="K6" s="100" t="s">
        <v>657</v>
      </c>
      <c r="L6" s="98" t="s">
        <v>658</v>
      </c>
      <c r="M6" s="99" t="s">
        <v>659</v>
      </c>
      <c r="N6" s="99" t="s">
        <v>660</v>
      </c>
      <c r="O6" s="99" t="s">
        <v>661</v>
      </c>
      <c r="P6" s="99" t="s">
        <v>662</v>
      </c>
      <c r="Q6" s="99" t="s">
        <v>663</v>
      </c>
      <c r="R6" s="99" t="s">
        <v>664</v>
      </c>
      <c r="S6" s="100" t="s">
        <v>665</v>
      </c>
      <c r="T6" s="98" t="s">
        <v>666</v>
      </c>
      <c r="U6" s="99" t="s">
        <v>667</v>
      </c>
      <c r="V6" s="100" t="s">
        <v>668</v>
      </c>
      <c r="W6" s="97" t="s">
        <v>669</v>
      </c>
      <c r="X6" s="98" t="s">
        <v>670</v>
      </c>
      <c r="Y6" s="99" t="s">
        <v>671</v>
      </c>
      <c r="Z6" s="100" t="s">
        <v>29</v>
      </c>
      <c r="AA6" s="98" t="s">
        <v>672</v>
      </c>
      <c r="AB6" s="99" t="s">
        <v>673</v>
      </c>
      <c r="AC6" s="99" t="s">
        <v>674</v>
      </c>
      <c r="AD6" s="99" t="s">
        <v>675</v>
      </c>
      <c r="AE6" s="99" t="s">
        <v>676</v>
      </c>
      <c r="AF6" s="100" t="s">
        <v>677</v>
      </c>
      <c r="AG6" s="97" t="s">
        <v>678</v>
      </c>
      <c r="AH6" s="97" t="s">
        <v>679</v>
      </c>
      <c r="AI6" s="97" t="s">
        <v>378</v>
      </c>
      <c r="AJ6" s="98" t="s">
        <v>680</v>
      </c>
      <c r="AK6" s="100" t="s">
        <v>681</v>
      </c>
      <c r="AL6" s="98" t="s">
        <v>682</v>
      </c>
      <c r="AM6" s="100" t="s">
        <v>282</v>
      </c>
      <c r="AN6" s="97" t="s">
        <v>605</v>
      </c>
      <c r="AO6" s="98" t="s">
        <v>683</v>
      </c>
      <c r="AP6" s="100" t="s">
        <v>684</v>
      </c>
      <c r="AQ6" s="97" t="s">
        <v>685</v>
      </c>
      <c r="AR6" s="97" t="s">
        <v>686</v>
      </c>
      <c r="AS6" s="97" t="s">
        <v>687</v>
      </c>
      <c r="AT6" s="98" t="s">
        <v>688</v>
      </c>
      <c r="AU6" s="99" t="s">
        <v>689</v>
      </c>
      <c r="AV6" s="100" t="s">
        <v>690</v>
      </c>
      <c r="AW6" s="98" t="s">
        <v>691</v>
      </c>
      <c r="AX6" s="99" t="s">
        <v>537</v>
      </c>
      <c r="AY6" s="99" t="s">
        <v>692</v>
      </c>
      <c r="AZ6" s="99" t="s">
        <v>693</v>
      </c>
      <c r="BA6" s="99" t="s">
        <v>694</v>
      </c>
      <c r="BB6" s="100" t="s">
        <v>695</v>
      </c>
      <c r="BC6" s="98" t="s">
        <v>696</v>
      </c>
      <c r="BD6" s="100" t="s">
        <v>697</v>
      </c>
      <c r="BE6" s="97" t="s">
        <v>287</v>
      </c>
      <c r="BF6" s="98" t="s">
        <v>698</v>
      </c>
      <c r="BG6" s="99" t="s">
        <v>699</v>
      </c>
      <c r="BH6" s="100" t="s">
        <v>700</v>
      </c>
      <c r="BI6" s="98" t="s">
        <v>701</v>
      </c>
      <c r="BJ6" s="99" t="s">
        <v>702</v>
      </c>
      <c r="BK6" s="99" t="s">
        <v>703</v>
      </c>
      <c r="BL6" s="99" t="s">
        <v>704</v>
      </c>
      <c r="BM6" s="99" t="s">
        <v>705</v>
      </c>
      <c r="BN6" s="99" t="s">
        <v>706</v>
      </c>
      <c r="BO6" s="99" t="s">
        <v>707</v>
      </c>
      <c r="BP6" s="99" t="s">
        <v>708</v>
      </c>
      <c r="BQ6" s="99" t="s">
        <v>709</v>
      </c>
      <c r="BR6" s="99" t="s">
        <v>710</v>
      </c>
      <c r="BS6" s="99" t="s">
        <v>711</v>
      </c>
      <c r="BT6" s="99" t="s">
        <v>712</v>
      </c>
      <c r="BU6" s="99" t="s">
        <v>713</v>
      </c>
      <c r="BV6" s="100" t="s">
        <v>314</v>
      </c>
      <c r="BW6" s="98" t="s">
        <v>714</v>
      </c>
      <c r="BX6" s="100" t="s">
        <v>715</v>
      </c>
      <c r="BY6" s="97" t="s">
        <v>352</v>
      </c>
      <c r="BZ6" s="98" t="s">
        <v>394</v>
      </c>
      <c r="CA6" s="99" t="s">
        <v>716</v>
      </c>
      <c r="CB6" s="99" t="s">
        <v>717</v>
      </c>
      <c r="CC6" s="99" t="s">
        <v>390</v>
      </c>
      <c r="CD6" s="99" t="s">
        <v>718</v>
      </c>
      <c r="CE6" s="99" t="s">
        <v>719</v>
      </c>
      <c r="CF6" s="99" t="s">
        <v>720</v>
      </c>
      <c r="CG6" s="99" t="s">
        <v>721</v>
      </c>
      <c r="CH6" s="99" t="s">
        <v>722</v>
      </c>
      <c r="CI6" s="99" t="s">
        <v>723</v>
      </c>
      <c r="CJ6" s="99" t="s">
        <v>724</v>
      </c>
      <c r="CK6" s="100" t="s">
        <v>725</v>
      </c>
      <c r="CL6" s="98" t="s">
        <v>726</v>
      </c>
      <c r="CM6" s="99" t="s">
        <v>727</v>
      </c>
      <c r="CN6" s="99" t="s">
        <v>728</v>
      </c>
      <c r="CO6" s="100" t="s">
        <v>729</v>
      </c>
      <c r="CP6" s="98" t="s">
        <v>730</v>
      </c>
      <c r="CQ6" s="100" t="s">
        <v>731</v>
      </c>
      <c r="CR6" s="98" t="s">
        <v>732</v>
      </c>
      <c r="CS6" s="100" t="s">
        <v>733</v>
      </c>
      <c r="CT6" s="98" t="s">
        <v>1468</v>
      </c>
      <c r="CU6" s="99" t="s">
        <v>1469</v>
      </c>
      <c r="CV6" s="100" t="s">
        <v>1470</v>
      </c>
      <c r="CW6" s="98" t="s">
        <v>1471</v>
      </c>
      <c r="CX6" s="99" t="s">
        <v>1472</v>
      </c>
      <c r="CY6" s="99" t="s">
        <v>1473</v>
      </c>
      <c r="CZ6" s="100" t="s">
        <v>1474</v>
      </c>
      <c r="DA6" s="98" t="s">
        <v>1475</v>
      </c>
      <c r="DB6" s="99" t="s">
        <v>1476</v>
      </c>
      <c r="DC6" s="99" t="s">
        <v>1477</v>
      </c>
      <c r="DD6" s="99" t="s">
        <v>1478</v>
      </c>
      <c r="DE6" s="99" t="s">
        <v>1479</v>
      </c>
      <c r="DF6" s="99" t="s">
        <v>1480</v>
      </c>
      <c r="DG6" s="99" t="s">
        <v>1481</v>
      </c>
      <c r="DH6" s="99" t="s">
        <v>1482</v>
      </c>
      <c r="DI6" s="99" t="s">
        <v>1483</v>
      </c>
      <c r="DJ6" s="99" t="s">
        <v>1484</v>
      </c>
      <c r="DK6" s="99" t="s">
        <v>1485</v>
      </c>
      <c r="DL6" s="99" t="s">
        <v>1486</v>
      </c>
      <c r="DM6" s="100" t="s">
        <v>1487</v>
      </c>
      <c r="DN6" s="98" t="s">
        <v>1488</v>
      </c>
      <c r="DO6" s="99" t="s">
        <v>1489</v>
      </c>
      <c r="DP6" s="99" t="s">
        <v>1490</v>
      </c>
      <c r="DQ6" s="100" t="s">
        <v>1491</v>
      </c>
      <c r="DR6" s="98" t="s">
        <v>1492</v>
      </c>
      <c r="DS6" s="99" t="s">
        <v>1493</v>
      </c>
      <c r="DT6" s="99" t="s">
        <v>1494</v>
      </c>
      <c r="DU6" s="100" t="s">
        <v>1495</v>
      </c>
      <c r="DV6" s="97" t="s">
        <v>1496</v>
      </c>
      <c r="DW6" s="98" t="s">
        <v>1497</v>
      </c>
      <c r="DX6" s="99" t="s">
        <v>1498</v>
      </c>
      <c r="DY6" s="99" t="s">
        <v>1499</v>
      </c>
      <c r="DZ6" s="99" t="s">
        <v>1500</v>
      </c>
      <c r="EA6" s="99" t="s">
        <v>1501</v>
      </c>
      <c r="EB6" s="100" t="s">
        <v>1502</v>
      </c>
      <c r="EC6" s="1"/>
      <c r="ED6" s="97" t="s">
        <v>792</v>
      </c>
      <c r="EE6" s="97" t="s">
        <v>22</v>
      </c>
      <c r="EF6" s="97" t="s">
        <v>734</v>
      </c>
      <c r="EG6" s="97" t="s">
        <v>735</v>
      </c>
      <c r="EH6" s="97" t="s">
        <v>736</v>
      </c>
      <c r="EI6" s="97" t="s">
        <v>737</v>
      </c>
      <c r="EJ6" s="97" t="s">
        <v>738</v>
      </c>
      <c r="EK6" s="97" t="s">
        <v>739</v>
      </c>
      <c r="EL6" s="98" t="s">
        <v>740</v>
      </c>
      <c r="EM6" s="100" t="s">
        <v>741</v>
      </c>
      <c r="EN6" s="98" t="s">
        <v>742</v>
      </c>
      <c r="EO6" s="100" t="s">
        <v>743</v>
      </c>
      <c r="EP6" s="97" t="s">
        <v>744</v>
      </c>
      <c r="EQ6" s="97" t="s">
        <v>795</v>
      </c>
      <c r="ER6" s="97" t="s">
        <v>745</v>
      </c>
      <c r="ES6" s="97" t="s">
        <v>279</v>
      </c>
      <c r="ET6" s="97" t="s">
        <v>746</v>
      </c>
      <c r="EU6" s="97" t="s">
        <v>747</v>
      </c>
      <c r="EV6" s="97" t="s">
        <v>748</v>
      </c>
      <c r="EW6" s="97" t="s">
        <v>749</v>
      </c>
      <c r="EX6" s="97" t="s">
        <v>344</v>
      </c>
      <c r="EY6" s="97" t="s">
        <v>750</v>
      </c>
      <c r="EZ6" s="97" t="s">
        <v>751</v>
      </c>
      <c r="FA6" s="97" t="s">
        <v>752</v>
      </c>
      <c r="FB6" s="97" t="s">
        <v>753</v>
      </c>
      <c r="FC6" s="97" t="s">
        <v>754</v>
      </c>
      <c r="FD6" s="97" t="s">
        <v>755</v>
      </c>
      <c r="FE6" s="97" t="s">
        <v>796</v>
      </c>
      <c r="FF6" s="97" t="s">
        <v>797</v>
      </c>
      <c r="FG6" s="97" t="s">
        <v>798</v>
      </c>
      <c r="FH6" s="97" t="s">
        <v>756</v>
      </c>
      <c r="FI6" s="97" t="s">
        <v>757</v>
      </c>
      <c r="FJ6" s="97" t="s">
        <v>758</v>
      </c>
      <c r="FK6" s="97" t="s">
        <v>234</v>
      </c>
      <c r="FL6" s="97" t="s">
        <v>759</v>
      </c>
      <c r="FM6" s="98" t="s">
        <v>760</v>
      </c>
      <c r="FN6" s="99" t="s">
        <v>761</v>
      </c>
      <c r="FO6" s="99" t="s">
        <v>762</v>
      </c>
      <c r="FP6" s="100" t="s">
        <v>763</v>
      </c>
      <c r="FQ6" s="98" t="s">
        <v>764</v>
      </c>
      <c r="FR6" s="100" t="s">
        <v>765</v>
      </c>
      <c r="FS6" s="98" t="s">
        <v>766</v>
      </c>
      <c r="FT6" s="99" t="s">
        <v>767</v>
      </c>
      <c r="FU6" s="99" t="s">
        <v>768</v>
      </c>
      <c r="FV6" s="99" t="s">
        <v>769</v>
      </c>
      <c r="FW6" s="99" t="s">
        <v>770</v>
      </c>
      <c r="FX6" s="100" t="s">
        <v>771</v>
      </c>
      <c r="FY6" s="98" t="s">
        <v>772</v>
      </c>
      <c r="FZ6" s="100" t="s">
        <v>773</v>
      </c>
      <c r="GA6" s="98" t="s">
        <v>774</v>
      </c>
      <c r="GB6" s="99" t="s">
        <v>775</v>
      </c>
      <c r="GC6" s="99" t="s">
        <v>776</v>
      </c>
      <c r="GD6" s="100" t="s">
        <v>777</v>
      </c>
      <c r="GE6" s="97" t="s">
        <v>778</v>
      </c>
      <c r="GF6" s="97" t="s">
        <v>779</v>
      </c>
      <c r="GG6" s="97" t="s">
        <v>780</v>
      </c>
      <c r="GH6" s="98" t="s">
        <v>781</v>
      </c>
      <c r="GI6" s="99" t="s">
        <v>782</v>
      </c>
      <c r="GJ6" s="99" t="s">
        <v>783</v>
      </c>
      <c r="GK6" s="99" t="s">
        <v>397</v>
      </c>
      <c r="GL6" s="100" t="s">
        <v>784</v>
      </c>
      <c r="GM6" s="98" t="s">
        <v>406</v>
      </c>
      <c r="GN6" s="99" t="s">
        <v>785</v>
      </c>
      <c r="GO6" s="99" t="s">
        <v>786</v>
      </c>
      <c r="GP6" s="100" t="s">
        <v>787</v>
      </c>
      <c r="GQ6" s="97" t="s">
        <v>788</v>
      </c>
      <c r="GR6" s="98" t="s">
        <v>789</v>
      </c>
      <c r="GS6" s="99" t="s">
        <v>790</v>
      </c>
      <c r="GT6" s="100" t="s">
        <v>791</v>
      </c>
      <c r="GU6" s="1"/>
      <c r="GV6" s="97" t="s">
        <v>792</v>
      </c>
      <c r="GW6" s="98" t="s">
        <v>793</v>
      </c>
      <c r="GX6" s="100" t="s">
        <v>794</v>
      </c>
      <c r="GY6" s="97" t="s">
        <v>795</v>
      </c>
      <c r="GZ6" s="97" t="s">
        <v>796</v>
      </c>
      <c r="HA6" s="97" t="s">
        <v>797</v>
      </c>
      <c r="HB6" s="97" t="s">
        <v>798</v>
      </c>
      <c r="HC6" s="97" t="s">
        <v>234</v>
      </c>
      <c r="HD6" s="1"/>
      <c r="HE6" s="97" t="s">
        <v>800</v>
      </c>
      <c r="HF6" s="97" t="s">
        <v>801</v>
      </c>
      <c r="HG6" s="97" t="s">
        <v>802</v>
      </c>
      <c r="HH6" s="97" t="s">
        <v>803</v>
      </c>
      <c r="HI6" s="97" t="s">
        <v>804</v>
      </c>
      <c r="HJ6" s="97" t="s">
        <v>805</v>
      </c>
      <c r="HK6" s="98" t="s">
        <v>806</v>
      </c>
      <c r="HL6" s="100" t="s">
        <v>807</v>
      </c>
      <c r="HM6" s="1"/>
      <c r="HN6" s="98" t="s">
        <v>1503</v>
      </c>
      <c r="HO6" s="99" t="s">
        <v>1504</v>
      </c>
      <c r="HP6" s="100" t="s">
        <v>1505</v>
      </c>
    </row>
    <row r="7" spans="1:224" x14ac:dyDescent="0.3">
      <c r="A7" s="1"/>
      <c r="B7" s="101" t="s">
        <v>808</v>
      </c>
      <c r="C7" s="102"/>
      <c r="D7" s="103"/>
      <c r="E7" s="104"/>
      <c r="F7" s="104">
        <v>8.8258700000000001</v>
      </c>
      <c r="G7" s="105">
        <v>8.5166900000000005</v>
      </c>
      <c r="H7" s="103"/>
      <c r="I7" s="105"/>
      <c r="J7" s="103"/>
      <c r="K7" s="105">
        <v>30</v>
      </c>
      <c r="L7" s="103"/>
      <c r="M7" s="104"/>
      <c r="N7" s="104"/>
      <c r="O7" s="104"/>
      <c r="P7" s="104"/>
      <c r="Q7" s="104"/>
      <c r="R7" s="104"/>
      <c r="S7" s="105"/>
      <c r="T7" s="103">
        <v>18.14123</v>
      </c>
      <c r="U7" s="104">
        <v>19.191960000000002</v>
      </c>
      <c r="V7" s="105">
        <v>1.0612699999999999</v>
      </c>
      <c r="W7" s="102"/>
      <c r="X7" s="103"/>
      <c r="Y7" s="104"/>
      <c r="Z7" s="105">
        <v>23.060680000000001</v>
      </c>
      <c r="AA7" s="103"/>
      <c r="AB7" s="104"/>
      <c r="AC7" s="104"/>
      <c r="AD7" s="104">
        <v>11.413130000000001</v>
      </c>
      <c r="AE7" s="104">
        <v>23.889150000000001</v>
      </c>
      <c r="AF7" s="105">
        <v>10.22284</v>
      </c>
      <c r="AG7" s="102"/>
      <c r="AH7" s="102"/>
      <c r="AI7" s="102"/>
      <c r="AJ7" s="103">
        <v>213.71525</v>
      </c>
      <c r="AK7" s="105">
        <v>7.8466800000000001</v>
      </c>
      <c r="AL7" s="103"/>
      <c r="AM7" s="105"/>
      <c r="AN7" s="102"/>
      <c r="AO7" s="103"/>
      <c r="AP7" s="105"/>
      <c r="AQ7" s="102"/>
      <c r="AR7" s="102"/>
      <c r="AS7" s="102"/>
      <c r="AT7" s="103"/>
      <c r="AU7" s="104"/>
      <c r="AV7" s="105"/>
      <c r="AW7" s="103"/>
      <c r="AX7" s="104"/>
      <c r="AY7" s="104"/>
      <c r="AZ7" s="104"/>
      <c r="BA7" s="104"/>
      <c r="BB7" s="105"/>
      <c r="BC7" s="103"/>
      <c r="BD7" s="105"/>
      <c r="BE7" s="102"/>
      <c r="BF7" s="103">
        <v>25</v>
      </c>
      <c r="BG7" s="104"/>
      <c r="BH7" s="105"/>
      <c r="BI7" s="103">
        <v>164.44227000000001</v>
      </c>
      <c r="BJ7" s="104">
        <v>165.47058000000001</v>
      </c>
      <c r="BK7" s="104">
        <v>165.59853000000001</v>
      </c>
      <c r="BL7" s="104"/>
      <c r="BM7" s="104"/>
      <c r="BN7" s="104"/>
      <c r="BO7" s="104"/>
      <c r="BP7" s="104"/>
      <c r="BQ7" s="104"/>
      <c r="BR7" s="104">
        <v>110.49702000000001</v>
      </c>
      <c r="BS7" s="104">
        <v>206.49456000000001</v>
      </c>
      <c r="BT7" s="104">
        <v>206.11548999999999</v>
      </c>
      <c r="BU7" s="104">
        <v>205.99002999999999</v>
      </c>
      <c r="BV7" s="105"/>
      <c r="BW7" s="103">
        <v>17.41583</v>
      </c>
      <c r="BX7" s="105">
        <v>44.053669999999997</v>
      </c>
      <c r="BY7" s="102"/>
      <c r="BZ7" s="103"/>
      <c r="CA7" s="104"/>
      <c r="CB7" s="104"/>
      <c r="CC7" s="104"/>
      <c r="CD7" s="104"/>
      <c r="CE7" s="104"/>
      <c r="CF7" s="104">
        <v>52.418509999999998</v>
      </c>
      <c r="CG7" s="104">
        <v>51.404559999999996</v>
      </c>
      <c r="CH7" s="104"/>
      <c r="CI7" s="104"/>
      <c r="CJ7" s="104"/>
      <c r="CK7" s="105"/>
      <c r="CL7" s="103">
        <v>180.55348000000001</v>
      </c>
      <c r="CM7" s="104">
        <v>180.52450999999999</v>
      </c>
      <c r="CN7" s="104">
        <v>181.33356000000001</v>
      </c>
      <c r="CO7" s="105">
        <v>181.02912000000001</v>
      </c>
      <c r="CP7" s="103"/>
      <c r="CQ7" s="105"/>
      <c r="CR7" s="103"/>
      <c r="CS7" s="105"/>
      <c r="CT7" s="103"/>
      <c r="CU7" s="104"/>
      <c r="CV7" s="106"/>
      <c r="CW7" s="103"/>
      <c r="CX7" s="104"/>
      <c r="CY7" s="104"/>
      <c r="CZ7" s="105"/>
      <c r="DA7" s="103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5"/>
      <c r="DN7" s="107"/>
      <c r="DO7" s="108"/>
      <c r="DP7" s="108"/>
      <c r="DQ7" s="109"/>
      <c r="DR7" s="103"/>
      <c r="DS7" s="104"/>
      <c r="DT7" s="104"/>
      <c r="DU7" s="105"/>
      <c r="DV7" s="102"/>
      <c r="DW7" s="103"/>
      <c r="DX7" s="104"/>
      <c r="DY7" s="104"/>
      <c r="DZ7" s="104"/>
      <c r="EA7" s="104"/>
      <c r="EB7" s="106"/>
      <c r="EC7" s="1"/>
      <c r="ED7" s="102"/>
      <c r="EE7" s="102"/>
      <c r="EF7" s="102"/>
      <c r="EG7" s="102"/>
      <c r="EH7" s="102"/>
      <c r="EI7" s="102"/>
      <c r="EJ7" s="102"/>
      <c r="EK7" s="102"/>
      <c r="EL7" s="103"/>
      <c r="EM7" s="105"/>
      <c r="EN7" s="103"/>
      <c r="EO7" s="105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3"/>
      <c r="FN7" s="104"/>
      <c r="FO7" s="104"/>
      <c r="FP7" s="105"/>
      <c r="FQ7" s="103"/>
      <c r="FR7" s="105"/>
      <c r="FS7" s="103"/>
      <c r="FT7" s="104"/>
      <c r="FU7" s="104"/>
      <c r="FV7" s="104"/>
      <c r="FW7" s="104"/>
      <c r="FX7" s="105"/>
      <c r="FY7" s="103"/>
      <c r="FZ7" s="105"/>
      <c r="GA7" s="103"/>
      <c r="GB7" s="104"/>
      <c r="GC7" s="104"/>
      <c r="GD7" s="105"/>
      <c r="GE7" s="102"/>
      <c r="GF7" s="102"/>
      <c r="GG7" s="102"/>
      <c r="GH7" s="103"/>
      <c r="GI7" s="104"/>
      <c r="GJ7" s="104"/>
      <c r="GK7" s="104"/>
      <c r="GL7" s="105"/>
      <c r="GM7" s="103"/>
      <c r="GN7" s="104"/>
      <c r="GO7" s="104"/>
      <c r="GP7" s="105"/>
      <c r="GQ7" s="102"/>
      <c r="GR7" s="103"/>
      <c r="GS7" s="104"/>
      <c r="GT7" s="105"/>
      <c r="GU7" s="1"/>
      <c r="GV7" s="102"/>
      <c r="GW7" s="103"/>
      <c r="GX7" s="102"/>
      <c r="GY7" s="102"/>
      <c r="GZ7" s="102"/>
      <c r="HA7" s="102"/>
      <c r="HB7" s="102"/>
      <c r="HC7" s="102"/>
      <c r="HD7" s="1"/>
      <c r="HE7" s="102"/>
      <c r="HF7" s="102"/>
      <c r="HG7" s="102"/>
      <c r="HH7" s="102"/>
      <c r="HI7" s="102"/>
      <c r="HJ7" s="102"/>
      <c r="HK7" s="103"/>
      <c r="HL7" s="105"/>
      <c r="HM7" s="1"/>
      <c r="HN7" s="103">
        <v>2514.2264700000001</v>
      </c>
      <c r="HO7" s="104">
        <v>2476.8932800000002</v>
      </c>
      <c r="HP7" s="105">
        <v>360.79835000000003</v>
      </c>
    </row>
    <row r="8" spans="1:224" x14ac:dyDescent="0.3">
      <c r="A8" s="1"/>
      <c r="B8" s="101" t="s">
        <v>809</v>
      </c>
      <c r="C8" s="102"/>
      <c r="D8" s="103"/>
      <c r="E8" s="104"/>
      <c r="F8" s="104">
        <v>8.8258700000000001</v>
      </c>
      <c r="G8" s="105">
        <v>8.5166900000000005</v>
      </c>
      <c r="H8" s="103"/>
      <c r="I8" s="105"/>
      <c r="J8" s="103"/>
      <c r="K8" s="105">
        <v>30</v>
      </c>
      <c r="L8" s="103"/>
      <c r="M8" s="104"/>
      <c r="N8" s="104"/>
      <c r="O8" s="104"/>
      <c r="P8" s="104"/>
      <c r="Q8" s="104"/>
      <c r="R8" s="104"/>
      <c r="S8" s="105"/>
      <c r="T8" s="103">
        <v>18.14123</v>
      </c>
      <c r="U8" s="104">
        <v>19.191960000000002</v>
      </c>
      <c r="V8" s="105">
        <v>1.0612699999999999</v>
      </c>
      <c r="W8" s="102"/>
      <c r="X8" s="103"/>
      <c r="Y8" s="104"/>
      <c r="Z8" s="105">
        <v>23.060680000000001</v>
      </c>
      <c r="AA8" s="103"/>
      <c r="AB8" s="104"/>
      <c r="AC8" s="104"/>
      <c r="AD8" s="104">
        <v>11.413130000000001</v>
      </c>
      <c r="AE8" s="104">
        <v>23.889150000000001</v>
      </c>
      <c r="AF8" s="105">
        <v>10.22284</v>
      </c>
      <c r="AG8" s="102"/>
      <c r="AH8" s="102"/>
      <c r="AI8" s="102"/>
      <c r="AJ8" s="103">
        <v>213.71525</v>
      </c>
      <c r="AK8" s="105">
        <v>7.8466800000000001</v>
      </c>
      <c r="AL8" s="103"/>
      <c r="AM8" s="105"/>
      <c r="AN8" s="102"/>
      <c r="AO8" s="103"/>
      <c r="AP8" s="105"/>
      <c r="AQ8" s="102"/>
      <c r="AR8" s="102"/>
      <c r="AS8" s="102"/>
      <c r="AT8" s="103"/>
      <c r="AU8" s="104"/>
      <c r="AV8" s="105"/>
      <c r="AW8" s="103"/>
      <c r="AX8" s="104"/>
      <c r="AY8" s="104"/>
      <c r="AZ8" s="104"/>
      <c r="BA8" s="104"/>
      <c r="BB8" s="105"/>
      <c r="BC8" s="103"/>
      <c r="BD8" s="105"/>
      <c r="BE8" s="102"/>
      <c r="BF8" s="103">
        <v>25</v>
      </c>
      <c r="BG8" s="104"/>
      <c r="BH8" s="105"/>
      <c r="BI8" s="103">
        <v>164.44227000000001</v>
      </c>
      <c r="BJ8" s="104">
        <v>165.47058000000001</v>
      </c>
      <c r="BK8" s="104">
        <v>165.59853000000001</v>
      </c>
      <c r="BL8" s="104"/>
      <c r="BM8" s="104"/>
      <c r="BN8" s="104"/>
      <c r="BO8" s="104"/>
      <c r="BP8" s="104"/>
      <c r="BQ8" s="104"/>
      <c r="BR8" s="104">
        <v>110.49702000000001</v>
      </c>
      <c r="BS8" s="104">
        <v>206.49456000000001</v>
      </c>
      <c r="BT8" s="104">
        <v>206.11548999999999</v>
      </c>
      <c r="BU8" s="104">
        <v>205.99002999999999</v>
      </c>
      <c r="BV8" s="105"/>
      <c r="BW8" s="103">
        <v>17.41583</v>
      </c>
      <c r="BX8" s="105">
        <v>44.053669999999997</v>
      </c>
      <c r="BY8" s="102"/>
      <c r="BZ8" s="103"/>
      <c r="CA8" s="104"/>
      <c r="CB8" s="104"/>
      <c r="CC8" s="104"/>
      <c r="CD8" s="104"/>
      <c r="CE8" s="104"/>
      <c r="CF8" s="104">
        <v>52.418509999999998</v>
      </c>
      <c r="CG8" s="104">
        <v>51.404559999999996</v>
      </c>
      <c r="CH8" s="104"/>
      <c r="CI8" s="104"/>
      <c r="CJ8" s="104"/>
      <c r="CK8" s="105"/>
      <c r="CL8" s="103">
        <v>180.55348000000001</v>
      </c>
      <c r="CM8" s="104">
        <v>180.52450999999999</v>
      </c>
      <c r="CN8" s="104">
        <v>181.33356000000001</v>
      </c>
      <c r="CO8" s="105">
        <v>181.02912000000001</v>
      </c>
      <c r="CP8" s="103"/>
      <c r="CQ8" s="105"/>
      <c r="CR8" s="103"/>
      <c r="CS8" s="105"/>
      <c r="CT8" s="103"/>
      <c r="CU8" s="104"/>
      <c r="CV8" s="106"/>
      <c r="CW8" s="103"/>
      <c r="CX8" s="104"/>
      <c r="CY8" s="104"/>
      <c r="CZ8" s="105"/>
      <c r="DA8" s="103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5"/>
      <c r="DN8" s="107"/>
      <c r="DO8" s="108"/>
      <c r="DP8" s="108"/>
      <c r="DQ8" s="109"/>
      <c r="DR8" s="103"/>
      <c r="DS8" s="104"/>
      <c r="DT8" s="104"/>
      <c r="DU8" s="105"/>
      <c r="DV8" s="102"/>
      <c r="DW8" s="103"/>
      <c r="DX8" s="104"/>
      <c r="DY8" s="104"/>
      <c r="DZ8" s="104"/>
      <c r="EA8" s="104"/>
      <c r="EB8" s="106"/>
      <c r="EC8" s="1"/>
      <c r="ED8" s="102"/>
      <c r="EE8" s="102"/>
      <c r="EF8" s="102"/>
      <c r="EG8" s="102"/>
      <c r="EH8" s="102"/>
      <c r="EI8" s="102"/>
      <c r="EJ8" s="102"/>
      <c r="EK8" s="102"/>
      <c r="EL8" s="103"/>
      <c r="EM8" s="105"/>
      <c r="EN8" s="103"/>
      <c r="EO8" s="105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3"/>
      <c r="FN8" s="104"/>
      <c r="FO8" s="104"/>
      <c r="FP8" s="105"/>
      <c r="FQ8" s="103"/>
      <c r="FR8" s="105"/>
      <c r="FS8" s="103"/>
      <c r="FT8" s="104"/>
      <c r="FU8" s="104"/>
      <c r="FV8" s="104"/>
      <c r="FW8" s="104"/>
      <c r="FX8" s="105"/>
      <c r="FY8" s="103"/>
      <c r="FZ8" s="105"/>
      <c r="GA8" s="103"/>
      <c r="GB8" s="104"/>
      <c r="GC8" s="104"/>
      <c r="GD8" s="105"/>
      <c r="GE8" s="102"/>
      <c r="GF8" s="102"/>
      <c r="GG8" s="102"/>
      <c r="GH8" s="103"/>
      <c r="GI8" s="104"/>
      <c r="GJ8" s="104"/>
      <c r="GK8" s="104"/>
      <c r="GL8" s="105"/>
      <c r="GM8" s="103"/>
      <c r="GN8" s="104"/>
      <c r="GO8" s="104"/>
      <c r="GP8" s="105"/>
      <c r="GQ8" s="102"/>
      <c r="GR8" s="103"/>
      <c r="GS8" s="104"/>
      <c r="GT8" s="105"/>
      <c r="GU8" s="1"/>
      <c r="GV8" s="102"/>
      <c r="GW8" s="103"/>
      <c r="GX8" s="102"/>
      <c r="GY8" s="102"/>
      <c r="GZ8" s="102"/>
      <c r="HA8" s="102"/>
      <c r="HB8" s="102"/>
      <c r="HC8" s="102"/>
      <c r="HD8" s="1"/>
      <c r="HE8" s="102"/>
      <c r="HF8" s="102"/>
      <c r="HG8" s="102"/>
      <c r="HH8" s="102"/>
      <c r="HI8" s="102"/>
      <c r="HJ8" s="102"/>
      <c r="HK8" s="103"/>
      <c r="HL8" s="105"/>
      <c r="HM8" s="1"/>
      <c r="HN8" s="103">
        <v>2514.2264700000001</v>
      </c>
      <c r="HO8" s="104">
        <v>2476.8932800000002</v>
      </c>
      <c r="HP8" s="105">
        <v>665.47787999999991</v>
      </c>
    </row>
    <row r="9" spans="1:224" x14ac:dyDescent="0.3">
      <c r="A9" s="1"/>
      <c r="B9" s="101" t="s">
        <v>810</v>
      </c>
      <c r="C9" s="102"/>
      <c r="D9" s="103"/>
      <c r="E9" s="104"/>
      <c r="F9" s="104">
        <v>8.8258700000000001</v>
      </c>
      <c r="G9" s="105">
        <v>8.5166900000000005</v>
      </c>
      <c r="H9" s="103"/>
      <c r="I9" s="105"/>
      <c r="J9" s="103"/>
      <c r="K9" s="105">
        <v>30</v>
      </c>
      <c r="L9" s="103"/>
      <c r="M9" s="104"/>
      <c r="N9" s="104"/>
      <c r="O9" s="104"/>
      <c r="P9" s="104"/>
      <c r="Q9" s="104"/>
      <c r="R9" s="104"/>
      <c r="S9" s="105"/>
      <c r="T9" s="103">
        <v>18.14123</v>
      </c>
      <c r="U9" s="104">
        <v>19.191960000000002</v>
      </c>
      <c r="V9" s="105">
        <v>1.0612699999999999</v>
      </c>
      <c r="W9" s="102"/>
      <c r="X9" s="103"/>
      <c r="Y9" s="104"/>
      <c r="Z9" s="105">
        <v>23.060680000000001</v>
      </c>
      <c r="AA9" s="103"/>
      <c r="AB9" s="104"/>
      <c r="AC9" s="104"/>
      <c r="AD9" s="104">
        <v>11.413130000000001</v>
      </c>
      <c r="AE9" s="104">
        <v>23.889150000000001</v>
      </c>
      <c r="AF9" s="105">
        <v>10.22284</v>
      </c>
      <c r="AG9" s="102"/>
      <c r="AH9" s="102"/>
      <c r="AI9" s="102"/>
      <c r="AJ9" s="103">
        <v>213.71525</v>
      </c>
      <c r="AK9" s="105">
        <v>7.8466800000000001</v>
      </c>
      <c r="AL9" s="103"/>
      <c r="AM9" s="105"/>
      <c r="AN9" s="102"/>
      <c r="AO9" s="103"/>
      <c r="AP9" s="105"/>
      <c r="AQ9" s="102"/>
      <c r="AR9" s="102"/>
      <c r="AS9" s="102"/>
      <c r="AT9" s="103"/>
      <c r="AU9" s="104"/>
      <c r="AV9" s="105"/>
      <c r="AW9" s="103"/>
      <c r="AX9" s="104"/>
      <c r="AY9" s="104"/>
      <c r="AZ9" s="104"/>
      <c r="BA9" s="104"/>
      <c r="BB9" s="105"/>
      <c r="BC9" s="103"/>
      <c r="BD9" s="105"/>
      <c r="BE9" s="102"/>
      <c r="BF9" s="103">
        <v>25</v>
      </c>
      <c r="BG9" s="104"/>
      <c r="BH9" s="105"/>
      <c r="BI9" s="103">
        <v>164.44227000000001</v>
      </c>
      <c r="BJ9" s="104">
        <v>165.47058000000001</v>
      </c>
      <c r="BK9" s="104">
        <v>165.59853000000001</v>
      </c>
      <c r="BL9" s="104"/>
      <c r="BM9" s="104"/>
      <c r="BN9" s="104"/>
      <c r="BO9" s="104"/>
      <c r="BP9" s="104"/>
      <c r="BQ9" s="104"/>
      <c r="BR9" s="104">
        <v>110.49702000000001</v>
      </c>
      <c r="BS9" s="104">
        <v>206.49456000000001</v>
      </c>
      <c r="BT9" s="104">
        <v>206.11548999999999</v>
      </c>
      <c r="BU9" s="104">
        <v>205.99002999999999</v>
      </c>
      <c r="BV9" s="105"/>
      <c r="BW9" s="103">
        <v>17.41583</v>
      </c>
      <c r="BX9" s="105">
        <v>44.053669999999997</v>
      </c>
      <c r="BY9" s="102"/>
      <c r="BZ9" s="103"/>
      <c r="CA9" s="104"/>
      <c r="CB9" s="104"/>
      <c r="CC9" s="104"/>
      <c r="CD9" s="104"/>
      <c r="CE9" s="104"/>
      <c r="CF9" s="104">
        <v>52.418509999999998</v>
      </c>
      <c r="CG9" s="104">
        <v>51.404559999999996</v>
      </c>
      <c r="CH9" s="104"/>
      <c r="CI9" s="104"/>
      <c r="CJ9" s="104"/>
      <c r="CK9" s="105"/>
      <c r="CL9" s="103">
        <v>180.55348000000001</v>
      </c>
      <c r="CM9" s="104">
        <v>180.52450999999999</v>
      </c>
      <c r="CN9" s="104">
        <v>181.33356000000001</v>
      </c>
      <c r="CO9" s="105">
        <v>181.02912000000001</v>
      </c>
      <c r="CP9" s="103"/>
      <c r="CQ9" s="105"/>
      <c r="CR9" s="103"/>
      <c r="CS9" s="105"/>
      <c r="CT9" s="103"/>
      <c r="CU9" s="104"/>
      <c r="CV9" s="106"/>
      <c r="CW9" s="103"/>
      <c r="CX9" s="104"/>
      <c r="CY9" s="104"/>
      <c r="CZ9" s="105"/>
      <c r="DA9" s="103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5"/>
      <c r="DN9" s="107"/>
      <c r="DO9" s="108"/>
      <c r="DP9" s="108"/>
      <c r="DQ9" s="109"/>
      <c r="DR9" s="103"/>
      <c r="DS9" s="104"/>
      <c r="DT9" s="104"/>
      <c r="DU9" s="105"/>
      <c r="DV9" s="102"/>
      <c r="DW9" s="103"/>
      <c r="DX9" s="104"/>
      <c r="DY9" s="104"/>
      <c r="DZ9" s="104"/>
      <c r="EA9" s="104"/>
      <c r="EB9" s="106"/>
      <c r="EC9" s="1"/>
      <c r="ED9" s="102"/>
      <c r="EE9" s="102"/>
      <c r="EF9" s="102"/>
      <c r="EG9" s="102"/>
      <c r="EH9" s="102"/>
      <c r="EI9" s="102"/>
      <c r="EJ9" s="102"/>
      <c r="EK9" s="102"/>
      <c r="EL9" s="103"/>
      <c r="EM9" s="105"/>
      <c r="EN9" s="103"/>
      <c r="EO9" s="105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3"/>
      <c r="FN9" s="104"/>
      <c r="FO9" s="104"/>
      <c r="FP9" s="105"/>
      <c r="FQ9" s="103"/>
      <c r="FR9" s="105"/>
      <c r="FS9" s="103"/>
      <c r="FT9" s="104"/>
      <c r="FU9" s="104"/>
      <c r="FV9" s="104"/>
      <c r="FW9" s="104"/>
      <c r="FX9" s="105"/>
      <c r="FY9" s="103"/>
      <c r="FZ9" s="105"/>
      <c r="GA9" s="103"/>
      <c r="GB9" s="104"/>
      <c r="GC9" s="104"/>
      <c r="GD9" s="105"/>
      <c r="GE9" s="102"/>
      <c r="GF9" s="102"/>
      <c r="GG9" s="102"/>
      <c r="GH9" s="103"/>
      <c r="GI9" s="104"/>
      <c r="GJ9" s="104"/>
      <c r="GK9" s="104"/>
      <c r="GL9" s="105"/>
      <c r="GM9" s="103"/>
      <c r="GN9" s="104"/>
      <c r="GO9" s="104"/>
      <c r="GP9" s="105"/>
      <c r="GQ9" s="102"/>
      <c r="GR9" s="103"/>
      <c r="GS9" s="104"/>
      <c r="GT9" s="105"/>
      <c r="GU9" s="1"/>
      <c r="GV9" s="102"/>
      <c r="GW9" s="103"/>
      <c r="GX9" s="102"/>
      <c r="GY9" s="102"/>
      <c r="GZ9" s="102"/>
      <c r="HA9" s="102"/>
      <c r="HB9" s="102"/>
      <c r="HC9" s="102"/>
      <c r="HD9" s="1"/>
      <c r="HE9" s="102"/>
      <c r="HF9" s="102"/>
      <c r="HG9" s="102"/>
      <c r="HH9" s="102"/>
      <c r="HI9" s="102"/>
      <c r="HJ9" s="102"/>
      <c r="HK9" s="103"/>
      <c r="HL9" s="105"/>
      <c r="HM9" s="1"/>
      <c r="HN9" s="103">
        <v>2514.2264700000001</v>
      </c>
      <c r="HO9" s="104">
        <v>2476.8932800000002</v>
      </c>
      <c r="HP9" s="105">
        <v>665.47787999999991</v>
      </c>
    </row>
    <row r="10" spans="1:224" x14ac:dyDescent="0.3">
      <c r="A10" s="1"/>
      <c r="B10" s="101" t="s">
        <v>811</v>
      </c>
      <c r="C10" s="102"/>
      <c r="D10" s="103"/>
      <c r="E10" s="104"/>
      <c r="F10" s="104">
        <v>8.8258700000000001</v>
      </c>
      <c r="G10" s="105">
        <v>8.5166900000000005</v>
      </c>
      <c r="H10" s="103"/>
      <c r="I10" s="105"/>
      <c r="J10" s="103"/>
      <c r="K10" s="105">
        <v>30</v>
      </c>
      <c r="L10" s="103"/>
      <c r="M10" s="104"/>
      <c r="N10" s="104"/>
      <c r="O10" s="104"/>
      <c r="P10" s="104"/>
      <c r="Q10" s="104"/>
      <c r="R10" s="104"/>
      <c r="S10" s="105"/>
      <c r="T10" s="103">
        <v>18.14123</v>
      </c>
      <c r="U10" s="104">
        <v>19.191960000000002</v>
      </c>
      <c r="V10" s="105">
        <v>1.0612699999999999</v>
      </c>
      <c r="W10" s="102"/>
      <c r="X10" s="103"/>
      <c r="Y10" s="104"/>
      <c r="Z10" s="105">
        <v>23.060680000000001</v>
      </c>
      <c r="AA10" s="103"/>
      <c r="AB10" s="104"/>
      <c r="AC10" s="104"/>
      <c r="AD10" s="104">
        <v>11.413130000000001</v>
      </c>
      <c r="AE10" s="104">
        <v>23.889150000000001</v>
      </c>
      <c r="AF10" s="105">
        <v>10.22284</v>
      </c>
      <c r="AG10" s="102"/>
      <c r="AH10" s="102"/>
      <c r="AI10" s="102"/>
      <c r="AJ10" s="103">
        <v>213.71525</v>
      </c>
      <c r="AK10" s="105">
        <v>7.8466800000000001</v>
      </c>
      <c r="AL10" s="103"/>
      <c r="AM10" s="105"/>
      <c r="AN10" s="102"/>
      <c r="AO10" s="103"/>
      <c r="AP10" s="105"/>
      <c r="AQ10" s="102"/>
      <c r="AR10" s="102"/>
      <c r="AS10" s="102"/>
      <c r="AT10" s="103"/>
      <c r="AU10" s="104"/>
      <c r="AV10" s="105"/>
      <c r="AW10" s="103"/>
      <c r="AX10" s="104"/>
      <c r="AY10" s="104"/>
      <c r="AZ10" s="104"/>
      <c r="BA10" s="104"/>
      <c r="BB10" s="105"/>
      <c r="BC10" s="103"/>
      <c r="BD10" s="105"/>
      <c r="BE10" s="102"/>
      <c r="BF10" s="103">
        <v>25</v>
      </c>
      <c r="BG10" s="104"/>
      <c r="BH10" s="105"/>
      <c r="BI10" s="103">
        <v>164.44227000000001</v>
      </c>
      <c r="BJ10" s="104">
        <v>165.47058000000001</v>
      </c>
      <c r="BK10" s="104">
        <v>165.59853000000001</v>
      </c>
      <c r="BL10" s="104"/>
      <c r="BM10" s="104"/>
      <c r="BN10" s="104"/>
      <c r="BO10" s="104"/>
      <c r="BP10" s="104"/>
      <c r="BQ10" s="104"/>
      <c r="BR10" s="104">
        <v>110.49702000000001</v>
      </c>
      <c r="BS10" s="104">
        <v>206.49456000000001</v>
      </c>
      <c r="BT10" s="104">
        <v>206.11548999999999</v>
      </c>
      <c r="BU10" s="104">
        <v>205.99002999999999</v>
      </c>
      <c r="BV10" s="105"/>
      <c r="BW10" s="103">
        <v>17.41583</v>
      </c>
      <c r="BX10" s="105">
        <v>44.053669999999997</v>
      </c>
      <c r="BY10" s="102"/>
      <c r="BZ10" s="103"/>
      <c r="CA10" s="104"/>
      <c r="CB10" s="104"/>
      <c r="CC10" s="104"/>
      <c r="CD10" s="104"/>
      <c r="CE10" s="104"/>
      <c r="CF10" s="104">
        <v>52.418509999999998</v>
      </c>
      <c r="CG10" s="104">
        <v>51.404559999999996</v>
      </c>
      <c r="CH10" s="104"/>
      <c r="CI10" s="104"/>
      <c r="CJ10" s="104"/>
      <c r="CK10" s="105"/>
      <c r="CL10" s="103">
        <v>180.55348000000001</v>
      </c>
      <c r="CM10" s="104">
        <v>180.52450999999999</v>
      </c>
      <c r="CN10" s="104">
        <v>181.33356000000001</v>
      </c>
      <c r="CO10" s="105">
        <v>181.02912000000001</v>
      </c>
      <c r="CP10" s="103"/>
      <c r="CQ10" s="105"/>
      <c r="CR10" s="103"/>
      <c r="CS10" s="105"/>
      <c r="CT10" s="103"/>
      <c r="CU10" s="104"/>
      <c r="CV10" s="106"/>
      <c r="CW10" s="103"/>
      <c r="CX10" s="104"/>
      <c r="CY10" s="104"/>
      <c r="CZ10" s="105"/>
      <c r="DA10" s="103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5"/>
      <c r="DN10" s="107"/>
      <c r="DO10" s="108"/>
      <c r="DP10" s="108"/>
      <c r="DQ10" s="109"/>
      <c r="DR10" s="103"/>
      <c r="DS10" s="104"/>
      <c r="DT10" s="104"/>
      <c r="DU10" s="105"/>
      <c r="DV10" s="102"/>
      <c r="DW10" s="103"/>
      <c r="DX10" s="104"/>
      <c r="DY10" s="104"/>
      <c r="DZ10" s="104"/>
      <c r="EA10" s="104"/>
      <c r="EB10" s="106"/>
      <c r="EC10" s="1"/>
      <c r="ED10" s="102"/>
      <c r="EE10" s="102"/>
      <c r="EF10" s="102"/>
      <c r="EG10" s="102"/>
      <c r="EH10" s="102"/>
      <c r="EI10" s="102"/>
      <c r="EJ10" s="102"/>
      <c r="EK10" s="102"/>
      <c r="EL10" s="103"/>
      <c r="EM10" s="105"/>
      <c r="EN10" s="103"/>
      <c r="EO10" s="105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3"/>
      <c r="FN10" s="104"/>
      <c r="FO10" s="104"/>
      <c r="FP10" s="105"/>
      <c r="FQ10" s="103"/>
      <c r="FR10" s="105"/>
      <c r="FS10" s="103"/>
      <c r="FT10" s="104"/>
      <c r="FU10" s="104"/>
      <c r="FV10" s="104"/>
      <c r="FW10" s="104"/>
      <c r="FX10" s="105"/>
      <c r="FY10" s="103"/>
      <c r="FZ10" s="105"/>
      <c r="GA10" s="103"/>
      <c r="GB10" s="104"/>
      <c r="GC10" s="104"/>
      <c r="GD10" s="105"/>
      <c r="GE10" s="102"/>
      <c r="GF10" s="102"/>
      <c r="GG10" s="102"/>
      <c r="GH10" s="103"/>
      <c r="GI10" s="104"/>
      <c r="GJ10" s="104"/>
      <c r="GK10" s="104"/>
      <c r="GL10" s="105"/>
      <c r="GM10" s="103"/>
      <c r="GN10" s="104"/>
      <c r="GO10" s="104"/>
      <c r="GP10" s="105"/>
      <c r="GQ10" s="102"/>
      <c r="GR10" s="103"/>
      <c r="GS10" s="104"/>
      <c r="GT10" s="105"/>
      <c r="GU10" s="1"/>
      <c r="GV10" s="102"/>
      <c r="GW10" s="103"/>
      <c r="GX10" s="102"/>
      <c r="GY10" s="102"/>
      <c r="GZ10" s="102"/>
      <c r="HA10" s="102"/>
      <c r="HB10" s="102"/>
      <c r="HC10" s="102"/>
      <c r="HD10" s="1"/>
      <c r="HE10" s="102"/>
      <c r="HF10" s="102"/>
      <c r="HG10" s="102"/>
      <c r="HH10" s="102"/>
      <c r="HI10" s="102"/>
      <c r="HJ10" s="102"/>
      <c r="HK10" s="103"/>
      <c r="HL10" s="105"/>
      <c r="HM10" s="1"/>
      <c r="HN10" s="103">
        <v>2514.2264700000001</v>
      </c>
      <c r="HO10" s="104">
        <v>2476.8932800000002</v>
      </c>
      <c r="HP10" s="105">
        <v>665.47787999999991</v>
      </c>
    </row>
    <row r="11" spans="1:224" x14ac:dyDescent="0.3">
      <c r="A11" s="1"/>
      <c r="B11" s="101" t="s">
        <v>812</v>
      </c>
      <c r="C11" s="102"/>
      <c r="D11" s="103"/>
      <c r="E11" s="104"/>
      <c r="F11" s="104">
        <v>8.8258700000000001</v>
      </c>
      <c r="G11" s="105">
        <v>8.5166900000000005</v>
      </c>
      <c r="H11" s="103"/>
      <c r="I11" s="105"/>
      <c r="J11" s="103"/>
      <c r="K11" s="105">
        <v>30</v>
      </c>
      <c r="L11" s="103"/>
      <c r="M11" s="104"/>
      <c r="N11" s="104"/>
      <c r="O11" s="104"/>
      <c r="P11" s="104"/>
      <c r="Q11" s="104"/>
      <c r="R11" s="104"/>
      <c r="S11" s="105"/>
      <c r="T11" s="103">
        <v>18.14123</v>
      </c>
      <c r="U11" s="104">
        <v>19.191960000000002</v>
      </c>
      <c r="V11" s="105">
        <v>1.0612699999999999</v>
      </c>
      <c r="W11" s="102"/>
      <c r="X11" s="103"/>
      <c r="Y11" s="104"/>
      <c r="Z11" s="105">
        <v>23.060680000000001</v>
      </c>
      <c r="AA11" s="103"/>
      <c r="AB11" s="104"/>
      <c r="AC11" s="104"/>
      <c r="AD11" s="104">
        <v>11.413130000000001</v>
      </c>
      <c r="AE11" s="104">
        <v>23.889150000000001</v>
      </c>
      <c r="AF11" s="105">
        <v>10.22284</v>
      </c>
      <c r="AG11" s="102"/>
      <c r="AH11" s="102"/>
      <c r="AI11" s="102"/>
      <c r="AJ11" s="103">
        <v>213.71525</v>
      </c>
      <c r="AK11" s="105">
        <v>7.8466800000000001</v>
      </c>
      <c r="AL11" s="103"/>
      <c r="AM11" s="105"/>
      <c r="AN11" s="102"/>
      <c r="AO11" s="103"/>
      <c r="AP11" s="105"/>
      <c r="AQ11" s="102"/>
      <c r="AR11" s="102"/>
      <c r="AS11" s="102"/>
      <c r="AT11" s="103"/>
      <c r="AU11" s="104"/>
      <c r="AV11" s="105"/>
      <c r="AW11" s="103"/>
      <c r="AX11" s="104"/>
      <c r="AY11" s="104"/>
      <c r="AZ11" s="104"/>
      <c r="BA11" s="104"/>
      <c r="BB11" s="105"/>
      <c r="BC11" s="103"/>
      <c r="BD11" s="105"/>
      <c r="BE11" s="102"/>
      <c r="BF11" s="103">
        <v>25</v>
      </c>
      <c r="BG11" s="104"/>
      <c r="BH11" s="105"/>
      <c r="BI11" s="103">
        <v>164.44227000000001</v>
      </c>
      <c r="BJ11" s="104">
        <v>165.47058000000001</v>
      </c>
      <c r="BK11" s="104">
        <v>165.59853000000001</v>
      </c>
      <c r="BL11" s="104"/>
      <c r="BM11" s="104"/>
      <c r="BN11" s="104"/>
      <c r="BO11" s="104"/>
      <c r="BP11" s="104"/>
      <c r="BQ11" s="104"/>
      <c r="BR11" s="104">
        <v>110.49702000000001</v>
      </c>
      <c r="BS11" s="104">
        <v>206.49456000000001</v>
      </c>
      <c r="BT11" s="104">
        <v>206.11548999999999</v>
      </c>
      <c r="BU11" s="104">
        <v>205.99002999999999</v>
      </c>
      <c r="BV11" s="105"/>
      <c r="BW11" s="103">
        <v>17.41583</v>
      </c>
      <c r="BX11" s="105">
        <v>44.053669999999997</v>
      </c>
      <c r="BY11" s="102"/>
      <c r="BZ11" s="103"/>
      <c r="CA11" s="104"/>
      <c r="CB11" s="104"/>
      <c r="CC11" s="104"/>
      <c r="CD11" s="104"/>
      <c r="CE11" s="104"/>
      <c r="CF11" s="104">
        <v>52.418509999999998</v>
      </c>
      <c r="CG11" s="104">
        <v>51.404559999999996</v>
      </c>
      <c r="CH11" s="104"/>
      <c r="CI11" s="104"/>
      <c r="CJ11" s="104"/>
      <c r="CK11" s="105"/>
      <c r="CL11" s="103">
        <v>180.55348000000001</v>
      </c>
      <c r="CM11" s="104">
        <v>180.52450999999999</v>
      </c>
      <c r="CN11" s="104">
        <v>181.33356000000001</v>
      </c>
      <c r="CO11" s="105">
        <v>181.02912000000001</v>
      </c>
      <c r="CP11" s="103"/>
      <c r="CQ11" s="105"/>
      <c r="CR11" s="103"/>
      <c r="CS11" s="105"/>
      <c r="CT11" s="103"/>
      <c r="CU11" s="104"/>
      <c r="CV11" s="106"/>
      <c r="CW11" s="103"/>
      <c r="CX11" s="104"/>
      <c r="CY11" s="104"/>
      <c r="CZ11" s="105"/>
      <c r="DA11" s="103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5"/>
      <c r="DN11" s="107"/>
      <c r="DO11" s="108"/>
      <c r="DP11" s="108"/>
      <c r="DQ11" s="109"/>
      <c r="DR11" s="103"/>
      <c r="DS11" s="104"/>
      <c r="DT11" s="104"/>
      <c r="DU11" s="105"/>
      <c r="DV11" s="102"/>
      <c r="DW11" s="103"/>
      <c r="DX11" s="104"/>
      <c r="DY11" s="104"/>
      <c r="DZ11" s="104"/>
      <c r="EA11" s="104"/>
      <c r="EB11" s="106"/>
      <c r="EC11" s="1"/>
      <c r="ED11" s="102"/>
      <c r="EE11" s="102"/>
      <c r="EF11" s="102"/>
      <c r="EG11" s="102"/>
      <c r="EH11" s="102"/>
      <c r="EI11" s="102"/>
      <c r="EJ11" s="102"/>
      <c r="EK11" s="102"/>
      <c r="EL11" s="103"/>
      <c r="EM11" s="105"/>
      <c r="EN11" s="103"/>
      <c r="EO11" s="105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3"/>
      <c r="FN11" s="104"/>
      <c r="FO11" s="104"/>
      <c r="FP11" s="105"/>
      <c r="FQ11" s="103"/>
      <c r="FR11" s="105"/>
      <c r="FS11" s="103"/>
      <c r="FT11" s="104"/>
      <c r="FU11" s="104"/>
      <c r="FV11" s="104"/>
      <c r="FW11" s="104"/>
      <c r="FX11" s="105"/>
      <c r="FY11" s="103"/>
      <c r="FZ11" s="105"/>
      <c r="GA11" s="103"/>
      <c r="GB11" s="104"/>
      <c r="GC11" s="104"/>
      <c r="GD11" s="105"/>
      <c r="GE11" s="102"/>
      <c r="GF11" s="102"/>
      <c r="GG11" s="102"/>
      <c r="GH11" s="103"/>
      <c r="GI11" s="104"/>
      <c r="GJ11" s="104"/>
      <c r="GK11" s="104"/>
      <c r="GL11" s="105"/>
      <c r="GM11" s="103"/>
      <c r="GN11" s="104"/>
      <c r="GO11" s="104"/>
      <c r="GP11" s="105"/>
      <c r="GQ11" s="102"/>
      <c r="GR11" s="103"/>
      <c r="GS11" s="104"/>
      <c r="GT11" s="105"/>
      <c r="GU11" s="1"/>
      <c r="GV11" s="102"/>
      <c r="GW11" s="103"/>
      <c r="GX11" s="102"/>
      <c r="GY11" s="102"/>
      <c r="GZ11" s="102"/>
      <c r="HA11" s="102"/>
      <c r="HB11" s="102"/>
      <c r="HC11" s="102"/>
      <c r="HD11" s="1"/>
      <c r="HE11" s="102"/>
      <c r="HF11" s="102"/>
      <c r="HG11" s="102"/>
      <c r="HH11" s="102"/>
      <c r="HI11" s="102"/>
      <c r="HJ11" s="102"/>
      <c r="HK11" s="103"/>
      <c r="HL11" s="105"/>
      <c r="HM11" s="1"/>
      <c r="HN11" s="103">
        <v>2514.2264700000001</v>
      </c>
      <c r="HO11" s="104">
        <v>2476.8932800000002</v>
      </c>
      <c r="HP11" s="105">
        <v>665.47787999999991</v>
      </c>
    </row>
    <row r="12" spans="1:224" x14ac:dyDescent="0.3">
      <c r="A12" s="1"/>
      <c r="B12" s="101" t="s">
        <v>813</v>
      </c>
      <c r="C12" s="102"/>
      <c r="D12" s="103"/>
      <c r="E12" s="104"/>
      <c r="F12" s="104">
        <v>8.8258700000000001</v>
      </c>
      <c r="G12" s="105">
        <v>8.5166900000000005</v>
      </c>
      <c r="H12" s="103"/>
      <c r="I12" s="105"/>
      <c r="J12" s="103"/>
      <c r="K12" s="105">
        <v>30</v>
      </c>
      <c r="L12" s="103"/>
      <c r="M12" s="104"/>
      <c r="N12" s="104"/>
      <c r="O12" s="104"/>
      <c r="P12" s="104"/>
      <c r="Q12" s="104"/>
      <c r="R12" s="104"/>
      <c r="S12" s="105"/>
      <c r="T12" s="103">
        <v>18.14123</v>
      </c>
      <c r="U12" s="104">
        <v>19.191960000000002</v>
      </c>
      <c r="V12" s="105">
        <v>1.0612699999999999</v>
      </c>
      <c r="W12" s="102"/>
      <c r="X12" s="103"/>
      <c r="Y12" s="104"/>
      <c r="Z12" s="105">
        <v>23.060680000000001</v>
      </c>
      <c r="AA12" s="103"/>
      <c r="AB12" s="104"/>
      <c r="AC12" s="104"/>
      <c r="AD12" s="104">
        <v>11.413130000000001</v>
      </c>
      <c r="AE12" s="104">
        <v>23.889150000000001</v>
      </c>
      <c r="AF12" s="105">
        <v>10.22284</v>
      </c>
      <c r="AG12" s="102"/>
      <c r="AH12" s="102"/>
      <c r="AI12" s="102"/>
      <c r="AJ12" s="103">
        <v>213.71525</v>
      </c>
      <c r="AK12" s="105">
        <v>7.8466800000000001</v>
      </c>
      <c r="AL12" s="103"/>
      <c r="AM12" s="105"/>
      <c r="AN12" s="102"/>
      <c r="AO12" s="103"/>
      <c r="AP12" s="105"/>
      <c r="AQ12" s="102"/>
      <c r="AR12" s="102"/>
      <c r="AS12" s="102"/>
      <c r="AT12" s="103"/>
      <c r="AU12" s="104"/>
      <c r="AV12" s="105"/>
      <c r="AW12" s="103"/>
      <c r="AX12" s="104"/>
      <c r="AY12" s="104"/>
      <c r="AZ12" s="104"/>
      <c r="BA12" s="104"/>
      <c r="BB12" s="105"/>
      <c r="BC12" s="103"/>
      <c r="BD12" s="105"/>
      <c r="BE12" s="102"/>
      <c r="BF12" s="103">
        <v>25</v>
      </c>
      <c r="BG12" s="104"/>
      <c r="BH12" s="105"/>
      <c r="BI12" s="103">
        <v>164.44227000000001</v>
      </c>
      <c r="BJ12" s="104">
        <v>165.47058000000001</v>
      </c>
      <c r="BK12" s="104">
        <v>165.59853000000001</v>
      </c>
      <c r="BL12" s="104"/>
      <c r="BM12" s="104"/>
      <c r="BN12" s="104"/>
      <c r="BO12" s="104"/>
      <c r="BP12" s="104"/>
      <c r="BQ12" s="104"/>
      <c r="BR12" s="104">
        <v>110.49702000000001</v>
      </c>
      <c r="BS12" s="104">
        <v>206.49456000000001</v>
      </c>
      <c r="BT12" s="104">
        <v>206.11548999999999</v>
      </c>
      <c r="BU12" s="104">
        <v>205.99002999999999</v>
      </c>
      <c r="BV12" s="105"/>
      <c r="BW12" s="103">
        <v>17.41583</v>
      </c>
      <c r="BX12" s="105">
        <v>44.053669999999997</v>
      </c>
      <c r="BY12" s="102"/>
      <c r="BZ12" s="103"/>
      <c r="CA12" s="104"/>
      <c r="CB12" s="104"/>
      <c r="CC12" s="104"/>
      <c r="CD12" s="104"/>
      <c r="CE12" s="104"/>
      <c r="CF12" s="104">
        <v>52.418509999999998</v>
      </c>
      <c r="CG12" s="104">
        <v>51.404559999999996</v>
      </c>
      <c r="CH12" s="104"/>
      <c r="CI12" s="104"/>
      <c r="CJ12" s="104"/>
      <c r="CK12" s="105"/>
      <c r="CL12" s="103">
        <v>180.55348000000001</v>
      </c>
      <c r="CM12" s="104">
        <v>180.52450999999999</v>
      </c>
      <c r="CN12" s="104">
        <v>181.33356000000001</v>
      </c>
      <c r="CO12" s="105">
        <v>181.02912000000001</v>
      </c>
      <c r="CP12" s="103"/>
      <c r="CQ12" s="105"/>
      <c r="CR12" s="103"/>
      <c r="CS12" s="105"/>
      <c r="CT12" s="103"/>
      <c r="CU12" s="104"/>
      <c r="CV12" s="106"/>
      <c r="CW12" s="103"/>
      <c r="CX12" s="104"/>
      <c r="CY12" s="104"/>
      <c r="CZ12" s="105"/>
      <c r="DA12" s="103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5"/>
      <c r="DN12" s="107"/>
      <c r="DO12" s="108"/>
      <c r="DP12" s="108"/>
      <c r="DQ12" s="109"/>
      <c r="DR12" s="103"/>
      <c r="DS12" s="104"/>
      <c r="DT12" s="104"/>
      <c r="DU12" s="105"/>
      <c r="DV12" s="102"/>
      <c r="DW12" s="103"/>
      <c r="DX12" s="104"/>
      <c r="DY12" s="104"/>
      <c r="DZ12" s="104"/>
      <c r="EA12" s="104"/>
      <c r="EB12" s="106"/>
      <c r="EC12" s="1"/>
      <c r="ED12" s="102"/>
      <c r="EE12" s="102"/>
      <c r="EF12" s="102"/>
      <c r="EG12" s="102"/>
      <c r="EH12" s="102"/>
      <c r="EI12" s="102"/>
      <c r="EJ12" s="102"/>
      <c r="EK12" s="102"/>
      <c r="EL12" s="103"/>
      <c r="EM12" s="105"/>
      <c r="EN12" s="103"/>
      <c r="EO12" s="105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3"/>
      <c r="FN12" s="104"/>
      <c r="FO12" s="104"/>
      <c r="FP12" s="105"/>
      <c r="FQ12" s="103"/>
      <c r="FR12" s="105"/>
      <c r="FS12" s="103"/>
      <c r="FT12" s="104"/>
      <c r="FU12" s="104"/>
      <c r="FV12" s="104"/>
      <c r="FW12" s="104"/>
      <c r="FX12" s="105"/>
      <c r="FY12" s="103"/>
      <c r="FZ12" s="105"/>
      <c r="GA12" s="103"/>
      <c r="GB12" s="104"/>
      <c r="GC12" s="104"/>
      <c r="GD12" s="105"/>
      <c r="GE12" s="102"/>
      <c r="GF12" s="102"/>
      <c r="GG12" s="102"/>
      <c r="GH12" s="103"/>
      <c r="GI12" s="104"/>
      <c r="GJ12" s="104"/>
      <c r="GK12" s="104"/>
      <c r="GL12" s="105"/>
      <c r="GM12" s="103"/>
      <c r="GN12" s="104"/>
      <c r="GO12" s="104"/>
      <c r="GP12" s="105"/>
      <c r="GQ12" s="102"/>
      <c r="GR12" s="103"/>
      <c r="GS12" s="104"/>
      <c r="GT12" s="105"/>
      <c r="GU12" s="1"/>
      <c r="GV12" s="102"/>
      <c r="GW12" s="103"/>
      <c r="GX12" s="102"/>
      <c r="GY12" s="102"/>
      <c r="GZ12" s="102"/>
      <c r="HA12" s="102"/>
      <c r="HB12" s="102"/>
      <c r="HC12" s="102"/>
      <c r="HD12" s="1"/>
      <c r="HE12" s="102"/>
      <c r="HF12" s="102"/>
      <c r="HG12" s="102"/>
      <c r="HH12" s="102"/>
      <c r="HI12" s="102"/>
      <c r="HJ12" s="102"/>
      <c r="HK12" s="103"/>
      <c r="HL12" s="105"/>
      <c r="HM12" s="1"/>
      <c r="HN12" s="103">
        <v>2514.2264700000001</v>
      </c>
      <c r="HO12" s="104">
        <v>2476.8932800000002</v>
      </c>
      <c r="HP12" s="105">
        <v>665.47787999999991</v>
      </c>
    </row>
    <row r="13" spans="1:224" x14ac:dyDescent="0.3">
      <c r="A13" s="1"/>
      <c r="B13" s="101" t="s">
        <v>814</v>
      </c>
      <c r="C13" s="102"/>
      <c r="D13" s="103"/>
      <c r="E13" s="104"/>
      <c r="F13" s="104">
        <v>8.8258700000000001</v>
      </c>
      <c r="G13" s="105">
        <v>8.5166900000000005</v>
      </c>
      <c r="H13" s="103"/>
      <c r="I13" s="105"/>
      <c r="J13" s="103"/>
      <c r="K13" s="105">
        <v>30</v>
      </c>
      <c r="L13" s="103"/>
      <c r="M13" s="104"/>
      <c r="N13" s="104"/>
      <c r="O13" s="104"/>
      <c r="P13" s="104"/>
      <c r="Q13" s="104"/>
      <c r="R13" s="104"/>
      <c r="S13" s="105"/>
      <c r="T13" s="103">
        <v>18.14123</v>
      </c>
      <c r="U13" s="104">
        <v>19.191960000000002</v>
      </c>
      <c r="V13" s="105">
        <v>1.0612699999999999</v>
      </c>
      <c r="W13" s="102"/>
      <c r="X13" s="103"/>
      <c r="Y13" s="104"/>
      <c r="Z13" s="105">
        <v>23.060680000000001</v>
      </c>
      <c r="AA13" s="103"/>
      <c r="AB13" s="104"/>
      <c r="AC13" s="104"/>
      <c r="AD13" s="104">
        <v>11.413130000000001</v>
      </c>
      <c r="AE13" s="104">
        <v>23.889150000000001</v>
      </c>
      <c r="AF13" s="105">
        <v>10.22284</v>
      </c>
      <c r="AG13" s="102"/>
      <c r="AH13" s="102"/>
      <c r="AI13" s="102"/>
      <c r="AJ13" s="103">
        <v>213.71525</v>
      </c>
      <c r="AK13" s="105">
        <v>7.8466800000000001</v>
      </c>
      <c r="AL13" s="103"/>
      <c r="AM13" s="105"/>
      <c r="AN13" s="102"/>
      <c r="AO13" s="103"/>
      <c r="AP13" s="105"/>
      <c r="AQ13" s="102"/>
      <c r="AR13" s="102"/>
      <c r="AS13" s="102"/>
      <c r="AT13" s="103"/>
      <c r="AU13" s="104"/>
      <c r="AV13" s="105"/>
      <c r="AW13" s="103"/>
      <c r="AX13" s="104"/>
      <c r="AY13" s="104"/>
      <c r="AZ13" s="104"/>
      <c r="BA13" s="104"/>
      <c r="BB13" s="105"/>
      <c r="BC13" s="103"/>
      <c r="BD13" s="105"/>
      <c r="BE13" s="102"/>
      <c r="BF13" s="103">
        <v>25</v>
      </c>
      <c r="BG13" s="104"/>
      <c r="BH13" s="105"/>
      <c r="BI13" s="103">
        <v>164.44227000000001</v>
      </c>
      <c r="BJ13" s="104">
        <v>165.47058000000001</v>
      </c>
      <c r="BK13" s="104">
        <v>165.59853000000001</v>
      </c>
      <c r="BL13" s="104"/>
      <c r="BM13" s="104"/>
      <c r="BN13" s="104"/>
      <c r="BO13" s="104"/>
      <c r="BP13" s="104"/>
      <c r="BQ13" s="104"/>
      <c r="BR13" s="104">
        <v>110.49702000000001</v>
      </c>
      <c r="BS13" s="104">
        <v>206.49456000000001</v>
      </c>
      <c r="BT13" s="104">
        <v>206.11548999999999</v>
      </c>
      <c r="BU13" s="104">
        <v>205.99002999999999</v>
      </c>
      <c r="BV13" s="105"/>
      <c r="BW13" s="103">
        <v>17.41583</v>
      </c>
      <c r="BX13" s="105">
        <v>44.053669999999997</v>
      </c>
      <c r="BY13" s="102"/>
      <c r="BZ13" s="103"/>
      <c r="CA13" s="104"/>
      <c r="CB13" s="104"/>
      <c r="CC13" s="104"/>
      <c r="CD13" s="104"/>
      <c r="CE13" s="104">
        <v>118.14735</v>
      </c>
      <c r="CF13" s="104">
        <v>52.418509999999998</v>
      </c>
      <c r="CG13" s="104">
        <v>51.404559999999996</v>
      </c>
      <c r="CH13" s="104"/>
      <c r="CI13" s="104"/>
      <c r="CJ13" s="104"/>
      <c r="CK13" s="105"/>
      <c r="CL13" s="103">
        <v>180.55348000000001</v>
      </c>
      <c r="CM13" s="104">
        <v>180.52450999999999</v>
      </c>
      <c r="CN13" s="104">
        <v>181.33356000000001</v>
      </c>
      <c r="CO13" s="105">
        <v>181.02912000000001</v>
      </c>
      <c r="CP13" s="103"/>
      <c r="CQ13" s="105"/>
      <c r="CR13" s="103"/>
      <c r="CS13" s="105"/>
      <c r="CT13" s="103"/>
      <c r="CU13" s="104"/>
      <c r="CV13" s="106"/>
      <c r="CW13" s="103"/>
      <c r="CX13" s="104"/>
      <c r="CY13" s="104"/>
      <c r="CZ13" s="105"/>
      <c r="DA13" s="103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5"/>
      <c r="DN13" s="107"/>
      <c r="DO13" s="108"/>
      <c r="DP13" s="108"/>
      <c r="DQ13" s="109"/>
      <c r="DR13" s="103"/>
      <c r="DS13" s="104"/>
      <c r="DT13" s="104"/>
      <c r="DU13" s="105"/>
      <c r="DV13" s="102"/>
      <c r="DW13" s="103"/>
      <c r="DX13" s="104"/>
      <c r="DY13" s="104"/>
      <c r="DZ13" s="104"/>
      <c r="EA13" s="104"/>
      <c r="EB13" s="106"/>
      <c r="EC13" s="1"/>
      <c r="ED13" s="102"/>
      <c r="EE13" s="102"/>
      <c r="EF13" s="102"/>
      <c r="EG13" s="102"/>
      <c r="EH13" s="102"/>
      <c r="EI13" s="102"/>
      <c r="EJ13" s="102"/>
      <c r="EK13" s="102"/>
      <c r="EL13" s="103"/>
      <c r="EM13" s="105"/>
      <c r="EN13" s="103"/>
      <c r="EO13" s="105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3"/>
      <c r="FN13" s="104"/>
      <c r="FO13" s="104"/>
      <c r="FP13" s="105"/>
      <c r="FQ13" s="103"/>
      <c r="FR13" s="105"/>
      <c r="FS13" s="103"/>
      <c r="FT13" s="104"/>
      <c r="FU13" s="104"/>
      <c r="FV13" s="104"/>
      <c r="FW13" s="104"/>
      <c r="FX13" s="105"/>
      <c r="FY13" s="103"/>
      <c r="FZ13" s="105"/>
      <c r="GA13" s="103"/>
      <c r="GB13" s="104"/>
      <c r="GC13" s="104"/>
      <c r="GD13" s="105"/>
      <c r="GE13" s="102"/>
      <c r="GF13" s="102"/>
      <c r="GG13" s="102"/>
      <c r="GH13" s="103"/>
      <c r="GI13" s="104"/>
      <c r="GJ13" s="104"/>
      <c r="GK13" s="104"/>
      <c r="GL13" s="105"/>
      <c r="GM13" s="103"/>
      <c r="GN13" s="104"/>
      <c r="GO13" s="104"/>
      <c r="GP13" s="105"/>
      <c r="GQ13" s="102"/>
      <c r="GR13" s="103"/>
      <c r="GS13" s="104"/>
      <c r="GT13" s="105"/>
      <c r="GU13" s="1"/>
      <c r="GV13" s="102"/>
      <c r="GW13" s="103"/>
      <c r="GX13" s="102"/>
      <c r="GY13" s="102"/>
      <c r="GZ13" s="102"/>
      <c r="HA13" s="102"/>
      <c r="HB13" s="102"/>
      <c r="HC13" s="102"/>
      <c r="HD13" s="1"/>
      <c r="HE13" s="102"/>
      <c r="HF13" s="102"/>
      <c r="HG13" s="102"/>
      <c r="HH13" s="102"/>
      <c r="HI13" s="102"/>
      <c r="HJ13" s="102"/>
      <c r="HK13" s="103"/>
      <c r="HL13" s="105"/>
      <c r="HM13" s="1"/>
      <c r="HN13" s="103">
        <v>2632.3738199999998</v>
      </c>
      <c r="HO13" s="104">
        <v>2595.04063</v>
      </c>
      <c r="HP13" s="105">
        <v>665.47787999999991</v>
      </c>
    </row>
    <row r="14" spans="1:224" x14ac:dyDescent="0.3">
      <c r="A14" s="1"/>
      <c r="B14" s="101" t="s">
        <v>815</v>
      </c>
      <c r="C14" s="102"/>
      <c r="D14" s="103"/>
      <c r="E14" s="104"/>
      <c r="F14" s="104">
        <v>8.8258700000000001</v>
      </c>
      <c r="G14" s="105">
        <v>8.5166900000000005</v>
      </c>
      <c r="H14" s="103"/>
      <c r="I14" s="105"/>
      <c r="J14" s="103"/>
      <c r="K14" s="105">
        <v>30</v>
      </c>
      <c r="L14" s="103"/>
      <c r="M14" s="104"/>
      <c r="N14" s="104"/>
      <c r="O14" s="104"/>
      <c r="P14" s="104"/>
      <c r="Q14" s="104"/>
      <c r="R14" s="104"/>
      <c r="S14" s="105"/>
      <c r="T14" s="103">
        <v>18.14123</v>
      </c>
      <c r="U14" s="104">
        <v>19.191960000000002</v>
      </c>
      <c r="V14" s="105">
        <v>1.0612699999999999</v>
      </c>
      <c r="W14" s="102"/>
      <c r="X14" s="103"/>
      <c r="Y14" s="104"/>
      <c r="Z14" s="105">
        <v>23.060680000000001</v>
      </c>
      <c r="AA14" s="103"/>
      <c r="AB14" s="104"/>
      <c r="AC14" s="104"/>
      <c r="AD14" s="104">
        <v>11.413130000000001</v>
      </c>
      <c r="AE14" s="104">
        <v>23.889150000000001</v>
      </c>
      <c r="AF14" s="105">
        <v>10.22284</v>
      </c>
      <c r="AG14" s="102"/>
      <c r="AH14" s="102"/>
      <c r="AI14" s="102"/>
      <c r="AJ14" s="103">
        <v>213.71525</v>
      </c>
      <c r="AK14" s="105">
        <v>7.8466800000000001</v>
      </c>
      <c r="AL14" s="103"/>
      <c r="AM14" s="105"/>
      <c r="AN14" s="102"/>
      <c r="AO14" s="103"/>
      <c r="AP14" s="105"/>
      <c r="AQ14" s="102"/>
      <c r="AR14" s="102"/>
      <c r="AS14" s="102"/>
      <c r="AT14" s="103"/>
      <c r="AU14" s="104"/>
      <c r="AV14" s="105"/>
      <c r="AW14" s="103"/>
      <c r="AX14" s="104"/>
      <c r="AY14" s="104"/>
      <c r="AZ14" s="104"/>
      <c r="BA14" s="104"/>
      <c r="BB14" s="105"/>
      <c r="BC14" s="103"/>
      <c r="BD14" s="105"/>
      <c r="BE14" s="102"/>
      <c r="BF14" s="103"/>
      <c r="BG14" s="104"/>
      <c r="BH14" s="105"/>
      <c r="BI14" s="103">
        <v>164.44227000000001</v>
      </c>
      <c r="BJ14" s="104">
        <v>165.47058000000001</v>
      </c>
      <c r="BK14" s="104">
        <v>165.59853000000001</v>
      </c>
      <c r="BL14" s="104"/>
      <c r="BM14" s="104"/>
      <c r="BN14" s="104"/>
      <c r="BO14" s="104"/>
      <c r="BP14" s="104"/>
      <c r="BQ14" s="104"/>
      <c r="BR14" s="104">
        <v>110.49702000000001</v>
      </c>
      <c r="BS14" s="104">
        <v>206.49456000000001</v>
      </c>
      <c r="BT14" s="104">
        <v>206.11548999999999</v>
      </c>
      <c r="BU14" s="104">
        <v>205.99002999999999</v>
      </c>
      <c r="BV14" s="105"/>
      <c r="BW14" s="103">
        <v>17.41583</v>
      </c>
      <c r="BX14" s="105">
        <v>44.053669999999997</v>
      </c>
      <c r="BY14" s="102"/>
      <c r="BZ14" s="103"/>
      <c r="CA14" s="104"/>
      <c r="CB14" s="104"/>
      <c r="CC14" s="104"/>
      <c r="CD14" s="104"/>
      <c r="CE14" s="104">
        <v>118.14735</v>
      </c>
      <c r="CF14" s="104">
        <v>52.418509999999998</v>
      </c>
      <c r="CG14" s="104">
        <v>51.404559999999996</v>
      </c>
      <c r="CH14" s="104"/>
      <c r="CI14" s="104"/>
      <c r="CJ14" s="104"/>
      <c r="CK14" s="105"/>
      <c r="CL14" s="103">
        <v>180.55348000000001</v>
      </c>
      <c r="CM14" s="104">
        <v>180.52450999999999</v>
      </c>
      <c r="CN14" s="104">
        <v>181.33356000000001</v>
      </c>
      <c r="CO14" s="105">
        <v>181.02912000000001</v>
      </c>
      <c r="CP14" s="103"/>
      <c r="CQ14" s="105"/>
      <c r="CR14" s="103"/>
      <c r="CS14" s="105"/>
      <c r="CT14" s="103"/>
      <c r="CU14" s="104"/>
      <c r="CV14" s="106"/>
      <c r="CW14" s="103"/>
      <c r="CX14" s="104"/>
      <c r="CY14" s="104"/>
      <c r="CZ14" s="105"/>
      <c r="DA14" s="103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5"/>
      <c r="DN14" s="107"/>
      <c r="DO14" s="108"/>
      <c r="DP14" s="108"/>
      <c r="DQ14" s="109"/>
      <c r="DR14" s="103"/>
      <c r="DS14" s="104"/>
      <c r="DT14" s="104"/>
      <c r="DU14" s="105"/>
      <c r="DV14" s="102"/>
      <c r="DW14" s="103"/>
      <c r="DX14" s="104"/>
      <c r="DY14" s="104"/>
      <c r="DZ14" s="104"/>
      <c r="EA14" s="104"/>
      <c r="EB14" s="106"/>
      <c r="EC14" s="1"/>
      <c r="ED14" s="102"/>
      <c r="EE14" s="102"/>
      <c r="EF14" s="102"/>
      <c r="EG14" s="102"/>
      <c r="EH14" s="102"/>
      <c r="EI14" s="102"/>
      <c r="EJ14" s="102"/>
      <c r="EK14" s="102"/>
      <c r="EL14" s="103"/>
      <c r="EM14" s="105"/>
      <c r="EN14" s="103"/>
      <c r="EO14" s="105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3"/>
      <c r="FN14" s="104"/>
      <c r="FO14" s="104"/>
      <c r="FP14" s="105"/>
      <c r="FQ14" s="103"/>
      <c r="FR14" s="105"/>
      <c r="FS14" s="103"/>
      <c r="FT14" s="104"/>
      <c r="FU14" s="104"/>
      <c r="FV14" s="104"/>
      <c r="FW14" s="104"/>
      <c r="FX14" s="105"/>
      <c r="FY14" s="103"/>
      <c r="FZ14" s="105"/>
      <c r="GA14" s="103"/>
      <c r="GB14" s="104"/>
      <c r="GC14" s="104"/>
      <c r="GD14" s="105"/>
      <c r="GE14" s="102"/>
      <c r="GF14" s="102"/>
      <c r="GG14" s="102"/>
      <c r="GH14" s="103"/>
      <c r="GI14" s="104"/>
      <c r="GJ14" s="104"/>
      <c r="GK14" s="104"/>
      <c r="GL14" s="105"/>
      <c r="GM14" s="103"/>
      <c r="GN14" s="104"/>
      <c r="GO14" s="104"/>
      <c r="GP14" s="105"/>
      <c r="GQ14" s="102"/>
      <c r="GR14" s="103"/>
      <c r="GS14" s="104"/>
      <c r="GT14" s="105"/>
      <c r="GU14" s="1"/>
      <c r="GV14" s="102"/>
      <c r="GW14" s="103"/>
      <c r="GX14" s="102"/>
      <c r="GY14" s="102"/>
      <c r="GZ14" s="102"/>
      <c r="HA14" s="102"/>
      <c r="HB14" s="102"/>
      <c r="HC14" s="102"/>
      <c r="HD14" s="1"/>
      <c r="HE14" s="102"/>
      <c r="HF14" s="102"/>
      <c r="HG14" s="102"/>
      <c r="HH14" s="102"/>
      <c r="HI14" s="102"/>
      <c r="HJ14" s="102"/>
      <c r="HK14" s="103"/>
      <c r="HL14" s="105"/>
      <c r="HM14" s="1"/>
      <c r="HN14" s="103">
        <v>2607.3738199999998</v>
      </c>
      <c r="HO14" s="104">
        <v>2570.04063</v>
      </c>
      <c r="HP14" s="105">
        <v>665.47787999999991</v>
      </c>
    </row>
    <row r="15" spans="1:224" x14ac:dyDescent="0.3">
      <c r="A15" s="1"/>
      <c r="B15" s="101" t="s">
        <v>816</v>
      </c>
      <c r="C15" s="102"/>
      <c r="D15" s="103"/>
      <c r="E15" s="104"/>
      <c r="F15" s="104">
        <v>8.8258700000000001</v>
      </c>
      <c r="G15" s="105">
        <v>8.5166900000000005</v>
      </c>
      <c r="H15" s="103"/>
      <c r="I15" s="105"/>
      <c r="J15" s="103"/>
      <c r="K15" s="105">
        <v>30</v>
      </c>
      <c r="L15" s="103"/>
      <c r="M15" s="104"/>
      <c r="N15" s="104"/>
      <c r="O15" s="104"/>
      <c r="P15" s="104"/>
      <c r="Q15" s="104"/>
      <c r="R15" s="104"/>
      <c r="S15" s="105"/>
      <c r="T15" s="103">
        <v>18.14123</v>
      </c>
      <c r="U15" s="104">
        <v>19.191960000000002</v>
      </c>
      <c r="V15" s="105">
        <v>1.0612699999999999</v>
      </c>
      <c r="W15" s="102"/>
      <c r="X15" s="103"/>
      <c r="Y15" s="104"/>
      <c r="Z15" s="105">
        <v>23.060680000000001</v>
      </c>
      <c r="AA15" s="103"/>
      <c r="AB15" s="104"/>
      <c r="AC15" s="104"/>
      <c r="AD15" s="104">
        <v>11.413130000000001</v>
      </c>
      <c r="AE15" s="104">
        <v>23.889150000000001</v>
      </c>
      <c r="AF15" s="105">
        <v>10.22284</v>
      </c>
      <c r="AG15" s="102"/>
      <c r="AH15" s="102"/>
      <c r="AI15" s="102"/>
      <c r="AJ15" s="103">
        <v>213.71525</v>
      </c>
      <c r="AK15" s="105">
        <v>7.8466800000000001</v>
      </c>
      <c r="AL15" s="103"/>
      <c r="AM15" s="105"/>
      <c r="AN15" s="102"/>
      <c r="AO15" s="103"/>
      <c r="AP15" s="105"/>
      <c r="AQ15" s="102"/>
      <c r="AR15" s="102"/>
      <c r="AS15" s="102"/>
      <c r="AT15" s="103"/>
      <c r="AU15" s="104"/>
      <c r="AV15" s="105"/>
      <c r="AW15" s="103"/>
      <c r="AX15" s="104"/>
      <c r="AY15" s="104"/>
      <c r="AZ15" s="104"/>
      <c r="BA15" s="104"/>
      <c r="BB15" s="105"/>
      <c r="BC15" s="103"/>
      <c r="BD15" s="105"/>
      <c r="BE15" s="102"/>
      <c r="BF15" s="103"/>
      <c r="BG15" s="104"/>
      <c r="BH15" s="105"/>
      <c r="BI15" s="103">
        <v>164.44227000000001</v>
      </c>
      <c r="BJ15" s="104">
        <v>165.47058000000001</v>
      </c>
      <c r="BK15" s="104">
        <v>165.59853000000001</v>
      </c>
      <c r="BL15" s="104"/>
      <c r="BM15" s="104"/>
      <c r="BN15" s="104"/>
      <c r="BO15" s="104"/>
      <c r="BP15" s="104"/>
      <c r="BQ15" s="104"/>
      <c r="BR15" s="104">
        <v>110.49702000000001</v>
      </c>
      <c r="BS15" s="104">
        <v>206.49456000000001</v>
      </c>
      <c r="BT15" s="104">
        <v>206.11548999999999</v>
      </c>
      <c r="BU15" s="104">
        <v>205.99002999999999</v>
      </c>
      <c r="BV15" s="105"/>
      <c r="BW15" s="103">
        <v>17.41583</v>
      </c>
      <c r="BX15" s="105">
        <v>44.053669999999997</v>
      </c>
      <c r="BY15" s="102"/>
      <c r="BZ15" s="103"/>
      <c r="CA15" s="104"/>
      <c r="CB15" s="104"/>
      <c r="CC15" s="104"/>
      <c r="CD15" s="104"/>
      <c r="CE15" s="104">
        <v>118.14735</v>
      </c>
      <c r="CF15" s="104">
        <v>52.418509999999998</v>
      </c>
      <c r="CG15" s="104">
        <v>51.404559999999996</v>
      </c>
      <c r="CH15" s="104"/>
      <c r="CI15" s="104"/>
      <c r="CJ15" s="104"/>
      <c r="CK15" s="105"/>
      <c r="CL15" s="103">
        <v>180.55348000000001</v>
      </c>
      <c r="CM15" s="104">
        <v>180.52450999999999</v>
      </c>
      <c r="CN15" s="104">
        <v>181.33356000000001</v>
      </c>
      <c r="CO15" s="105">
        <v>181.02912000000001</v>
      </c>
      <c r="CP15" s="103"/>
      <c r="CQ15" s="105"/>
      <c r="CR15" s="103"/>
      <c r="CS15" s="105"/>
      <c r="CT15" s="103"/>
      <c r="CU15" s="104"/>
      <c r="CV15" s="106"/>
      <c r="CW15" s="103"/>
      <c r="CX15" s="104"/>
      <c r="CY15" s="104"/>
      <c r="CZ15" s="105"/>
      <c r="DA15" s="103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5"/>
      <c r="DN15" s="107"/>
      <c r="DO15" s="108"/>
      <c r="DP15" s="108"/>
      <c r="DQ15" s="109"/>
      <c r="DR15" s="103"/>
      <c r="DS15" s="104"/>
      <c r="DT15" s="104"/>
      <c r="DU15" s="105"/>
      <c r="DV15" s="102"/>
      <c r="DW15" s="103"/>
      <c r="DX15" s="104"/>
      <c r="DY15" s="104"/>
      <c r="DZ15" s="104"/>
      <c r="EA15" s="104"/>
      <c r="EB15" s="106"/>
      <c r="EC15" s="1"/>
      <c r="ED15" s="102"/>
      <c r="EE15" s="102"/>
      <c r="EF15" s="102"/>
      <c r="EG15" s="102"/>
      <c r="EH15" s="102"/>
      <c r="EI15" s="102"/>
      <c r="EJ15" s="102"/>
      <c r="EK15" s="102"/>
      <c r="EL15" s="103"/>
      <c r="EM15" s="105"/>
      <c r="EN15" s="103"/>
      <c r="EO15" s="105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3"/>
      <c r="FN15" s="104"/>
      <c r="FO15" s="104"/>
      <c r="FP15" s="105"/>
      <c r="FQ15" s="103"/>
      <c r="FR15" s="105"/>
      <c r="FS15" s="103"/>
      <c r="FT15" s="104"/>
      <c r="FU15" s="104"/>
      <c r="FV15" s="104"/>
      <c r="FW15" s="104"/>
      <c r="FX15" s="105"/>
      <c r="FY15" s="103"/>
      <c r="FZ15" s="105"/>
      <c r="GA15" s="103"/>
      <c r="GB15" s="104"/>
      <c r="GC15" s="104"/>
      <c r="GD15" s="105"/>
      <c r="GE15" s="102"/>
      <c r="GF15" s="102"/>
      <c r="GG15" s="102"/>
      <c r="GH15" s="103"/>
      <c r="GI15" s="104"/>
      <c r="GJ15" s="104"/>
      <c r="GK15" s="104"/>
      <c r="GL15" s="105"/>
      <c r="GM15" s="103"/>
      <c r="GN15" s="104"/>
      <c r="GO15" s="104"/>
      <c r="GP15" s="105"/>
      <c r="GQ15" s="102"/>
      <c r="GR15" s="103"/>
      <c r="GS15" s="104"/>
      <c r="GT15" s="105"/>
      <c r="GU15" s="1"/>
      <c r="GV15" s="102"/>
      <c r="GW15" s="103"/>
      <c r="GX15" s="102"/>
      <c r="GY15" s="102"/>
      <c r="GZ15" s="102"/>
      <c r="HA15" s="102"/>
      <c r="HB15" s="102"/>
      <c r="HC15" s="102"/>
      <c r="HD15" s="1"/>
      <c r="HE15" s="102"/>
      <c r="HF15" s="102"/>
      <c r="HG15" s="102"/>
      <c r="HH15" s="102"/>
      <c r="HI15" s="102"/>
      <c r="HJ15" s="102"/>
      <c r="HK15" s="103"/>
      <c r="HL15" s="105"/>
      <c r="HM15" s="1"/>
      <c r="HN15" s="103">
        <v>2607.3738199999998</v>
      </c>
      <c r="HO15" s="104">
        <v>2570.04063</v>
      </c>
      <c r="HP15" s="105">
        <v>665.47787999999991</v>
      </c>
    </row>
    <row r="16" spans="1:224" x14ac:dyDescent="0.3">
      <c r="A16" s="1"/>
      <c r="B16" s="101" t="s">
        <v>817</v>
      </c>
      <c r="C16" s="102"/>
      <c r="D16" s="103"/>
      <c r="E16" s="104"/>
      <c r="F16" s="104">
        <v>8.8258700000000001</v>
      </c>
      <c r="G16" s="105">
        <v>8.5166900000000005</v>
      </c>
      <c r="H16" s="103"/>
      <c r="I16" s="105"/>
      <c r="J16" s="103"/>
      <c r="K16" s="105"/>
      <c r="L16" s="103"/>
      <c r="M16" s="104"/>
      <c r="N16" s="104"/>
      <c r="O16" s="104"/>
      <c r="P16" s="104"/>
      <c r="Q16" s="104"/>
      <c r="R16" s="104"/>
      <c r="S16" s="105"/>
      <c r="T16" s="103">
        <v>18.14123</v>
      </c>
      <c r="U16" s="104">
        <v>19.191960000000002</v>
      </c>
      <c r="V16" s="105">
        <v>1.0612699999999999</v>
      </c>
      <c r="W16" s="102"/>
      <c r="X16" s="103"/>
      <c r="Y16" s="104"/>
      <c r="Z16" s="105">
        <v>23.060680000000001</v>
      </c>
      <c r="AA16" s="103"/>
      <c r="AB16" s="104"/>
      <c r="AC16" s="104"/>
      <c r="AD16" s="104">
        <v>11.413130000000001</v>
      </c>
      <c r="AE16" s="104">
        <v>23.889150000000001</v>
      </c>
      <c r="AF16" s="105">
        <v>10.22284</v>
      </c>
      <c r="AG16" s="102"/>
      <c r="AH16" s="102"/>
      <c r="AI16" s="102"/>
      <c r="AJ16" s="103">
        <v>213.71525</v>
      </c>
      <c r="AK16" s="105">
        <v>7.8466800000000001</v>
      </c>
      <c r="AL16" s="103"/>
      <c r="AM16" s="105"/>
      <c r="AN16" s="102"/>
      <c r="AO16" s="103"/>
      <c r="AP16" s="105"/>
      <c r="AQ16" s="102"/>
      <c r="AR16" s="102"/>
      <c r="AS16" s="102"/>
      <c r="AT16" s="103"/>
      <c r="AU16" s="104"/>
      <c r="AV16" s="105"/>
      <c r="AW16" s="103"/>
      <c r="AX16" s="104"/>
      <c r="AY16" s="104"/>
      <c r="AZ16" s="104"/>
      <c r="BA16" s="104"/>
      <c r="BB16" s="105"/>
      <c r="BC16" s="103"/>
      <c r="BD16" s="105"/>
      <c r="BE16" s="102"/>
      <c r="BF16" s="103"/>
      <c r="BG16" s="104"/>
      <c r="BH16" s="105"/>
      <c r="BI16" s="103">
        <v>164.44227000000001</v>
      </c>
      <c r="BJ16" s="104">
        <v>165.47058000000001</v>
      </c>
      <c r="BK16" s="104">
        <v>165.59853000000001</v>
      </c>
      <c r="BL16" s="104"/>
      <c r="BM16" s="104"/>
      <c r="BN16" s="104"/>
      <c r="BO16" s="104"/>
      <c r="BP16" s="104"/>
      <c r="BQ16" s="104"/>
      <c r="BR16" s="104">
        <v>110.49702000000001</v>
      </c>
      <c r="BS16" s="104">
        <v>206.49456000000001</v>
      </c>
      <c r="BT16" s="104">
        <v>206.11548999999999</v>
      </c>
      <c r="BU16" s="104">
        <v>205.99002999999999</v>
      </c>
      <c r="BV16" s="105"/>
      <c r="BW16" s="103">
        <v>17.41583</v>
      </c>
      <c r="BX16" s="105">
        <v>44.053669999999997</v>
      </c>
      <c r="BY16" s="102"/>
      <c r="BZ16" s="103"/>
      <c r="CA16" s="104"/>
      <c r="CB16" s="104"/>
      <c r="CC16" s="104"/>
      <c r="CD16" s="104"/>
      <c r="CE16" s="104">
        <v>118.14735</v>
      </c>
      <c r="CF16" s="104">
        <v>52.418509999999998</v>
      </c>
      <c r="CG16" s="104">
        <v>51.404559999999996</v>
      </c>
      <c r="CH16" s="104"/>
      <c r="CI16" s="104"/>
      <c r="CJ16" s="104"/>
      <c r="CK16" s="105">
        <v>191.19621000000001</v>
      </c>
      <c r="CL16" s="103">
        <v>180.55348000000001</v>
      </c>
      <c r="CM16" s="104">
        <v>180.52450999999999</v>
      </c>
      <c r="CN16" s="104">
        <v>181.33356000000001</v>
      </c>
      <c r="CO16" s="105">
        <v>181.02912000000001</v>
      </c>
      <c r="CP16" s="103"/>
      <c r="CQ16" s="105"/>
      <c r="CR16" s="103"/>
      <c r="CS16" s="105"/>
      <c r="CT16" s="103"/>
      <c r="CU16" s="104"/>
      <c r="CV16" s="106"/>
      <c r="CW16" s="103"/>
      <c r="CX16" s="104"/>
      <c r="CY16" s="104"/>
      <c r="CZ16" s="105"/>
      <c r="DA16" s="103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5"/>
      <c r="DN16" s="107"/>
      <c r="DO16" s="108"/>
      <c r="DP16" s="108"/>
      <c r="DQ16" s="109"/>
      <c r="DR16" s="103"/>
      <c r="DS16" s="104"/>
      <c r="DT16" s="104"/>
      <c r="DU16" s="105"/>
      <c r="DV16" s="102"/>
      <c r="DW16" s="103"/>
      <c r="DX16" s="104"/>
      <c r="DY16" s="104"/>
      <c r="DZ16" s="104"/>
      <c r="EA16" s="104"/>
      <c r="EB16" s="106"/>
      <c r="EC16" s="1"/>
      <c r="ED16" s="102"/>
      <c r="EE16" s="102"/>
      <c r="EF16" s="102"/>
      <c r="EG16" s="102"/>
      <c r="EH16" s="102"/>
      <c r="EI16" s="102"/>
      <c r="EJ16" s="102"/>
      <c r="EK16" s="102"/>
      <c r="EL16" s="103"/>
      <c r="EM16" s="105"/>
      <c r="EN16" s="103"/>
      <c r="EO16" s="105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3"/>
      <c r="FN16" s="104"/>
      <c r="FO16" s="104"/>
      <c r="FP16" s="105"/>
      <c r="FQ16" s="103"/>
      <c r="FR16" s="105"/>
      <c r="FS16" s="103"/>
      <c r="FT16" s="104"/>
      <c r="FU16" s="104"/>
      <c r="FV16" s="104"/>
      <c r="FW16" s="104"/>
      <c r="FX16" s="105"/>
      <c r="FY16" s="103"/>
      <c r="FZ16" s="105"/>
      <c r="GA16" s="103"/>
      <c r="GB16" s="104"/>
      <c r="GC16" s="104"/>
      <c r="GD16" s="105"/>
      <c r="GE16" s="102"/>
      <c r="GF16" s="102"/>
      <c r="GG16" s="102"/>
      <c r="GH16" s="103"/>
      <c r="GI16" s="104"/>
      <c r="GJ16" s="104"/>
      <c r="GK16" s="104"/>
      <c r="GL16" s="105"/>
      <c r="GM16" s="103"/>
      <c r="GN16" s="104"/>
      <c r="GO16" s="104"/>
      <c r="GP16" s="105"/>
      <c r="GQ16" s="102"/>
      <c r="GR16" s="103"/>
      <c r="GS16" s="104"/>
      <c r="GT16" s="105"/>
      <c r="GU16" s="1"/>
      <c r="GV16" s="102"/>
      <c r="GW16" s="103"/>
      <c r="GX16" s="102"/>
      <c r="GY16" s="102"/>
      <c r="GZ16" s="102"/>
      <c r="HA16" s="102"/>
      <c r="HB16" s="102"/>
      <c r="HC16" s="102"/>
      <c r="HD16" s="1"/>
      <c r="HE16" s="102"/>
      <c r="HF16" s="102"/>
      <c r="HG16" s="102"/>
      <c r="HH16" s="102"/>
      <c r="HI16" s="102"/>
      <c r="HJ16" s="102"/>
      <c r="HK16" s="103"/>
      <c r="HL16" s="105"/>
      <c r="HM16" s="1"/>
      <c r="HN16" s="103">
        <v>2768.5700299999999</v>
      </c>
      <c r="HO16" s="104">
        <v>2731.23684</v>
      </c>
      <c r="HP16" s="105">
        <v>665.47787999999991</v>
      </c>
    </row>
    <row r="17" spans="1:224" x14ac:dyDescent="0.3">
      <c r="A17" s="1"/>
      <c r="B17" s="101" t="s">
        <v>818</v>
      </c>
      <c r="C17" s="102"/>
      <c r="D17" s="103"/>
      <c r="E17" s="104"/>
      <c r="F17" s="104">
        <v>8.8258700000000001</v>
      </c>
      <c r="G17" s="105">
        <v>8.5166900000000005</v>
      </c>
      <c r="H17" s="103"/>
      <c r="I17" s="105"/>
      <c r="J17" s="103"/>
      <c r="K17" s="105"/>
      <c r="L17" s="103"/>
      <c r="M17" s="104"/>
      <c r="N17" s="104"/>
      <c r="O17" s="104"/>
      <c r="P17" s="104"/>
      <c r="Q17" s="104"/>
      <c r="R17" s="104"/>
      <c r="S17" s="105"/>
      <c r="T17" s="103">
        <v>18.14123</v>
      </c>
      <c r="U17" s="104">
        <v>19.191960000000002</v>
      </c>
      <c r="V17" s="105">
        <v>1.0612699999999999</v>
      </c>
      <c r="W17" s="102"/>
      <c r="X17" s="103"/>
      <c r="Y17" s="104"/>
      <c r="Z17" s="105">
        <v>23.060680000000001</v>
      </c>
      <c r="AA17" s="103"/>
      <c r="AB17" s="104"/>
      <c r="AC17" s="104"/>
      <c r="AD17" s="104">
        <v>11.413130000000001</v>
      </c>
      <c r="AE17" s="104">
        <v>23.889150000000001</v>
      </c>
      <c r="AF17" s="105">
        <v>10.22284</v>
      </c>
      <c r="AG17" s="102"/>
      <c r="AH17" s="102"/>
      <c r="AI17" s="102"/>
      <c r="AJ17" s="103">
        <v>213.71525</v>
      </c>
      <c r="AK17" s="105">
        <v>7.8466800000000001</v>
      </c>
      <c r="AL17" s="103"/>
      <c r="AM17" s="105"/>
      <c r="AN17" s="102"/>
      <c r="AO17" s="103"/>
      <c r="AP17" s="105"/>
      <c r="AQ17" s="102"/>
      <c r="AR17" s="102"/>
      <c r="AS17" s="102"/>
      <c r="AT17" s="103"/>
      <c r="AU17" s="104"/>
      <c r="AV17" s="105"/>
      <c r="AW17" s="103"/>
      <c r="AX17" s="104"/>
      <c r="AY17" s="104"/>
      <c r="AZ17" s="104"/>
      <c r="BA17" s="104"/>
      <c r="BB17" s="105"/>
      <c r="BC17" s="103"/>
      <c r="BD17" s="105"/>
      <c r="BE17" s="102"/>
      <c r="BF17" s="103"/>
      <c r="BG17" s="104"/>
      <c r="BH17" s="105"/>
      <c r="BI17" s="103">
        <v>164.44227000000001</v>
      </c>
      <c r="BJ17" s="104">
        <v>165.47058000000001</v>
      </c>
      <c r="BK17" s="104">
        <v>165.59853000000001</v>
      </c>
      <c r="BL17" s="104"/>
      <c r="BM17" s="104"/>
      <c r="BN17" s="104"/>
      <c r="BO17" s="104"/>
      <c r="BP17" s="104"/>
      <c r="BQ17" s="104"/>
      <c r="BR17" s="104">
        <v>110.49702000000001</v>
      </c>
      <c r="BS17" s="104">
        <v>206.49456000000001</v>
      </c>
      <c r="BT17" s="104">
        <v>206.11548999999999</v>
      </c>
      <c r="BU17" s="104">
        <v>205.99002999999999</v>
      </c>
      <c r="BV17" s="105"/>
      <c r="BW17" s="103">
        <v>17.41583</v>
      </c>
      <c r="BX17" s="105">
        <v>44.053669999999997</v>
      </c>
      <c r="BY17" s="102"/>
      <c r="BZ17" s="103"/>
      <c r="CA17" s="104"/>
      <c r="CB17" s="104"/>
      <c r="CC17" s="104"/>
      <c r="CD17" s="104"/>
      <c r="CE17" s="104">
        <v>118.14735</v>
      </c>
      <c r="CF17" s="104">
        <v>52.418509999999998</v>
      </c>
      <c r="CG17" s="104">
        <v>51.404559999999996</v>
      </c>
      <c r="CH17" s="104"/>
      <c r="CI17" s="104"/>
      <c r="CJ17" s="104"/>
      <c r="CK17" s="105">
        <v>191.19621000000001</v>
      </c>
      <c r="CL17" s="103">
        <v>180.55348000000001</v>
      </c>
      <c r="CM17" s="104">
        <v>180.52450999999999</v>
      </c>
      <c r="CN17" s="104">
        <v>181.33356000000001</v>
      </c>
      <c r="CO17" s="105">
        <v>181.02912000000001</v>
      </c>
      <c r="CP17" s="103"/>
      <c r="CQ17" s="105"/>
      <c r="CR17" s="103"/>
      <c r="CS17" s="105"/>
      <c r="CT17" s="103"/>
      <c r="CU17" s="104"/>
      <c r="CV17" s="106"/>
      <c r="CW17" s="103"/>
      <c r="CX17" s="104"/>
      <c r="CY17" s="104"/>
      <c r="CZ17" s="105"/>
      <c r="DA17" s="103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5"/>
      <c r="DN17" s="107"/>
      <c r="DO17" s="108"/>
      <c r="DP17" s="108"/>
      <c r="DQ17" s="109"/>
      <c r="DR17" s="103"/>
      <c r="DS17" s="104"/>
      <c r="DT17" s="104"/>
      <c r="DU17" s="105"/>
      <c r="DV17" s="102"/>
      <c r="DW17" s="103"/>
      <c r="DX17" s="104"/>
      <c r="DY17" s="104"/>
      <c r="DZ17" s="104"/>
      <c r="EA17" s="104"/>
      <c r="EB17" s="106"/>
      <c r="EC17" s="1"/>
      <c r="ED17" s="102"/>
      <c r="EE17" s="102"/>
      <c r="EF17" s="102"/>
      <c r="EG17" s="102"/>
      <c r="EH17" s="102"/>
      <c r="EI17" s="102"/>
      <c r="EJ17" s="102"/>
      <c r="EK17" s="102"/>
      <c r="EL17" s="103"/>
      <c r="EM17" s="105"/>
      <c r="EN17" s="103"/>
      <c r="EO17" s="105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3"/>
      <c r="FN17" s="104"/>
      <c r="FO17" s="104"/>
      <c r="FP17" s="105"/>
      <c r="FQ17" s="103"/>
      <c r="FR17" s="105"/>
      <c r="FS17" s="103"/>
      <c r="FT17" s="104"/>
      <c r="FU17" s="104"/>
      <c r="FV17" s="104"/>
      <c r="FW17" s="104"/>
      <c r="FX17" s="105"/>
      <c r="FY17" s="103"/>
      <c r="FZ17" s="105"/>
      <c r="GA17" s="103"/>
      <c r="GB17" s="104"/>
      <c r="GC17" s="104"/>
      <c r="GD17" s="105"/>
      <c r="GE17" s="102"/>
      <c r="GF17" s="102"/>
      <c r="GG17" s="102"/>
      <c r="GH17" s="103"/>
      <c r="GI17" s="104"/>
      <c r="GJ17" s="104"/>
      <c r="GK17" s="104"/>
      <c r="GL17" s="105"/>
      <c r="GM17" s="103"/>
      <c r="GN17" s="104"/>
      <c r="GO17" s="104"/>
      <c r="GP17" s="105"/>
      <c r="GQ17" s="102"/>
      <c r="GR17" s="103"/>
      <c r="GS17" s="104"/>
      <c r="GT17" s="105"/>
      <c r="GU17" s="1"/>
      <c r="GV17" s="102"/>
      <c r="GW17" s="103"/>
      <c r="GX17" s="102"/>
      <c r="GY17" s="102"/>
      <c r="GZ17" s="102"/>
      <c r="HA17" s="102"/>
      <c r="HB17" s="102"/>
      <c r="HC17" s="102"/>
      <c r="HD17" s="1"/>
      <c r="HE17" s="102"/>
      <c r="HF17" s="102"/>
      <c r="HG17" s="102"/>
      <c r="HH17" s="102"/>
      <c r="HI17" s="102"/>
      <c r="HJ17" s="102"/>
      <c r="HK17" s="103"/>
      <c r="HL17" s="105"/>
      <c r="HM17" s="1"/>
      <c r="HN17" s="103">
        <v>2768.5700299999999</v>
      </c>
      <c r="HO17" s="104">
        <v>2731.23684</v>
      </c>
      <c r="HP17" s="105">
        <v>665.47787999999991</v>
      </c>
    </row>
    <row r="18" spans="1:224" x14ac:dyDescent="0.3">
      <c r="A18" s="1"/>
      <c r="B18" s="101" t="s">
        <v>819</v>
      </c>
      <c r="C18" s="102"/>
      <c r="D18" s="103"/>
      <c r="E18" s="104"/>
      <c r="F18" s="104">
        <v>8.8258700000000001</v>
      </c>
      <c r="G18" s="105">
        <v>8.5166900000000005</v>
      </c>
      <c r="H18" s="103"/>
      <c r="I18" s="105"/>
      <c r="J18" s="103"/>
      <c r="K18" s="105"/>
      <c r="L18" s="103"/>
      <c r="M18" s="104"/>
      <c r="N18" s="104"/>
      <c r="O18" s="104"/>
      <c r="P18" s="104"/>
      <c r="Q18" s="104"/>
      <c r="R18" s="104"/>
      <c r="S18" s="105"/>
      <c r="T18" s="103">
        <v>18.14123</v>
      </c>
      <c r="U18" s="104">
        <v>19.191960000000002</v>
      </c>
      <c r="V18" s="105">
        <v>1.0612699999999999</v>
      </c>
      <c r="W18" s="102"/>
      <c r="X18" s="103"/>
      <c r="Y18" s="104"/>
      <c r="Z18" s="105">
        <v>23.060680000000001</v>
      </c>
      <c r="AA18" s="103"/>
      <c r="AB18" s="104"/>
      <c r="AC18" s="104"/>
      <c r="AD18" s="104">
        <v>11.413130000000001</v>
      </c>
      <c r="AE18" s="104">
        <v>23.889150000000001</v>
      </c>
      <c r="AF18" s="105">
        <v>10.22284</v>
      </c>
      <c r="AG18" s="102"/>
      <c r="AH18" s="102"/>
      <c r="AI18" s="102"/>
      <c r="AJ18" s="103">
        <v>213.71525</v>
      </c>
      <c r="AK18" s="105">
        <v>7.8466800000000001</v>
      </c>
      <c r="AL18" s="103"/>
      <c r="AM18" s="105"/>
      <c r="AN18" s="102"/>
      <c r="AO18" s="103"/>
      <c r="AP18" s="105"/>
      <c r="AQ18" s="102"/>
      <c r="AR18" s="102"/>
      <c r="AS18" s="102"/>
      <c r="AT18" s="103"/>
      <c r="AU18" s="104"/>
      <c r="AV18" s="105"/>
      <c r="AW18" s="103"/>
      <c r="AX18" s="104"/>
      <c r="AY18" s="104"/>
      <c r="AZ18" s="104"/>
      <c r="BA18" s="104"/>
      <c r="BB18" s="105"/>
      <c r="BC18" s="103"/>
      <c r="BD18" s="105"/>
      <c r="BE18" s="102"/>
      <c r="BF18" s="103"/>
      <c r="BG18" s="104"/>
      <c r="BH18" s="105">
        <v>46.877099999999999</v>
      </c>
      <c r="BI18" s="103">
        <v>164.44227000000001</v>
      </c>
      <c r="BJ18" s="104">
        <v>165.47058000000001</v>
      </c>
      <c r="BK18" s="104">
        <v>165.59853000000001</v>
      </c>
      <c r="BL18" s="104"/>
      <c r="BM18" s="104"/>
      <c r="BN18" s="104"/>
      <c r="BO18" s="104"/>
      <c r="BP18" s="104"/>
      <c r="BQ18" s="104"/>
      <c r="BR18" s="104">
        <v>110.49702000000001</v>
      </c>
      <c r="BS18" s="104">
        <v>206.49456000000001</v>
      </c>
      <c r="BT18" s="104">
        <v>206.11548999999999</v>
      </c>
      <c r="BU18" s="104">
        <v>205.99002999999999</v>
      </c>
      <c r="BV18" s="105"/>
      <c r="BW18" s="103">
        <v>17.41583</v>
      </c>
      <c r="BX18" s="105">
        <v>44.053669999999997</v>
      </c>
      <c r="BY18" s="102"/>
      <c r="BZ18" s="103"/>
      <c r="CA18" s="104"/>
      <c r="CB18" s="104"/>
      <c r="CC18" s="104"/>
      <c r="CD18" s="104"/>
      <c r="CE18" s="104">
        <v>118.14735</v>
      </c>
      <c r="CF18" s="104">
        <v>52.418509999999998</v>
      </c>
      <c r="CG18" s="104">
        <v>51.404559999999996</v>
      </c>
      <c r="CH18" s="104"/>
      <c r="CI18" s="104"/>
      <c r="CJ18" s="104"/>
      <c r="CK18" s="105">
        <v>191.19621000000001</v>
      </c>
      <c r="CL18" s="103">
        <v>180.55348000000001</v>
      </c>
      <c r="CM18" s="104">
        <v>180.52450999999999</v>
      </c>
      <c r="CN18" s="104">
        <v>181.33356000000001</v>
      </c>
      <c r="CO18" s="105">
        <v>181.02912000000001</v>
      </c>
      <c r="CP18" s="103"/>
      <c r="CQ18" s="105"/>
      <c r="CR18" s="103"/>
      <c r="CS18" s="105"/>
      <c r="CT18" s="103"/>
      <c r="CU18" s="104"/>
      <c r="CV18" s="106"/>
      <c r="CW18" s="103"/>
      <c r="CX18" s="104"/>
      <c r="CY18" s="104"/>
      <c r="CZ18" s="105"/>
      <c r="DA18" s="103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5"/>
      <c r="DN18" s="107"/>
      <c r="DO18" s="108"/>
      <c r="DP18" s="108"/>
      <c r="DQ18" s="109"/>
      <c r="DR18" s="103"/>
      <c r="DS18" s="104"/>
      <c r="DT18" s="104"/>
      <c r="DU18" s="105"/>
      <c r="DV18" s="102"/>
      <c r="DW18" s="103"/>
      <c r="DX18" s="104"/>
      <c r="DY18" s="104"/>
      <c r="DZ18" s="104"/>
      <c r="EA18" s="104"/>
      <c r="EB18" s="106"/>
      <c r="EC18" s="1"/>
      <c r="ED18" s="102"/>
      <c r="EE18" s="102"/>
      <c r="EF18" s="102"/>
      <c r="EG18" s="102"/>
      <c r="EH18" s="102"/>
      <c r="EI18" s="102"/>
      <c r="EJ18" s="102"/>
      <c r="EK18" s="102"/>
      <c r="EL18" s="103"/>
      <c r="EM18" s="105"/>
      <c r="EN18" s="103"/>
      <c r="EO18" s="105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3"/>
      <c r="FN18" s="104"/>
      <c r="FO18" s="104"/>
      <c r="FP18" s="105"/>
      <c r="FQ18" s="103"/>
      <c r="FR18" s="105"/>
      <c r="FS18" s="103"/>
      <c r="FT18" s="104"/>
      <c r="FU18" s="104"/>
      <c r="FV18" s="104"/>
      <c r="FW18" s="104"/>
      <c r="FX18" s="105"/>
      <c r="FY18" s="103"/>
      <c r="FZ18" s="105"/>
      <c r="GA18" s="103"/>
      <c r="GB18" s="104"/>
      <c r="GC18" s="104"/>
      <c r="GD18" s="105"/>
      <c r="GE18" s="102"/>
      <c r="GF18" s="102"/>
      <c r="GG18" s="102"/>
      <c r="GH18" s="103"/>
      <c r="GI18" s="104"/>
      <c r="GJ18" s="104"/>
      <c r="GK18" s="104"/>
      <c r="GL18" s="105"/>
      <c r="GM18" s="103"/>
      <c r="GN18" s="104"/>
      <c r="GO18" s="104"/>
      <c r="GP18" s="105"/>
      <c r="GQ18" s="102"/>
      <c r="GR18" s="103"/>
      <c r="GS18" s="104"/>
      <c r="GT18" s="105"/>
      <c r="GU18" s="1"/>
      <c r="GV18" s="102"/>
      <c r="GW18" s="103"/>
      <c r="GX18" s="102"/>
      <c r="GY18" s="102"/>
      <c r="GZ18" s="102"/>
      <c r="HA18" s="102"/>
      <c r="HB18" s="102"/>
      <c r="HC18" s="102"/>
      <c r="HD18" s="1"/>
      <c r="HE18" s="102"/>
      <c r="HF18" s="102"/>
      <c r="HG18" s="102"/>
      <c r="HH18" s="102"/>
      <c r="HI18" s="102"/>
      <c r="HJ18" s="102"/>
      <c r="HK18" s="103"/>
      <c r="HL18" s="105"/>
      <c r="HM18" s="1"/>
      <c r="HN18" s="103">
        <v>2815.44713</v>
      </c>
      <c r="HO18" s="104">
        <v>2778.1139400000002</v>
      </c>
      <c r="HP18" s="105">
        <v>665.47787999999991</v>
      </c>
    </row>
    <row r="19" spans="1:224" x14ac:dyDescent="0.3">
      <c r="A19" s="1"/>
      <c r="B19" s="101" t="s">
        <v>820</v>
      </c>
      <c r="C19" s="102"/>
      <c r="D19" s="103"/>
      <c r="E19" s="104"/>
      <c r="F19" s="104">
        <v>8.8258700000000001</v>
      </c>
      <c r="G19" s="105">
        <v>8.5166900000000005</v>
      </c>
      <c r="H19" s="103"/>
      <c r="I19" s="105"/>
      <c r="J19" s="103"/>
      <c r="K19" s="105"/>
      <c r="L19" s="103"/>
      <c r="M19" s="104"/>
      <c r="N19" s="104"/>
      <c r="O19" s="104"/>
      <c r="P19" s="104"/>
      <c r="Q19" s="104"/>
      <c r="R19" s="104"/>
      <c r="S19" s="105"/>
      <c r="T19" s="103">
        <v>18.14123</v>
      </c>
      <c r="U19" s="104">
        <v>19.191960000000002</v>
      </c>
      <c r="V19" s="105">
        <v>1.0612699999999999</v>
      </c>
      <c r="W19" s="102"/>
      <c r="X19" s="103"/>
      <c r="Y19" s="104"/>
      <c r="Z19" s="105">
        <v>23.060680000000001</v>
      </c>
      <c r="AA19" s="103"/>
      <c r="AB19" s="104"/>
      <c r="AC19" s="104"/>
      <c r="AD19" s="104">
        <v>11.413130000000001</v>
      </c>
      <c r="AE19" s="104">
        <v>23.889150000000001</v>
      </c>
      <c r="AF19" s="105">
        <v>10.22284</v>
      </c>
      <c r="AG19" s="102"/>
      <c r="AH19" s="102"/>
      <c r="AI19" s="102"/>
      <c r="AJ19" s="103">
        <v>213.71525</v>
      </c>
      <c r="AK19" s="105">
        <v>7.8466800000000001</v>
      </c>
      <c r="AL19" s="103"/>
      <c r="AM19" s="105"/>
      <c r="AN19" s="102"/>
      <c r="AO19" s="103"/>
      <c r="AP19" s="105"/>
      <c r="AQ19" s="102"/>
      <c r="AR19" s="102"/>
      <c r="AS19" s="102"/>
      <c r="AT19" s="103"/>
      <c r="AU19" s="104"/>
      <c r="AV19" s="105"/>
      <c r="AW19" s="103"/>
      <c r="AX19" s="104"/>
      <c r="AY19" s="104"/>
      <c r="AZ19" s="104"/>
      <c r="BA19" s="104"/>
      <c r="BB19" s="105"/>
      <c r="BC19" s="103"/>
      <c r="BD19" s="105"/>
      <c r="BE19" s="102"/>
      <c r="BF19" s="103"/>
      <c r="BG19" s="104"/>
      <c r="BH19" s="105">
        <v>46.877099999999999</v>
      </c>
      <c r="BI19" s="103">
        <v>164.44227000000001</v>
      </c>
      <c r="BJ19" s="104">
        <v>165.47058000000001</v>
      </c>
      <c r="BK19" s="104">
        <v>165.59853000000001</v>
      </c>
      <c r="BL19" s="104"/>
      <c r="BM19" s="104"/>
      <c r="BN19" s="104"/>
      <c r="BO19" s="104"/>
      <c r="BP19" s="104"/>
      <c r="BQ19" s="104"/>
      <c r="BR19" s="104">
        <v>110.49702000000001</v>
      </c>
      <c r="BS19" s="104">
        <v>206.49456000000001</v>
      </c>
      <c r="BT19" s="104">
        <v>206.11548999999999</v>
      </c>
      <c r="BU19" s="104">
        <v>205.99002999999999</v>
      </c>
      <c r="BV19" s="105"/>
      <c r="BW19" s="103">
        <v>17.41583</v>
      </c>
      <c r="BX19" s="105">
        <v>44.053669999999997</v>
      </c>
      <c r="BY19" s="102"/>
      <c r="BZ19" s="103"/>
      <c r="CA19" s="104"/>
      <c r="CB19" s="104"/>
      <c r="CC19" s="104"/>
      <c r="CD19" s="104"/>
      <c r="CE19" s="104">
        <v>118.14735</v>
      </c>
      <c r="CF19" s="104">
        <v>52.418509999999998</v>
      </c>
      <c r="CG19" s="104">
        <v>51.404559999999996</v>
      </c>
      <c r="CH19" s="104"/>
      <c r="CI19" s="104"/>
      <c r="CJ19" s="104"/>
      <c r="CK19" s="105">
        <v>191.19621000000001</v>
      </c>
      <c r="CL19" s="103">
        <v>180.55348000000001</v>
      </c>
      <c r="CM19" s="104">
        <v>180.52450999999999</v>
      </c>
      <c r="CN19" s="104">
        <v>181.33356000000001</v>
      </c>
      <c r="CO19" s="105">
        <v>181.02912000000001</v>
      </c>
      <c r="CP19" s="103"/>
      <c r="CQ19" s="105"/>
      <c r="CR19" s="103"/>
      <c r="CS19" s="105"/>
      <c r="CT19" s="103"/>
      <c r="CU19" s="104"/>
      <c r="CV19" s="106"/>
      <c r="CW19" s="103"/>
      <c r="CX19" s="104"/>
      <c r="CY19" s="104"/>
      <c r="CZ19" s="105"/>
      <c r="DA19" s="103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5"/>
      <c r="DN19" s="107"/>
      <c r="DO19" s="108"/>
      <c r="DP19" s="108"/>
      <c r="DQ19" s="109"/>
      <c r="DR19" s="103"/>
      <c r="DS19" s="104"/>
      <c r="DT19" s="104"/>
      <c r="DU19" s="105"/>
      <c r="DV19" s="102"/>
      <c r="DW19" s="103"/>
      <c r="DX19" s="104"/>
      <c r="DY19" s="104"/>
      <c r="DZ19" s="104"/>
      <c r="EA19" s="104"/>
      <c r="EB19" s="106"/>
      <c r="EC19" s="1"/>
      <c r="ED19" s="102"/>
      <c r="EE19" s="102"/>
      <c r="EF19" s="102"/>
      <c r="EG19" s="102"/>
      <c r="EH19" s="102"/>
      <c r="EI19" s="102"/>
      <c r="EJ19" s="102"/>
      <c r="EK19" s="102"/>
      <c r="EL19" s="103"/>
      <c r="EM19" s="105"/>
      <c r="EN19" s="103"/>
      <c r="EO19" s="105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3"/>
      <c r="FN19" s="104"/>
      <c r="FO19" s="104"/>
      <c r="FP19" s="105"/>
      <c r="FQ19" s="103"/>
      <c r="FR19" s="105"/>
      <c r="FS19" s="103"/>
      <c r="FT19" s="104"/>
      <c r="FU19" s="104"/>
      <c r="FV19" s="104"/>
      <c r="FW19" s="104"/>
      <c r="FX19" s="105"/>
      <c r="FY19" s="103"/>
      <c r="FZ19" s="105"/>
      <c r="GA19" s="103"/>
      <c r="GB19" s="104"/>
      <c r="GC19" s="104"/>
      <c r="GD19" s="105"/>
      <c r="GE19" s="102"/>
      <c r="GF19" s="102"/>
      <c r="GG19" s="102"/>
      <c r="GH19" s="103"/>
      <c r="GI19" s="104"/>
      <c r="GJ19" s="104"/>
      <c r="GK19" s="104"/>
      <c r="GL19" s="105"/>
      <c r="GM19" s="103"/>
      <c r="GN19" s="104"/>
      <c r="GO19" s="104"/>
      <c r="GP19" s="105"/>
      <c r="GQ19" s="102"/>
      <c r="GR19" s="103"/>
      <c r="GS19" s="104"/>
      <c r="GT19" s="105"/>
      <c r="GU19" s="1"/>
      <c r="GV19" s="102"/>
      <c r="GW19" s="103"/>
      <c r="GX19" s="102"/>
      <c r="GY19" s="102"/>
      <c r="GZ19" s="102"/>
      <c r="HA19" s="102"/>
      <c r="HB19" s="102"/>
      <c r="HC19" s="102"/>
      <c r="HD19" s="1"/>
      <c r="HE19" s="102"/>
      <c r="HF19" s="102"/>
      <c r="HG19" s="102"/>
      <c r="HH19" s="102"/>
      <c r="HI19" s="102"/>
      <c r="HJ19" s="102"/>
      <c r="HK19" s="103"/>
      <c r="HL19" s="105"/>
      <c r="HM19" s="1"/>
      <c r="HN19" s="103">
        <v>2815.44713</v>
      </c>
      <c r="HO19" s="104">
        <v>2778.1139400000002</v>
      </c>
      <c r="HP19" s="105">
        <v>665.47787999999991</v>
      </c>
    </row>
    <row r="20" spans="1:224" x14ac:dyDescent="0.3">
      <c r="A20" s="1"/>
      <c r="B20" s="101" t="s">
        <v>821</v>
      </c>
      <c r="C20" s="102"/>
      <c r="D20" s="103"/>
      <c r="E20" s="104"/>
      <c r="F20" s="104">
        <v>8.8258700000000001</v>
      </c>
      <c r="G20" s="105">
        <v>8.5166900000000005</v>
      </c>
      <c r="H20" s="103"/>
      <c r="I20" s="105"/>
      <c r="J20" s="103"/>
      <c r="K20" s="105"/>
      <c r="L20" s="103"/>
      <c r="M20" s="104"/>
      <c r="N20" s="104"/>
      <c r="O20" s="104"/>
      <c r="P20" s="104"/>
      <c r="Q20" s="104"/>
      <c r="R20" s="104"/>
      <c r="S20" s="105"/>
      <c r="T20" s="103">
        <v>18.14123</v>
      </c>
      <c r="U20" s="104">
        <v>19.191960000000002</v>
      </c>
      <c r="V20" s="105">
        <v>1.0612699999999999</v>
      </c>
      <c r="W20" s="102"/>
      <c r="X20" s="103"/>
      <c r="Y20" s="104"/>
      <c r="Z20" s="105">
        <v>23.060680000000001</v>
      </c>
      <c r="AA20" s="103"/>
      <c r="AB20" s="104"/>
      <c r="AC20" s="104"/>
      <c r="AD20" s="104">
        <v>11.413130000000001</v>
      </c>
      <c r="AE20" s="104">
        <v>23.889150000000001</v>
      </c>
      <c r="AF20" s="105">
        <v>10.22284</v>
      </c>
      <c r="AG20" s="102"/>
      <c r="AH20" s="102"/>
      <c r="AI20" s="102"/>
      <c r="AJ20" s="103">
        <v>213.71525</v>
      </c>
      <c r="AK20" s="105">
        <v>7.8466800000000001</v>
      </c>
      <c r="AL20" s="103"/>
      <c r="AM20" s="105"/>
      <c r="AN20" s="102"/>
      <c r="AO20" s="103"/>
      <c r="AP20" s="105"/>
      <c r="AQ20" s="102"/>
      <c r="AR20" s="102"/>
      <c r="AS20" s="102"/>
      <c r="AT20" s="103"/>
      <c r="AU20" s="104"/>
      <c r="AV20" s="105"/>
      <c r="AW20" s="103"/>
      <c r="AX20" s="104"/>
      <c r="AY20" s="104"/>
      <c r="AZ20" s="104"/>
      <c r="BA20" s="104"/>
      <c r="BB20" s="105"/>
      <c r="BC20" s="103"/>
      <c r="BD20" s="105"/>
      <c r="BE20" s="102"/>
      <c r="BF20" s="103"/>
      <c r="BG20" s="104"/>
      <c r="BH20" s="105"/>
      <c r="BI20" s="103">
        <v>164.44227000000001</v>
      </c>
      <c r="BJ20" s="104">
        <v>165.47058000000001</v>
      </c>
      <c r="BK20" s="104">
        <v>165.59853000000001</v>
      </c>
      <c r="BL20" s="104"/>
      <c r="BM20" s="104"/>
      <c r="BN20" s="104"/>
      <c r="BO20" s="104"/>
      <c r="BP20" s="104"/>
      <c r="BQ20" s="104"/>
      <c r="BR20" s="104">
        <v>110.49702000000001</v>
      </c>
      <c r="BS20" s="104">
        <v>206.49456000000001</v>
      </c>
      <c r="BT20" s="104">
        <v>206.11548999999999</v>
      </c>
      <c r="BU20" s="104">
        <v>205.99002999999999</v>
      </c>
      <c r="BV20" s="105"/>
      <c r="BW20" s="103">
        <v>17.41583</v>
      </c>
      <c r="BX20" s="105">
        <v>44.053669999999997</v>
      </c>
      <c r="BY20" s="102"/>
      <c r="BZ20" s="103"/>
      <c r="CA20" s="104"/>
      <c r="CB20" s="104"/>
      <c r="CC20" s="104"/>
      <c r="CD20" s="104"/>
      <c r="CE20" s="104">
        <v>118.14735</v>
      </c>
      <c r="CF20" s="104">
        <v>52.418509999999998</v>
      </c>
      <c r="CG20" s="104">
        <v>51.404559999999996</v>
      </c>
      <c r="CH20" s="104"/>
      <c r="CI20" s="104"/>
      <c r="CJ20" s="104"/>
      <c r="CK20" s="105">
        <v>191.19621000000001</v>
      </c>
      <c r="CL20" s="103">
        <v>180.55348000000001</v>
      </c>
      <c r="CM20" s="104">
        <v>180.52450999999999</v>
      </c>
      <c r="CN20" s="104">
        <v>181.33356000000001</v>
      </c>
      <c r="CO20" s="105">
        <v>181.02912000000001</v>
      </c>
      <c r="CP20" s="103"/>
      <c r="CQ20" s="105"/>
      <c r="CR20" s="103"/>
      <c r="CS20" s="105"/>
      <c r="CT20" s="103"/>
      <c r="CU20" s="104"/>
      <c r="CV20" s="106"/>
      <c r="CW20" s="103"/>
      <c r="CX20" s="104"/>
      <c r="CY20" s="104"/>
      <c r="CZ20" s="105"/>
      <c r="DA20" s="103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5"/>
      <c r="DN20" s="107"/>
      <c r="DO20" s="108"/>
      <c r="DP20" s="108"/>
      <c r="DQ20" s="109"/>
      <c r="DR20" s="103"/>
      <c r="DS20" s="104"/>
      <c r="DT20" s="104"/>
      <c r="DU20" s="105"/>
      <c r="DV20" s="102"/>
      <c r="DW20" s="103"/>
      <c r="DX20" s="104"/>
      <c r="DY20" s="104"/>
      <c r="DZ20" s="104"/>
      <c r="EA20" s="104"/>
      <c r="EB20" s="106"/>
      <c r="EC20" s="1"/>
      <c r="ED20" s="102"/>
      <c r="EE20" s="102"/>
      <c r="EF20" s="102"/>
      <c r="EG20" s="102"/>
      <c r="EH20" s="102"/>
      <c r="EI20" s="102"/>
      <c r="EJ20" s="102"/>
      <c r="EK20" s="102"/>
      <c r="EL20" s="103"/>
      <c r="EM20" s="105"/>
      <c r="EN20" s="103"/>
      <c r="EO20" s="105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3"/>
      <c r="FN20" s="104"/>
      <c r="FO20" s="104"/>
      <c r="FP20" s="105"/>
      <c r="FQ20" s="103"/>
      <c r="FR20" s="105"/>
      <c r="FS20" s="103"/>
      <c r="FT20" s="104"/>
      <c r="FU20" s="104"/>
      <c r="FV20" s="104"/>
      <c r="FW20" s="104"/>
      <c r="FX20" s="105"/>
      <c r="FY20" s="103"/>
      <c r="FZ20" s="105"/>
      <c r="GA20" s="103"/>
      <c r="GB20" s="104"/>
      <c r="GC20" s="104"/>
      <c r="GD20" s="105"/>
      <c r="GE20" s="102"/>
      <c r="GF20" s="102"/>
      <c r="GG20" s="102"/>
      <c r="GH20" s="103"/>
      <c r="GI20" s="104"/>
      <c r="GJ20" s="104"/>
      <c r="GK20" s="104"/>
      <c r="GL20" s="105"/>
      <c r="GM20" s="103"/>
      <c r="GN20" s="104"/>
      <c r="GO20" s="104"/>
      <c r="GP20" s="105"/>
      <c r="GQ20" s="102"/>
      <c r="GR20" s="103"/>
      <c r="GS20" s="104"/>
      <c r="GT20" s="105"/>
      <c r="GU20" s="1"/>
      <c r="GV20" s="102"/>
      <c r="GW20" s="103"/>
      <c r="GX20" s="102"/>
      <c r="GY20" s="102"/>
      <c r="GZ20" s="102"/>
      <c r="HA20" s="102"/>
      <c r="HB20" s="102"/>
      <c r="HC20" s="102"/>
      <c r="HD20" s="1"/>
      <c r="HE20" s="102"/>
      <c r="HF20" s="102"/>
      <c r="HG20" s="102"/>
      <c r="HH20" s="102"/>
      <c r="HI20" s="102"/>
      <c r="HJ20" s="102"/>
      <c r="HK20" s="103"/>
      <c r="HL20" s="105"/>
      <c r="HM20" s="1"/>
      <c r="HN20" s="103">
        <v>2768.5700299999999</v>
      </c>
      <c r="HO20" s="104">
        <v>2731.23684</v>
      </c>
      <c r="HP20" s="105">
        <v>665.47787999999991</v>
      </c>
    </row>
    <row r="21" spans="1:224" x14ac:dyDescent="0.3">
      <c r="A21" s="1"/>
      <c r="B21" s="101" t="s">
        <v>822</v>
      </c>
      <c r="C21" s="102"/>
      <c r="D21" s="103"/>
      <c r="E21" s="104"/>
      <c r="F21" s="104">
        <v>8.8258700000000001</v>
      </c>
      <c r="G21" s="105">
        <v>8.5166900000000005</v>
      </c>
      <c r="H21" s="103"/>
      <c r="I21" s="105"/>
      <c r="J21" s="103"/>
      <c r="K21" s="105"/>
      <c r="L21" s="103"/>
      <c r="M21" s="104"/>
      <c r="N21" s="104"/>
      <c r="O21" s="104"/>
      <c r="P21" s="104"/>
      <c r="Q21" s="104"/>
      <c r="R21" s="104"/>
      <c r="S21" s="105"/>
      <c r="T21" s="103">
        <v>18.14123</v>
      </c>
      <c r="U21" s="104">
        <v>19.191960000000002</v>
      </c>
      <c r="V21" s="105">
        <v>1.0612699999999999</v>
      </c>
      <c r="W21" s="102"/>
      <c r="X21" s="103"/>
      <c r="Y21" s="104"/>
      <c r="Z21" s="105">
        <v>23.060680000000001</v>
      </c>
      <c r="AA21" s="103"/>
      <c r="AB21" s="104"/>
      <c r="AC21" s="104"/>
      <c r="AD21" s="104">
        <v>11.413130000000001</v>
      </c>
      <c r="AE21" s="104">
        <v>23.889150000000001</v>
      </c>
      <c r="AF21" s="105">
        <v>10.22284</v>
      </c>
      <c r="AG21" s="102"/>
      <c r="AH21" s="102"/>
      <c r="AI21" s="102"/>
      <c r="AJ21" s="103">
        <v>213.71525</v>
      </c>
      <c r="AK21" s="105">
        <v>7.8466800000000001</v>
      </c>
      <c r="AL21" s="103"/>
      <c r="AM21" s="105"/>
      <c r="AN21" s="102"/>
      <c r="AO21" s="103"/>
      <c r="AP21" s="105"/>
      <c r="AQ21" s="102"/>
      <c r="AR21" s="102"/>
      <c r="AS21" s="102"/>
      <c r="AT21" s="103"/>
      <c r="AU21" s="104"/>
      <c r="AV21" s="105"/>
      <c r="AW21" s="103"/>
      <c r="AX21" s="104"/>
      <c r="AY21" s="104"/>
      <c r="AZ21" s="104"/>
      <c r="BA21" s="104"/>
      <c r="BB21" s="105"/>
      <c r="BC21" s="103"/>
      <c r="BD21" s="105"/>
      <c r="BE21" s="102"/>
      <c r="BF21" s="103"/>
      <c r="BG21" s="104"/>
      <c r="BH21" s="105"/>
      <c r="BI21" s="103">
        <v>164.44227000000001</v>
      </c>
      <c r="BJ21" s="104">
        <v>165.47058000000001</v>
      </c>
      <c r="BK21" s="104">
        <v>165.59853000000001</v>
      </c>
      <c r="BL21" s="104"/>
      <c r="BM21" s="104"/>
      <c r="BN21" s="104"/>
      <c r="BO21" s="104"/>
      <c r="BP21" s="104"/>
      <c r="BQ21" s="104"/>
      <c r="BR21" s="104">
        <v>110.49702000000001</v>
      </c>
      <c r="BS21" s="104">
        <v>206.49456000000001</v>
      </c>
      <c r="BT21" s="104">
        <v>206.11548999999999</v>
      </c>
      <c r="BU21" s="104">
        <v>205.99002999999999</v>
      </c>
      <c r="BV21" s="105"/>
      <c r="BW21" s="103">
        <v>17.41583</v>
      </c>
      <c r="BX21" s="105">
        <v>44.053669999999997</v>
      </c>
      <c r="BY21" s="102"/>
      <c r="BZ21" s="103"/>
      <c r="CA21" s="104"/>
      <c r="CB21" s="104"/>
      <c r="CC21" s="104"/>
      <c r="CD21" s="104"/>
      <c r="CE21" s="104">
        <v>118.14735</v>
      </c>
      <c r="CF21" s="104">
        <v>52.418509999999998</v>
      </c>
      <c r="CG21" s="104">
        <v>51.404559999999996</v>
      </c>
      <c r="CH21" s="104"/>
      <c r="CI21" s="104"/>
      <c r="CJ21" s="104"/>
      <c r="CK21" s="105">
        <v>191.19621000000001</v>
      </c>
      <c r="CL21" s="103">
        <v>180.55348000000001</v>
      </c>
      <c r="CM21" s="104">
        <v>180.52450999999999</v>
      </c>
      <c r="CN21" s="104">
        <v>181.33356000000001</v>
      </c>
      <c r="CO21" s="105">
        <v>181.02912000000001</v>
      </c>
      <c r="CP21" s="103"/>
      <c r="CQ21" s="105"/>
      <c r="CR21" s="103"/>
      <c r="CS21" s="105"/>
      <c r="CT21" s="103"/>
      <c r="CU21" s="104"/>
      <c r="CV21" s="106"/>
      <c r="CW21" s="103"/>
      <c r="CX21" s="104"/>
      <c r="CY21" s="104"/>
      <c r="CZ21" s="105"/>
      <c r="DA21" s="103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5"/>
      <c r="DN21" s="107"/>
      <c r="DO21" s="108"/>
      <c r="DP21" s="108"/>
      <c r="DQ21" s="109"/>
      <c r="DR21" s="103"/>
      <c r="DS21" s="104"/>
      <c r="DT21" s="104"/>
      <c r="DU21" s="105"/>
      <c r="DV21" s="102"/>
      <c r="DW21" s="103"/>
      <c r="DX21" s="104"/>
      <c r="DY21" s="104"/>
      <c r="DZ21" s="104"/>
      <c r="EA21" s="104"/>
      <c r="EB21" s="106"/>
      <c r="EC21" s="1"/>
      <c r="ED21" s="102"/>
      <c r="EE21" s="102"/>
      <c r="EF21" s="102"/>
      <c r="EG21" s="102"/>
      <c r="EH21" s="102"/>
      <c r="EI21" s="102"/>
      <c r="EJ21" s="102"/>
      <c r="EK21" s="102"/>
      <c r="EL21" s="103"/>
      <c r="EM21" s="105"/>
      <c r="EN21" s="103"/>
      <c r="EO21" s="105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3"/>
      <c r="FN21" s="104"/>
      <c r="FO21" s="104"/>
      <c r="FP21" s="105"/>
      <c r="FQ21" s="103"/>
      <c r="FR21" s="105"/>
      <c r="FS21" s="103"/>
      <c r="FT21" s="104"/>
      <c r="FU21" s="104"/>
      <c r="FV21" s="104"/>
      <c r="FW21" s="104"/>
      <c r="FX21" s="105"/>
      <c r="FY21" s="103"/>
      <c r="FZ21" s="105"/>
      <c r="GA21" s="103"/>
      <c r="GB21" s="104"/>
      <c r="GC21" s="104"/>
      <c r="GD21" s="105"/>
      <c r="GE21" s="102"/>
      <c r="GF21" s="102"/>
      <c r="GG21" s="102"/>
      <c r="GH21" s="103"/>
      <c r="GI21" s="104"/>
      <c r="GJ21" s="104"/>
      <c r="GK21" s="104"/>
      <c r="GL21" s="105"/>
      <c r="GM21" s="103"/>
      <c r="GN21" s="104"/>
      <c r="GO21" s="104"/>
      <c r="GP21" s="105"/>
      <c r="GQ21" s="102"/>
      <c r="GR21" s="103"/>
      <c r="GS21" s="104"/>
      <c r="GT21" s="105"/>
      <c r="GU21" s="1"/>
      <c r="GV21" s="102"/>
      <c r="GW21" s="103"/>
      <c r="GX21" s="102"/>
      <c r="GY21" s="102"/>
      <c r="GZ21" s="102"/>
      <c r="HA21" s="102"/>
      <c r="HB21" s="102"/>
      <c r="HC21" s="102"/>
      <c r="HD21" s="1"/>
      <c r="HE21" s="102"/>
      <c r="HF21" s="102"/>
      <c r="HG21" s="102"/>
      <c r="HH21" s="102"/>
      <c r="HI21" s="102"/>
      <c r="HJ21" s="102"/>
      <c r="HK21" s="103"/>
      <c r="HL21" s="105"/>
      <c r="HM21" s="1"/>
      <c r="HN21" s="103">
        <v>2768.5700299999999</v>
      </c>
      <c r="HO21" s="104">
        <v>2731.23684</v>
      </c>
      <c r="HP21" s="105">
        <v>665.47787999999991</v>
      </c>
    </row>
    <row r="22" spans="1:224" x14ac:dyDescent="0.3">
      <c r="A22" s="1"/>
      <c r="B22" s="101" t="s">
        <v>823</v>
      </c>
      <c r="C22" s="102"/>
      <c r="D22" s="103"/>
      <c r="E22" s="104"/>
      <c r="F22" s="104">
        <v>8.8258700000000001</v>
      </c>
      <c r="G22" s="105">
        <v>8.5166900000000005</v>
      </c>
      <c r="H22" s="103"/>
      <c r="I22" s="105"/>
      <c r="J22" s="103"/>
      <c r="K22" s="105"/>
      <c r="L22" s="103"/>
      <c r="M22" s="104"/>
      <c r="N22" s="104"/>
      <c r="O22" s="104"/>
      <c r="P22" s="104"/>
      <c r="Q22" s="104"/>
      <c r="R22" s="104"/>
      <c r="S22" s="105"/>
      <c r="T22" s="103">
        <v>18.14123</v>
      </c>
      <c r="U22" s="104">
        <v>19.191960000000002</v>
      </c>
      <c r="V22" s="105">
        <v>1.0612699999999999</v>
      </c>
      <c r="W22" s="102"/>
      <c r="X22" s="103"/>
      <c r="Y22" s="104"/>
      <c r="Z22" s="105">
        <v>23.060680000000001</v>
      </c>
      <c r="AA22" s="103"/>
      <c r="AB22" s="104"/>
      <c r="AC22" s="104"/>
      <c r="AD22" s="104">
        <v>11.413130000000001</v>
      </c>
      <c r="AE22" s="104">
        <v>23.889150000000001</v>
      </c>
      <c r="AF22" s="105">
        <v>10.22284</v>
      </c>
      <c r="AG22" s="102"/>
      <c r="AH22" s="102"/>
      <c r="AI22" s="102"/>
      <c r="AJ22" s="103">
        <v>213.71525</v>
      </c>
      <c r="AK22" s="105">
        <v>7.8466800000000001</v>
      </c>
      <c r="AL22" s="103"/>
      <c r="AM22" s="105"/>
      <c r="AN22" s="102"/>
      <c r="AO22" s="103"/>
      <c r="AP22" s="105"/>
      <c r="AQ22" s="102"/>
      <c r="AR22" s="102"/>
      <c r="AS22" s="102"/>
      <c r="AT22" s="103"/>
      <c r="AU22" s="104"/>
      <c r="AV22" s="105"/>
      <c r="AW22" s="103"/>
      <c r="AX22" s="104"/>
      <c r="AY22" s="104"/>
      <c r="AZ22" s="104"/>
      <c r="BA22" s="104"/>
      <c r="BB22" s="105"/>
      <c r="BC22" s="103"/>
      <c r="BD22" s="105"/>
      <c r="BE22" s="102"/>
      <c r="BF22" s="103"/>
      <c r="BG22" s="104"/>
      <c r="BH22" s="105"/>
      <c r="BI22" s="103">
        <v>164.44227000000001</v>
      </c>
      <c r="BJ22" s="104">
        <v>165.47058000000001</v>
      </c>
      <c r="BK22" s="104">
        <v>165.59853000000001</v>
      </c>
      <c r="BL22" s="104"/>
      <c r="BM22" s="104"/>
      <c r="BN22" s="104"/>
      <c r="BO22" s="104"/>
      <c r="BP22" s="104"/>
      <c r="BQ22" s="104"/>
      <c r="BR22" s="104">
        <v>110.49702000000001</v>
      </c>
      <c r="BS22" s="104">
        <v>206.49456000000001</v>
      </c>
      <c r="BT22" s="104">
        <v>206.11548999999999</v>
      </c>
      <c r="BU22" s="104">
        <v>205.99002999999999</v>
      </c>
      <c r="BV22" s="105"/>
      <c r="BW22" s="103">
        <v>17.41583</v>
      </c>
      <c r="BX22" s="105">
        <v>44.053669999999997</v>
      </c>
      <c r="BY22" s="102"/>
      <c r="BZ22" s="103"/>
      <c r="CA22" s="104"/>
      <c r="CB22" s="104"/>
      <c r="CC22" s="104"/>
      <c r="CD22" s="104"/>
      <c r="CE22" s="104">
        <v>118.14735</v>
      </c>
      <c r="CF22" s="104">
        <v>52.418509999999998</v>
      </c>
      <c r="CG22" s="104">
        <v>51.404559999999996</v>
      </c>
      <c r="CH22" s="104"/>
      <c r="CI22" s="104"/>
      <c r="CJ22" s="104"/>
      <c r="CK22" s="105">
        <v>191.19621000000001</v>
      </c>
      <c r="CL22" s="103">
        <v>180.55348000000001</v>
      </c>
      <c r="CM22" s="104">
        <v>180.52450999999999</v>
      </c>
      <c r="CN22" s="104">
        <v>181.33356000000001</v>
      </c>
      <c r="CO22" s="105">
        <v>181.02912000000001</v>
      </c>
      <c r="CP22" s="103"/>
      <c r="CQ22" s="105"/>
      <c r="CR22" s="103"/>
      <c r="CS22" s="105"/>
      <c r="CT22" s="103"/>
      <c r="CU22" s="104"/>
      <c r="CV22" s="106"/>
      <c r="CW22" s="103"/>
      <c r="CX22" s="104"/>
      <c r="CY22" s="104"/>
      <c r="CZ22" s="105"/>
      <c r="DA22" s="103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5"/>
      <c r="DN22" s="107"/>
      <c r="DO22" s="108"/>
      <c r="DP22" s="108"/>
      <c r="DQ22" s="109"/>
      <c r="DR22" s="103"/>
      <c r="DS22" s="104"/>
      <c r="DT22" s="104"/>
      <c r="DU22" s="105"/>
      <c r="DV22" s="102"/>
      <c r="DW22" s="103"/>
      <c r="DX22" s="104"/>
      <c r="DY22" s="104"/>
      <c r="DZ22" s="104"/>
      <c r="EA22" s="104"/>
      <c r="EB22" s="106"/>
      <c r="EC22" s="1"/>
      <c r="ED22" s="102"/>
      <c r="EE22" s="102"/>
      <c r="EF22" s="102"/>
      <c r="EG22" s="102"/>
      <c r="EH22" s="102"/>
      <c r="EI22" s="102"/>
      <c r="EJ22" s="102"/>
      <c r="EK22" s="102"/>
      <c r="EL22" s="103"/>
      <c r="EM22" s="105"/>
      <c r="EN22" s="103"/>
      <c r="EO22" s="105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3"/>
      <c r="FN22" s="104"/>
      <c r="FO22" s="104"/>
      <c r="FP22" s="105"/>
      <c r="FQ22" s="103"/>
      <c r="FR22" s="105"/>
      <c r="FS22" s="103"/>
      <c r="FT22" s="104"/>
      <c r="FU22" s="104"/>
      <c r="FV22" s="104"/>
      <c r="FW22" s="104"/>
      <c r="FX22" s="105"/>
      <c r="FY22" s="103"/>
      <c r="FZ22" s="105"/>
      <c r="GA22" s="103"/>
      <c r="GB22" s="104"/>
      <c r="GC22" s="104"/>
      <c r="GD22" s="105"/>
      <c r="GE22" s="102"/>
      <c r="GF22" s="102"/>
      <c r="GG22" s="102"/>
      <c r="GH22" s="103"/>
      <c r="GI22" s="104"/>
      <c r="GJ22" s="104"/>
      <c r="GK22" s="104"/>
      <c r="GL22" s="105"/>
      <c r="GM22" s="103"/>
      <c r="GN22" s="104"/>
      <c r="GO22" s="104"/>
      <c r="GP22" s="105"/>
      <c r="GQ22" s="102"/>
      <c r="GR22" s="103"/>
      <c r="GS22" s="104"/>
      <c r="GT22" s="105"/>
      <c r="GU22" s="1"/>
      <c r="GV22" s="102"/>
      <c r="GW22" s="103"/>
      <c r="GX22" s="102"/>
      <c r="GY22" s="102"/>
      <c r="GZ22" s="102"/>
      <c r="HA22" s="102"/>
      <c r="HB22" s="102"/>
      <c r="HC22" s="102"/>
      <c r="HD22" s="1"/>
      <c r="HE22" s="102"/>
      <c r="HF22" s="102"/>
      <c r="HG22" s="102"/>
      <c r="HH22" s="102"/>
      <c r="HI22" s="102"/>
      <c r="HJ22" s="102"/>
      <c r="HK22" s="103"/>
      <c r="HL22" s="105"/>
      <c r="HM22" s="1"/>
      <c r="HN22" s="103">
        <v>2768.5700299999999</v>
      </c>
      <c r="HO22" s="104">
        <v>2731.23684</v>
      </c>
      <c r="HP22" s="105">
        <v>665.47787999999991</v>
      </c>
    </row>
    <row r="23" spans="1:224" x14ac:dyDescent="0.3">
      <c r="A23" s="1"/>
      <c r="B23" s="101" t="s">
        <v>824</v>
      </c>
      <c r="C23" s="102"/>
      <c r="D23" s="103"/>
      <c r="E23" s="104"/>
      <c r="F23" s="104">
        <v>8.8258700000000001</v>
      </c>
      <c r="G23" s="105">
        <v>8.5166900000000005</v>
      </c>
      <c r="H23" s="103"/>
      <c r="I23" s="105"/>
      <c r="J23" s="103"/>
      <c r="K23" s="105"/>
      <c r="L23" s="103"/>
      <c r="M23" s="104"/>
      <c r="N23" s="104"/>
      <c r="O23" s="104"/>
      <c r="P23" s="104"/>
      <c r="Q23" s="104"/>
      <c r="R23" s="104"/>
      <c r="S23" s="105"/>
      <c r="T23" s="103">
        <v>18.14123</v>
      </c>
      <c r="U23" s="104">
        <v>19.191960000000002</v>
      </c>
      <c r="V23" s="105">
        <v>1.0612699999999999</v>
      </c>
      <c r="W23" s="102"/>
      <c r="X23" s="103"/>
      <c r="Y23" s="104"/>
      <c r="Z23" s="105">
        <v>23.060680000000001</v>
      </c>
      <c r="AA23" s="103"/>
      <c r="AB23" s="104"/>
      <c r="AC23" s="104"/>
      <c r="AD23" s="104">
        <v>11.413130000000001</v>
      </c>
      <c r="AE23" s="104">
        <v>23.889150000000001</v>
      </c>
      <c r="AF23" s="105">
        <v>10.22284</v>
      </c>
      <c r="AG23" s="102"/>
      <c r="AH23" s="102"/>
      <c r="AI23" s="102"/>
      <c r="AJ23" s="103">
        <v>213.71525</v>
      </c>
      <c r="AK23" s="105">
        <v>7.8466800000000001</v>
      </c>
      <c r="AL23" s="103"/>
      <c r="AM23" s="105"/>
      <c r="AN23" s="102"/>
      <c r="AO23" s="103"/>
      <c r="AP23" s="105"/>
      <c r="AQ23" s="102"/>
      <c r="AR23" s="102"/>
      <c r="AS23" s="102"/>
      <c r="AT23" s="103"/>
      <c r="AU23" s="104"/>
      <c r="AV23" s="105"/>
      <c r="AW23" s="103"/>
      <c r="AX23" s="104"/>
      <c r="AY23" s="104"/>
      <c r="AZ23" s="104"/>
      <c r="BA23" s="104"/>
      <c r="BB23" s="105"/>
      <c r="BC23" s="103"/>
      <c r="BD23" s="105"/>
      <c r="BE23" s="102"/>
      <c r="BF23" s="103"/>
      <c r="BG23" s="104"/>
      <c r="BH23" s="105"/>
      <c r="BI23" s="103">
        <v>164.44227000000001</v>
      </c>
      <c r="BJ23" s="104">
        <v>165.47058000000001</v>
      </c>
      <c r="BK23" s="104">
        <v>165.59853000000001</v>
      </c>
      <c r="BL23" s="104"/>
      <c r="BM23" s="104"/>
      <c r="BN23" s="104"/>
      <c r="BO23" s="104"/>
      <c r="BP23" s="104"/>
      <c r="BQ23" s="104"/>
      <c r="BR23" s="104">
        <v>110.49702000000001</v>
      </c>
      <c r="BS23" s="104">
        <v>206.49456000000001</v>
      </c>
      <c r="BT23" s="104">
        <v>206.11548999999999</v>
      </c>
      <c r="BU23" s="104">
        <v>205.99002999999999</v>
      </c>
      <c r="BV23" s="105"/>
      <c r="BW23" s="103">
        <v>17.41583</v>
      </c>
      <c r="BX23" s="105">
        <v>44.053669999999997</v>
      </c>
      <c r="BY23" s="102"/>
      <c r="BZ23" s="103"/>
      <c r="CA23" s="104"/>
      <c r="CB23" s="104"/>
      <c r="CC23" s="104"/>
      <c r="CD23" s="104"/>
      <c r="CE23" s="104">
        <v>118.14735</v>
      </c>
      <c r="CF23" s="104">
        <v>52.418509999999998</v>
      </c>
      <c r="CG23" s="104">
        <v>51.404559999999996</v>
      </c>
      <c r="CH23" s="104"/>
      <c r="CI23" s="104"/>
      <c r="CJ23" s="104"/>
      <c r="CK23" s="105">
        <v>191.19621000000001</v>
      </c>
      <c r="CL23" s="103">
        <v>180.55348000000001</v>
      </c>
      <c r="CM23" s="104">
        <v>180.52450999999999</v>
      </c>
      <c r="CN23" s="104">
        <v>181.33356000000001</v>
      </c>
      <c r="CO23" s="105">
        <v>181.02912000000001</v>
      </c>
      <c r="CP23" s="103"/>
      <c r="CQ23" s="105"/>
      <c r="CR23" s="103"/>
      <c r="CS23" s="105"/>
      <c r="CT23" s="103"/>
      <c r="CU23" s="104"/>
      <c r="CV23" s="106"/>
      <c r="CW23" s="103"/>
      <c r="CX23" s="104"/>
      <c r="CY23" s="104"/>
      <c r="CZ23" s="105"/>
      <c r="DA23" s="103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5"/>
      <c r="DN23" s="107"/>
      <c r="DO23" s="108"/>
      <c r="DP23" s="108"/>
      <c r="DQ23" s="109"/>
      <c r="DR23" s="103"/>
      <c r="DS23" s="104"/>
      <c r="DT23" s="104"/>
      <c r="DU23" s="105"/>
      <c r="DV23" s="102"/>
      <c r="DW23" s="103"/>
      <c r="DX23" s="104"/>
      <c r="DY23" s="104"/>
      <c r="DZ23" s="104"/>
      <c r="EA23" s="104"/>
      <c r="EB23" s="106"/>
      <c r="EC23" s="1"/>
      <c r="ED23" s="102"/>
      <c r="EE23" s="102"/>
      <c r="EF23" s="102"/>
      <c r="EG23" s="102"/>
      <c r="EH23" s="102"/>
      <c r="EI23" s="102"/>
      <c r="EJ23" s="102"/>
      <c r="EK23" s="102"/>
      <c r="EL23" s="103"/>
      <c r="EM23" s="105"/>
      <c r="EN23" s="103"/>
      <c r="EO23" s="105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3"/>
      <c r="FN23" s="104"/>
      <c r="FO23" s="104"/>
      <c r="FP23" s="105"/>
      <c r="FQ23" s="103"/>
      <c r="FR23" s="105"/>
      <c r="FS23" s="103"/>
      <c r="FT23" s="104"/>
      <c r="FU23" s="104"/>
      <c r="FV23" s="104"/>
      <c r="FW23" s="104"/>
      <c r="FX23" s="105"/>
      <c r="FY23" s="103"/>
      <c r="FZ23" s="105"/>
      <c r="GA23" s="103"/>
      <c r="GB23" s="104"/>
      <c r="GC23" s="104"/>
      <c r="GD23" s="105"/>
      <c r="GE23" s="102"/>
      <c r="GF23" s="102"/>
      <c r="GG23" s="102"/>
      <c r="GH23" s="103"/>
      <c r="GI23" s="104"/>
      <c r="GJ23" s="104"/>
      <c r="GK23" s="104"/>
      <c r="GL23" s="105"/>
      <c r="GM23" s="103"/>
      <c r="GN23" s="104"/>
      <c r="GO23" s="104"/>
      <c r="GP23" s="105"/>
      <c r="GQ23" s="102"/>
      <c r="GR23" s="103"/>
      <c r="GS23" s="104"/>
      <c r="GT23" s="105"/>
      <c r="GU23" s="1"/>
      <c r="GV23" s="102"/>
      <c r="GW23" s="103"/>
      <c r="GX23" s="102"/>
      <c r="GY23" s="102"/>
      <c r="GZ23" s="102"/>
      <c r="HA23" s="102"/>
      <c r="HB23" s="102"/>
      <c r="HC23" s="102"/>
      <c r="HD23" s="1"/>
      <c r="HE23" s="102"/>
      <c r="HF23" s="102"/>
      <c r="HG23" s="102"/>
      <c r="HH23" s="102"/>
      <c r="HI23" s="102"/>
      <c r="HJ23" s="102"/>
      <c r="HK23" s="103"/>
      <c r="HL23" s="105"/>
      <c r="HM23" s="1"/>
      <c r="HN23" s="103">
        <v>2768.5700299999999</v>
      </c>
      <c r="HO23" s="104">
        <v>2731.23684</v>
      </c>
      <c r="HP23" s="105">
        <v>665.47787999999991</v>
      </c>
    </row>
    <row r="24" spans="1:224" x14ac:dyDescent="0.3">
      <c r="A24" s="1"/>
      <c r="B24" s="101" t="s">
        <v>825</v>
      </c>
      <c r="C24" s="102"/>
      <c r="D24" s="103"/>
      <c r="E24" s="104"/>
      <c r="F24" s="104">
        <v>8.8258700000000001</v>
      </c>
      <c r="G24" s="105">
        <v>8.5166900000000005</v>
      </c>
      <c r="H24" s="103"/>
      <c r="I24" s="105"/>
      <c r="J24" s="103"/>
      <c r="K24" s="105"/>
      <c r="L24" s="103"/>
      <c r="M24" s="104"/>
      <c r="N24" s="104"/>
      <c r="O24" s="104"/>
      <c r="P24" s="104"/>
      <c r="Q24" s="104"/>
      <c r="R24" s="104"/>
      <c r="S24" s="105"/>
      <c r="T24" s="103">
        <v>18.14123</v>
      </c>
      <c r="U24" s="104">
        <v>19.191960000000002</v>
      </c>
      <c r="V24" s="105">
        <v>1.0612699999999999</v>
      </c>
      <c r="W24" s="102"/>
      <c r="X24" s="103"/>
      <c r="Y24" s="104"/>
      <c r="Z24" s="105">
        <v>23.060680000000001</v>
      </c>
      <c r="AA24" s="103"/>
      <c r="AB24" s="104"/>
      <c r="AC24" s="104"/>
      <c r="AD24" s="104">
        <v>11.413130000000001</v>
      </c>
      <c r="AE24" s="104">
        <v>23.889150000000001</v>
      </c>
      <c r="AF24" s="105">
        <v>10.22284</v>
      </c>
      <c r="AG24" s="102"/>
      <c r="AH24" s="102"/>
      <c r="AI24" s="102"/>
      <c r="AJ24" s="103">
        <v>213.71525</v>
      </c>
      <c r="AK24" s="105">
        <v>7.8466800000000001</v>
      </c>
      <c r="AL24" s="103"/>
      <c r="AM24" s="105"/>
      <c r="AN24" s="102"/>
      <c r="AO24" s="103"/>
      <c r="AP24" s="105"/>
      <c r="AQ24" s="102"/>
      <c r="AR24" s="102"/>
      <c r="AS24" s="102"/>
      <c r="AT24" s="103"/>
      <c r="AU24" s="104"/>
      <c r="AV24" s="105"/>
      <c r="AW24" s="103"/>
      <c r="AX24" s="104"/>
      <c r="AY24" s="104"/>
      <c r="AZ24" s="104"/>
      <c r="BA24" s="104"/>
      <c r="BB24" s="105"/>
      <c r="BC24" s="103"/>
      <c r="BD24" s="105"/>
      <c r="BE24" s="102"/>
      <c r="BF24" s="103"/>
      <c r="BG24" s="104"/>
      <c r="BH24" s="105"/>
      <c r="BI24" s="103">
        <v>164.44227000000001</v>
      </c>
      <c r="BJ24" s="104">
        <v>165.47058000000001</v>
      </c>
      <c r="BK24" s="104">
        <v>165.59853000000001</v>
      </c>
      <c r="BL24" s="104"/>
      <c r="BM24" s="104"/>
      <c r="BN24" s="104"/>
      <c r="BO24" s="104"/>
      <c r="BP24" s="104"/>
      <c r="BQ24" s="104"/>
      <c r="BR24" s="104">
        <v>110.49702000000001</v>
      </c>
      <c r="BS24" s="104">
        <v>206.49456000000001</v>
      </c>
      <c r="BT24" s="104">
        <v>206.11548999999999</v>
      </c>
      <c r="BU24" s="104">
        <v>205.99002999999999</v>
      </c>
      <c r="BV24" s="105"/>
      <c r="BW24" s="103">
        <v>17.41583</v>
      </c>
      <c r="BX24" s="105">
        <v>44.053669999999997</v>
      </c>
      <c r="BY24" s="102"/>
      <c r="BZ24" s="103"/>
      <c r="CA24" s="104"/>
      <c r="CB24" s="104"/>
      <c r="CC24" s="104"/>
      <c r="CD24" s="104"/>
      <c r="CE24" s="104">
        <v>118.14735</v>
      </c>
      <c r="CF24" s="104">
        <v>52.418509999999998</v>
      </c>
      <c r="CG24" s="104">
        <v>51.404559999999996</v>
      </c>
      <c r="CH24" s="104"/>
      <c r="CI24" s="104"/>
      <c r="CJ24" s="104"/>
      <c r="CK24" s="105">
        <v>191.19621000000001</v>
      </c>
      <c r="CL24" s="103">
        <v>180.55348000000001</v>
      </c>
      <c r="CM24" s="104">
        <v>180.52450999999999</v>
      </c>
      <c r="CN24" s="104">
        <v>181.33356000000001</v>
      </c>
      <c r="CO24" s="105">
        <v>181.02912000000001</v>
      </c>
      <c r="CP24" s="103"/>
      <c r="CQ24" s="105"/>
      <c r="CR24" s="103"/>
      <c r="CS24" s="105"/>
      <c r="CT24" s="103"/>
      <c r="CU24" s="104"/>
      <c r="CV24" s="106"/>
      <c r="CW24" s="103"/>
      <c r="CX24" s="104"/>
      <c r="CY24" s="104"/>
      <c r="CZ24" s="105"/>
      <c r="DA24" s="103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5"/>
      <c r="DN24" s="107"/>
      <c r="DO24" s="108"/>
      <c r="DP24" s="108"/>
      <c r="DQ24" s="109"/>
      <c r="DR24" s="103"/>
      <c r="DS24" s="104"/>
      <c r="DT24" s="104"/>
      <c r="DU24" s="105"/>
      <c r="DV24" s="102"/>
      <c r="DW24" s="103"/>
      <c r="DX24" s="104"/>
      <c r="DY24" s="104"/>
      <c r="DZ24" s="104"/>
      <c r="EA24" s="104"/>
      <c r="EB24" s="106"/>
      <c r="EC24" s="1"/>
      <c r="ED24" s="102"/>
      <c r="EE24" s="102"/>
      <c r="EF24" s="102"/>
      <c r="EG24" s="102"/>
      <c r="EH24" s="102"/>
      <c r="EI24" s="102"/>
      <c r="EJ24" s="102"/>
      <c r="EK24" s="102"/>
      <c r="EL24" s="103"/>
      <c r="EM24" s="105"/>
      <c r="EN24" s="103"/>
      <c r="EO24" s="105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3"/>
      <c r="FN24" s="104"/>
      <c r="FO24" s="104"/>
      <c r="FP24" s="105"/>
      <c r="FQ24" s="103"/>
      <c r="FR24" s="105"/>
      <c r="FS24" s="103"/>
      <c r="FT24" s="104"/>
      <c r="FU24" s="104"/>
      <c r="FV24" s="104"/>
      <c r="FW24" s="104"/>
      <c r="FX24" s="105"/>
      <c r="FY24" s="103"/>
      <c r="FZ24" s="105"/>
      <c r="GA24" s="103"/>
      <c r="GB24" s="104"/>
      <c r="GC24" s="104"/>
      <c r="GD24" s="105"/>
      <c r="GE24" s="102"/>
      <c r="GF24" s="102"/>
      <c r="GG24" s="102"/>
      <c r="GH24" s="103"/>
      <c r="GI24" s="104"/>
      <c r="GJ24" s="104"/>
      <c r="GK24" s="104"/>
      <c r="GL24" s="105"/>
      <c r="GM24" s="103"/>
      <c r="GN24" s="104"/>
      <c r="GO24" s="104"/>
      <c r="GP24" s="105"/>
      <c r="GQ24" s="102"/>
      <c r="GR24" s="103"/>
      <c r="GS24" s="104"/>
      <c r="GT24" s="105"/>
      <c r="GU24" s="1"/>
      <c r="GV24" s="102"/>
      <c r="GW24" s="103"/>
      <c r="GX24" s="102"/>
      <c r="GY24" s="102"/>
      <c r="GZ24" s="102"/>
      <c r="HA24" s="102"/>
      <c r="HB24" s="102"/>
      <c r="HC24" s="102"/>
      <c r="HD24" s="1"/>
      <c r="HE24" s="102"/>
      <c r="HF24" s="102"/>
      <c r="HG24" s="102"/>
      <c r="HH24" s="102"/>
      <c r="HI24" s="102"/>
      <c r="HJ24" s="102"/>
      <c r="HK24" s="103"/>
      <c r="HL24" s="105"/>
      <c r="HM24" s="1"/>
      <c r="HN24" s="103">
        <v>2768.5700299999999</v>
      </c>
      <c r="HO24" s="104">
        <v>2731.23684</v>
      </c>
      <c r="HP24" s="105">
        <v>665.47787999999991</v>
      </c>
    </row>
    <row r="25" spans="1:224" x14ac:dyDescent="0.3">
      <c r="A25" s="1"/>
      <c r="B25" s="101" t="s">
        <v>826</v>
      </c>
      <c r="C25" s="102"/>
      <c r="D25" s="103"/>
      <c r="E25" s="104"/>
      <c r="F25" s="104">
        <v>8.8258700000000001</v>
      </c>
      <c r="G25" s="105">
        <v>8.5166900000000005</v>
      </c>
      <c r="H25" s="103"/>
      <c r="I25" s="105"/>
      <c r="J25" s="103"/>
      <c r="K25" s="105"/>
      <c r="L25" s="103"/>
      <c r="M25" s="104"/>
      <c r="N25" s="104"/>
      <c r="O25" s="104"/>
      <c r="P25" s="104"/>
      <c r="Q25" s="104"/>
      <c r="R25" s="104"/>
      <c r="S25" s="105"/>
      <c r="T25" s="103">
        <v>18.14123</v>
      </c>
      <c r="U25" s="104">
        <v>19.191960000000002</v>
      </c>
      <c r="V25" s="105">
        <v>1.0612699999999999</v>
      </c>
      <c r="W25" s="102"/>
      <c r="X25" s="103"/>
      <c r="Y25" s="104"/>
      <c r="Z25" s="105">
        <v>23.060680000000001</v>
      </c>
      <c r="AA25" s="103"/>
      <c r="AB25" s="104"/>
      <c r="AC25" s="104"/>
      <c r="AD25" s="104">
        <v>11.413130000000001</v>
      </c>
      <c r="AE25" s="104">
        <v>23.889150000000001</v>
      </c>
      <c r="AF25" s="105">
        <v>10.22284</v>
      </c>
      <c r="AG25" s="102"/>
      <c r="AH25" s="102"/>
      <c r="AI25" s="102"/>
      <c r="AJ25" s="103">
        <v>213.71525</v>
      </c>
      <c r="AK25" s="105">
        <v>7.8466800000000001</v>
      </c>
      <c r="AL25" s="103"/>
      <c r="AM25" s="105"/>
      <c r="AN25" s="102"/>
      <c r="AO25" s="103"/>
      <c r="AP25" s="105"/>
      <c r="AQ25" s="102"/>
      <c r="AR25" s="102"/>
      <c r="AS25" s="102"/>
      <c r="AT25" s="103"/>
      <c r="AU25" s="104"/>
      <c r="AV25" s="105"/>
      <c r="AW25" s="103"/>
      <c r="AX25" s="104"/>
      <c r="AY25" s="104"/>
      <c r="AZ25" s="104"/>
      <c r="BA25" s="104"/>
      <c r="BB25" s="105"/>
      <c r="BC25" s="103"/>
      <c r="BD25" s="105"/>
      <c r="BE25" s="102"/>
      <c r="BF25" s="103"/>
      <c r="BG25" s="104"/>
      <c r="BH25" s="105"/>
      <c r="BI25" s="103">
        <v>164.44227000000001</v>
      </c>
      <c r="BJ25" s="104">
        <v>165.47058000000001</v>
      </c>
      <c r="BK25" s="104">
        <v>165.59853000000001</v>
      </c>
      <c r="BL25" s="104"/>
      <c r="BM25" s="104"/>
      <c r="BN25" s="104"/>
      <c r="BO25" s="104"/>
      <c r="BP25" s="104"/>
      <c r="BQ25" s="104"/>
      <c r="BR25" s="104">
        <v>110.49702000000001</v>
      </c>
      <c r="BS25" s="104">
        <v>206.49456000000001</v>
      </c>
      <c r="BT25" s="104">
        <v>206.11548999999999</v>
      </c>
      <c r="BU25" s="104">
        <v>205.99002999999999</v>
      </c>
      <c r="BV25" s="105"/>
      <c r="BW25" s="103">
        <v>17.41583</v>
      </c>
      <c r="BX25" s="105">
        <v>44.053669999999997</v>
      </c>
      <c r="BY25" s="102"/>
      <c r="BZ25" s="103"/>
      <c r="CA25" s="104"/>
      <c r="CB25" s="104"/>
      <c r="CC25" s="104"/>
      <c r="CD25" s="104"/>
      <c r="CE25" s="104">
        <v>118.14735</v>
      </c>
      <c r="CF25" s="104">
        <v>52.418509999999998</v>
      </c>
      <c r="CG25" s="104">
        <v>51.404559999999996</v>
      </c>
      <c r="CH25" s="104"/>
      <c r="CI25" s="104"/>
      <c r="CJ25" s="104"/>
      <c r="CK25" s="105">
        <v>191.19621000000001</v>
      </c>
      <c r="CL25" s="103">
        <v>180.55348000000001</v>
      </c>
      <c r="CM25" s="104">
        <v>180.52450999999999</v>
      </c>
      <c r="CN25" s="104">
        <v>181.33356000000001</v>
      </c>
      <c r="CO25" s="105">
        <v>181.02912000000001</v>
      </c>
      <c r="CP25" s="103"/>
      <c r="CQ25" s="105"/>
      <c r="CR25" s="103"/>
      <c r="CS25" s="105"/>
      <c r="CT25" s="103"/>
      <c r="CU25" s="104"/>
      <c r="CV25" s="106"/>
      <c r="CW25" s="103"/>
      <c r="CX25" s="104"/>
      <c r="CY25" s="104"/>
      <c r="CZ25" s="105"/>
      <c r="DA25" s="103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5"/>
      <c r="DN25" s="107"/>
      <c r="DO25" s="108"/>
      <c r="DP25" s="108"/>
      <c r="DQ25" s="109"/>
      <c r="DR25" s="103"/>
      <c r="DS25" s="104"/>
      <c r="DT25" s="104"/>
      <c r="DU25" s="105"/>
      <c r="DV25" s="102"/>
      <c r="DW25" s="103"/>
      <c r="DX25" s="104"/>
      <c r="DY25" s="104"/>
      <c r="DZ25" s="104"/>
      <c r="EA25" s="104"/>
      <c r="EB25" s="106"/>
      <c r="EC25" s="1"/>
      <c r="ED25" s="102"/>
      <c r="EE25" s="102"/>
      <c r="EF25" s="102"/>
      <c r="EG25" s="102"/>
      <c r="EH25" s="102"/>
      <c r="EI25" s="102"/>
      <c r="EJ25" s="102"/>
      <c r="EK25" s="102"/>
      <c r="EL25" s="103"/>
      <c r="EM25" s="105"/>
      <c r="EN25" s="103"/>
      <c r="EO25" s="105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3"/>
      <c r="FN25" s="104"/>
      <c r="FO25" s="104"/>
      <c r="FP25" s="105"/>
      <c r="FQ25" s="103"/>
      <c r="FR25" s="105"/>
      <c r="FS25" s="103"/>
      <c r="FT25" s="104"/>
      <c r="FU25" s="104"/>
      <c r="FV25" s="104"/>
      <c r="FW25" s="104"/>
      <c r="FX25" s="105"/>
      <c r="FY25" s="103"/>
      <c r="FZ25" s="105"/>
      <c r="GA25" s="103"/>
      <c r="GB25" s="104"/>
      <c r="GC25" s="104"/>
      <c r="GD25" s="105"/>
      <c r="GE25" s="102"/>
      <c r="GF25" s="102"/>
      <c r="GG25" s="102"/>
      <c r="GH25" s="103"/>
      <c r="GI25" s="104"/>
      <c r="GJ25" s="104"/>
      <c r="GK25" s="104"/>
      <c r="GL25" s="105"/>
      <c r="GM25" s="103"/>
      <c r="GN25" s="104"/>
      <c r="GO25" s="104"/>
      <c r="GP25" s="105"/>
      <c r="GQ25" s="102"/>
      <c r="GR25" s="103"/>
      <c r="GS25" s="104"/>
      <c r="GT25" s="105"/>
      <c r="GU25" s="1"/>
      <c r="GV25" s="102"/>
      <c r="GW25" s="103"/>
      <c r="GX25" s="102"/>
      <c r="GY25" s="102"/>
      <c r="GZ25" s="102"/>
      <c r="HA25" s="102"/>
      <c r="HB25" s="102"/>
      <c r="HC25" s="102"/>
      <c r="HD25" s="1"/>
      <c r="HE25" s="102"/>
      <c r="HF25" s="102"/>
      <c r="HG25" s="102"/>
      <c r="HH25" s="102"/>
      <c r="HI25" s="102"/>
      <c r="HJ25" s="102"/>
      <c r="HK25" s="103"/>
      <c r="HL25" s="105"/>
      <c r="HM25" s="1"/>
      <c r="HN25" s="103">
        <v>2768.5700299999999</v>
      </c>
      <c r="HO25" s="104">
        <v>2731.23684</v>
      </c>
      <c r="HP25" s="105">
        <v>665.47787999999991</v>
      </c>
    </row>
    <row r="26" spans="1:224" x14ac:dyDescent="0.3">
      <c r="A26" s="1"/>
      <c r="B26" s="101" t="s">
        <v>827</v>
      </c>
      <c r="C26" s="102"/>
      <c r="D26" s="103"/>
      <c r="E26" s="104"/>
      <c r="F26" s="104">
        <v>8.8258700000000001</v>
      </c>
      <c r="G26" s="105">
        <v>8.5166900000000005</v>
      </c>
      <c r="H26" s="103"/>
      <c r="I26" s="105"/>
      <c r="J26" s="103"/>
      <c r="K26" s="105"/>
      <c r="L26" s="103"/>
      <c r="M26" s="104"/>
      <c r="N26" s="104"/>
      <c r="O26" s="104"/>
      <c r="P26" s="104"/>
      <c r="Q26" s="104"/>
      <c r="R26" s="104"/>
      <c r="S26" s="105"/>
      <c r="T26" s="103">
        <v>18.14123</v>
      </c>
      <c r="U26" s="104">
        <v>19.191960000000002</v>
      </c>
      <c r="V26" s="105">
        <v>1.0612699999999999</v>
      </c>
      <c r="W26" s="102"/>
      <c r="X26" s="103"/>
      <c r="Y26" s="104"/>
      <c r="Z26" s="105">
        <v>23.060680000000001</v>
      </c>
      <c r="AA26" s="103"/>
      <c r="AB26" s="104"/>
      <c r="AC26" s="104"/>
      <c r="AD26" s="104">
        <v>11.413130000000001</v>
      </c>
      <c r="AE26" s="104">
        <v>23.889150000000001</v>
      </c>
      <c r="AF26" s="105">
        <v>10.22284</v>
      </c>
      <c r="AG26" s="102"/>
      <c r="AH26" s="102"/>
      <c r="AI26" s="102"/>
      <c r="AJ26" s="103">
        <v>213.71525</v>
      </c>
      <c r="AK26" s="105">
        <v>7.8466800000000001</v>
      </c>
      <c r="AL26" s="103"/>
      <c r="AM26" s="105"/>
      <c r="AN26" s="102"/>
      <c r="AO26" s="103"/>
      <c r="AP26" s="105"/>
      <c r="AQ26" s="102"/>
      <c r="AR26" s="102"/>
      <c r="AS26" s="102"/>
      <c r="AT26" s="103"/>
      <c r="AU26" s="104"/>
      <c r="AV26" s="105"/>
      <c r="AW26" s="103"/>
      <c r="AX26" s="104"/>
      <c r="AY26" s="104"/>
      <c r="AZ26" s="104"/>
      <c r="BA26" s="104"/>
      <c r="BB26" s="105"/>
      <c r="BC26" s="103"/>
      <c r="BD26" s="105"/>
      <c r="BE26" s="102"/>
      <c r="BF26" s="103"/>
      <c r="BG26" s="104"/>
      <c r="BH26" s="105"/>
      <c r="BI26" s="103">
        <v>164.44227000000001</v>
      </c>
      <c r="BJ26" s="104">
        <v>165.47058000000001</v>
      </c>
      <c r="BK26" s="104">
        <v>165.59853000000001</v>
      </c>
      <c r="BL26" s="104"/>
      <c r="BM26" s="104"/>
      <c r="BN26" s="104"/>
      <c r="BO26" s="104"/>
      <c r="BP26" s="104"/>
      <c r="BQ26" s="104"/>
      <c r="BR26" s="104">
        <v>110.49702000000001</v>
      </c>
      <c r="BS26" s="104">
        <v>206.49456000000001</v>
      </c>
      <c r="BT26" s="104">
        <v>206.11548999999999</v>
      </c>
      <c r="BU26" s="104">
        <v>205.99002999999999</v>
      </c>
      <c r="BV26" s="105"/>
      <c r="BW26" s="103">
        <v>17.41583</v>
      </c>
      <c r="BX26" s="105">
        <v>44.053669999999997</v>
      </c>
      <c r="BY26" s="102"/>
      <c r="BZ26" s="103"/>
      <c r="CA26" s="104"/>
      <c r="CB26" s="104"/>
      <c r="CC26" s="104"/>
      <c r="CD26" s="104"/>
      <c r="CE26" s="104">
        <v>118.14735</v>
      </c>
      <c r="CF26" s="104">
        <v>52.418509999999998</v>
      </c>
      <c r="CG26" s="104">
        <v>51.404559999999996</v>
      </c>
      <c r="CH26" s="104"/>
      <c r="CI26" s="104"/>
      <c r="CJ26" s="104"/>
      <c r="CK26" s="105">
        <v>191.19621000000001</v>
      </c>
      <c r="CL26" s="103">
        <v>180.55348000000001</v>
      </c>
      <c r="CM26" s="104">
        <v>180.52450999999999</v>
      </c>
      <c r="CN26" s="104">
        <v>181.33356000000001</v>
      </c>
      <c r="CO26" s="105">
        <v>181.02912000000001</v>
      </c>
      <c r="CP26" s="103"/>
      <c r="CQ26" s="105"/>
      <c r="CR26" s="103"/>
      <c r="CS26" s="105"/>
      <c r="CT26" s="103"/>
      <c r="CU26" s="104"/>
      <c r="CV26" s="106"/>
      <c r="CW26" s="103"/>
      <c r="CX26" s="104"/>
      <c r="CY26" s="104"/>
      <c r="CZ26" s="105"/>
      <c r="DA26" s="103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5"/>
      <c r="DN26" s="107"/>
      <c r="DO26" s="108"/>
      <c r="DP26" s="108"/>
      <c r="DQ26" s="109"/>
      <c r="DR26" s="103"/>
      <c r="DS26" s="104"/>
      <c r="DT26" s="104"/>
      <c r="DU26" s="105"/>
      <c r="DV26" s="102"/>
      <c r="DW26" s="103"/>
      <c r="DX26" s="104"/>
      <c r="DY26" s="104"/>
      <c r="DZ26" s="104"/>
      <c r="EA26" s="104"/>
      <c r="EB26" s="106"/>
      <c r="EC26" s="1"/>
      <c r="ED26" s="102"/>
      <c r="EE26" s="102"/>
      <c r="EF26" s="102"/>
      <c r="EG26" s="102"/>
      <c r="EH26" s="102"/>
      <c r="EI26" s="102"/>
      <c r="EJ26" s="102"/>
      <c r="EK26" s="102"/>
      <c r="EL26" s="103"/>
      <c r="EM26" s="105"/>
      <c r="EN26" s="103"/>
      <c r="EO26" s="105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3"/>
      <c r="FN26" s="104"/>
      <c r="FO26" s="104"/>
      <c r="FP26" s="105"/>
      <c r="FQ26" s="103"/>
      <c r="FR26" s="105"/>
      <c r="FS26" s="103"/>
      <c r="FT26" s="104"/>
      <c r="FU26" s="104"/>
      <c r="FV26" s="104"/>
      <c r="FW26" s="104"/>
      <c r="FX26" s="105"/>
      <c r="FY26" s="103"/>
      <c r="FZ26" s="105"/>
      <c r="GA26" s="103"/>
      <c r="GB26" s="104"/>
      <c r="GC26" s="104"/>
      <c r="GD26" s="105"/>
      <c r="GE26" s="102"/>
      <c r="GF26" s="102"/>
      <c r="GG26" s="102"/>
      <c r="GH26" s="103"/>
      <c r="GI26" s="104"/>
      <c r="GJ26" s="104"/>
      <c r="GK26" s="104"/>
      <c r="GL26" s="105"/>
      <c r="GM26" s="103"/>
      <c r="GN26" s="104"/>
      <c r="GO26" s="104"/>
      <c r="GP26" s="105"/>
      <c r="GQ26" s="102"/>
      <c r="GR26" s="103"/>
      <c r="GS26" s="104"/>
      <c r="GT26" s="105"/>
      <c r="GU26" s="1"/>
      <c r="GV26" s="102"/>
      <c r="GW26" s="103"/>
      <c r="GX26" s="102"/>
      <c r="GY26" s="102"/>
      <c r="GZ26" s="102"/>
      <c r="HA26" s="102"/>
      <c r="HB26" s="102"/>
      <c r="HC26" s="102"/>
      <c r="HD26" s="1"/>
      <c r="HE26" s="102"/>
      <c r="HF26" s="102"/>
      <c r="HG26" s="102"/>
      <c r="HH26" s="102"/>
      <c r="HI26" s="102"/>
      <c r="HJ26" s="102"/>
      <c r="HK26" s="103"/>
      <c r="HL26" s="105"/>
      <c r="HM26" s="1"/>
      <c r="HN26" s="103">
        <v>2768.5700299999999</v>
      </c>
      <c r="HO26" s="104">
        <v>2731.23684</v>
      </c>
      <c r="HP26" s="105">
        <v>665.47787999999991</v>
      </c>
    </row>
    <row r="27" spans="1:224" x14ac:dyDescent="0.3">
      <c r="A27" s="1"/>
      <c r="B27" s="101" t="s">
        <v>828</v>
      </c>
      <c r="C27" s="102"/>
      <c r="D27" s="103"/>
      <c r="E27" s="104"/>
      <c r="F27" s="104">
        <v>8.8258700000000001</v>
      </c>
      <c r="G27" s="105">
        <v>8.5166900000000005</v>
      </c>
      <c r="H27" s="103"/>
      <c r="I27" s="105"/>
      <c r="J27" s="103"/>
      <c r="K27" s="105"/>
      <c r="L27" s="103"/>
      <c r="M27" s="104"/>
      <c r="N27" s="104"/>
      <c r="O27" s="104"/>
      <c r="P27" s="104"/>
      <c r="Q27" s="104"/>
      <c r="R27" s="104"/>
      <c r="S27" s="105"/>
      <c r="T27" s="103">
        <v>18.14123</v>
      </c>
      <c r="U27" s="104">
        <v>19.191960000000002</v>
      </c>
      <c r="V27" s="105">
        <v>1.0612699999999999</v>
      </c>
      <c r="W27" s="102"/>
      <c r="X27" s="103"/>
      <c r="Y27" s="104"/>
      <c r="Z27" s="105">
        <v>23.060680000000001</v>
      </c>
      <c r="AA27" s="103"/>
      <c r="AB27" s="104"/>
      <c r="AC27" s="104"/>
      <c r="AD27" s="104">
        <v>11.413130000000001</v>
      </c>
      <c r="AE27" s="104">
        <v>23.889150000000001</v>
      </c>
      <c r="AF27" s="105">
        <v>10.22284</v>
      </c>
      <c r="AG27" s="102"/>
      <c r="AH27" s="102"/>
      <c r="AI27" s="102"/>
      <c r="AJ27" s="103">
        <v>213.71525</v>
      </c>
      <c r="AK27" s="105">
        <v>7.8466800000000001</v>
      </c>
      <c r="AL27" s="103"/>
      <c r="AM27" s="105"/>
      <c r="AN27" s="102"/>
      <c r="AO27" s="103"/>
      <c r="AP27" s="105"/>
      <c r="AQ27" s="102"/>
      <c r="AR27" s="102"/>
      <c r="AS27" s="102"/>
      <c r="AT27" s="103"/>
      <c r="AU27" s="104"/>
      <c r="AV27" s="105"/>
      <c r="AW27" s="103"/>
      <c r="AX27" s="104"/>
      <c r="AY27" s="104"/>
      <c r="AZ27" s="104"/>
      <c r="BA27" s="104"/>
      <c r="BB27" s="105"/>
      <c r="BC27" s="103"/>
      <c r="BD27" s="105"/>
      <c r="BE27" s="102"/>
      <c r="BF27" s="103"/>
      <c r="BG27" s="104"/>
      <c r="BH27" s="105"/>
      <c r="BI27" s="103">
        <v>164.44227000000001</v>
      </c>
      <c r="BJ27" s="104">
        <v>165.47058000000001</v>
      </c>
      <c r="BK27" s="104">
        <v>165.59853000000001</v>
      </c>
      <c r="BL27" s="104"/>
      <c r="BM27" s="104"/>
      <c r="BN27" s="104"/>
      <c r="BO27" s="104"/>
      <c r="BP27" s="104"/>
      <c r="BQ27" s="104"/>
      <c r="BR27" s="104">
        <v>110.49702000000001</v>
      </c>
      <c r="BS27" s="104">
        <v>206.49456000000001</v>
      </c>
      <c r="BT27" s="104">
        <v>206.11548999999999</v>
      </c>
      <c r="BU27" s="104">
        <v>205.99002999999999</v>
      </c>
      <c r="BV27" s="105"/>
      <c r="BW27" s="103">
        <v>17.41583</v>
      </c>
      <c r="BX27" s="105">
        <v>44.053669999999997</v>
      </c>
      <c r="BY27" s="102"/>
      <c r="BZ27" s="103"/>
      <c r="CA27" s="104"/>
      <c r="CB27" s="104"/>
      <c r="CC27" s="104"/>
      <c r="CD27" s="104"/>
      <c r="CE27" s="104">
        <v>118.14735</v>
      </c>
      <c r="CF27" s="104">
        <v>52.418509999999998</v>
      </c>
      <c r="CG27" s="104">
        <v>51.404559999999996</v>
      </c>
      <c r="CH27" s="104"/>
      <c r="CI27" s="104"/>
      <c r="CJ27" s="104"/>
      <c r="CK27" s="105">
        <v>191.19621000000001</v>
      </c>
      <c r="CL27" s="103">
        <v>180.55348000000001</v>
      </c>
      <c r="CM27" s="104">
        <v>180.52450999999999</v>
      </c>
      <c r="CN27" s="104">
        <v>181.33356000000001</v>
      </c>
      <c r="CO27" s="105">
        <v>181.02912000000001</v>
      </c>
      <c r="CP27" s="103"/>
      <c r="CQ27" s="105"/>
      <c r="CR27" s="103"/>
      <c r="CS27" s="105"/>
      <c r="CT27" s="103"/>
      <c r="CU27" s="104"/>
      <c r="CV27" s="106"/>
      <c r="CW27" s="103"/>
      <c r="CX27" s="104"/>
      <c r="CY27" s="104"/>
      <c r="CZ27" s="105"/>
      <c r="DA27" s="103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5"/>
      <c r="DN27" s="107"/>
      <c r="DO27" s="108"/>
      <c r="DP27" s="108"/>
      <c r="DQ27" s="109"/>
      <c r="DR27" s="103"/>
      <c r="DS27" s="104"/>
      <c r="DT27" s="104"/>
      <c r="DU27" s="105"/>
      <c r="DV27" s="102"/>
      <c r="DW27" s="103"/>
      <c r="DX27" s="104"/>
      <c r="DY27" s="104"/>
      <c r="DZ27" s="104"/>
      <c r="EA27" s="104"/>
      <c r="EB27" s="106"/>
      <c r="EC27" s="1"/>
      <c r="ED27" s="102"/>
      <c r="EE27" s="102"/>
      <c r="EF27" s="102"/>
      <c r="EG27" s="102"/>
      <c r="EH27" s="102"/>
      <c r="EI27" s="102"/>
      <c r="EJ27" s="102"/>
      <c r="EK27" s="102"/>
      <c r="EL27" s="103"/>
      <c r="EM27" s="105"/>
      <c r="EN27" s="103"/>
      <c r="EO27" s="105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3"/>
      <c r="FN27" s="104"/>
      <c r="FO27" s="104"/>
      <c r="FP27" s="105"/>
      <c r="FQ27" s="103"/>
      <c r="FR27" s="105"/>
      <c r="FS27" s="103"/>
      <c r="FT27" s="104"/>
      <c r="FU27" s="104"/>
      <c r="FV27" s="104"/>
      <c r="FW27" s="104"/>
      <c r="FX27" s="105"/>
      <c r="FY27" s="103"/>
      <c r="FZ27" s="105"/>
      <c r="GA27" s="103"/>
      <c r="GB27" s="104"/>
      <c r="GC27" s="104"/>
      <c r="GD27" s="105"/>
      <c r="GE27" s="102"/>
      <c r="GF27" s="102"/>
      <c r="GG27" s="102"/>
      <c r="GH27" s="103"/>
      <c r="GI27" s="104"/>
      <c r="GJ27" s="104"/>
      <c r="GK27" s="104"/>
      <c r="GL27" s="105"/>
      <c r="GM27" s="103"/>
      <c r="GN27" s="104"/>
      <c r="GO27" s="104"/>
      <c r="GP27" s="105"/>
      <c r="GQ27" s="102"/>
      <c r="GR27" s="103"/>
      <c r="GS27" s="104"/>
      <c r="GT27" s="105"/>
      <c r="GU27" s="1"/>
      <c r="GV27" s="102"/>
      <c r="GW27" s="103"/>
      <c r="GX27" s="102"/>
      <c r="GY27" s="102"/>
      <c r="GZ27" s="102"/>
      <c r="HA27" s="102"/>
      <c r="HB27" s="102"/>
      <c r="HC27" s="102"/>
      <c r="HD27" s="1"/>
      <c r="HE27" s="102"/>
      <c r="HF27" s="102"/>
      <c r="HG27" s="102"/>
      <c r="HH27" s="102"/>
      <c r="HI27" s="102"/>
      <c r="HJ27" s="102"/>
      <c r="HK27" s="103"/>
      <c r="HL27" s="105"/>
      <c r="HM27" s="1"/>
      <c r="HN27" s="103">
        <v>2768.5700299999999</v>
      </c>
      <c r="HO27" s="104">
        <v>2731.23684</v>
      </c>
      <c r="HP27" s="105">
        <v>665.47787999999991</v>
      </c>
    </row>
    <row r="28" spans="1:224" x14ac:dyDescent="0.3">
      <c r="A28" s="1"/>
      <c r="B28" s="101" t="s">
        <v>829</v>
      </c>
      <c r="C28" s="102"/>
      <c r="D28" s="103"/>
      <c r="E28" s="104"/>
      <c r="F28" s="104">
        <v>8.8258700000000001</v>
      </c>
      <c r="G28" s="105">
        <v>8.5166900000000005</v>
      </c>
      <c r="H28" s="103"/>
      <c r="I28" s="105"/>
      <c r="J28" s="103"/>
      <c r="K28" s="105"/>
      <c r="L28" s="103"/>
      <c r="M28" s="104"/>
      <c r="N28" s="104"/>
      <c r="O28" s="104"/>
      <c r="P28" s="104"/>
      <c r="Q28" s="104"/>
      <c r="R28" s="104"/>
      <c r="S28" s="105"/>
      <c r="T28" s="103">
        <v>18.14123</v>
      </c>
      <c r="U28" s="104">
        <v>19.191960000000002</v>
      </c>
      <c r="V28" s="105">
        <v>1.0612699999999999</v>
      </c>
      <c r="W28" s="102"/>
      <c r="X28" s="103"/>
      <c r="Y28" s="104"/>
      <c r="Z28" s="105">
        <v>23.060680000000001</v>
      </c>
      <c r="AA28" s="103"/>
      <c r="AB28" s="104"/>
      <c r="AC28" s="104"/>
      <c r="AD28" s="104">
        <v>11.413130000000001</v>
      </c>
      <c r="AE28" s="104">
        <v>23.889150000000001</v>
      </c>
      <c r="AF28" s="105">
        <v>10.22284</v>
      </c>
      <c r="AG28" s="102"/>
      <c r="AH28" s="102"/>
      <c r="AI28" s="102"/>
      <c r="AJ28" s="103">
        <v>213.71525</v>
      </c>
      <c r="AK28" s="105">
        <v>7.8466800000000001</v>
      </c>
      <c r="AL28" s="103"/>
      <c r="AM28" s="105"/>
      <c r="AN28" s="102"/>
      <c r="AO28" s="103"/>
      <c r="AP28" s="105"/>
      <c r="AQ28" s="102"/>
      <c r="AR28" s="102"/>
      <c r="AS28" s="102"/>
      <c r="AT28" s="103"/>
      <c r="AU28" s="104"/>
      <c r="AV28" s="105"/>
      <c r="AW28" s="103"/>
      <c r="AX28" s="104"/>
      <c r="AY28" s="104"/>
      <c r="AZ28" s="104"/>
      <c r="BA28" s="104"/>
      <c r="BB28" s="105"/>
      <c r="BC28" s="103"/>
      <c r="BD28" s="105"/>
      <c r="BE28" s="102"/>
      <c r="BF28" s="103"/>
      <c r="BG28" s="104"/>
      <c r="BH28" s="105"/>
      <c r="BI28" s="103">
        <v>164.44227000000001</v>
      </c>
      <c r="BJ28" s="104">
        <v>165.47058000000001</v>
      </c>
      <c r="BK28" s="104">
        <v>165.59853000000001</v>
      </c>
      <c r="BL28" s="104"/>
      <c r="BM28" s="104"/>
      <c r="BN28" s="104"/>
      <c r="BO28" s="104"/>
      <c r="BP28" s="104"/>
      <c r="BQ28" s="104"/>
      <c r="BR28" s="104">
        <v>110.49702000000001</v>
      </c>
      <c r="BS28" s="104">
        <v>206.49456000000001</v>
      </c>
      <c r="BT28" s="104">
        <v>206.11548999999999</v>
      </c>
      <c r="BU28" s="104">
        <v>205.99002999999999</v>
      </c>
      <c r="BV28" s="105"/>
      <c r="BW28" s="103">
        <v>17.41583</v>
      </c>
      <c r="BX28" s="105">
        <v>44.053669999999997</v>
      </c>
      <c r="BY28" s="102"/>
      <c r="BZ28" s="103"/>
      <c r="CA28" s="104"/>
      <c r="CB28" s="104"/>
      <c r="CC28" s="104"/>
      <c r="CD28" s="104"/>
      <c r="CE28" s="104">
        <v>118.14735</v>
      </c>
      <c r="CF28" s="104">
        <v>52.418509999999998</v>
      </c>
      <c r="CG28" s="104">
        <v>51.404559999999996</v>
      </c>
      <c r="CH28" s="104"/>
      <c r="CI28" s="104"/>
      <c r="CJ28" s="104"/>
      <c r="CK28" s="105">
        <v>191.19621000000001</v>
      </c>
      <c r="CL28" s="103">
        <v>180.55348000000001</v>
      </c>
      <c r="CM28" s="104">
        <v>180.52450999999999</v>
      </c>
      <c r="CN28" s="104">
        <v>181.33356000000001</v>
      </c>
      <c r="CO28" s="105">
        <v>181.02912000000001</v>
      </c>
      <c r="CP28" s="103"/>
      <c r="CQ28" s="105"/>
      <c r="CR28" s="103"/>
      <c r="CS28" s="105"/>
      <c r="CT28" s="103"/>
      <c r="CU28" s="104"/>
      <c r="CV28" s="106"/>
      <c r="CW28" s="103"/>
      <c r="CX28" s="104"/>
      <c r="CY28" s="104"/>
      <c r="CZ28" s="105"/>
      <c r="DA28" s="103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5"/>
      <c r="DN28" s="107"/>
      <c r="DO28" s="108"/>
      <c r="DP28" s="108"/>
      <c r="DQ28" s="109"/>
      <c r="DR28" s="103"/>
      <c r="DS28" s="104"/>
      <c r="DT28" s="104"/>
      <c r="DU28" s="105"/>
      <c r="DV28" s="102"/>
      <c r="DW28" s="103"/>
      <c r="DX28" s="104"/>
      <c r="DY28" s="104"/>
      <c r="DZ28" s="104"/>
      <c r="EA28" s="104"/>
      <c r="EB28" s="106"/>
      <c r="EC28" s="1"/>
      <c r="ED28" s="102"/>
      <c r="EE28" s="102"/>
      <c r="EF28" s="102"/>
      <c r="EG28" s="102"/>
      <c r="EH28" s="102"/>
      <c r="EI28" s="102"/>
      <c r="EJ28" s="102"/>
      <c r="EK28" s="102"/>
      <c r="EL28" s="103"/>
      <c r="EM28" s="105"/>
      <c r="EN28" s="103"/>
      <c r="EO28" s="105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3"/>
      <c r="FN28" s="104"/>
      <c r="FO28" s="104"/>
      <c r="FP28" s="105"/>
      <c r="FQ28" s="103"/>
      <c r="FR28" s="105"/>
      <c r="FS28" s="103"/>
      <c r="FT28" s="104"/>
      <c r="FU28" s="104"/>
      <c r="FV28" s="104"/>
      <c r="FW28" s="104"/>
      <c r="FX28" s="105"/>
      <c r="FY28" s="103"/>
      <c r="FZ28" s="105"/>
      <c r="GA28" s="103"/>
      <c r="GB28" s="104"/>
      <c r="GC28" s="104"/>
      <c r="GD28" s="105"/>
      <c r="GE28" s="102"/>
      <c r="GF28" s="102"/>
      <c r="GG28" s="102"/>
      <c r="GH28" s="103"/>
      <c r="GI28" s="104"/>
      <c r="GJ28" s="104"/>
      <c r="GK28" s="104"/>
      <c r="GL28" s="105"/>
      <c r="GM28" s="103"/>
      <c r="GN28" s="104"/>
      <c r="GO28" s="104"/>
      <c r="GP28" s="105"/>
      <c r="GQ28" s="102"/>
      <c r="GR28" s="103"/>
      <c r="GS28" s="104"/>
      <c r="GT28" s="105"/>
      <c r="GU28" s="1"/>
      <c r="GV28" s="102"/>
      <c r="GW28" s="103"/>
      <c r="GX28" s="102"/>
      <c r="GY28" s="102"/>
      <c r="GZ28" s="102"/>
      <c r="HA28" s="102"/>
      <c r="HB28" s="102"/>
      <c r="HC28" s="102"/>
      <c r="HD28" s="1"/>
      <c r="HE28" s="102"/>
      <c r="HF28" s="102"/>
      <c r="HG28" s="102"/>
      <c r="HH28" s="102"/>
      <c r="HI28" s="102"/>
      <c r="HJ28" s="102"/>
      <c r="HK28" s="103"/>
      <c r="HL28" s="105"/>
      <c r="HM28" s="1"/>
      <c r="HN28" s="103">
        <v>2768.5700299999999</v>
      </c>
      <c r="HO28" s="104">
        <v>2731.23684</v>
      </c>
      <c r="HP28" s="105">
        <v>665.47787999999991</v>
      </c>
    </row>
    <row r="29" spans="1:224" x14ac:dyDescent="0.3">
      <c r="A29" s="1"/>
      <c r="B29" s="101" t="s">
        <v>830</v>
      </c>
      <c r="C29" s="102"/>
      <c r="D29" s="103"/>
      <c r="E29" s="104"/>
      <c r="F29" s="104">
        <v>8.8258700000000001</v>
      </c>
      <c r="G29" s="105">
        <v>8.5166900000000005</v>
      </c>
      <c r="H29" s="103"/>
      <c r="I29" s="105"/>
      <c r="J29" s="103"/>
      <c r="K29" s="105"/>
      <c r="L29" s="103"/>
      <c r="M29" s="104"/>
      <c r="N29" s="104"/>
      <c r="O29" s="104"/>
      <c r="P29" s="104"/>
      <c r="Q29" s="104"/>
      <c r="R29" s="104"/>
      <c r="S29" s="105"/>
      <c r="T29" s="103">
        <v>18.14123</v>
      </c>
      <c r="U29" s="104">
        <v>19.191960000000002</v>
      </c>
      <c r="V29" s="105">
        <v>1.0612699999999999</v>
      </c>
      <c r="W29" s="102"/>
      <c r="X29" s="103"/>
      <c r="Y29" s="104"/>
      <c r="Z29" s="105">
        <v>23.060680000000001</v>
      </c>
      <c r="AA29" s="103"/>
      <c r="AB29" s="104"/>
      <c r="AC29" s="104"/>
      <c r="AD29" s="104">
        <v>11.413130000000001</v>
      </c>
      <c r="AE29" s="104">
        <v>23.889150000000001</v>
      </c>
      <c r="AF29" s="105">
        <v>10.22284</v>
      </c>
      <c r="AG29" s="102"/>
      <c r="AH29" s="102"/>
      <c r="AI29" s="102"/>
      <c r="AJ29" s="103">
        <v>213.71525</v>
      </c>
      <c r="AK29" s="105">
        <v>7.8466800000000001</v>
      </c>
      <c r="AL29" s="103"/>
      <c r="AM29" s="105"/>
      <c r="AN29" s="102"/>
      <c r="AO29" s="103"/>
      <c r="AP29" s="105"/>
      <c r="AQ29" s="102"/>
      <c r="AR29" s="102"/>
      <c r="AS29" s="102"/>
      <c r="AT29" s="103"/>
      <c r="AU29" s="104"/>
      <c r="AV29" s="105"/>
      <c r="AW29" s="103"/>
      <c r="AX29" s="104"/>
      <c r="AY29" s="104"/>
      <c r="AZ29" s="104"/>
      <c r="BA29" s="104"/>
      <c r="BB29" s="105"/>
      <c r="BC29" s="103"/>
      <c r="BD29" s="105"/>
      <c r="BE29" s="102"/>
      <c r="BF29" s="103"/>
      <c r="BG29" s="104"/>
      <c r="BH29" s="105"/>
      <c r="BI29" s="103">
        <v>164.44227000000001</v>
      </c>
      <c r="BJ29" s="104">
        <v>165.47058000000001</v>
      </c>
      <c r="BK29" s="104">
        <v>165.59853000000001</v>
      </c>
      <c r="BL29" s="104"/>
      <c r="BM29" s="104"/>
      <c r="BN29" s="104"/>
      <c r="BO29" s="104"/>
      <c r="BP29" s="104"/>
      <c r="BQ29" s="104"/>
      <c r="BR29" s="104">
        <v>110.49702000000001</v>
      </c>
      <c r="BS29" s="104">
        <v>206.49456000000001</v>
      </c>
      <c r="BT29" s="104">
        <v>206.11548999999999</v>
      </c>
      <c r="BU29" s="104">
        <v>205.99002999999999</v>
      </c>
      <c r="BV29" s="105"/>
      <c r="BW29" s="103">
        <v>17.41583</v>
      </c>
      <c r="BX29" s="105">
        <v>44.053669999999997</v>
      </c>
      <c r="BY29" s="102"/>
      <c r="BZ29" s="103"/>
      <c r="CA29" s="104"/>
      <c r="CB29" s="104"/>
      <c r="CC29" s="104"/>
      <c r="CD29" s="104"/>
      <c r="CE29" s="104">
        <v>118.14735</v>
      </c>
      <c r="CF29" s="104">
        <v>52.418509999999998</v>
      </c>
      <c r="CG29" s="104">
        <v>51.404559999999996</v>
      </c>
      <c r="CH29" s="104"/>
      <c r="CI29" s="104"/>
      <c r="CJ29" s="104"/>
      <c r="CK29" s="105">
        <v>191.19621000000001</v>
      </c>
      <c r="CL29" s="103">
        <v>180.55348000000001</v>
      </c>
      <c r="CM29" s="104">
        <v>180.52450999999999</v>
      </c>
      <c r="CN29" s="104">
        <v>181.33356000000001</v>
      </c>
      <c r="CO29" s="105">
        <v>181.02912000000001</v>
      </c>
      <c r="CP29" s="103"/>
      <c r="CQ29" s="105"/>
      <c r="CR29" s="103"/>
      <c r="CS29" s="105"/>
      <c r="CT29" s="103"/>
      <c r="CU29" s="104"/>
      <c r="CV29" s="106"/>
      <c r="CW29" s="103"/>
      <c r="CX29" s="104"/>
      <c r="CY29" s="104"/>
      <c r="CZ29" s="105"/>
      <c r="DA29" s="103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5"/>
      <c r="DN29" s="107"/>
      <c r="DO29" s="108"/>
      <c r="DP29" s="108"/>
      <c r="DQ29" s="109"/>
      <c r="DR29" s="103"/>
      <c r="DS29" s="104"/>
      <c r="DT29" s="104"/>
      <c r="DU29" s="105"/>
      <c r="DV29" s="102"/>
      <c r="DW29" s="103"/>
      <c r="DX29" s="104"/>
      <c r="DY29" s="104"/>
      <c r="DZ29" s="104"/>
      <c r="EA29" s="104"/>
      <c r="EB29" s="106"/>
      <c r="EC29" s="1"/>
      <c r="ED29" s="102"/>
      <c r="EE29" s="102"/>
      <c r="EF29" s="102"/>
      <c r="EG29" s="102"/>
      <c r="EH29" s="102"/>
      <c r="EI29" s="102"/>
      <c r="EJ29" s="102"/>
      <c r="EK29" s="102"/>
      <c r="EL29" s="103"/>
      <c r="EM29" s="105"/>
      <c r="EN29" s="103"/>
      <c r="EO29" s="105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3"/>
      <c r="FN29" s="104"/>
      <c r="FO29" s="104"/>
      <c r="FP29" s="105"/>
      <c r="FQ29" s="103"/>
      <c r="FR29" s="105"/>
      <c r="FS29" s="103"/>
      <c r="FT29" s="104"/>
      <c r="FU29" s="104"/>
      <c r="FV29" s="104"/>
      <c r="FW29" s="104"/>
      <c r="FX29" s="105"/>
      <c r="FY29" s="103"/>
      <c r="FZ29" s="105"/>
      <c r="GA29" s="103"/>
      <c r="GB29" s="104"/>
      <c r="GC29" s="104"/>
      <c r="GD29" s="105"/>
      <c r="GE29" s="102"/>
      <c r="GF29" s="102"/>
      <c r="GG29" s="102"/>
      <c r="GH29" s="103"/>
      <c r="GI29" s="104"/>
      <c r="GJ29" s="104"/>
      <c r="GK29" s="104"/>
      <c r="GL29" s="105"/>
      <c r="GM29" s="103"/>
      <c r="GN29" s="104"/>
      <c r="GO29" s="104"/>
      <c r="GP29" s="105"/>
      <c r="GQ29" s="102"/>
      <c r="GR29" s="103"/>
      <c r="GS29" s="104"/>
      <c r="GT29" s="105"/>
      <c r="GU29" s="1"/>
      <c r="GV29" s="102"/>
      <c r="GW29" s="103"/>
      <c r="GX29" s="102"/>
      <c r="GY29" s="102"/>
      <c r="GZ29" s="102"/>
      <c r="HA29" s="102"/>
      <c r="HB29" s="102"/>
      <c r="HC29" s="102"/>
      <c r="HD29" s="1"/>
      <c r="HE29" s="102"/>
      <c r="HF29" s="102"/>
      <c r="HG29" s="102"/>
      <c r="HH29" s="102"/>
      <c r="HI29" s="102"/>
      <c r="HJ29" s="102"/>
      <c r="HK29" s="103"/>
      <c r="HL29" s="105"/>
      <c r="HM29" s="1"/>
      <c r="HN29" s="103">
        <v>2768.5700299999999</v>
      </c>
      <c r="HO29" s="104">
        <v>2731.23684</v>
      </c>
      <c r="HP29" s="105">
        <v>665.47787999999991</v>
      </c>
    </row>
    <row r="30" spans="1:224" x14ac:dyDescent="0.3">
      <c r="A30" s="1"/>
      <c r="B30" s="101" t="s">
        <v>831</v>
      </c>
      <c r="C30" s="102"/>
      <c r="D30" s="103"/>
      <c r="E30" s="104"/>
      <c r="F30" s="104">
        <v>8.8258700000000001</v>
      </c>
      <c r="G30" s="105">
        <v>8.5166900000000005</v>
      </c>
      <c r="H30" s="103"/>
      <c r="I30" s="105"/>
      <c r="J30" s="103"/>
      <c r="K30" s="105"/>
      <c r="L30" s="103"/>
      <c r="M30" s="104"/>
      <c r="N30" s="104"/>
      <c r="O30" s="104"/>
      <c r="P30" s="104"/>
      <c r="Q30" s="104"/>
      <c r="R30" s="104"/>
      <c r="S30" s="105"/>
      <c r="T30" s="103">
        <v>18.14123</v>
      </c>
      <c r="U30" s="104">
        <v>19.191960000000002</v>
      </c>
      <c r="V30" s="105">
        <v>1.0612699999999999</v>
      </c>
      <c r="W30" s="102"/>
      <c r="X30" s="103"/>
      <c r="Y30" s="104"/>
      <c r="Z30" s="105">
        <v>23.060680000000001</v>
      </c>
      <c r="AA30" s="103"/>
      <c r="AB30" s="104"/>
      <c r="AC30" s="104"/>
      <c r="AD30" s="104">
        <v>11.413130000000001</v>
      </c>
      <c r="AE30" s="104">
        <v>23.889150000000001</v>
      </c>
      <c r="AF30" s="105">
        <v>10.22284</v>
      </c>
      <c r="AG30" s="102"/>
      <c r="AH30" s="102"/>
      <c r="AI30" s="102"/>
      <c r="AJ30" s="103">
        <v>213.71525</v>
      </c>
      <c r="AK30" s="105">
        <v>7.8466800000000001</v>
      </c>
      <c r="AL30" s="103"/>
      <c r="AM30" s="105"/>
      <c r="AN30" s="102"/>
      <c r="AO30" s="103"/>
      <c r="AP30" s="105"/>
      <c r="AQ30" s="102"/>
      <c r="AR30" s="102"/>
      <c r="AS30" s="102"/>
      <c r="AT30" s="103"/>
      <c r="AU30" s="104"/>
      <c r="AV30" s="105"/>
      <c r="AW30" s="103"/>
      <c r="AX30" s="104"/>
      <c r="AY30" s="104"/>
      <c r="AZ30" s="104"/>
      <c r="BA30" s="104"/>
      <c r="BB30" s="105"/>
      <c r="BC30" s="103"/>
      <c r="BD30" s="105"/>
      <c r="BE30" s="102"/>
      <c r="BF30" s="103"/>
      <c r="BG30" s="104"/>
      <c r="BH30" s="105"/>
      <c r="BI30" s="103">
        <v>164.44227000000001</v>
      </c>
      <c r="BJ30" s="104">
        <v>165.47058000000001</v>
      </c>
      <c r="BK30" s="104">
        <v>165.59853000000001</v>
      </c>
      <c r="BL30" s="104"/>
      <c r="BM30" s="104"/>
      <c r="BN30" s="104"/>
      <c r="BO30" s="104"/>
      <c r="BP30" s="104"/>
      <c r="BQ30" s="104"/>
      <c r="BR30" s="104">
        <v>110.49702000000001</v>
      </c>
      <c r="BS30" s="104">
        <v>206.49456000000001</v>
      </c>
      <c r="BT30" s="104">
        <v>206.11548999999999</v>
      </c>
      <c r="BU30" s="104">
        <v>205.99002999999999</v>
      </c>
      <c r="BV30" s="105"/>
      <c r="BW30" s="103">
        <v>17.41583</v>
      </c>
      <c r="BX30" s="105">
        <v>44.053669999999997</v>
      </c>
      <c r="BY30" s="102"/>
      <c r="BZ30" s="103"/>
      <c r="CA30" s="104"/>
      <c r="CB30" s="104"/>
      <c r="CC30" s="104"/>
      <c r="CD30" s="104"/>
      <c r="CE30" s="104">
        <v>118.14735</v>
      </c>
      <c r="CF30" s="104">
        <v>52.418509999999998</v>
      </c>
      <c r="CG30" s="104">
        <v>51.404559999999996</v>
      </c>
      <c r="CH30" s="104"/>
      <c r="CI30" s="104"/>
      <c r="CJ30" s="104"/>
      <c r="CK30" s="105">
        <v>191.19621000000001</v>
      </c>
      <c r="CL30" s="103">
        <v>180.55348000000001</v>
      </c>
      <c r="CM30" s="104">
        <v>180.52450999999999</v>
      </c>
      <c r="CN30" s="104">
        <v>181.33356000000001</v>
      </c>
      <c r="CO30" s="105">
        <v>181.02912000000001</v>
      </c>
      <c r="CP30" s="103"/>
      <c r="CQ30" s="105"/>
      <c r="CR30" s="103"/>
      <c r="CS30" s="105"/>
      <c r="CT30" s="103"/>
      <c r="CU30" s="104"/>
      <c r="CV30" s="106"/>
      <c r="CW30" s="103"/>
      <c r="CX30" s="104"/>
      <c r="CY30" s="104"/>
      <c r="CZ30" s="105"/>
      <c r="DA30" s="103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5"/>
      <c r="DN30" s="107"/>
      <c r="DO30" s="108"/>
      <c r="DP30" s="108"/>
      <c r="DQ30" s="109"/>
      <c r="DR30" s="103"/>
      <c r="DS30" s="104"/>
      <c r="DT30" s="104"/>
      <c r="DU30" s="105"/>
      <c r="DV30" s="102"/>
      <c r="DW30" s="103"/>
      <c r="DX30" s="104"/>
      <c r="DY30" s="104"/>
      <c r="DZ30" s="104"/>
      <c r="EA30" s="104"/>
      <c r="EB30" s="106"/>
      <c r="EC30" s="1"/>
      <c r="ED30" s="102"/>
      <c r="EE30" s="102"/>
      <c r="EF30" s="102"/>
      <c r="EG30" s="102"/>
      <c r="EH30" s="102"/>
      <c r="EI30" s="102"/>
      <c r="EJ30" s="102"/>
      <c r="EK30" s="102"/>
      <c r="EL30" s="103"/>
      <c r="EM30" s="105"/>
      <c r="EN30" s="103"/>
      <c r="EO30" s="105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3"/>
      <c r="FN30" s="104"/>
      <c r="FO30" s="104"/>
      <c r="FP30" s="105"/>
      <c r="FQ30" s="103"/>
      <c r="FR30" s="105"/>
      <c r="FS30" s="103"/>
      <c r="FT30" s="104"/>
      <c r="FU30" s="104"/>
      <c r="FV30" s="104"/>
      <c r="FW30" s="104"/>
      <c r="FX30" s="105"/>
      <c r="FY30" s="103"/>
      <c r="FZ30" s="105"/>
      <c r="GA30" s="103"/>
      <c r="GB30" s="104"/>
      <c r="GC30" s="104"/>
      <c r="GD30" s="105"/>
      <c r="GE30" s="102"/>
      <c r="GF30" s="102"/>
      <c r="GG30" s="102"/>
      <c r="GH30" s="103"/>
      <c r="GI30" s="104"/>
      <c r="GJ30" s="104"/>
      <c r="GK30" s="104"/>
      <c r="GL30" s="105"/>
      <c r="GM30" s="103"/>
      <c r="GN30" s="104"/>
      <c r="GO30" s="104"/>
      <c r="GP30" s="105"/>
      <c r="GQ30" s="102"/>
      <c r="GR30" s="103"/>
      <c r="GS30" s="104"/>
      <c r="GT30" s="105"/>
      <c r="GU30" s="1"/>
      <c r="GV30" s="102"/>
      <c r="GW30" s="103"/>
      <c r="GX30" s="102"/>
      <c r="GY30" s="102"/>
      <c r="GZ30" s="102"/>
      <c r="HA30" s="102"/>
      <c r="HB30" s="102"/>
      <c r="HC30" s="102"/>
      <c r="HD30" s="1"/>
      <c r="HE30" s="102"/>
      <c r="HF30" s="102"/>
      <c r="HG30" s="102"/>
      <c r="HH30" s="102"/>
      <c r="HI30" s="102"/>
      <c r="HJ30" s="102"/>
      <c r="HK30" s="103"/>
      <c r="HL30" s="105"/>
      <c r="HM30" s="1"/>
      <c r="HN30" s="103">
        <v>2768.5700299999999</v>
      </c>
      <c r="HO30" s="104">
        <v>2731.23684</v>
      </c>
      <c r="HP30" s="105">
        <v>665.47787999999991</v>
      </c>
    </row>
    <row r="31" spans="1:224" x14ac:dyDescent="0.3">
      <c r="A31" s="1"/>
      <c r="B31" s="101" t="s">
        <v>832</v>
      </c>
      <c r="C31" s="102"/>
      <c r="D31" s="103"/>
      <c r="E31" s="104"/>
      <c r="F31" s="104">
        <v>8.8258700000000001</v>
      </c>
      <c r="G31" s="105">
        <v>8.5166900000000005</v>
      </c>
      <c r="H31" s="103"/>
      <c r="I31" s="105"/>
      <c r="J31" s="103"/>
      <c r="K31" s="105"/>
      <c r="L31" s="103"/>
      <c r="M31" s="104"/>
      <c r="N31" s="104"/>
      <c r="O31" s="104"/>
      <c r="P31" s="104"/>
      <c r="Q31" s="104"/>
      <c r="R31" s="104"/>
      <c r="S31" s="105"/>
      <c r="T31" s="103">
        <v>18.14123</v>
      </c>
      <c r="U31" s="104">
        <v>19.191960000000002</v>
      </c>
      <c r="V31" s="105">
        <v>1.0612699999999999</v>
      </c>
      <c r="W31" s="102"/>
      <c r="X31" s="103"/>
      <c r="Y31" s="104"/>
      <c r="Z31" s="105">
        <v>23.060680000000001</v>
      </c>
      <c r="AA31" s="103"/>
      <c r="AB31" s="104"/>
      <c r="AC31" s="104"/>
      <c r="AD31" s="104">
        <v>11.413130000000001</v>
      </c>
      <c r="AE31" s="104">
        <v>23.889150000000001</v>
      </c>
      <c r="AF31" s="105">
        <v>10.22284</v>
      </c>
      <c r="AG31" s="102"/>
      <c r="AH31" s="102"/>
      <c r="AI31" s="102"/>
      <c r="AJ31" s="103">
        <v>213.71525</v>
      </c>
      <c r="AK31" s="105">
        <v>7.8466800000000001</v>
      </c>
      <c r="AL31" s="103"/>
      <c r="AM31" s="105"/>
      <c r="AN31" s="102"/>
      <c r="AO31" s="103"/>
      <c r="AP31" s="105"/>
      <c r="AQ31" s="102"/>
      <c r="AR31" s="102"/>
      <c r="AS31" s="102"/>
      <c r="AT31" s="103"/>
      <c r="AU31" s="104"/>
      <c r="AV31" s="105"/>
      <c r="AW31" s="103"/>
      <c r="AX31" s="104"/>
      <c r="AY31" s="104"/>
      <c r="AZ31" s="104"/>
      <c r="BA31" s="104"/>
      <c r="BB31" s="105"/>
      <c r="BC31" s="103"/>
      <c r="BD31" s="105"/>
      <c r="BE31" s="102"/>
      <c r="BF31" s="103"/>
      <c r="BG31" s="104"/>
      <c r="BH31" s="105"/>
      <c r="BI31" s="103">
        <v>164.44227000000001</v>
      </c>
      <c r="BJ31" s="104">
        <v>165.47058000000001</v>
      </c>
      <c r="BK31" s="104">
        <v>165.59853000000001</v>
      </c>
      <c r="BL31" s="104"/>
      <c r="BM31" s="104"/>
      <c r="BN31" s="104"/>
      <c r="BO31" s="104"/>
      <c r="BP31" s="104"/>
      <c r="BQ31" s="104"/>
      <c r="BR31" s="104">
        <v>110.49702000000001</v>
      </c>
      <c r="BS31" s="104">
        <v>206.49456000000001</v>
      </c>
      <c r="BT31" s="104">
        <v>206.11548999999999</v>
      </c>
      <c r="BU31" s="104">
        <v>205.99002999999999</v>
      </c>
      <c r="BV31" s="105"/>
      <c r="BW31" s="103">
        <v>17.41583</v>
      </c>
      <c r="BX31" s="105">
        <v>44.053669999999997</v>
      </c>
      <c r="BY31" s="102"/>
      <c r="BZ31" s="103"/>
      <c r="CA31" s="104"/>
      <c r="CB31" s="104"/>
      <c r="CC31" s="104"/>
      <c r="CD31" s="104"/>
      <c r="CE31" s="104">
        <v>118.14735</v>
      </c>
      <c r="CF31" s="104">
        <v>52.418509999999998</v>
      </c>
      <c r="CG31" s="104">
        <v>51.404559999999996</v>
      </c>
      <c r="CH31" s="104"/>
      <c r="CI31" s="104"/>
      <c r="CJ31" s="104"/>
      <c r="CK31" s="105">
        <v>191.19621000000001</v>
      </c>
      <c r="CL31" s="103">
        <v>180.55348000000001</v>
      </c>
      <c r="CM31" s="104">
        <v>180.52450999999999</v>
      </c>
      <c r="CN31" s="104">
        <v>181.33356000000001</v>
      </c>
      <c r="CO31" s="105">
        <v>181.02912000000001</v>
      </c>
      <c r="CP31" s="103"/>
      <c r="CQ31" s="105"/>
      <c r="CR31" s="103"/>
      <c r="CS31" s="105"/>
      <c r="CT31" s="103"/>
      <c r="CU31" s="104"/>
      <c r="CV31" s="106"/>
      <c r="CW31" s="103"/>
      <c r="CX31" s="104"/>
      <c r="CY31" s="104"/>
      <c r="CZ31" s="105"/>
      <c r="DA31" s="103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5"/>
      <c r="DN31" s="107"/>
      <c r="DO31" s="108"/>
      <c r="DP31" s="108"/>
      <c r="DQ31" s="109"/>
      <c r="DR31" s="103"/>
      <c r="DS31" s="104"/>
      <c r="DT31" s="104"/>
      <c r="DU31" s="105"/>
      <c r="DV31" s="102"/>
      <c r="DW31" s="103"/>
      <c r="DX31" s="104"/>
      <c r="DY31" s="104"/>
      <c r="DZ31" s="104"/>
      <c r="EA31" s="104"/>
      <c r="EB31" s="106"/>
      <c r="EC31" s="1"/>
      <c r="ED31" s="102"/>
      <c r="EE31" s="102"/>
      <c r="EF31" s="102"/>
      <c r="EG31" s="102"/>
      <c r="EH31" s="102"/>
      <c r="EI31" s="102"/>
      <c r="EJ31" s="102"/>
      <c r="EK31" s="102"/>
      <c r="EL31" s="103"/>
      <c r="EM31" s="105"/>
      <c r="EN31" s="103"/>
      <c r="EO31" s="105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3"/>
      <c r="FN31" s="104"/>
      <c r="FO31" s="104"/>
      <c r="FP31" s="105"/>
      <c r="FQ31" s="103"/>
      <c r="FR31" s="105"/>
      <c r="FS31" s="103"/>
      <c r="FT31" s="104"/>
      <c r="FU31" s="104"/>
      <c r="FV31" s="104"/>
      <c r="FW31" s="104"/>
      <c r="FX31" s="105"/>
      <c r="FY31" s="103"/>
      <c r="FZ31" s="105"/>
      <c r="GA31" s="103"/>
      <c r="GB31" s="104"/>
      <c r="GC31" s="104"/>
      <c r="GD31" s="105"/>
      <c r="GE31" s="102"/>
      <c r="GF31" s="102"/>
      <c r="GG31" s="102"/>
      <c r="GH31" s="103"/>
      <c r="GI31" s="104"/>
      <c r="GJ31" s="104"/>
      <c r="GK31" s="104"/>
      <c r="GL31" s="105"/>
      <c r="GM31" s="103"/>
      <c r="GN31" s="104"/>
      <c r="GO31" s="104"/>
      <c r="GP31" s="105"/>
      <c r="GQ31" s="102"/>
      <c r="GR31" s="103"/>
      <c r="GS31" s="104"/>
      <c r="GT31" s="105"/>
      <c r="GU31" s="1"/>
      <c r="GV31" s="102"/>
      <c r="GW31" s="103"/>
      <c r="GX31" s="102"/>
      <c r="GY31" s="102"/>
      <c r="GZ31" s="102"/>
      <c r="HA31" s="102"/>
      <c r="HB31" s="102"/>
      <c r="HC31" s="102"/>
      <c r="HD31" s="1"/>
      <c r="HE31" s="102"/>
      <c r="HF31" s="102"/>
      <c r="HG31" s="102"/>
      <c r="HH31" s="102"/>
      <c r="HI31" s="102"/>
      <c r="HJ31" s="102"/>
      <c r="HK31" s="103"/>
      <c r="HL31" s="105"/>
      <c r="HM31" s="1"/>
      <c r="HN31" s="103">
        <v>2768.5700299999999</v>
      </c>
      <c r="HO31" s="104">
        <v>2731.23684</v>
      </c>
      <c r="HP31" s="105">
        <v>665.47787999999991</v>
      </c>
    </row>
    <row r="32" spans="1:224" x14ac:dyDescent="0.3">
      <c r="A32" s="1"/>
      <c r="B32" s="101" t="s">
        <v>833</v>
      </c>
      <c r="C32" s="102"/>
      <c r="D32" s="103"/>
      <c r="E32" s="104"/>
      <c r="F32" s="104">
        <v>8.8258700000000001</v>
      </c>
      <c r="G32" s="105">
        <v>8.5166900000000005</v>
      </c>
      <c r="H32" s="103"/>
      <c r="I32" s="105"/>
      <c r="J32" s="103"/>
      <c r="K32" s="105"/>
      <c r="L32" s="103"/>
      <c r="M32" s="104"/>
      <c r="N32" s="104"/>
      <c r="O32" s="104"/>
      <c r="P32" s="104"/>
      <c r="Q32" s="104"/>
      <c r="R32" s="104"/>
      <c r="S32" s="105"/>
      <c r="T32" s="103">
        <v>18.14123</v>
      </c>
      <c r="U32" s="104">
        <v>19.191960000000002</v>
      </c>
      <c r="V32" s="105">
        <v>1.0612699999999999</v>
      </c>
      <c r="W32" s="102"/>
      <c r="X32" s="103"/>
      <c r="Y32" s="104"/>
      <c r="Z32" s="105">
        <v>23.060680000000001</v>
      </c>
      <c r="AA32" s="103"/>
      <c r="AB32" s="104"/>
      <c r="AC32" s="104"/>
      <c r="AD32" s="104">
        <v>11.413130000000001</v>
      </c>
      <c r="AE32" s="104">
        <v>23.889150000000001</v>
      </c>
      <c r="AF32" s="105">
        <v>10.22284</v>
      </c>
      <c r="AG32" s="102"/>
      <c r="AH32" s="102"/>
      <c r="AI32" s="102"/>
      <c r="AJ32" s="103">
        <v>213.71525</v>
      </c>
      <c r="AK32" s="105">
        <v>7.8466800000000001</v>
      </c>
      <c r="AL32" s="103"/>
      <c r="AM32" s="105"/>
      <c r="AN32" s="102"/>
      <c r="AO32" s="103"/>
      <c r="AP32" s="105"/>
      <c r="AQ32" s="102"/>
      <c r="AR32" s="102"/>
      <c r="AS32" s="102"/>
      <c r="AT32" s="103"/>
      <c r="AU32" s="104"/>
      <c r="AV32" s="105"/>
      <c r="AW32" s="103"/>
      <c r="AX32" s="104"/>
      <c r="AY32" s="104"/>
      <c r="AZ32" s="104"/>
      <c r="BA32" s="104"/>
      <c r="BB32" s="105"/>
      <c r="BC32" s="103"/>
      <c r="BD32" s="105"/>
      <c r="BE32" s="102"/>
      <c r="BF32" s="103"/>
      <c r="BG32" s="104"/>
      <c r="BH32" s="105"/>
      <c r="BI32" s="103">
        <v>164.44227000000001</v>
      </c>
      <c r="BJ32" s="104">
        <v>165.47058000000001</v>
      </c>
      <c r="BK32" s="104">
        <v>165.59853000000001</v>
      </c>
      <c r="BL32" s="104"/>
      <c r="BM32" s="104"/>
      <c r="BN32" s="104"/>
      <c r="BO32" s="104"/>
      <c r="BP32" s="104"/>
      <c r="BQ32" s="104"/>
      <c r="BR32" s="104">
        <v>110.49702000000001</v>
      </c>
      <c r="BS32" s="104">
        <v>206.49456000000001</v>
      </c>
      <c r="BT32" s="104">
        <v>206.11548999999999</v>
      </c>
      <c r="BU32" s="104">
        <v>205.99002999999999</v>
      </c>
      <c r="BV32" s="105"/>
      <c r="BW32" s="103">
        <v>17.41583</v>
      </c>
      <c r="BX32" s="105">
        <v>44.053669999999997</v>
      </c>
      <c r="BY32" s="102"/>
      <c r="BZ32" s="103"/>
      <c r="CA32" s="104"/>
      <c r="CB32" s="104"/>
      <c r="CC32" s="104"/>
      <c r="CD32" s="104"/>
      <c r="CE32" s="104">
        <v>118.14735</v>
      </c>
      <c r="CF32" s="104">
        <v>52.418509999999998</v>
      </c>
      <c r="CG32" s="104">
        <v>51.404559999999996</v>
      </c>
      <c r="CH32" s="104"/>
      <c r="CI32" s="104"/>
      <c r="CJ32" s="104"/>
      <c r="CK32" s="105">
        <v>191.19621000000001</v>
      </c>
      <c r="CL32" s="103">
        <v>180.55348000000001</v>
      </c>
      <c r="CM32" s="104">
        <v>180.52450999999999</v>
      </c>
      <c r="CN32" s="104">
        <v>181.33356000000001</v>
      </c>
      <c r="CO32" s="105">
        <v>181.02912000000001</v>
      </c>
      <c r="CP32" s="103"/>
      <c r="CQ32" s="105"/>
      <c r="CR32" s="103"/>
      <c r="CS32" s="105"/>
      <c r="CT32" s="103"/>
      <c r="CU32" s="104"/>
      <c r="CV32" s="106"/>
      <c r="CW32" s="103"/>
      <c r="CX32" s="104"/>
      <c r="CY32" s="104"/>
      <c r="CZ32" s="105"/>
      <c r="DA32" s="103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5"/>
      <c r="DN32" s="107"/>
      <c r="DO32" s="108"/>
      <c r="DP32" s="108"/>
      <c r="DQ32" s="109"/>
      <c r="DR32" s="103"/>
      <c r="DS32" s="104"/>
      <c r="DT32" s="104"/>
      <c r="DU32" s="105"/>
      <c r="DV32" s="102"/>
      <c r="DW32" s="103"/>
      <c r="DX32" s="104"/>
      <c r="DY32" s="104"/>
      <c r="DZ32" s="104"/>
      <c r="EA32" s="104"/>
      <c r="EB32" s="106"/>
      <c r="EC32" s="1"/>
      <c r="ED32" s="102"/>
      <c r="EE32" s="102"/>
      <c r="EF32" s="102"/>
      <c r="EG32" s="102"/>
      <c r="EH32" s="102"/>
      <c r="EI32" s="102"/>
      <c r="EJ32" s="102"/>
      <c r="EK32" s="102"/>
      <c r="EL32" s="103"/>
      <c r="EM32" s="105"/>
      <c r="EN32" s="103"/>
      <c r="EO32" s="105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3"/>
      <c r="FN32" s="104"/>
      <c r="FO32" s="104"/>
      <c r="FP32" s="105"/>
      <c r="FQ32" s="103"/>
      <c r="FR32" s="105"/>
      <c r="FS32" s="103"/>
      <c r="FT32" s="104"/>
      <c r="FU32" s="104"/>
      <c r="FV32" s="104"/>
      <c r="FW32" s="104"/>
      <c r="FX32" s="105"/>
      <c r="FY32" s="103"/>
      <c r="FZ32" s="105"/>
      <c r="GA32" s="103"/>
      <c r="GB32" s="104"/>
      <c r="GC32" s="104"/>
      <c r="GD32" s="105"/>
      <c r="GE32" s="102"/>
      <c r="GF32" s="102"/>
      <c r="GG32" s="102"/>
      <c r="GH32" s="103"/>
      <c r="GI32" s="104"/>
      <c r="GJ32" s="104"/>
      <c r="GK32" s="104"/>
      <c r="GL32" s="105"/>
      <c r="GM32" s="103"/>
      <c r="GN32" s="104"/>
      <c r="GO32" s="104"/>
      <c r="GP32" s="105"/>
      <c r="GQ32" s="102"/>
      <c r="GR32" s="103"/>
      <c r="GS32" s="104"/>
      <c r="GT32" s="105"/>
      <c r="GU32" s="1"/>
      <c r="GV32" s="102"/>
      <c r="GW32" s="103"/>
      <c r="GX32" s="102"/>
      <c r="GY32" s="102"/>
      <c r="GZ32" s="102"/>
      <c r="HA32" s="102"/>
      <c r="HB32" s="102"/>
      <c r="HC32" s="102"/>
      <c r="HD32" s="1"/>
      <c r="HE32" s="102"/>
      <c r="HF32" s="102"/>
      <c r="HG32" s="102"/>
      <c r="HH32" s="102"/>
      <c r="HI32" s="102"/>
      <c r="HJ32" s="102"/>
      <c r="HK32" s="103"/>
      <c r="HL32" s="105"/>
      <c r="HM32" s="1"/>
      <c r="HN32" s="103">
        <v>2768.5700299999999</v>
      </c>
      <c r="HO32" s="104">
        <v>2731.23684</v>
      </c>
      <c r="HP32" s="105">
        <v>665.47787999999991</v>
      </c>
    </row>
    <row r="33" spans="1:224" x14ac:dyDescent="0.3">
      <c r="A33" s="1"/>
      <c r="B33" s="101" t="s">
        <v>834</v>
      </c>
      <c r="C33" s="102"/>
      <c r="D33" s="103"/>
      <c r="E33" s="104"/>
      <c r="F33" s="104">
        <v>8.8258700000000001</v>
      </c>
      <c r="G33" s="105">
        <v>8.5166900000000005</v>
      </c>
      <c r="H33" s="103"/>
      <c r="I33" s="105"/>
      <c r="J33" s="103"/>
      <c r="K33" s="105"/>
      <c r="L33" s="103"/>
      <c r="M33" s="104"/>
      <c r="N33" s="104"/>
      <c r="O33" s="104"/>
      <c r="P33" s="104"/>
      <c r="Q33" s="104"/>
      <c r="R33" s="104"/>
      <c r="S33" s="105"/>
      <c r="T33" s="103">
        <v>18.14123</v>
      </c>
      <c r="U33" s="104">
        <v>19.191960000000002</v>
      </c>
      <c r="V33" s="105">
        <v>1.0612699999999999</v>
      </c>
      <c r="W33" s="102"/>
      <c r="X33" s="103"/>
      <c r="Y33" s="104"/>
      <c r="Z33" s="105">
        <v>23.060680000000001</v>
      </c>
      <c r="AA33" s="103"/>
      <c r="AB33" s="104"/>
      <c r="AC33" s="104"/>
      <c r="AD33" s="104">
        <v>11.413130000000001</v>
      </c>
      <c r="AE33" s="104">
        <v>23.889150000000001</v>
      </c>
      <c r="AF33" s="105">
        <v>10.22284</v>
      </c>
      <c r="AG33" s="102"/>
      <c r="AH33" s="102"/>
      <c r="AI33" s="102"/>
      <c r="AJ33" s="103">
        <v>213.71525</v>
      </c>
      <c r="AK33" s="105">
        <v>7.8466800000000001</v>
      </c>
      <c r="AL33" s="103"/>
      <c r="AM33" s="105"/>
      <c r="AN33" s="102"/>
      <c r="AO33" s="103"/>
      <c r="AP33" s="105"/>
      <c r="AQ33" s="102"/>
      <c r="AR33" s="102"/>
      <c r="AS33" s="102"/>
      <c r="AT33" s="103"/>
      <c r="AU33" s="104"/>
      <c r="AV33" s="105"/>
      <c r="AW33" s="103"/>
      <c r="AX33" s="104"/>
      <c r="AY33" s="104"/>
      <c r="AZ33" s="104"/>
      <c r="BA33" s="104"/>
      <c r="BB33" s="105"/>
      <c r="BC33" s="103"/>
      <c r="BD33" s="105"/>
      <c r="BE33" s="102"/>
      <c r="BF33" s="103"/>
      <c r="BG33" s="104"/>
      <c r="BH33" s="105"/>
      <c r="BI33" s="103">
        <v>164.44227000000001</v>
      </c>
      <c r="BJ33" s="104">
        <v>165.47058000000001</v>
      </c>
      <c r="BK33" s="104">
        <v>165.59853000000001</v>
      </c>
      <c r="BL33" s="104"/>
      <c r="BM33" s="104"/>
      <c r="BN33" s="104"/>
      <c r="BO33" s="104"/>
      <c r="BP33" s="104"/>
      <c r="BQ33" s="104"/>
      <c r="BR33" s="104">
        <v>110.49702000000001</v>
      </c>
      <c r="BS33" s="104">
        <v>206.49456000000001</v>
      </c>
      <c r="BT33" s="104">
        <v>206.11548999999999</v>
      </c>
      <c r="BU33" s="104">
        <v>205.99002999999999</v>
      </c>
      <c r="BV33" s="105"/>
      <c r="BW33" s="103">
        <v>17.41583</v>
      </c>
      <c r="BX33" s="105">
        <v>44.053669999999997</v>
      </c>
      <c r="BY33" s="102"/>
      <c r="BZ33" s="103"/>
      <c r="CA33" s="104"/>
      <c r="CB33" s="104"/>
      <c r="CC33" s="104"/>
      <c r="CD33" s="104"/>
      <c r="CE33" s="104">
        <v>118.14735</v>
      </c>
      <c r="CF33" s="104">
        <v>52.418509999999998</v>
      </c>
      <c r="CG33" s="104">
        <v>51.404559999999996</v>
      </c>
      <c r="CH33" s="104"/>
      <c r="CI33" s="104"/>
      <c r="CJ33" s="104"/>
      <c r="CK33" s="105">
        <v>191.19621000000001</v>
      </c>
      <c r="CL33" s="103">
        <v>180.55348000000001</v>
      </c>
      <c r="CM33" s="104">
        <v>180.52450999999999</v>
      </c>
      <c r="CN33" s="104">
        <v>181.33356000000001</v>
      </c>
      <c r="CO33" s="105">
        <v>181.02912000000001</v>
      </c>
      <c r="CP33" s="103"/>
      <c r="CQ33" s="105"/>
      <c r="CR33" s="103"/>
      <c r="CS33" s="105"/>
      <c r="CT33" s="103"/>
      <c r="CU33" s="104"/>
      <c r="CV33" s="106"/>
      <c r="CW33" s="103"/>
      <c r="CX33" s="104"/>
      <c r="CY33" s="104"/>
      <c r="CZ33" s="105"/>
      <c r="DA33" s="103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5"/>
      <c r="DN33" s="107"/>
      <c r="DO33" s="108"/>
      <c r="DP33" s="108"/>
      <c r="DQ33" s="109"/>
      <c r="DR33" s="103"/>
      <c r="DS33" s="104"/>
      <c r="DT33" s="104"/>
      <c r="DU33" s="105"/>
      <c r="DV33" s="102"/>
      <c r="DW33" s="103"/>
      <c r="DX33" s="104"/>
      <c r="DY33" s="104"/>
      <c r="DZ33" s="104"/>
      <c r="EA33" s="104"/>
      <c r="EB33" s="106"/>
      <c r="EC33" s="1"/>
      <c r="ED33" s="102"/>
      <c r="EE33" s="102"/>
      <c r="EF33" s="102"/>
      <c r="EG33" s="102"/>
      <c r="EH33" s="102"/>
      <c r="EI33" s="102"/>
      <c r="EJ33" s="102"/>
      <c r="EK33" s="102"/>
      <c r="EL33" s="103"/>
      <c r="EM33" s="105"/>
      <c r="EN33" s="103"/>
      <c r="EO33" s="105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3"/>
      <c r="FN33" s="104"/>
      <c r="FO33" s="104"/>
      <c r="FP33" s="105"/>
      <c r="FQ33" s="103"/>
      <c r="FR33" s="105"/>
      <c r="FS33" s="103"/>
      <c r="FT33" s="104"/>
      <c r="FU33" s="104"/>
      <c r="FV33" s="104"/>
      <c r="FW33" s="104"/>
      <c r="FX33" s="105"/>
      <c r="FY33" s="103"/>
      <c r="FZ33" s="105"/>
      <c r="GA33" s="103"/>
      <c r="GB33" s="104"/>
      <c r="GC33" s="104"/>
      <c r="GD33" s="105"/>
      <c r="GE33" s="102"/>
      <c r="GF33" s="102"/>
      <c r="GG33" s="102"/>
      <c r="GH33" s="103"/>
      <c r="GI33" s="104"/>
      <c r="GJ33" s="104"/>
      <c r="GK33" s="104"/>
      <c r="GL33" s="105"/>
      <c r="GM33" s="103"/>
      <c r="GN33" s="104"/>
      <c r="GO33" s="104"/>
      <c r="GP33" s="105"/>
      <c r="GQ33" s="102"/>
      <c r="GR33" s="103"/>
      <c r="GS33" s="104"/>
      <c r="GT33" s="105"/>
      <c r="GU33" s="1"/>
      <c r="GV33" s="102"/>
      <c r="GW33" s="103"/>
      <c r="GX33" s="102"/>
      <c r="GY33" s="102"/>
      <c r="GZ33" s="102"/>
      <c r="HA33" s="102"/>
      <c r="HB33" s="102"/>
      <c r="HC33" s="102"/>
      <c r="HD33" s="1"/>
      <c r="HE33" s="102"/>
      <c r="HF33" s="102"/>
      <c r="HG33" s="102"/>
      <c r="HH33" s="102"/>
      <c r="HI33" s="102"/>
      <c r="HJ33" s="102"/>
      <c r="HK33" s="103"/>
      <c r="HL33" s="105"/>
      <c r="HM33" s="1"/>
      <c r="HN33" s="103">
        <v>2768.5700299999999</v>
      </c>
      <c r="HO33" s="104">
        <v>2731.23684</v>
      </c>
      <c r="HP33" s="105">
        <v>665.47787999999991</v>
      </c>
    </row>
    <row r="34" spans="1:224" x14ac:dyDescent="0.3">
      <c r="A34" s="1"/>
      <c r="B34" s="101" t="s">
        <v>835</v>
      </c>
      <c r="C34" s="102"/>
      <c r="D34" s="103"/>
      <c r="E34" s="104"/>
      <c r="F34" s="104">
        <v>8.8258700000000001</v>
      </c>
      <c r="G34" s="105">
        <v>8.5166900000000005</v>
      </c>
      <c r="H34" s="103"/>
      <c r="I34" s="105"/>
      <c r="J34" s="103"/>
      <c r="K34" s="105"/>
      <c r="L34" s="103"/>
      <c r="M34" s="104"/>
      <c r="N34" s="104"/>
      <c r="O34" s="104"/>
      <c r="P34" s="104"/>
      <c r="Q34" s="104"/>
      <c r="R34" s="104"/>
      <c r="S34" s="105"/>
      <c r="T34" s="103">
        <v>18.14123</v>
      </c>
      <c r="U34" s="104">
        <v>19.191960000000002</v>
      </c>
      <c r="V34" s="105">
        <v>1.0612699999999999</v>
      </c>
      <c r="W34" s="102"/>
      <c r="X34" s="103"/>
      <c r="Y34" s="104"/>
      <c r="Z34" s="105">
        <v>23.060680000000001</v>
      </c>
      <c r="AA34" s="103"/>
      <c r="AB34" s="104"/>
      <c r="AC34" s="104"/>
      <c r="AD34" s="104">
        <v>11.413130000000001</v>
      </c>
      <c r="AE34" s="104">
        <v>23.889150000000001</v>
      </c>
      <c r="AF34" s="105">
        <v>10.22284</v>
      </c>
      <c r="AG34" s="102"/>
      <c r="AH34" s="102"/>
      <c r="AI34" s="102"/>
      <c r="AJ34" s="103"/>
      <c r="AK34" s="105">
        <v>7.8466800000000001</v>
      </c>
      <c r="AL34" s="103"/>
      <c r="AM34" s="105"/>
      <c r="AN34" s="102"/>
      <c r="AO34" s="103"/>
      <c r="AP34" s="105"/>
      <c r="AQ34" s="102"/>
      <c r="AR34" s="102"/>
      <c r="AS34" s="102"/>
      <c r="AT34" s="103"/>
      <c r="AU34" s="104"/>
      <c r="AV34" s="105"/>
      <c r="AW34" s="103"/>
      <c r="AX34" s="104"/>
      <c r="AY34" s="104"/>
      <c r="AZ34" s="104"/>
      <c r="BA34" s="104"/>
      <c r="BB34" s="105"/>
      <c r="BC34" s="103"/>
      <c r="BD34" s="105"/>
      <c r="BE34" s="102"/>
      <c r="BF34" s="103"/>
      <c r="BG34" s="104"/>
      <c r="BH34" s="105"/>
      <c r="BI34" s="103">
        <v>164.44227000000001</v>
      </c>
      <c r="BJ34" s="104">
        <v>165.47058000000001</v>
      </c>
      <c r="BK34" s="104">
        <v>165.59853000000001</v>
      </c>
      <c r="BL34" s="104"/>
      <c r="BM34" s="104"/>
      <c r="BN34" s="104"/>
      <c r="BO34" s="104"/>
      <c r="BP34" s="104"/>
      <c r="BQ34" s="104"/>
      <c r="BR34" s="104">
        <v>110.49702000000001</v>
      </c>
      <c r="BS34" s="104">
        <v>206.49456000000001</v>
      </c>
      <c r="BT34" s="104">
        <v>206.11548999999999</v>
      </c>
      <c r="BU34" s="104">
        <v>205.99002999999999</v>
      </c>
      <c r="BV34" s="105"/>
      <c r="BW34" s="103">
        <v>17.41583</v>
      </c>
      <c r="BX34" s="105">
        <v>44.053669999999997</v>
      </c>
      <c r="BY34" s="102"/>
      <c r="BZ34" s="103"/>
      <c r="CA34" s="104"/>
      <c r="CB34" s="104"/>
      <c r="CC34" s="104"/>
      <c r="CD34" s="104"/>
      <c r="CE34" s="104">
        <v>118.14735</v>
      </c>
      <c r="CF34" s="104">
        <v>52.418509999999998</v>
      </c>
      <c r="CG34" s="104">
        <v>51.404559999999996</v>
      </c>
      <c r="CH34" s="104"/>
      <c r="CI34" s="104"/>
      <c r="CJ34" s="104"/>
      <c r="CK34" s="105">
        <v>191.19621000000001</v>
      </c>
      <c r="CL34" s="103">
        <v>180.55348000000001</v>
      </c>
      <c r="CM34" s="104">
        <v>180.52450999999999</v>
      </c>
      <c r="CN34" s="104">
        <v>181.33356000000001</v>
      </c>
      <c r="CO34" s="105">
        <v>181.02912000000001</v>
      </c>
      <c r="CP34" s="103"/>
      <c r="CQ34" s="105"/>
      <c r="CR34" s="103"/>
      <c r="CS34" s="105"/>
      <c r="CT34" s="103"/>
      <c r="CU34" s="104"/>
      <c r="CV34" s="106"/>
      <c r="CW34" s="103"/>
      <c r="CX34" s="104"/>
      <c r="CY34" s="104"/>
      <c r="CZ34" s="105"/>
      <c r="DA34" s="103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5"/>
      <c r="DN34" s="107"/>
      <c r="DO34" s="108"/>
      <c r="DP34" s="108"/>
      <c r="DQ34" s="109"/>
      <c r="DR34" s="103"/>
      <c r="DS34" s="104"/>
      <c r="DT34" s="104"/>
      <c r="DU34" s="105"/>
      <c r="DV34" s="102"/>
      <c r="DW34" s="103"/>
      <c r="DX34" s="104"/>
      <c r="DY34" s="104"/>
      <c r="DZ34" s="104"/>
      <c r="EA34" s="104"/>
      <c r="EB34" s="106"/>
      <c r="EC34" s="1"/>
      <c r="ED34" s="102"/>
      <c r="EE34" s="102"/>
      <c r="EF34" s="102"/>
      <c r="EG34" s="102"/>
      <c r="EH34" s="102"/>
      <c r="EI34" s="102"/>
      <c r="EJ34" s="102"/>
      <c r="EK34" s="102"/>
      <c r="EL34" s="103"/>
      <c r="EM34" s="105"/>
      <c r="EN34" s="103"/>
      <c r="EO34" s="105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3"/>
      <c r="FN34" s="104"/>
      <c r="FO34" s="104"/>
      <c r="FP34" s="105"/>
      <c r="FQ34" s="103"/>
      <c r="FR34" s="105"/>
      <c r="FS34" s="103"/>
      <c r="FT34" s="104"/>
      <c r="FU34" s="104"/>
      <c r="FV34" s="104"/>
      <c r="FW34" s="104"/>
      <c r="FX34" s="105"/>
      <c r="FY34" s="103"/>
      <c r="FZ34" s="105"/>
      <c r="GA34" s="103"/>
      <c r="GB34" s="104"/>
      <c r="GC34" s="104"/>
      <c r="GD34" s="105"/>
      <c r="GE34" s="102"/>
      <c r="GF34" s="102"/>
      <c r="GG34" s="102"/>
      <c r="GH34" s="103"/>
      <c r="GI34" s="104"/>
      <c r="GJ34" s="104"/>
      <c r="GK34" s="104"/>
      <c r="GL34" s="105"/>
      <c r="GM34" s="103"/>
      <c r="GN34" s="104"/>
      <c r="GO34" s="104"/>
      <c r="GP34" s="105"/>
      <c r="GQ34" s="102"/>
      <c r="GR34" s="103"/>
      <c r="GS34" s="104"/>
      <c r="GT34" s="105"/>
      <c r="GU34" s="1"/>
      <c r="GV34" s="102"/>
      <c r="GW34" s="103"/>
      <c r="GX34" s="102"/>
      <c r="GY34" s="102"/>
      <c r="GZ34" s="102"/>
      <c r="HA34" s="102"/>
      <c r="HB34" s="102"/>
      <c r="HC34" s="102"/>
      <c r="HD34" s="1"/>
      <c r="HE34" s="102"/>
      <c r="HF34" s="102"/>
      <c r="HG34" s="102"/>
      <c r="HH34" s="102"/>
      <c r="HI34" s="102"/>
      <c r="HJ34" s="102"/>
      <c r="HK34" s="103"/>
      <c r="HL34" s="105"/>
      <c r="HM34" s="1"/>
      <c r="HN34" s="103">
        <v>2554.8547800000001</v>
      </c>
      <c r="HO34" s="104">
        <v>2517.5215900000003</v>
      </c>
      <c r="HP34" s="105">
        <v>665.47787999999991</v>
      </c>
    </row>
    <row r="35" spans="1:224" x14ac:dyDescent="0.3">
      <c r="A35" s="1"/>
      <c r="B35" s="101" t="s">
        <v>836</v>
      </c>
      <c r="C35" s="102"/>
      <c r="D35" s="103"/>
      <c r="E35" s="104"/>
      <c r="F35" s="104"/>
      <c r="G35" s="105"/>
      <c r="H35" s="103"/>
      <c r="I35" s="105"/>
      <c r="J35" s="103"/>
      <c r="K35" s="105"/>
      <c r="L35" s="103"/>
      <c r="M35" s="104"/>
      <c r="N35" s="104"/>
      <c r="O35" s="104"/>
      <c r="P35" s="104"/>
      <c r="Q35" s="104"/>
      <c r="R35" s="104"/>
      <c r="S35" s="105"/>
      <c r="T35" s="103">
        <v>18.14123</v>
      </c>
      <c r="U35" s="104">
        <v>19.191960000000002</v>
      </c>
      <c r="V35" s="105">
        <v>1.0612699999999999</v>
      </c>
      <c r="W35" s="102"/>
      <c r="X35" s="103"/>
      <c r="Y35" s="104"/>
      <c r="Z35" s="105">
        <v>23.060680000000001</v>
      </c>
      <c r="AA35" s="103"/>
      <c r="AB35" s="104"/>
      <c r="AC35" s="104"/>
      <c r="AD35" s="104">
        <v>11.413130000000001</v>
      </c>
      <c r="AE35" s="104">
        <v>23.889150000000001</v>
      </c>
      <c r="AF35" s="105">
        <v>10.22284</v>
      </c>
      <c r="AG35" s="102"/>
      <c r="AH35" s="102"/>
      <c r="AI35" s="102"/>
      <c r="AJ35" s="103"/>
      <c r="AK35" s="105">
        <v>7.8466800000000001</v>
      </c>
      <c r="AL35" s="103"/>
      <c r="AM35" s="105"/>
      <c r="AN35" s="102"/>
      <c r="AO35" s="103"/>
      <c r="AP35" s="105"/>
      <c r="AQ35" s="102"/>
      <c r="AR35" s="102"/>
      <c r="AS35" s="102"/>
      <c r="AT35" s="103"/>
      <c r="AU35" s="104"/>
      <c r="AV35" s="105"/>
      <c r="AW35" s="103"/>
      <c r="AX35" s="104"/>
      <c r="AY35" s="104"/>
      <c r="AZ35" s="104"/>
      <c r="BA35" s="104"/>
      <c r="BB35" s="105"/>
      <c r="BC35" s="103"/>
      <c r="BD35" s="105"/>
      <c r="BE35" s="102"/>
      <c r="BF35" s="103"/>
      <c r="BG35" s="104"/>
      <c r="BH35" s="105"/>
      <c r="BI35" s="103">
        <v>164.44227000000001</v>
      </c>
      <c r="BJ35" s="104">
        <v>165.47058000000001</v>
      </c>
      <c r="BK35" s="104">
        <v>165.59853000000001</v>
      </c>
      <c r="BL35" s="104"/>
      <c r="BM35" s="104"/>
      <c r="BN35" s="104"/>
      <c r="BO35" s="104"/>
      <c r="BP35" s="104"/>
      <c r="BQ35" s="104"/>
      <c r="BR35" s="104">
        <v>110.49702000000001</v>
      </c>
      <c r="BS35" s="104">
        <v>206.49456000000001</v>
      </c>
      <c r="BT35" s="104">
        <v>206.11548999999999</v>
      </c>
      <c r="BU35" s="104">
        <v>205.99002999999999</v>
      </c>
      <c r="BV35" s="105"/>
      <c r="BW35" s="103">
        <v>17.41583</v>
      </c>
      <c r="BX35" s="105">
        <v>44.053669999999997</v>
      </c>
      <c r="BY35" s="102"/>
      <c r="BZ35" s="103"/>
      <c r="CA35" s="104"/>
      <c r="CB35" s="104"/>
      <c r="CC35" s="104"/>
      <c r="CD35" s="104"/>
      <c r="CE35" s="104">
        <v>118.14735</v>
      </c>
      <c r="CF35" s="104">
        <v>52.418509999999998</v>
      </c>
      <c r="CG35" s="104">
        <v>51.404559999999996</v>
      </c>
      <c r="CH35" s="104"/>
      <c r="CI35" s="104"/>
      <c r="CJ35" s="104"/>
      <c r="CK35" s="105">
        <v>191.19621000000001</v>
      </c>
      <c r="CL35" s="103">
        <v>180.55348000000001</v>
      </c>
      <c r="CM35" s="104">
        <v>180.52450999999999</v>
      </c>
      <c r="CN35" s="104">
        <v>181.33356000000001</v>
      </c>
      <c r="CO35" s="105">
        <v>181.02912000000001</v>
      </c>
      <c r="CP35" s="103"/>
      <c r="CQ35" s="105"/>
      <c r="CR35" s="103"/>
      <c r="CS35" s="105"/>
      <c r="CT35" s="103"/>
      <c r="CU35" s="104"/>
      <c r="CV35" s="106"/>
      <c r="CW35" s="103"/>
      <c r="CX35" s="104"/>
      <c r="CY35" s="104"/>
      <c r="CZ35" s="105"/>
      <c r="DA35" s="103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5"/>
      <c r="DN35" s="107"/>
      <c r="DO35" s="108"/>
      <c r="DP35" s="108"/>
      <c r="DQ35" s="109"/>
      <c r="DR35" s="103"/>
      <c r="DS35" s="104"/>
      <c r="DT35" s="104"/>
      <c r="DU35" s="105"/>
      <c r="DV35" s="102"/>
      <c r="DW35" s="103"/>
      <c r="DX35" s="104"/>
      <c r="DY35" s="104"/>
      <c r="DZ35" s="104"/>
      <c r="EA35" s="104"/>
      <c r="EB35" s="106"/>
      <c r="EC35" s="1"/>
      <c r="ED35" s="102"/>
      <c r="EE35" s="102"/>
      <c r="EF35" s="102"/>
      <c r="EG35" s="102"/>
      <c r="EH35" s="102"/>
      <c r="EI35" s="102"/>
      <c r="EJ35" s="102"/>
      <c r="EK35" s="102"/>
      <c r="EL35" s="103"/>
      <c r="EM35" s="105"/>
      <c r="EN35" s="103"/>
      <c r="EO35" s="105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3"/>
      <c r="FN35" s="104"/>
      <c r="FO35" s="104"/>
      <c r="FP35" s="105"/>
      <c r="FQ35" s="103"/>
      <c r="FR35" s="105"/>
      <c r="FS35" s="103"/>
      <c r="FT35" s="104"/>
      <c r="FU35" s="104"/>
      <c r="FV35" s="104"/>
      <c r="FW35" s="104"/>
      <c r="FX35" s="105"/>
      <c r="FY35" s="103"/>
      <c r="FZ35" s="105"/>
      <c r="GA35" s="103"/>
      <c r="GB35" s="104"/>
      <c r="GC35" s="104"/>
      <c r="GD35" s="105"/>
      <c r="GE35" s="102"/>
      <c r="GF35" s="102"/>
      <c r="GG35" s="102"/>
      <c r="GH35" s="103"/>
      <c r="GI35" s="104"/>
      <c r="GJ35" s="104"/>
      <c r="GK35" s="104"/>
      <c r="GL35" s="105"/>
      <c r="GM35" s="103"/>
      <c r="GN35" s="104"/>
      <c r="GO35" s="104"/>
      <c r="GP35" s="105"/>
      <c r="GQ35" s="102"/>
      <c r="GR35" s="103"/>
      <c r="GS35" s="104"/>
      <c r="GT35" s="105"/>
      <c r="GU35" s="1"/>
      <c r="GV35" s="102"/>
      <c r="GW35" s="103"/>
      <c r="GX35" s="102"/>
      <c r="GY35" s="102"/>
      <c r="GZ35" s="102"/>
      <c r="HA35" s="102"/>
      <c r="HB35" s="102"/>
      <c r="HC35" s="102"/>
      <c r="HD35" s="1"/>
      <c r="HE35" s="102"/>
      <c r="HF35" s="102"/>
      <c r="HG35" s="102"/>
      <c r="HH35" s="102"/>
      <c r="HI35" s="102"/>
      <c r="HJ35" s="102"/>
      <c r="HK35" s="103"/>
      <c r="HL35" s="105"/>
      <c r="HM35" s="1"/>
      <c r="HN35" s="103">
        <v>2537.5122200000001</v>
      </c>
      <c r="HO35" s="104">
        <v>2500.1790300000002</v>
      </c>
      <c r="HP35" s="105">
        <v>665.47787999999991</v>
      </c>
    </row>
    <row r="36" spans="1:224" x14ac:dyDescent="0.3">
      <c r="A36" s="1"/>
      <c r="B36" s="101" t="s">
        <v>837</v>
      </c>
      <c r="C36" s="102"/>
      <c r="D36" s="103"/>
      <c r="E36" s="104"/>
      <c r="F36" s="104"/>
      <c r="G36" s="105"/>
      <c r="H36" s="103"/>
      <c r="I36" s="105"/>
      <c r="J36" s="103"/>
      <c r="K36" s="105"/>
      <c r="L36" s="103"/>
      <c r="M36" s="104"/>
      <c r="N36" s="104"/>
      <c r="O36" s="104"/>
      <c r="P36" s="104"/>
      <c r="Q36" s="104"/>
      <c r="R36" s="104"/>
      <c r="S36" s="105"/>
      <c r="T36" s="103">
        <v>18.14123</v>
      </c>
      <c r="U36" s="104">
        <v>19.191960000000002</v>
      </c>
      <c r="V36" s="105">
        <v>1.0612699999999999</v>
      </c>
      <c r="W36" s="102"/>
      <c r="X36" s="103"/>
      <c r="Y36" s="104"/>
      <c r="Z36" s="105">
        <v>23.060680000000001</v>
      </c>
      <c r="AA36" s="103"/>
      <c r="AB36" s="104"/>
      <c r="AC36" s="104"/>
      <c r="AD36" s="104">
        <v>11.413130000000001</v>
      </c>
      <c r="AE36" s="104">
        <v>23.889150000000001</v>
      </c>
      <c r="AF36" s="105">
        <v>10.22284</v>
      </c>
      <c r="AG36" s="102"/>
      <c r="AH36" s="102"/>
      <c r="AI36" s="102"/>
      <c r="AJ36" s="103"/>
      <c r="AK36" s="105">
        <v>7.8466800000000001</v>
      </c>
      <c r="AL36" s="103"/>
      <c r="AM36" s="105"/>
      <c r="AN36" s="102"/>
      <c r="AO36" s="103"/>
      <c r="AP36" s="105"/>
      <c r="AQ36" s="102"/>
      <c r="AR36" s="102"/>
      <c r="AS36" s="102"/>
      <c r="AT36" s="103"/>
      <c r="AU36" s="104"/>
      <c r="AV36" s="105"/>
      <c r="AW36" s="103"/>
      <c r="AX36" s="104"/>
      <c r="AY36" s="104"/>
      <c r="AZ36" s="104"/>
      <c r="BA36" s="104"/>
      <c r="BB36" s="105"/>
      <c r="BC36" s="103"/>
      <c r="BD36" s="105"/>
      <c r="BE36" s="102"/>
      <c r="BF36" s="103"/>
      <c r="BG36" s="104"/>
      <c r="BH36" s="105"/>
      <c r="BI36" s="103">
        <v>164.44227000000001</v>
      </c>
      <c r="BJ36" s="104">
        <v>165.47058000000001</v>
      </c>
      <c r="BK36" s="104">
        <v>165.59853000000001</v>
      </c>
      <c r="BL36" s="104"/>
      <c r="BM36" s="104"/>
      <c r="BN36" s="104"/>
      <c r="BO36" s="104"/>
      <c r="BP36" s="104"/>
      <c r="BQ36" s="104"/>
      <c r="BR36" s="104">
        <v>110.49702000000001</v>
      </c>
      <c r="BS36" s="104">
        <v>206.49456000000001</v>
      </c>
      <c r="BT36" s="104">
        <v>206.11548999999999</v>
      </c>
      <c r="BU36" s="104">
        <v>205.99002999999999</v>
      </c>
      <c r="BV36" s="105"/>
      <c r="BW36" s="103">
        <v>17.41583</v>
      </c>
      <c r="BX36" s="105">
        <v>44.053669999999997</v>
      </c>
      <c r="BY36" s="102"/>
      <c r="BZ36" s="103"/>
      <c r="CA36" s="104"/>
      <c r="CB36" s="104"/>
      <c r="CC36" s="104"/>
      <c r="CD36" s="104"/>
      <c r="CE36" s="104">
        <v>118.14735</v>
      </c>
      <c r="CF36" s="104">
        <v>52.418509999999998</v>
      </c>
      <c r="CG36" s="104">
        <v>51.404559999999996</v>
      </c>
      <c r="CH36" s="104"/>
      <c r="CI36" s="104"/>
      <c r="CJ36" s="104"/>
      <c r="CK36" s="105">
        <v>191.19621000000001</v>
      </c>
      <c r="CL36" s="103">
        <v>180.55348000000001</v>
      </c>
      <c r="CM36" s="104">
        <v>180.52450999999999</v>
      </c>
      <c r="CN36" s="104">
        <v>181.33356000000001</v>
      </c>
      <c r="CO36" s="105">
        <v>181.02912000000001</v>
      </c>
      <c r="CP36" s="103"/>
      <c r="CQ36" s="105"/>
      <c r="CR36" s="103"/>
      <c r="CS36" s="105"/>
      <c r="CT36" s="103"/>
      <c r="CU36" s="104"/>
      <c r="CV36" s="106"/>
      <c r="CW36" s="103"/>
      <c r="CX36" s="104"/>
      <c r="CY36" s="104"/>
      <c r="CZ36" s="105"/>
      <c r="DA36" s="103"/>
      <c r="DB36" s="104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5"/>
      <c r="DN36" s="107"/>
      <c r="DO36" s="108"/>
      <c r="DP36" s="108"/>
      <c r="DQ36" s="109"/>
      <c r="DR36" s="103"/>
      <c r="DS36" s="104"/>
      <c r="DT36" s="104"/>
      <c r="DU36" s="105"/>
      <c r="DV36" s="102"/>
      <c r="DW36" s="103"/>
      <c r="DX36" s="104"/>
      <c r="DY36" s="104"/>
      <c r="DZ36" s="104"/>
      <c r="EA36" s="104"/>
      <c r="EB36" s="106"/>
      <c r="EC36" s="1"/>
      <c r="ED36" s="102"/>
      <c r="EE36" s="102"/>
      <c r="EF36" s="102"/>
      <c r="EG36" s="102"/>
      <c r="EH36" s="102"/>
      <c r="EI36" s="102"/>
      <c r="EJ36" s="102"/>
      <c r="EK36" s="102"/>
      <c r="EL36" s="103"/>
      <c r="EM36" s="105"/>
      <c r="EN36" s="103"/>
      <c r="EO36" s="105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3"/>
      <c r="FN36" s="104"/>
      <c r="FO36" s="104"/>
      <c r="FP36" s="105"/>
      <c r="FQ36" s="103"/>
      <c r="FR36" s="105"/>
      <c r="FS36" s="103"/>
      <c r="FT36" s="104"/>
      <c r="FU36" s="104"/>
      <c r="FV36" s="104"/>
      <c r="FW36" s="104"/>
      <c r="FX36" s="105"/>
      <c r="FY36" s="103"/>
      <c r="FZ36" s="105"/>
      <c r="GA36" s="103"/>
      <c r="GB36" s="104"/>
      <c r="GC36" s="104"/>
      <c r="GD36" s="105"/>
      <c r="GE36" s="102"/>
      <c r="GF36" s="102"/>
      <c r="GG36" s="102"/>
      <c r="GH36" s="103"/>
      <c r="GI36" s="104"/>
      <c r="GJ36" s="104"/>
      <c r="GK36" s="104"/>
      <c r="GL36" s="105"/>
      <c r="GM36" s="103"/>
      <c r="GN36" s="104"/>
      <c r="GO36" s="104"/>
      <c r="GP36" s="105"/>
      <c r="GQ36" s="102"/>
      <c r="GR36" s="103"/>
      <c r="GS36" s="104"/>
      <c r="GT36" s="105"/>
      <c r="GU36" s="1"/>
      <c r="GV36" s="102"/>
      <c r="GW36" s="103"/>
      <c r="GX36" s="102"/>
      <c r="GY36" s="102"/>
      <c r="GZ36" s="102"/>
      <c r="HA36" s="102"/>
      <c r="HB36" s="102"/>
      <c r="HC36" s="102"/>
      <c r="HD36" s="1"/>
      <c r="HE36" s="102"/>
      <c r="HF36" s="102"/>
      <c r="HG36" s="102"/>
      <c r="HH36" s="102"/>
      <c r="HI36" s="102"/>
      <c r="HJ36" s="102"/>
      <c r="HK36" s="103"/>
      <c r="HL36" s="105"/>
      <c r="HM36" s="1"/>
      <c r="HN36" s="103">
        <v>2537.5122200000001</v>
      </c>
      <c r="HO36" s="104">
        <v>2500.1790300000002</v>
      </c>
      <c r="HP36" s="105">
        <v>665.47787999999991</v>
      </c>
    </row>
    <row r="37" spans="1:224" x14ac:dyDescent="0.3">
      <c r="A37" s="1"/>
      <c r="B37" s="101" t="s">
        <v>838</v>
      </c>
      <c r="C37" s="102"/>
      <c r="D37" s="103"/>
      <c r="E37" s="104"/>
      <c r="F37" s="104"/>
      <c r="G37" s="105"/>
      <c r="H37" s="103"/>
      <c r="I37" s="105"/>
      <c r="J37" s="103"/>
      <c r="K37" s="105"/>
      <c r="L37" s="103"/>
      <c r="M37" s="104"/>
      <c r="N37" s="104"/>
      <c r="O37" s="104"/>
      <c r="P37" s="104"/>
      <c r="Q37" s="104"/>
      <c r="R37" s="104"/>
      <c r="S37" s="105"/>
      <c r="T37" s="103">
        <v>18.14123</v>
      </c>
      <c r="U37" s="104">
        <v>19.191960000000002</v>
      </c>
      <c r="V37" s="105">
        <v>1.0612699999999999</v>
      </c>
      <c r="W37" s="102"/>
      <c r="X37" s="103"/>
      <c r="Y37" s="104"/>
      <c r="Z37" s="105">
        <v>23.060680000000001</v>
      </c>
      <c r="AA37" s="103"/>
      <c r="AB37" s="104"/>
      <c r="AC37" s="104"/>
      <c r="AD37" s="104">
        <v>11.413130000000001</v>
      </c>
      <c r="AE37" s="104">
        <v>23.889150000000001</v>
      </c>
      <c r="AF37" s="105">
        <v>10.22284</v>
      </c>
      <c r="AG37" s="102"/>
      <c r="AH37" s="102"/>
      <c r="AI37" s="102"/>
      <c r="AJ37" s="103"/>
      <c r="AK37" s="105">
        <v>7.8466800000000001</v>
      </c>
      <c r="AL37" s="103"/>
      <c r="AM37" s="105"/>
      <c r="AN37" s="102"/>
      <c r="AO37" s="103"/>
      <c r="AP37" s="105"/>
      <c r="AQ37" s="102"/>
      <c r="AR37" s="102"/>
      <c r="AS37" s="102"/>
      <c r="AT37" s="103"/>
      <c r="AU37" s="104"/>
      <c r="AV37" s="105"/>
      <c r="AW37" s="103"/>
      <c r="AX37" s="104"/>
      <c r="AY37" s="104"/>
      <c r="AZ37" s="104"/>
      <c r="BA37" s="104"/>
      <c r="BB37" s="105"/>
      <c r="BC37" s="103"/>
      <c r="BD37" s="105"/>
      <c r="BE37" s="102"/>
      <c r="BF37" s="103"/>
      <c r="BG37" s="104"/>
      <c r="BH37" s="105"/>
      <c r="BI37" s="103">
        <v>164.44227000000001</v>
      </c>
      <c r="BJ37" s="104">
        <v>165.47058000000001</v>
      </c>
      <c r="BK37" s="104">
        <v>165.59853000000001</v>
      </c>
      <c r="BL37" s="104"/>
      <c r="BM37" s="104"/>
      <c r="BN37" s="104"/>
      <c r="BO37" s="104"/>
      <c r="BP37" s="104"/>
      <c r="BQ37" s="104"/>
      <c r="BR37" s="104">
        <v>110.49702000000001</v>
      </c>
      <c r="BS37" s="104">
        <v>206.49456000000001</v>
      </c>
      <c r="BT37" s="104">
        <v>206.11548999999999</v>
      </c>
      <c r="BU37" s="104">
        <v>205.99002999999999</v>
      </c>
      <c r="BV37" s="105"/>
      <c r="BW37" s="103">
        <v>17.41583</v>
      </c>
      <c r="BX37" s="105">
        <v>44.053669999999997</v>
      </c>
      <c r="BY37" s="102"/>
      <c r="BZ37" s="103"/>
      <c r="CA37" s="104"/>
      <c r="CB37" s="104"/>
      <c r="CC37" s="104"/>
      <c r="CD37" s="104"/>
      <c r="CE37" s="104">
        <v>118.14735</v>
      </c>
      <c r="CF37" s="104">
        <v>52.418509999999998</v>
      </c>
      <c r="CG37" s="104">
        <v>51.404559999999996</v>
      </c>
      <c r="CH37" s="104"/>
      <c r="CI37" s="104"/>
      <c r="CJ37" s="104"/>
      <c r="CK37" s="105">
        <v>191.19621000000001</v>
      </c>
      <c r="CL37" s="103">
        <v>180.55348000000001</v>
      </c>
      <c r="CM37" s="104">
        <v>180.52450999999999</v>
      </c>
      <c r="CN37" s="104">
        <v>181.33356000000001</v>
      </c>
      <c r="CO37" s="105">
        <v>181.02912000000001</v>
      </c>
      <c r="CP37" s="103"/>
      <c r="CQ37" s="105"/>
      <c r="CR37" s="103"/>
      <c r="CS37" s="105"/>
      <c r="CT37" s="103"/>
      <c r="CU37" s="104"/>
      <c r="CV37" s="106"/>
      <c r="CW37" s="103"/>
      <c r="CX37" s="104"/>
      <c r="CY37" s="104"/>
      <c r="CZ37" s="105"/>
      <c r="DA37" s="103"/>
      <c r="DB37" s="104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5"/>
      <c r="DN37" s="107"/>
      <c r="DO37" s="108"/>
      <c r="DP37" s="108"/>
      <c r="DQ37" s="109"/>
      <c r="DR37" s="103"/>
      <c r="DS37" s="104"/>
      <c r="DT37" s="104"/>
      <c r="DU37" s="105"/>
      <c r="DV37" s="102"/>
      <c r="DW37" s="103"/>
      <c r="DX37" s="104"/>
      <c r="DY37" s="104"/>
      <c r="DZ37" s="104"/>
      <c r="EA37" s="104"/>
      <c r="EB37" s="106"/>
      <c r="EC37" s="1"/>
      <c r="ED37" s="102"/>
      <c r="EE37" s="102"/>
      <c r="EF37" s="102"/>
      <c r="EG37" s="102"/>
      <c r="EH37" s="102"/>
      <c r="EI37" s="102"/>
      <c r="EJ37" s="102"/>
      <c r="EK37" s="102"/>
      <c r="EL37" s="103"/>
      <c r="EM37" s="105"/>
      <c r="EN37" s="103"/>
      <c r="EO37" s="105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3"/>
      <c r="FN37" s="104"/>
      <c r="FO37" s="104"/>
      <c r="FP37" s="105"/>
      <c r="FQ37" s="103"/>
      <c r="FR37" s="105"/>
      <c r="FS37" s="103"/>
      <c r="FT37" s="104"/>
      <c r="FU37" s="104"/>
      <c r="FV37" s="104"/>
      <c r="FW37" s="104"/>
      <c r="FX37" s="105"/>
      <c r="FY37" s="103"/>
      <c r="FZ37" s="105"/>
      <c r="GA37" s="103"/>
      <c r="GB37" s="104"/>
      <c r="GC37" s="104"/>
      <c r="GD37" s="105"/>
      <c r="GE37" s="102"/>
      <c r="GF37" s="102"/>
      <c r="GG37" s="102"/>
      <c r="GH37" s="103"/>
      <c r="GI37" s="104"/>
      <c r="GJ37" s="104"/>
      <c r="GK37" s="104"/>
      <c r="GL37" s="105"/>
      <c r="GM37" s="103"/>
      <c r="GN37" s="104"/>
      <c r="GO37" s="104"/>
      <c r="GP37" s="105"/>
      <c r="GQ37" s="102"/>
      <c r="GR37" s="103"/>
      <c r="GS37" s="104"/>
      <c r="GT37" s="105"/>
      <c r="GU37" s="1"/>
      <c r="GV37" s="102"/>
      <c r="GW37" s="103"/>
      <c r="GX37" s="102"/>
      <c r="GY37" s="102"/>
      <c r="GZ37" s="102"/>
      <c r="HA37" s="102"/>
      <c r="HB37" s="102"/>
      <c r="HC37" s="102"/>
      <c r="HD37" s="1"/>
      <c r="HE37" s="102"/>
      <c r="HF37" s="102"/>
      <c r="HG37" s="102"/>
      <c r="HH37" s="102"/>
      <c r="HI37" s="102"/>
      <c r="HJ37" s="102"/>
      <c r="HK37" s="103"/>
      <c r="HL37" s="105"/>
      <c r="HM37" s="1"/>
      <c r="HN37" s="103">
        <v>2537.5122200000001</v>
      </c>
      <c r="HO37" s="104">
        <v>2500.1790300000002</v>
      </c>
      <c r="HP37" s="105">
        <v>665.47787999999991</v>
      </c>
    </row>
    <row r="38" spans="1:224" x14ac:dyDescent="0.3">
      <c r="A38" s="1"/>
      <c r="B38" s="101" t="s">
        <v>839</v>
      </c>
      <c r="C38" s="102"/>
      <c r="D38" s="103"/>
      <c r="E38" s="104"/>
      <c r="F38" s="104"/>
      <c r="G38" s="105"/>
      <c r="H38" s="103"/>
      <c r="I38" s="105"/>
      <c r="J38" s="103"/>
      <c r="K38" s="105"/>
      <c r="L38" s="103"/>
      <c r="M38" s="104"/>
      <c r="N38" s="104"/>
      <c r="O38" s="104"/>
      <c r="P38" s="104"/>
      <c r="Q38" s="104"/>
      <c r="R38" s="104"/>
      <c r="S38" s="105"/>
      <c r="T38" s="103">
        <v>18.14123</v>
      </c>
      <c r="U38" s="104">
        <v>19.191960000000002</v>
      </c>
      <c r="V38" s="105">
        <v>1.0612699999999999</v>
      </c>
      <c r="W38" s="102"/>
      <c r="X38" s="103"/>
      <c r="Y38" s="104"/>
      <c r="Z38" s="105">
        <v>23.060680000000001</v>
      </c>
      <c r="AA38" s="103"/>
      <c r="AB38" s="104"/>
      <c r="AC38" s="104"/>
      <c r="AD38" s="104">
        <v>11.413130000000001</v>
      </c>
      <c r="AE38" s="104">
        <v>23.889150000000001</v>
      </c>
      <c r="AF38" s="105">
        <v>10.22284</v>
      </c>
      <c r="AG38" s="102"/>
      <c r="AH38" s="102"/>
      <c r="AI38" s="102"/>
      <c r="AJ38" s="103"/>
      <c r="AK38" s="105">
        <v>7.8466800000000001</v>
      </c>
      <c r="AL38" s="103"/>
      <c r="AM38" s="105"/>
      <c r="AN38" s="102"/>
      <c r="AO38" s="103"/>
      <c r="AP38" s="105"/>
      <c r="AQ38" s="102"/>
      <c r="AR38" s="102"/>
      <c r="AS38" s="102"/>
      <c r="AT38" s="103"/>
      <c r="AU38" s="104"/>
      <c r="AV38" s="105"/>
      <c r="AW38" s="103"/>
      <c r="AX38" s="104"/>
      <c r="AY38" s="104"/>
      <c r="AZ38" s="104"/>
      <c r="BA38" s="104"/>
      <c r="BB38" s="105"/>
      <c r="BC38" s="103"/>
      <c r="BD38" s="105"/>
      <c r="BE38" s="102"/>
      <c r="BF38" s="103"/>
      <c r="BG38" s="104"/>
      <c r="BH38" s="105"/>
      <c r="BI38" s="103">
        <v>164.44227000000001</v>
      </c>
      <c r="BJ38" s="104">
        <v>165.47058000000001</v>
      </c>
      <c r="BK38" s="104">
        <v>165.59853000000001</v>
      </c>
      <c r="BL38" s="104"/>
      <c r="BM38" s="104"/>
      <c r="BN38" s="104"/>
      <c r="BO38" s="104"/>
      <c r="BP38" s="104"/>
      <c r="BQ38" s="104"/>
      <c r="BR38" s="104">
        <v>36.281509999999997</v>
      </c>
      <c r="BS38" s="104">
        <v>206.49456000000001</v>
      </c>
      <c r="BT38" s="104">
        <v>206.11548999999999</v>
      </c>
      <c r="BU38" s="104">
        <v>205.99002999999999</v>
      </c>
      <c r="BV38" s="105"/>
      <c r="BW38" s="103">
        <v>17.41583</v>
      </c>
      <c r="BX38" s="105">
        <v>44.053669999999997</v>
      </c>
      <c r="BY38" s="102"/>
      <c r="BZ38" s="103"/>
      <c r="CA38" s="104"/>
      <c r="CB38" s="104"/>
      <c r="CC38" s="104"/>
      <c r="CD38" s="104"/>
      <c r="CE38" s="104">
        <v>118.14735</v>
      </c>
      <c r="CF38" s="104">
        <v>52.418509999999998</v>
      </c>
      <c r="CG38" s="104">
        <v>51.404559999999996</v>
      </c>
      <c r="CH38" s="104"/>
      <c r="CI38" s="104"/>
      <c r="CJ38" s="104"/>
      <c r="CK38" s="105">
        <v>191.19621000000001</v>
      </c>
      <c r="CL38" s="103">
        <v>180.55348000000001</v>
      </c>
      <c r="CM38" s="104">
        <v>180.52450999999999</v>
      </c>
      <c r="CN38" s="104">
        <v>181.33356000000001</v>
      </c>
      <c r="CO38" s="105">
        <v>181.02912000000001</v>
      </c>
      <c r="CP38" s="103"/>
      <c r="CQ38" s="105"/>
      <c r="CR38" s="103"/>
      <c r="CS38" s="105"/>
      <c r="CT38" s="103"/>
      <c r="CU38" s="104"/>
      <c r="CV38" s="106"/>
      <c r="CW38" s="103"/>
      <c r="CX38" s="104"/>
      <c r="CY38" s="104"/>
      <c r="CZ38" s="105"/>
      <c r="DA38" s="103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5"/>
      <c r="DN38" s="107"/>
      <c r="DO38" s="108"/>
      <c r="DP38" s="108"/>
      <c r="DQ38" s="109"/>
      <c r="DR38" s="103"/>
      <c r="DS38" s="104"/>
      <c r="DT38" s="104"/>
      <c r="DU38" s="105"/>
      <c r="DV38" s="102"/>
      <c r="DW38" s="103"/>
      <c r="DX38" s="104"/>
      <c r="DY38" s="104"/>
      <c r="DZ38" s="104"/>
      <c r="EA38" s="104"/>
      <c r="EB38" s="106"/>
      <c r="EC38" s="1"/>
      <c r="ED38" s="102"/>
      <c r="EE38" s="102"/>
      <c r="EF38" s="102"/>
      <c r="EG38" s="102"/>
      <c r="EH38" s="102"/>
      <c r="EI38" s="102"/>
      <c r="EJ38" s="102"/>
      <c r="EK38" s="102"/>
      <c r="EL38" s="103"/>
      <c r="EM38" s="105"/>
      <c r="EN38" s="103"/>
      <c r="EO38" s="105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3"/>
      <c r="FN38" s="104"/>
      <c r="FO38" s="104"/>
      <c r="FP38" s="105"/>
      <c r="FQ38" s="103"/>
      <c r="FR38" s="105"/>
      <c r="FS38" s="103"/>
      <c r="FT38" s="104"/>
      <c r="FU38" s="104"/>
      <c r="FV38" s="104"/>
      <c r="FW38" s="104"/>
      <c r="FX38" s="105"/>
      <c r="FY38" s="103"/>
      <c r="FZ38" s="105"/>
      <c r="GA38" s="103"/>
      <c r="GB38" s="104"/>
      <c r="GC38" s="104"/>
      <c r="GD38" s="105"/>
      <c r="GE38" s="102"/>
      <c r="GF38" s="102"/>
      <c r="GG38" s="102"/>
      <c r="GH38" s="103"/>
      <c r="GI38" s="104"/>
      <c r="GJ38" s="104"/>
      <c r="GK38" s="104"/>
      <c r="GL38" s="105"/>
      <c r="GM38" s="103"/>
      <c r="GN38" s="104"/>
      <c r="GO38" s="104"/>
      <c r="GP38" s="105"/>
      <c r="GQ38" s="102"/>
      <c r="GR38" s="103"/>
      <c r="GS38" s="104"/>
      <c r="GT38" s="105"/>
      <c r="GU38" s="1"/>
      <c r="GV38" s="102"/>
      <c r="GW38" s="103"/>
      <c r="GX38" s="102"/>
      <c r="GY38" s="102"/>
      <c r="GZ38" s="102"/>
      <c r="HA38" s="102"/>
      <c r="HB38" s="102"/>
      <c r="HC38" s="102"/>
      <c r="HD38" s="1"/>
      <c r="HE38" s="102"/>
      <c r="HF38" s="102"/>
      <c r="HG38" s="102"/>
      <c r="HH38" s="102"/>
      <c r="HI38" s="102"/>
      <c r="HJ38" s="102"/>
      <c r="HK38" s="103"/>
      <c r="HL38" s="105"/>
      <c r="HM38" s="1"/>
      <c r="HN38" s="103">
        <v>2463.2967100000001</v>
      </c>
      <c r="HO38" s="104">
        <v>2425.9635200000002</v>
      </c>
      <c r="HP38" s="105">
        <v>665.47787999999991</v>
      </c>
    </row>
    <row r="39" spans="1:224" x14ac:dyDescent="0.3">
      <c r="A39" s="1"/>
      <c r="B39" s="101" t="s">
        <v>840</v>
      </c>
      <c r="C39" s="102"/>
      <c r="D39" s="103"/>
      <c r="E39" s="104"/>
      <c r="F39" s="104"/>
      <c r="G39" s="105"/>
      <c r="H39" s="103"/>
      <c r="I39" s="105"/>
      <c r="J39" s="103"/>
      <c r="K39" s="105"/>
      <c r="L39" s="103"/>
      <c r="M39" s="104"/>
      <c r="N39" s="104"/>
      <c r="O39" s="104"/>
      <c r="P39" s="104"/>
      <c r="Q39" s="104"/>
      <c r="R39" s="104"/>
      <c r="S39" s="105"/>
      <c r="T39" s="103">
        <v>18.14123</v>
      </c>
      <c r="U39" s="104">
        <v>19.191960000000002</v>
      </c>
      <c r="V39" s="105">
        <v>1.0612699999999999</v>
      </c>
      <c r="W39" s="102"/>
      <c r="X39" s="103"/>
      <c r="Y39" s="104"/>
      <c r="Z39" s="105">
        <v>23.060680000000001</v>
      </c>
      <c r="AA39" s="103"/>
      <c r="AB39" s="104"/>
      <c r="AC39" s="104"/>
      <c r="AD39" s="104">
        <v>11.413130000000001</v>
      </c>
      <c r="AE39" s="104">
        <v>23.889150000000001</v>
      </c>
      <c r="AF39" s="105">
        <v>10.22284</v>
      </c>
      <c r="AG39" s="102"/>
      <c r="AH39" s="102"/>
      <c r="AI39" s="102"/>
      <c r="AJ39" s="103"/>
      <c r="AK39" s="105">
        <v>7.8466800000000001</v>
      </c>
      <c r="AL39" s="103"/>
      <c r="AM39" s="105"/>
      <c r="AN39" s="102"/>
      <c r="AO39" s="103"/>
      <c r="AP39" s="105"/>
      <c r="AQ39" s="102"/>
      <c r="AR39" s="102"/>
      <c r="AS39" s="102"/>
      <c r="AT39" s="103"/>
      <c r="AU39" s="104"/>
      <c r="AV39" s="105"/>
      <c r="AW39" s="103"/>
      <c r="AX39" s="104"/>
      <c r="AY39" s="104"/>
      <c r="AZ39" s="104"/>
      <c r="BA39" s="104"/>
      <c r="BB39" s="105"/>
      <c r="BC39" s="103"/>
      <c r="BD39" s="105"/>
      <c r="BE39" s="102"/>
      <c r="BF39" s="103"/>
      <c r="BG39" s="104"/>
      <c r="BH39" s="105"/>
      <c r="BI39" s="103">
        <v>164.44227000000001</v>
      </c>
      <c r="BJ39" s="104">
        <v>165.47058000000001</v>
      </c>
      <c r="BK39" s="104">
        <v>165.59853000000001</v>
      </c>
      <c r="BL39" s="104"/>
      <c r="BM39" s="104"/>
      <c r="BN39" s="104"/>
      <c r="BO39" s="104"/>
      <c r="BP39" s="104"/>
      <c r="BQ39" s="104"/>
      <c r="BR39" s="104">
        <v>36.281509999999997</v>
      </c>
      <c r="BS39" s="104">
        <v>206.49456000000001</v>
      </c>
      <c r="BT39" s="104">
        <v>206.11548999999999</v>
      </c>
      <c r="BU39" s="104">
        <v>205.99002999999999</v>
      </c>
      <c r="BV39" s="105"/>
      <c r="BW39" s="103">
        <v>17.41583</v>
      </c>
      <c r="BX39" s="105">
        <v>44.053669999999997</v>
      </c>
      <c r="BY39" s="102"/>
      <c r="BZ39" s="103"/>
      <c r="CA39" s="104"/>
      <c r="CB39" s="104"/>
      <c r="CC39" s="104"/>
      <c r="CD39" s="104"/>
      <c r="CE39" s="104">
        <v>118.14735</v>
      </c>
      <c r="CF39" s="104">
        <v>52.418509999999998</v>
      </c>
      <c r="CG39" s="104">
        <v>51.404559999999996</v>
      </c>
      <c r="CH39" s="104"/>
      <c r="CI39" s="104"/>
      <c r="CJ39" s="104"/>
      <c r="CK39" s="105"/>
      <c r="CL39" s="103">
        <v>180.55348000000001</v>
      </c>
      <c r="CM39" s="104">
        <v>180.52450999999999</v>
      </c>
      <c r="CN39" s="104">
        <v>181.33356000000001</v>
      </c>
      <c r="CO39" s="105">
        <v>181.02912000000001</v>
      </c>
      <c r="CP39" s="103"/>
      <c r="CQ39" s="105"/>
      <c r="CR39" s="103"/>
      <c r="CS39" s="105"/>
      <c r="CT39" s="103"/>
      <c r="CU39" s="104"/>
      <c r="CV39" s="106"/>
      <c r="CW39" s="103"/>
      <c r="CX39" s="104"/>
      <c r="CY39" s="104"/>
      <c r="CZ39" s="105"/>
      <c r="DA39" s="103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5"/>
      <c r="DN39" s="107"/>
      <c r="DO39" s="108"/>
      <c r="DP39" s="108"/>
      <c r="DQ39" s="109"/>
      <c r="DR39" s="103"/>
      <c r="DS39" s="104"/>
      <c r="DT39" s="104"/>
      <c r="DU39" s="105"/>
      <c r="DV39" s="102"/>
      <c r="DW39" s="103"/>
      <c r="DX39" s="104"/>
      <c r="DY39" s="104"/>
      <c r="DZ39" s="104"/>
      <c r="EA39" s="104"/>
      <c r="EB39" s="106"/>
      <c r="EC39" s="1"/>
      <c r="ED39" s="102"/>
      <c r="EE39" s="102"/>
      <c r="EF39" s="102"/>
      <c r="EG39" s="102"/>
      <c r="EH39" s="102"/>
      <c r="EI39" s="102"/>
      <c r="EJ39" s="102"/>
      <c r="EK39" s="102"/>
      <c r="EL39" s="103"/>
      <c r="EM39" s="105"/>
      <c r="EN39" s="103"/>
      <c r="EO39" s="105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3"/>
      <c r="FN39" s="104"/>
      <c r="FO39" s="104"/>
      <c r="FP39" s="105"/>
      <c r="FQ39" s="103"/>
      <c r="FR39" s="105"/>
      <c r="FS39" s="103"/>
      <c r="FT39" s="104"/>
      <c r="FU39" s="104"/>
      <c r="FV39" s="104"/>
      <c r="FW39" s="104"/>
      <c r="FX39" s="105"/>
      <c r="FY39" s="103"/>
      <c r="FZ39" s="105"/>
      <c r="GA39" s="103"/>
      <c r="GB39" s="104"/>
      <c r="GC39" s="104"/>
      <c r="GD39" s="105"/>
      <c r="GE39" s="102"/>
      <c r="GF39" s="102"/>
      <c r="GG39" s="102"/>
      <c r="GH39" s="103"/>
      <c r="GI39" s="104"/>
      <c r="GJ39" s="104"/>
      <c r="GK39" s="104"/>
      <c r="GL39" s="105"/>
      <c r="GM39" s="103"/>
      <c r="GN39" s="104"/>
      <c r="GO39" s="104"/>
      <c r="GP39" s="105"/>
      <c r="GQ39" s="102"/>
      <c r="GR39" s="103"/>
      <c r="GS39" s="104"/>
      <c r="GT39" s="105"/>
      <c r="GU39" s="1"/>
      <c r="GV39" s="102"/>
      <c r="GW39" s="103"/>
      <c r="GX39" s="102"/>
      <c r="GY39" s="102"/>
      <c r="GZ39" s="102"/>
      <c r="HA39" s="102"/>
      <c r="HB39" s="102"/>
      <c r="HC39" s="102"/>
      <c r="HD39" s="1"/>
      <c r="HE39" s="102"/>
      <c r="HF39" s="102"/>
      <c r="HG39" s="102"/>
      <c r="HH39" s="102"/>
      <c r="HI39" s="102"/>
      <c r="HJ39" s="102"/>
      <c r="HK39" s="103"/>
      <c r="HL39" s="105"/>
      <c r="HM39" s="1"/>
      <c r="HN39" s="103">
        <v>2272.1005</v>
      </c>
      <c r="HO39" s="104">
        <v>2234.7673100000002</v>
      </c>
      <c r="HP39" s="105">
        <v>665.47787999999991</v>
      </c>
    </row>
    <row r="40" spans="1:224" x14ac:dyDescent="0.3">
      <c r="A40" s="1"/>
      <c r="B40" s="101" t="s">
        <v>841</v>
      </c>
      <c r="C40" s="102"/>
      <c r="D40" s="103"/>
      <c r="E40" s="104"/>
      <c r="F40" s="104"/>
      <c r="G40" s="105"/>
      <c r="H40" s="103"/>
      <c r="I40" s="105"/>
      <c r="J40" s="103"/>
      <c r="K40" s="105"/>
      <c r="L40" s="103"/>
      <c r="M40" s="104"/>
      <c r="N40" s="104"/>
      <c r="O40" s="104"/>
      <c r="P40" s="104"/>
      <c r="Q40" s="104"/>
      <c r="R40" s="104"/>
      <c r="S40" s="105"/>
      <c r="T40" s="103">
        <v>18.14123</v>
      </c>
      <c r="U40" s="104">
        <v>19.191960000000002</v>
      </c>
      <c r="V40" s="105">
        <v>1.0612699999999999</v>
      </c>
      <c r="W40" s="102"/>
      <c r="X40" s="103"/>
      <c r="Y40" s="104"/>
      <c r="Z40" s="105"/>
      <c r="AA40" s="103"/>
      <c r="AB40" s="104"/>
      <c r="AC40" s="104"/>
      <c r="AD40" s="104">
        <v>11.413130000000001</v>
      </c>
      <c r="AE40" s="104">
        <v>23.889150000000001</v>
      </c>
      <c r="AF40" s="105">
        <v>10.22284</v>
      </c>
      <c r="AG40" s="102"/>
      <c r="AH40" s="102"/>
      <c r="AI40" s="102"/>
      <c r="AJ40" s="103"/>
      <c r="AK40" s="105">
        <v>7.8466800000000001</v>
      </c>
      <c r="AL40" s="103"/>
      <c r="AM40" s="105"/>
      <c r="AN40" s="102"/>
      <c r="AO40" s="103"/>
      <c r="AP40" s="105"/>
      <c r="AQ40" s="102"/>
      <c r="AR40" s="102"/>
      <c r="AS40" s="102"/>
      <c r="AT40" s="103"/>
      <c r="AU40" s="104"/>
      <c r="AV40" s="105"/>
      <c r="AW40" s="103"/>
      <c r="AX40" s="104"/>
      <c r="AY40" s="104"/>
      <c r="AZ40" s="104"/>
      <c r="BA40" s="104"/>
      <c r="BB40" s="105"/>
      <c r="BC40" s="103"/>
      <c r="BD40" s="105"/>
      <c r="BE40" s="102"/>
      <c r="BF40" s="103"/>
      <c r="BG40" s="104"/>
      <c r="BH40" s="105"/>
      <c r="BI40" s="103">
        <v>164.44227000000001</v>
      </c>
      <c r="BJ40" s="104">
        <v>165.47058000000001</v>
      </c>
      <c r="BK40" s="104">
        <v>165.59853000000001</v>
      </c>
      <c r="BL40" s="104"/>
      <c r="BM40" s="104"/>
      <c r="BN40" s="104"/>
      <c r="BO40" s="104"/>
      <c r="BP40" s="104"/>
      <c r="BQ40" s="104"/>
      <c r="BR40" s="104">
        <v>36.281509999999997</v>
      </c>
      <c r="BS40" s="104">
        <v>206.49456000000001</v>
      </c>
      <c r="BT40" s="104">
        <v>206.11548999999999</v>
      </c>
      <c r="BU40" s="104">
        <v>205.99002999999999</v>
      </c>
      <c r="BV40" s="105"/>
      <c r="BW40" s="103">
        <v>17.41583</v>
      </c>
      <c r="BX40" s="105">
        <v>44.053669999999997</v>
      </c>
      <c r="BY40" s="102"/>
      <c r="BZ40" s="103"/>
      <c r="CA40" s="104"/>
      <c r="CB40" s="104"/>
      <c r="CC40" s="104"/>
      <c r="CD40" s="104"/>
      <c r="CE40" s="104">
        <v>118.14735</v>
      </c>
      <c r="CF40" s="104">
        <v>52.418509999999998</v>
      </c>
      <c r="CG40" s="104">
        <v>51.404559999999996</v>
      </c>
      <c r="CH40" s="104"/>
      <c r="CI40" s="104"/>
      <c r="CJ40" s="104"/>
      <c r="CK40" s="105"/>
      <c r="CL40" s="103">
        <v>180.55348000000001</v>
      </c>
      <c r="CM40" s="104">
        <v>180.52450999999999</v>
      </c>
      <c r="CN40" s="104">
        <v>181.33356000000001</v>
      </c>
      <c r="CO40" s="105">
        <v>181.02912000000001</v>
      </c>
      <c r="CP40" s="103"/>
      <c r="CQ40" s="105"/>
      <c r="CR40" s="103"/>
      <c r="CS40" s="105"/>
      <c r="CT40" s="103"/>
      <c r="CU40" s="104"/>
      <c r="CV40" s="106"/>
      <c r="CW40" s="103"/>
      <c r="CX40" s="104"/>
      <c r="CY40" s="104"/>
      <c r="CZ40" s="105"/>
      <c r="DA40" s="103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5"/>
      <c r="DN40" s="107"/>
      <c r="DO40" s="108"/>
      <c r="DP40" s="108"/>
      <c r="DQ40" s="109"/>
      <c r="DR40" s="103"/>
      <c r="DS40" s="104"/>
      <c r="DT40" s="104"/>
      <c r="DU40" s="105"/>
      <c r="DV40" s="102"/>
      <c r="DW40" s="103"/>
      <c r="DX40" s="104"/>
      <c r="DY40" s="104"/>
      <c r="DZ40" s="104"/>
      <c r="EA40" s="104"/>
      <c r="EB40" s="106"/>
      <c r="EC40" s="1"/>
      <c r="ED40" s="102"/>
      <c r="EE40" s="102"/>
      <c r="EF40" s="102"/>
      <c r="EG40" s="102"/>
      <c r="EH40" s="102"/>
      <c r="EI40" s="102"/>
      <c r="EJ40" s="102"/>
      <c r="EK40" s="102"/>
      <c r="EL40" s="103"/>
      <c r="EM40" s="105"/>
      <c r="EN40" s="103"/>
      <c r="EO40" s="105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3"/>
      <c r="FN40" s="104"/>
      <c r="FO40" s="104"/>
      <c r="FP40" s="105"/>
      <c r="FQ40" s="103"/>
      <c r="FR40" s="105"/>
      <c r="FS40" s="103"/>
      <c r="FT40" s="104"/>
      <c r="FU40" s="104"/>
      <c r="FV40" s="104"/>
      <c r="FW40" s="104"/>
      <c r="FX40" s="105"/>
      <c r="FY40" s="103"/>
      <c r="FZ40" s="105"/>
      <c r="GA40" s="103"/>
      <c r="GB40" s="104"/>
      <c r="GC40" s="104"/>
      <c r="GD40" s="105"/>
      <c r="GE40" s="102"/>
      <c r="GF40" s="102"/>
      <c r="GG40" s="102"/>
      <c r="GH40" s="103"/>
      <c r="GI40" s="104"/>
      <c r="GJ40" s="104"/>
      <c r="GK40" s="104"/>
      <c r="GL40" s="105"/>
      <c r="GM40" s="103"/>
      <c r="GN40" s="104"/>
      <c r="GO40" s="104"/>
      <c r="GP40" s="105"/>
      <c r="GQ40" s="102"/>
      <c r="GR40" s="103"/>
      <c r="GS40" s="104"/>
      <c r="GT40" s="105"/>
      <c r="GU40" s="1"/>
      <c r="GV40" s="102"/>
      <c r="GW40" s="103"/>
      <c r="GX40" s="102"/>
      <c r="GY40" s="102"/>
      <c r="GZ40" s="102"/>
      <c r="HA40" s="102"/>
      <c r="HB40" s="102"/>
      <c r="HC40" s="102"/>
      <c r="HD40" s="1"/>
      <c r="HE40" s="102"/>
      <c r="HF40" s="102"/>
      <c r="HG40" s="102"/>
      <c r="HH40" s="102"/>
      <c r="HI40" s="102"/>
      <c r="HJ40" s="102"/>
      <c r="HK40" s="103"/>
      <c r="HL40" s="105"/>
      <c r="HM40" s="1"/>
      <c r="HN40" s="103">
        <v>2249.03982</v>
      </c>
      <c r="HO40" s="104">
        <v>2211.7066300000001</v>
      </c>
      <c r="HP40" s="105">
        <v>671.25917000000004</v>
      </c>
    </row>
    <row r="41" spans="1:224" x14ac:dyDescent="0.3">
      <c r="A41" s="1"/>
      <c r="B41" s="101" t="s">
        <v>842</v>
      </c>
      <c r="C41" s="102"/>
      <c r="D41" s="103"/>
      <c r="E41" s="104"/>
      <c r="F41" s="104"/>
      <c r="G41" s="105"/>
      <c r="H41" s="103"/>
      <c r="I41" s="105"/>
      <c r="J41" s="103"/>
      <c r="K41" s="105"/>
      <c r="L41" s="103"/>
      <c r="M41" s="104"/>
      <c r="N41" s="104"/>
      <c r="O41" s="104"/>
      <c r="P41" s="104"/>
      <c r="Q41" s="104"/>
      <c r="R41" s="104"/>
      <c r="S41" s="105"/>
      <c r="T41" s="103">
        <v>18.14123</v>
      </c>
      <c r="U41" s="104">
        <v>19.191960000000002</v>
      </c>
      <c r="V41" s="105">
        <v>1.0612699999999999</v>
      </c>
      <c r="W41" s="102"/>
      <c r="X41" s="103"/>
      <c r="Y41" s="104"/>
      <c r="Z41" s="105"/>
      <c r="AA41" s="103"/>
      <c r="AB41" s="104"/>
      <c r="AC41" s="104"/>
      <c r="AD41" s="104">
        <v>11.413130000000001</v>
      </c>
      <c r="AE41" s="104">
        <v>23.889150000000001</v>
      </c>
      <c r="AF41" s="105">
        <v>10.22284</v>
      </c>
      <c r="AG41" s="102"/>
      <c r="AH41" s="102"/>
      <c r="AI41" s="102"/>
      <c r="AJ41" s="103"/>
      <c r="AK41" s="105">
        <v>7.8466800000000001</v>
      </c>
      <c r="AL41" s="103"/>
      <c r="AM41" s="105"/>
      <c r="AN41" s="102"/>
      <c r="AO41" s="103"/>
      <c r="AP41" s="105"/>
      <c r="AQ41" s="102"/>
      <c r="AR41" s="102"/>
      <c r="AS41" s="102"/>
      <c r="AT41" s="103"/>
      <c r="AU41" s="104"/>
      <c r="AV41" s="105"/>
      <c r="AW41" s="103"/>
      <c r="AX41" s="104"/>
      <c r="AY41" s="104"/>
      <c r="AZ41" s="104"/>
      <c r="BA41" s="104"/>
      <c r="BB41" s="105"/>
      <c r="BC41" s="103"/>
      <c r="BD41" s="105"/>
      <c r="BE41" s="102"/>
      <c r="BF41" s="103"/>
      <c r="BG41" s="104"/>
      <c r="BH41" s="105"/>
      <c r="BI41" s="103">
        <v>164.44227000000001</v>
      </c>
      <c r="BJ41" s="104">
        <v>165.47058000000001</v>
      </c>
      <c r="BK41" s="104">
        <v>165.59853000000001</v>
      </c>
      <c r="BL41" s="104"/>
      <c r="BM41" s="104"/>
      <c r="BN41" s="104"/>
      <c r="BO41" s="104"/>
      <c r="BP41" s="104"/>
      <c r="BQ41" s="104"/>
      <c r="BR41" s="104">
        <v>36.281509999999997</v>
      </c>
      <c r="BS41" s="104">
        <v>206.49456000000001</v>
      </c>
      <c r="BT41" s="104">
        <v>206.11548999999999</v>
      </c>
      <c r="BU41" s="104">
        <v>205.99002999999999</v>
      </c>
      <c r="BV41" s="105"/>
      <c r="BW41" s="103">
        <v>17.41583</v>
      </c>
      <c r="BX41" s="105">
        <v>44.053669999999997</v>
      </c>
      <c r="BY41" s="102"/>
      <c r="BZ41" s="103"/>
      <c r="CA41" s="104"/>
      <c r="CB41" s="104"/>
      <c r="CC41" s="104"/>
      <c r="CD41" s="104"/>
      <c r="CE41" s="104">
        <v>118.14735</v>
      </c>
      <c r="CF41" s="104">
        <v>52.418509999999998</v>
      </c>
      <c r="CG41" s="104">
        <v>51.404559999999996</v>
      </c>
      <c r="CH41" s="104"/>
      <c r="CI41" s="104"/>
      <c r="CJ41" s="104"/>
      <c r="CK41" s="105"/>
      <c r="CL41" s="103">
        <v>180.55348000000001</v>
      </c>
      <c r="CM41" s="104">
        <v>180.52450999999999</v>
      </c>
      <c r="CN41" s="104">
        <v>181.33356000000001</v>
      </c>
      <c r="CO41" s="105">
        <v>181.02912000000001</v>
      </c>
      <c r="CP41" s="103"/>
      <c r="CQ41" s="105"/>
      <c r="CR41" s="103"/>
      <c r="CS41" s="105"/>
      <c r="CT41" s="103"/>
      <c r="CU41" s="104"/>
      <c r="CV41" s="106"/>
      <c r="CW41" s="103"/>
      <c r="CX41" s="104"/>
      <c r="CY41" s="104"/>
      <c r="CZ41" s="105"/>
      <c r="DA41" s="103"/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5"/>
      <c r="DN41" s="107"/>
      <c r="DO41" s="108"/>
      <c r="DP41" s="108"/>
      <c r="DQ41" s="109"/>
      <c r="DR41" s="103"/>
      <c r="DS41" s="104"/>
      <c r="DT41" s="104"/>
      <c r="DU41" s="105"/>
      <c r="DV41" s="102"/>
      <c r="DW41" s="103"/>
      <c r="DX41" s="104"/>
      <c r="DY41" s="104"/>
      <c r="DZ41" s="104"/>
      <c r="EA41" s="104"/>
      <c r="EB41" s="106"/>
      <c r="EC41" s="1"/>
      <c r="ED41" s="102"/>
      <c r="EE41" s="102"/>
      <c r="EF41" s="102"/>
      <c r="EG41" s="102"/>
      <c r="EH41" s="102"/>
      <c r="EI41" s="102"/>
      <c r="EJ41" s="102"/>
      <c r="EK41" s="102"/>
      <c r="EL41" s="103"/>
      <c r="EM41" s="105"/>
      <c r="EN41" s="103"/>
      <c r="EO41" s="105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3"/>
      <c r="FN41" s="104"/>
      <c r="FO41" s="104"/>
      <c r="FP41" s="105"/>
      <c r="FQ41" s="103"/>
      <c r="FR41" s="105"/>
      <c r="FS41" s="103"/>
      <c r="FT41" s="104"/>
      <c r="FU41" s="104"/>
      <c r="FV41" s="104"/>
      <c r="FW41" s="104"/>
      <c r="FX41" s="105"/>
      <c r="FY41" s="103"/>
      <c r="FZ41" s="105"/>
      <c r="GA41" s="103"/>
      <c r="GB41" s="104"/>
      <c r="GC41" s="104"/>
      <c r="GD41" s="105"/>
      <c r="GE41" s="102"/>
      <c r="GF41" s="102"/>
      <c r="GG41" s="102"/>
      <c r="GH41" s="103"/>
      <c r="GI41" s="104"/>
      <c r="GJ41" s="104"/>
      <c r="GK41" s="104"/>
      <c r="GL41" s="105"/>
      <c r="GM41" s="103"/>
      <c r="GN41" s="104"/>
      <c r="GO41" s="104"/>
      <c r="GP41" s="105"/>
      <c r="GQ41" s="102"/>
      <c r="GR41" s="103"/>
      <c r="GS41" s="104"/>
      <c r="GT41" s="105"/>
      <c r="GU41" s="1"/>
      <c r="GV41" s="102"/>
      <c r="GW41" s="103"/>
      <c r="GX41" s="102"/>
      <c r="GY41" s="102"/>
      <c r="GZ41" s="102"/>
      <c r="HA41" s="102"/>
      <c r="HB41" s="102"/>
      <c r="HC41" s="102"/>
      <c r="HD41" s="1"/>
      <c r="HE41" s="102"/>
      <c r="HF41" s="102"/>
      <c r="HG41" s="102"/>
      <c r="HH41" s="102"/>
      <c r="HI41" s="102"/>
      <c r="HJ41" s="102"/>
      <c r="HK41" s="103"/>
      <c r="HL41" s="105"/>
      <c r="HM41" s="1"/>
      <c r="HN41" s="103">
        <v>2249.03982</v>
      </c>
      <c r="HO41" s="104">
        <v>2211.7066300000001</v>
      </c>
      <c r="HP41" s="105">
        <v>671.25917000000004</v>
      </c>
    </row>
    <row r="42" spans="1:224" x14ac:dyDescent="0.3">
      <c r="A42" s="1"/>
      <c r="B42" s="101" t="s">
        <v>843</v>
      </c>
      <c r="C42" s="102"/>
      <c r="D42" s="103"/>
      <c r="E42" s="104"/>
      <c r="F42" s="104"/>
      <c r="G42" s="105"/>
      <c r="H42" s="103"/>
      <c r="I42" s="105"/>
      <c r="J42" s="103"/>
      <c r="K42" s="105"/>
      <c r="L42" s="103"/>
      <c r="M42" s="104"/>
      <c r="N42" s="104"/>
      <c r="O42" s="104"/>
      <c r="P42" s="104"/>
      <c r="Q42" s="104"/>
      <c r="R42" s="104"/>
      <c r="S42" s="105"/>
      <c r="T42" s="103">
        <v>18.14123</v>
      </c>
      <c r="U42" s="104">
        <v>19.191960000000002</v>
      </c>
      <c r="V42" s="105">
        <v>1.0612699999999999</v>
      </c>
      <c r="W42" s="102"/>
      <c r="X42" s="103"/>
      <c r="Y42" s="104"/>
      <c r="Z42" s="105"/>
      <c r="AA42" s="103"/>
      <c r="AB42" s="104"/>
      <c r="AC42" s="104"/>
      <c r="AD42" s="104">
        <v>11.413130000000001</v>
      </c>
      <c r="AE42" s="104">
        <v>23.889150000000001</v>
      </c>
      <c r="AF42" s="105">
        <v>10.22284</v>
      </c>
      <c r="AG42" s="102"/>
      <c r="AH42" s="102"/>
      <c r="AI42" s="102"/>
      <c r="AJ42" s="103"/>
      <c r="AK42" s="105">
        <v>7.8466800000000001</v>
      </c>
      <c r="AL42" s="103"/>
      <c r="AM42" s="105"/>
      <c r="AN42" s="102"/>
      <c r="AO42" s="103"/>
      <c r="AP42" s="105"/>
      <c r="AQ42" s="102"/>
      <c r="AR42" s="102"/>
      <c r="AS42" s="102"/>
      <c r="AT42" s="103"/>
      <c r="AU42" s="104"/>
      <c r="AV42" s="105"/>
      <c r="AW42" s="103"/>
      <c r="AX42" s="104"/>
      <c r="AY42" s="104"/>
      <c r="AZ42" s="104"/>
      <c r="BA42" s="104"/>
      <c r="BB42" s="105"/>
      <c r="BC42" s="103"/>
      <c r="BD42" s="105"/>
      <c r="BE42" s="102"/>
      <c r="BF42" s="103"/>
      <c r="BG42" s="104"/>
      <c r="BH42" s="105"/>
      <c r="BI42" s="103">
        <v>164.44227000000001</v>
      </c>
      <c r="BJ42" s="104">
        <v>165.47058000000001</v>
      </c>
      <c r="BK42" s="104">
        <v>165.59853000000001</v>
      </c>
      <c r="BL42" s="104"/>
      <c r="BM42" s="104"/>
      <c r="BN42" s="104"/>
      <c r="BO42" s="104"/>
      <c r="BP42" s="104"/>
      <c r="BQ42" s="104"/>
      <c r="BR42" s="104">
        <v>36.281509999999997</v>
      </c>
      <c r="BS42" s="104">
        <v>206.49456000000001</v>
      </c>
      <c r="BT42" s="104">
        <v>206.11548999999999</v>
      </c>
      <c r="BU42" s="104">
        <v>205.99002999999999</v>
      </c>
      <c r="BV42" s="105"/>
      <c r="BW42" s="103">
        <v>17.41583</v>
      </c>
      <c r="BX42" s="105">
        <v>44.053669999999997</v>
      </c>
      <c r="BY42" s="102"/>
      <c r="BZ42" s="103"/>
      <c r="CA42" s="104"/>
      <c r="CB42" s="104"/>
      <c r="CC42" s="104"/>
      <c r="CD42" s="104"/>
      <c r="CE42" s="104">
        <v>118.14735</v>
      </c>
      <c r="CF42" s="104">
        <v>52.418509999999998</v>
      </c>
      <c r="CG42" s="104">
        <v>51.404559999999996</v>
      </c>
      <c r="CH42" s="104"/>
      <c r="CI42" s="104"/>
      <c r="CJ42" s="104"/>
      <c r="CK42" s="105"/>
      <c r="CL42" s="103">
        <v>180.55348000000001</v>
      </c>
      <c r="CM42" s="104">
        <v>180.52450999999999</v>
      </c>
      <c r="CN42" s="104">
        <v>181.33356000000001</v>
      </c>
      <c r="CO42" s="105">
        <v>181.02912000000001</v>
      </c>
      <c r="CP42" s="103"/>
      <c r="CQ42" s="105"/>
      <c r="CR42" s="103"/>
      <c r="CS42" s="105"/>
      <c r="CT42" s="103"/>
      <c r="CU42" s="104"/>
      <c r="CV42" s="106"/>
      <c r="CW42" s="103"/>
      <c r="CX42" s="104"/>
      <c r="CY42" s="104"/>
      <c r="CZ42" s="105"/>
      <c r="DA42" s="103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5"/>
      <c r="DN42" s="107"/>
      <c r="DO42" s="108"/>
      <c r="DP42" s="108"/>
      <c r="DQ42" s="109"/>
      <c r="DR42" s="103"/>
      <c r="DS42" s="104"/>
      <c r="DT42" s="104"/>
      <c r="DU42" s="105"/>
      <c r="DV42" s="102"/>
      <c r="DW42" s="103"/>
      <c r="DX42" s="104"/>
      <c r="DY42" s="104"/>
      <c r="DZ42" s="104"/>
      <c r="EA42" s="104"/>
      <c r="EB42" s="106"/>
      <c r="EC42" s="1"/>
      <c r="ED42" s="102"/>
      <c r="EE42" s="102"/>
      <c r="EF42" s="102"/>
      <c r="EG42" s="102"/>
      <c r="EH42" s="102"/>
      <c r="EI42" s="102"/>
      <c r="EJ42" s="102"/>
      <c r="EK42" s="102"/>
      <c r="EL42" s="103"/>
      <c r="EM42" s="105"/>
      <c r="EN42" s="103"/>
      <c r="EO42" s="105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3"/>
      <c r="FN42" s="104"/>
      <c r="FO42" s="104"/>
      <c r="FP42" s="105"/>
      <c r="FQ42" s="103"/>
      <c r="FR42" s="105"/>
      <c r="FS42" s="103"/>
      <c r="FT42" s="104"/>
      <c r="FU42" s="104"/>
      <c r="FV42" s="104"/>
      <c r="FW42" s="104"/>
      <c r="FX42" s="105"/>
      <c r="FY42" s="103"/>
      <c r="FZ42" s="105"/>
      <c r="GA42" s="103"/>
      <c r="GB42" s="104"/>
      <c r="GC42" s="104"/>
      <c r="GD42" s="105"/>
      <c r="GE42" s="102"/>
      <c r="GF42" s="102"/>
      <c r="GG42" s="102"/>
      <c r="GH42" s="103"/>
      <c r="GI42" s="104"/>
      <c r="GJ42" s="104"/>
      <c r="GK42" s="104"/>
      <c r="GL42" s="105"/>
      <c r="GM42" s="103"/>
      <c r="GN42" s="104"/>
      <c r="GO42" s="104"/>
      <c r="GP42" s="105"/>
      <c r="GQ42" s="102"/>
      <c r="GR42" s="103"/>
      <c r="GS42" s="104"/>
      <c r="GT42" s="105"/>
      <c r="GU42" s="1"/>
      <c r="GV42" s="102"/>
      <c r="GW42" s="103"/>
      <c r="GX42" s="102"/>
      <c r="GY42" s="102"/>
      <c r="GZ42" s="102"/>
      <c r="HA42" s="102"/>
      <c r="HB42" s="102"/>
      <c r="HC42" s="102"/>
      <c r="HD42" s="1"/>
      <c r="HE42" s="102"/>
      <c r="HF42" s="102"/>
      <c r="HG42" s="102"/>
      <c r="HH42" s="102"/>
      <c r="HI42" s="102"/>
      <c r="HJ42" s="102"/>
      <c r="HK42" s="103"/>
      <c r="HL42" s="105"/>
      <c r="HM42" s="1"/>
      <c r="HN42" s="103">
        <v>2249.03982</v>
      </c>
      <c r="HO42" s="104">
        <v>2211.7066300000001</v>
      </c>
      <c r="HP42" s="105">
        <v>671.25917000000004</v>
      </c>
    </row>
    <row r="43" spans="1:224" x14ac:dyDescent="0.3">
      <c r="A43" s="1"/>
      <c r="B43" s="101" t="s">
        <v>844</v>
      </c>
      <c r="C43" s="102"/>
      <c r="D43" s="103"/>
      <c r="E43" s="104"/>
      <c r="F43" s="104"/>
      <c r="G43" s="105"/>
      <c r="H43" s="103"/>
      <c r="I43" s="105"/>
      <c r="J43" s="103"/>
      <c r="K43" s="105"/>
      <c r="L43" s="103"/>
      <c r="M43" s="104"/>
      <c r="N43" s="104"/>
      <c r="O43" s="104"/>
      <c r="P43" s="104"/>
      <c r="Q43" s="104"/>
      <c r="R43" s="104"/>
      <c r="S43" s="105"/>
      <c r="T43" s="103">
        <v>18.14123</v>
      </c>
      <c r="U43" s="104">
        <v>19.191960000000002</v>
      </c>
      <c r="V43" s="105">
        <v>1.0612699999999999</v>
      </c>
      <c r="W43" s="102"/>
      <c r="X43" s="103"/>
      <c r="Y43" s="104"/>
      <c r="Z43" s="105"/>
      <c r="AA43" s="103"/>
      <c r="AB43" s="104"/>
      <c r="AC43" s="104"/>
      <c r="AD43" s="104">
        <v>11.413130000000001</v>
      </c>
      <c r="AE43" s="104">
        <v>23.889150000000001</v>
      </c>
      <c r="AF43" s="105">
        <v>10.22284</v>
      </c>
      <c r="AG43" s="102"/>
      <c r="AH43" s="102"/>
      <c r="AI43" s="102"/>
      <c r="AJ43" s="103"/>
      <c r="AK43" s="105">
        <v>7.8466800000000001</v>
      </c>
      <c r="AL43" s="103"/>
      <c r="AM43" s="105"/>
      <c r="AN43" s="102"/>
      <c r="AO43" s="103"/>
      <c r="AP43" s="105"/>
      <c r="AQ43" s="102"/>
      <c r="AR43" s="102"/>
      <c r="AS43" s="102"/>
      <c r="AT43" s="103"/>
      <c r="AU43" s="104"/>
      <c r="AV43" s="105"/>
      <c r="AW43" s="103"/>
      <c r="AX43" s="104"/>
      <c r="AY43" s="104"/>
      <c r="AZ43" s="104"/>
      <c r="BA43" s="104"/>
      <c r="BB43" s="105"/>
      <c r="BC43" s="103"/>
      <c r="BD43" s="105"/>
      <c r="BE43" s="102"/>
      <c r="BF43" s="103"/>
      <c r="BG43" s="104"/>
      <c r="BH43" s="105"/>
      <c r="BI43" s="103">
        <v>164.44227000000001</v>
      </c>
      <c r="BJ43" s="104">
        <v>165.47058000000001</v>
      </c>
      <c r="BK43" s="104">
        <v>165.59853000000001</v>
      </c>
      <c r="BL43" s="104"/>
      <c r="BM43" s="104"/>
      <c r="BN43" s="104"/>
      <c r="BO43" s="104"/>
      <c r="BP43" s="104"/>
      <c r="BQ43" s="104"/>
      <c r="BR43" s="104">
        <v>36.281509999999997</v>
      </c>
      <c r="BS43" s="104">
        <v>206.49456000000001</v>
      </c>
      <c r="BT43" s="104">
        <v>206.11548999999999</v>
      </c>
      <c r="BU43" s="104">
        <v>205.99002999999999</v>
      </c>
      <c r="BV43" s="105"/>
      <c r="BW43" s="103">
        <v>17.41583</v>
      </c>
      <c r="BX43" s="105">
        <v>44.053669999999997</v>
      </c>
      <c r="BY43" s="102"/>
      <c r="BZ43" s="103"/>
      <c r="CA43" s="104"/>
      <c r="CB43" s="104"/>
      <c r="CC43" s="104"/>
      <c r="CD43" s="104"/>
      <c r="CE43" s="104">
        <v>118.14735</v>
      </c>
      <c r="CF43" s="104">
        <v>52.418509999999998</v>
      </c>
      <c r="CG43" s="104">
        <v>51.404559999999996</v>
      </c>
      <c r="CH43" s="104"/>
      <c r="CI43" s="104"/>
      <c r="CJ43" s="104"/>
      <c r="CK43" s="105"/>
      <c r="CL43" s="103">
        <v>180.55348000000001</v>
      </c>
      <c r="CM43" s="104">
        <v>180.52450999999999</v>
      </c>
      <c r="CN43" s="104">
        <v>181.33356000000001</v>
      </c>
      <c r="CO43" s="105">
        <v>181.02912000000001</v>
      </c>
      <c r="CP43" s="103"/>
      <c r="CQ43" s="105"/>
      <c r="CR43" s="103"/>
      <c r="CS43" s="105"/>
      <c r="CT43" s="103"/>
      <c r="CU43" s="104"/>
      <c r="CV43" s="106"/>
      <c r="CW43" s="103"/>
      <c r="CX43" s="104"/>
      <c r="CY43" s="104"/>
      <c r="CZ43" s="105"/>
      <c r="DA43" s="103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5"/>
      <c r="DN43" s="107"/>
      <c r="DO43" s="108"/>
      <c r="DP43" s="108"/>
      <c r="DQ43" s="109"/>
      <c r="DR43" s="103"/>
      <c r="DS43" s="104"/>
      <c r="DT43" s="104"/>
      <c r="DU43" s="105"/>
      <c r="DV43" s="102"/>
      <c r="DW43" s="103"/>
      <c r="DX43" s="104"/>
      <c r="DY43" s="104"/>
      <c r="DZ43" s="104"/>
      <c r="EA43" s="104"/>
      <c r="EB43" s="106"/>
      <c r="EC43" s="1"/>
      <c r="ED43" s="102"/>
      <c r="EE43" s="102"/>
      <c r="EF43" s="102"/>
      <c r="EG43" s="102"/>
      <c r="EH43" s="102"/>
      <c r="EI43" s="102"/>
      <c r="EJ43" s="102"/>
      <c r="EK43" s="102"/>
      <c r="EL43" s="103"/>
      <c r="EM43" s="105"/>
      <c r="EN43" s="103"/>
      <c r="EO43" s="105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3"/>
      <c r="FN43" s="104"/>
      <c r="FO43" s="104"/>
      <c r="FP43" s="105"/>
      <c r="FQ43" s="103"/>
      <c r="FR43" s="105"/>
      <c r="FS43" s="103"/>
      <c r="FT43" s="104"/>
      <c r="FU43" s="104"/>
      <c r="FV43" s="104"/>
      <c r="FW43" s="104"/>
      <c r="FX43" s="105"/>
      <c r="FY43" s="103"/>
      <c r="FZ43" s="105"/>
      <c r="GA43" s="103"/>
      <c r="GB43" s="104"/>
      <c r="GC43" s="104"/>
      <c r="GD43" s="105"/>
      <c r="GE43" s="102"/>
      <c r="GF43" s="102"/>
      <c r="GG43" s="102"/>
      <c r="GH43" s="103"/>
      <c r="GI43" s="104"/>
      <c r="GJ43" s="104"/>
      <c r="GK43" s="104"/>
      <c r="GL43" s="105"/>
      <c r="GM43" s="103"/>
      <c r="GN43" s="104"/>
      <c r="GO43" s="104"/>
      <c r="GP43" s="105"/>
      <c r="GQ43" s="102"/>
      <c r="GR43" s="103"/>
      <c r="GS43" s="104"/>
      <c r="GT43" s="105"/>
      <c r="GU43" s="1"/>
      <c r="GV43" s="102"/>
      <c r="GW43" s="103"/>
      <c r="GX43" s="102"/>
      <c r="GY43" s="102"/>
      <c r="GZ43" s="102"/>
      <c r="HA43" s="102"/>
      <c r="HB43" s="102"/>
      <c r="HC43" s="102"/>
      <c r="HD43" s="1"/>
      <c r="HE43" s="102"/>
      <c r="HF43" s="102"/>
      <c r="HG43" s="102"/>
      <c r="HH43" s="102"/>
      <c r="HI43" s="102"/>
      <c r="HJ43" s="102"/>
      <c r="HK43" s="103"/>
      <c r="HL43" s="105"/>
      <c r="HM43" s="1"/>
      <c r="HN43" s="103">
        <v>2249.03982</v>
      </c>
      <c r="HO43" s="104">
        <v>2211.7066300000001</v>
      </c>
      <c r="HP43" s="105">
        <v>665.47787999999991</v>
      </c>
    </row>
    <row r="44" spans="1:224" x14ac:dyDescent="0.3">
      <c r="A44" s="1"/>
      <c r="B44" s="101" t="s">
        <v>845</v>
      </c>
      <c r="C44" s="102"/>
      <c r="D44" s="103"/>
      <c r="E44" s="104"/>
      <c r="F44" s="104"/>
      <c r="G44" s="105"/>
      <c r="H44" s="103"/>
      <c r="I44" s="105"/>
      <c r="J44" s="103"/>
      <c r="K44" s="105"/>
      <c r="L44" s="103"/>
      <c r="M44" s="104"/>
      <c r="N44" s="104"/>
      <c r="O44" s="104"/>
      <c r="P44" s="104"/>
      <c r="Q44" s="104"/>
      <c r="R44" s="104"/>
      <c r="S44" s="105"/>
      <c r="T44" s="103">
        <v>18.14123</v>
      </c>
      <c r="U44" s="104">
        <v>19.191960000000002</v>
      </c>
      <c r="V44" s="105">
        <v>1.0612699999999999</v>
      </c>
      <c r="W44" s="102"/>
      <c r="X44" s="103"/>
      <c r="Y44" s="104"/>
      <c r="Z44" s="105"/>
      <c r="AA44" s="103"/>
      <c r="AB44" s="104"/>
      <c r="AC44" s="104"/>
      <c r="AD44" s="104">
        <v>11.413130000000001</v>
      </c>
      <c r="AE44" s="104">
        <v>23.889150000000001</v>
      </c>
      <c r="AF44" s="105">
        <v>10.22284</v>
      </c>
      <c r="AG44" s="102"/>
      <c r="AH44" s="102"/>
      <c r="AI44" s="102"/>
      <c r="AJ44" s="103"/>
      <c r="AK44" s="105">
        <v>7.8466800000000001</v>
      </c>
      <c r="AL44" s="103"/>
      <c r="AM44" s="105"/>
      <c r="AN44" s="102"/>
      <c r="AO44" s="103"/>
      <c r="AP44" s="105"/>
      <c r="AQ44" s="102"/>
      <c r="AR44" s="102"/>
      <c r="AS44" s="102"/>
      <c r="AT44" s="103"/>
      <c r="AU44" s="104"/>
      <c r="AV44" s="105"/>
      <c r="AW44" s="103"/>
      <c r="AX44" s="104"/>
      <c r="AY44" s="104"/>
      <c r="AZ44" s="104"/>
      <c r="BA44" s="104"/>
      <c r="BB44" s="105"/>
      <c r="BC44" s="103"/>
      <c r="BD44" s="105"/>
      <c r="BE44" s="102"/>
      <c r="BF44" s="103"/>
      <c r="BG44" s="104"/>
      <c r="BH44" s="105"/>
      <c r="BI44" s="103">
        <v>164.44227000000001</v>
      </c>
      <c r="BJ44" s="104">
        <v>165.47058000000001</v>
      </c>
      <c r="BK44" s="104">
        <v>165.59853000000001</v>
      </c>
      <c r="BL44" s="104"/>
      <c r="BM44" s="104"/>
      <c r="BN44" s="104"/>
      <c r="BO44" s="104"/>
      <c r="BP44" s="104"/>
      <c r="BQ44" s="104"/>
      <c r="BR44" s="104">
        <v>36.281509999999997</v>
      </c>
      <c r="BS44" s="104">
        <v>206.49456000000001</v>
      </c>
      <c r="BT44" s="104">
        <v>206.11548999999999</v>
      </c>
      <c r="BU44" s="104">
        <v>205.99002999999999</v>
      </c>
      <c r="BV44" s="105"/>
      <c r="BW44" s="103">
        <v>17.41583</v>
      </c>
      <c r="BX44" s="105">
        <v>44.053669999999997</v>
      </c>
      <c r="BY44" s="102"/>
      <c r="BZ44" s="103"/>
      <c r="CA44" s="104"/>
      <c r="CB44" s="104"/>
      <c r="CC44" s="104"/>
      <c r="CD44" s="104"/>
      <c r="CE44" s="104">
        <v>118.14735</v>
      </c>
      <c r="CF44" s="104">
        <v>52.418509999999998</v>
      </c>
      <c r="CG44" s="104">
        <v>51.404559999999996</v>
      </c>
      <c r="CH44" s="104"/>
      <c r="CI44" s="104"/>
      <c r="CJ44" s="104"/>
      <c r="CK44" s="105"/>
      <c r="CL44" s="103">
        <v>180.55348000000001</v>
      </c>
      <c r="CM44" s="104">
        <v>180.52450999999999</v>
      </c>
      <c r="CN44" s="104">
        <v>181.33356000000001</v>
      </c>
      <c r="CO44" s="105">
        <v>181.02912000000001</v>
      </c>
      <c r="CP44" s="103"/>
      <c r="CQ44" s="105"/>
      <c r="CR44" s="103"/>
      <c r="CS44" s="105"/>
      <c r="CT44" s="103"/>
      <c r="CU44" s="104"/>
      <c r="CV44" s="106"/>
      <c r="CW44" s="103"/>
      <c r="CX44" s="104"/>
      <c r="CY44" s="104"/>
      <c r="CZ44" s="105"/>
      <c r="DA44" s="103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5"/>
      <c r="DN44" s="107"/>
      <c r="DO44" s="108"/>
      <c r="DP44" s="108"/>
      <c r="DQ44" s="109"/>
      <c r="DR44" s="103"/>
      <c r="DS44" s="104"/>
      <c r="DT44" s="104"/>
      <c r="DU44" s="105"/>
      <c r="DV44" s="102"/>
      <c r="DW44" s="103"/>
      <c r="DX44" s="104"/>
      <c r="DY44" s="104"/>
      <c r="DZ44" s="104"/>
      <c r="EA44" s="104"/>
      <c r="EB44" s="106"/>
      <c r="EC44" s="1"/>
      <c r="ED44" s="102"/>
      <c r="EE44" s="102"/>
      <c r="EF44" s="102"/>
      <c r="EG44" s="102"/>
      <c r="EH44" s="102"/>
      <c r="EI44" s="102"/>
      <c r="EJ44" s="102"/>
      <c r="EK44" s="102"/>
      <c r="EL44" s="103"/>
      <c r="EM44" s="105"/>
      <c r="EN44" s="103"/>
      <c r="EO44" s="105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3"/>
      <c r="FN44" s="104"/>
      <c r="FO44" s="104"/>
      <c r="FP44" s="105"/>
      <c r="FQ44" s="103"/>
      <c r="FR44" s="105"/>
      <c r="FS44" s="103"/>
      <c r="FT44" s="104"/>
      <c r="FU44" s="104"/>
      <c r="FV44" s="104"/>
      <c r="FW44" s="104"/>
      <c r="FX44" s="105"/>
      <c r="FY44" s="103"/>
      <c r="FZ44" s="105"/>
      <c r="GA44" s="103"/>
      <c r="GB44" s="104"/>
      <c r="GC44" s="104"/>
      <c r="GD44" s="105"/>
      <c r="GE44" s="102"/>
      <c r="GF44" s="102"/>
      <c r="GG44" s="102"/>
      <c r="GH44" s="103"/>
      <c r="GI44" s="104"/>
      <c r="GJ44" s="104"/>
      <c r="GK44" s="104"/>
      <c r="GL44" s="105"/>
      <c r="GM44" s="103"/>
      <c r="GN44" s="104"/>
      <c r="GO44" s="104"/>
      <c r="GP44" s="105"/>
      <c r="GQ44" s="102"/>
      <c r="GR44" s="103"/>
      <c r="GS44" s="104"/>
      <c r="GT44" s="105"/>
      <c r="GU44" s="1"/>
      <c r="GV44" s="102"/>
      <c r="GW44" s="103"/>
      <c r="GX44" s="102"/>
      <c r="GY44" s="102"/>
      <c r="GZ44" s="102"/>
      <c r="HA44" s="102"/>
      <c r="HB44" s="102"/>
      <c r="HC44" s="102"/>
      <c r="HD44" s="1"/>
      <c r="HE44" s="102"/>
      <c r="HF44" s="102"/>
      <c r="HG44" s="102"/>
      <c r="HH44" s="102"/>
      <c r="HI44" s="102"/>
      <c r="HJ44" s="102"/>
      <c r="HK44" s="103"/>
      <c r="HL44" s="105"/>
      <c r="HM44" s="1"/>
      <c r="HN44" s="103">
        <v>2249.03982</v>
      </c>
      <c r="HO44" s="104">
        <v>2211.7066300000001</v>
      </c>
      <c r="HP44" s="105">
        <v>671.25917000000004</v>
      </c>
    </row>
    <row r="45" spans="1:224" x14ac:dyDescent="0.3">
      <c r="A45" s="1"/>
      <c r="B45" s="101" t="s">
        <v>846</v>
      </c>
      <c r="C45" s="102"/>
      <c r="D45" s="103"/>
      <c r="E45" s="104"/>
      <c r="F45" s="104"/>
      <c r="G45" s="105"/>
      <c r="H45" s="103"/>
      <c r="I45" s="105"/>
      <c r="J45" s="103"/>
      <c r="K45" s="105"/>
      <c r="L45" s="103"/>
      <c r="M45" s="104"/>
      <c r="N45" s="104"/>
      <c r="O45" s="104"/>
      <c r="P45" s="104"/>
      <c r="Q45" s="104"/>
      <c r="R45" s="104"/>
      <c r="S45" s="105"/>
      <c r="T45" s="103">
        <v>18.14123</v>
      </c>
      <c r="U45" s="104">
        <v>19.191960000000002</v>
      </c>
      <c r="V45" s="105">
        <v>1.0612699999999999</v>
      </c>
      <c r="W45" s="102"/>
      <c r="X45" s="103"/>
      <c r="Y45" s="104"/>
      <c r="Z45" s="105"/>
      <c r="AA45" s="103"/>
      <c r="AB45" s="104"/>
      <c r="AC45" s="104"/>
      <c r="AD45" s="104">
        <v>11.413130000000001</v>
      </c>
      <c r="AE45" s="104">
        <v>23.889150000000001</v>
      </c>
      <c r="AF45" s="105">
        <v>10.22284</v>
      </c>
      <c r="AG45" s="102"/>
      <c r="AH45" s="102"/>
      <c r="AI45" s="102"/>
      <c r="AJ45" s="103"/>
      <c r="AK45" s="105">
        <v>7.8466800000000001</v>
      </c>
      <c r="AL45" s="103"/>
      <c r="AM45" s="105"/>
      <c r="AN45" s="102"/>
      <c r="AO45" s="103"/>
      <c r="AP45" s="105"/>
      <c r="AQ45" s="102"/>
      <c r="AR45" s="102"/>
      <c r="AS45" s="102"/>
      <c r="AT45" s="103"/>
      <c r="AU45" s="104"/>
      <c r="AV45" s="105"/>
      <c r="AW45" s="103"/>
      <c r="AX45" s="104"/>
      <c r="AY45" s="104"/>
      <c r="AZ45" s="104"/>
      <c r="BA45" s="104"/>
      <c r="BB45" s="105"/>
      <c r="BC45" s="103"/>
      <c r="BD45" s="105"/>
      <c r="BE45" s="102"/>
      <c r="BF45" s="103"/>
      <c r="BG45" s="104"/>
      <c r="BH45" s="105"/>
      <c r="BI45" s="103">
        <v>164.44227000000001</v>
      </c>
      <c r="BJ45" s="104">
        <v>165.47058000000001</v>
      </c>
      <c r="BK45" s="104">
        <v>165.59853000000001</v>
      </c>
      <c r="BL45" s="104"/>
      <c r="BM45" s="104"/>
      <c r="BN45" s="104"/>
      <c r="BO45" s="104"/>
      <c r="BP45" s="104"/>
      <c r="BQ45" s="104"/>
      <c r="BR45" s="104"/>
      <c r="BS45" s="104">
        <v>206.49456000000001</v>
      </c>
      <c r="BT45" s="104">
        <v>206.11548999999999</v>
      </c>
      <c r="BU45" s="104">
        <v>205.99002999999999</v>
      </c>
      <c r="BV45" s="105"/>
      <c r="BW45" s="103">
        <v>17.41583</v>
      </c>
      <c r="BX45" s="105">
        <v>44.053669999999997</v>
      </c>
      <c r="BY45" s="102"/>
      <c r="BZ45" s="103"/>
      <c r="CA45" s="104"/>
      <c r="CB45" s="104"/>
      <c r="CC45" s="104"/>
      <c r="CD45" s="104"/>
      <c r="CE45" s="104">
        <v>118.14735</v>
      </c>
      <c r="CF45" s="104">
        <v>52.418509999999998</v>
      </c>
      <c r="CG45" s="104">
        <v>51.404559999999996</v>
      </c>
      <c r="CH45" s="104"/>
      <c r="CI45" s="104"/>
      <c r="CJ45" s="104"/>
      <c r="CK45" s="105"/>
      <c r="CL45" s="103">
        <v>180.55348000000001</v>
      </c>
      <c r="CM45" s="104">
        <v>180.52450999999999</v>
      </c>
      <c r="CN45" s="104">
        <v>181.33356000000001</v>
      </c>
      <c r="CO45" s="105">
        <v>181.02912000000001</v>
      </c>
      <c r="CP45" s="103"/>
      <c r="CQ45" s="105"/>
      <c r="CR45" s="103"/>
      <c r="CS45" s="105"/>
      <c r="CT45" s="103"/>
      <c r="CU45" s="104"/>
      <c r="CV45" s="106"/>
      <c r="CW45" s="103"/>
      <c r="CX45" s="104"/>
      <c r="CY45" s="104"/>
      <c r="CZ45" s="105"/>
      <c r="DA45" s="103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5"/>
      <c r="DN45" s="107"/>
      <c r="DO45" s="108"/>
      <c r="DP45" s="108"/>
      <c r="DQ45" s="109"/>
      <c r="DR45" s="103"/>
      <c r="DS45" s="104"/>
      <c r="DT45" s="104"/>
      <c r="DU45" s="105"/>
      <c r="DV45" s="102"/>
      <c r="DW45" s="103"/>
      <c r="DX45" s="104"/>
      <c r="DY45" s="104"/>
      <c r="DZ45" s="104"/>
      <c r="EA45" s="104"/>
      <c r="EB45" s="106"/>
      <c r="EC45" s="1"/>
      <c r="ED45" s="102"/>
      <c r="EE45" s="102"/>
      <c r="EF45" s="102"/>
      <c r="EG45" s="102"/>
      <c r="EH45" s="102"/>
      <c r="EI45" s="102"/>
      <c r="EJ45" s="102"/>
      <c r="EK45" s="102"/>
      <c r="EL45" s="103"/>
      <c r="EM45" s="105"/>
      <c r="EN45" s="103"/>
      <c r="EO45" s="105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3"/>
      <c r="FN45" s="104"/>
      <c r="FO45" s="104"/>
      <c r="FP45" s="105"/>
      <c r="FQ45" s="103"/>
      <c r="FR45" s="105"/>
      <c r="FS45" s="103"/>
      <c r="FT45" s="104"/>
      <c r="FU45" s="104"/>
      <c r="FV45" s="104"/>
      <c r="FW45" s="104"/>
      <c r="FX45" s="105"/>
      <c r="FY45" s="103"/>
      <c r="FZ45" s="105"/>
      <c r="GA45" s="103"/>
      <c r="GB45" s="104"/>
      <c r="GC45" s="104"/>
      <c r="GD45" s="105"/>
      <c r="GE45" s="102"/>
      <c r="GF45" s="102"/>
      <c r="GG45" s="102"/>
      <c r="GH45" s="103"/>
      <c r="GI45" s="104"/>
      <c r="GJ45" s="104"/>
      <c r="GK45" s="104"/>
      <c r="GL45" s="105"/>
      <c r="GM45" s="103"/>
      <c r="GN45" s="104"/>
      <c r="GO45" s="104"/>
      <c r="GP45" s="105"/>
      <c r="GQ45" s="102"/>
      <c r="GR45" s="103"/>
      <c r="GS45" s="104"/>
      <c r="GT45" s="105"/>
      <c r="GU45" s="1"/>
      <c r="GV45" s="102"/>
      <c r="GW45" s="103"/>
      <c r="GX45" s="102"/>
      <c r="GY45" s="102"/>
      <c r="GZ45" s="102"/>
      <c r="HA45" s="102"/>
      <c r="HB45" s="102"/>
      <c r="HC45" s="102"/>
      <c r="HD45" s="1"/>
      <c r="HE45" s="102"/>
      <c r="HF45" s="102"/>
      <c r="HG45" s="102"/>
      <c r="HH45" s="102"/>
      <c r="HI45" s="102"/>
      <c r="HJ45" s="102"/>
      <c r="HK45" s="103"/>
      <c r="HL45" s="105"/>
      <c r="HM45" s="1"/>
      <c r="HN45" s="103">
        <v>2212.7583099999997</v>
      </c>
      <c r="HO45" s="104">
        <v>2175.4251199999999</v>
      </c>
      <c r="HP45" s="105">
        <v>671.25917000000004</v>
      </c>
    </row>
    <row r="46" spans="1:224" x14ac:dyDescent="0.3">
      <c r="A46" s="1"/>
      <c r="B46" s="101" t="s">
        <v>847</v>
      </c>
      <c r="C46" s="102"/>
      <c r="D46" s="103"/>
      <c r="E46" s="104"/>
      <c r="F46" s="104"/>
      <c r="G46" s="105"/>
      <c r="H46" s="103"/>
      <c r="I46" s="105"/>
      <c r="J46" s="103"/>
      <c r="K46" s="105"/>
      <c r="L46" s="103"/>
      <c r="M46" s="104"/>
      <c r="N46" s="104"/>
      <c r="O46" s="104"/>
      <c r="P46" s="104"/>
      <c r="Q46" s="104"/>
      <c r="R46" s="104"/>
      <c r="S46" s="105"/>
      <c r="T46" s="103">
        <v>18.14123</v>
      </c>
      <c r="U46" s="104">
        <v>19.191960000000002</v>
      </c>
      <c r="V46" s="105">
        <v>1.0612699999999999</v>
      </c>
      <c r="W46" s="102"/>
      <c r="X46" s="103"/>
      <c r="Y46" s="104"/>
      <c r="Z46" s="105">
        <v>17.279389999999999</v>
      </c>
      <c r="AA46" s="103"/>
      <c r="AB46" s="104"/>
      <c r="AC46" s="104"/>
      <c r="AD46" s="104">
        <v>11.413130000000001</v>
      </c>
      <c r="AE46" s="104">
        <v>23.889150000000001</v>
      </c>
      <c r="AF46" s="105">
        <v>10.22284</v>
      </c>
      <c r="AG46" s="102"/>
      <c r="AH46" s="102"/>
      <c r="AI46" s="102"/>
      <c r="AJ46" s="103"/>
      <c r="AK46" s="105">
        <v>7.8466800000000001</v>
      </c>
      <c r="AL46" s="103"/>
      <c r="AM46" s="105"/>
      <c r="AN46" s="102"/>
      <c r="AO46" s="103"/>
      <c r="AP46" s="105"/>
      <c r="AQ46" s="102"/>
      <c r="AR46" s="102"/>
      <c r="AS46" s="102"/>
      <c r="AT46" s="103"/>
      <c r="AU46" s="104"/>
      <c r="AV46" s="105"/>
      <c r="AW46" s="103"/>
      <c r="AX46" s="104"/>
      <c r="AY46" s="104"/>
      <c r="AZ46" s="104"/>
      <c r="BA46" s="104"/>
      <c r="BB46" s="105"/>
      <c r="BC46" s="103"/>
      <c r="BD46" s="105"/>
      <c r="BE46" s="102"/>
      <c r="BF46" s="103"/>
      <c r="BG46" s="104"/>
      <c r="BH46" s="105"/>
      <c r="BI46" s="103">
        <v>164.44227000000001</v>
      </c>
      <c r="BJ46" s="104">
        <v>165.47058000000001</v>
      </c>
      <c r="BK46" s="104">
        <v>165.59853000000001</v>
      </c>
      <c r="BL46" s="104"/>
      <c r="BM46" s="104"/>
      <c r="BN46" s="104"/>
      <c r="BO46" s="104"/>
      <c r="BP46" s="104"/>
      <c r="BQ46" s="104"/>
      <c r="BR46" s="104"/>
      <c r="BS46" s="104">
        <v>206.49456000000001</v>
      </c>
      <c r="BT46" s="104">
        <v>206.11548999999999</v>
      </c>
      <c r="BU46" s="104">
        <v>205.99002999999999</v>
      </c>
      <c r="BV46" s="105"/>
      <c r="BW46" s="103">
        <v>17.41583</v>
      </c>
      <c r="BX46" s="105">
        <v>44.053669999999997</v>
      </c>
      <c r="BY46" s="102"/>
      <c r="BZ46" s="103"/>
      <c r="CA46" s="104"/>
      <c r="CB46" s="104"/>
      <c r="CC46" s="104"/>
      <c r="CD46" s="104"/>
      <c r="CE46" s="104">
        <v>118.14735</v>
      </c>
      <c r="CF46" s="104">
        <v>52.418509999999998</v>
      </c>
      <c r="CG46" s="104">
        <v>51.404559999999996</v>
      </c>
      <c r="CH46" s="104"/>
      <c r="CI46" s="104"/>
      <c r="CJ46" s="104"/>
      <c r="CK46" s="105"/>
      <c r="CL46" s="103">
        <v>180.55348000000001</v>
      </c>
      <c r="CM46" s="104">
        <v>180.52450999999999</v>
      </c>
      <c r="CN46" s="104">
        <v>181.33356000000001</v>
      </c>
      <c r="CO46" s="105">
        <v>181.02912000000001</v>
      </c>
      <c r="CP46" s="103"/>
      <c r="CQ46" s="105"/>
      <c r="CR46" s="103"/>
      <c r="CS46" s="105"/>
      <c r="CT46" s="103"/>
      <c r="CU46" s="104"/>
      <c r="CV46" s="106"/>
      <c r="CW46" s="103"/>
      <c r="CX46" s="104"/>
      <c r="CY46" s="104"/>
      <c r="CZ46" s="105"/>
      <c r="DA46" s="103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5"/>
      <c r="DN46" s="107"/>
      <c r="DO46" s="108"/>
      <c r="DP46" s="108"/>
      <c r="DQ46" s="109"/>
      <c r="DR46" s="103"/>
      <c r="DS46" s="104"/>
      <c r="DT46" s="104"/>
      <c r="DU46" s="105"/>
      <c r="DV46" s="102"/>
      <c r="DW46" s="103"/>
      <c r="DX46" s="104"/>
      <c r="DY46" s="104"/>
      <c r="DZ46" s="104"/>
      <c r="EA46" s="104"/>
      <c r="EB46" s="106"/>
      <c r="EC46" s="1"/>
      <c r="ED46" s="102"/>
      <c r="EE46" s="102"/>
      <c r="EF46" s="102"/>
      <c r="EG46" s="102"/>
      <c r="EH46" s="102"/>
      <c r="EI46" s="102"/>
      <c r="EJ46" s="102"/>
      <c r="EK46" s="102"/>
      <c r="EL46" s="103"/>
      <c r="EM46" s="105"/>
      <c r="EN46" s="103"/>
      <c r="EO46" s="105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3"/>
      <c r="FN46" s="104"/>
      <c r="FO46" s="104"/>
      <c r="FP46" s="105"/>
      <c r="FQ46" s="103"/>
      <c r="FR46" s="105"/>
      <c r="FS46" s="103"/>
      <c r="FT46" s="104"/>
      <c r="FU46" s="104"/>
      <c r="FV46" s="104"/>
      <c r="FW46" s="104"/>
      <c r="FX46" s="105"/>
      <c r="FY46" s="103"/>
      <c r="FZ46" s="105"/>
      <c r="GA46" s="103"/>
      <c r="GB46" s="104"/>
      <c r="GC46" s="104"/>
      <c r="GD46" s="105"/>
      <c r="GE46" s="102"/>
      <c r="GF46" s="102"/>
      <c r="GG46" s="102"/>
      <c r="GH46" s="103"/>
      <c r="GI46" s="104"/>
      <c r="GJ46" s="104"/>
      <c r="GK46" s="104"/>
      <c r="GL46" s="105"/>
      <c r="GM46" s="103"/>
      <c r="GN46" s="104"/>
      <c r="GO46" s="104"/>
      <c r="GP46" s="105"/>
      <c r="GQ46" s="102"/>
      <c r="GR46" s="103"/>
      <c r="GS46" s="104"/>
      <c r="GT46" s="105"/>
      <c r="GU46" s="1"/>
      <c r="GV46" s="102"/>
      <c r="GW46" s="103"/>
      <c r="GX46" s="102"/>
      <c r="GY46" s="102"/>
      <c r="GZ46" s="102"/>
      <c r="HA46" s="102"/>
      <c r="HB46" s="102"/>
      <c r="HC46" s="102"/>
      <c r="HD46" s="1"/>
      <c r="HE46" s="102"/>
      <c r="HF46" s="102"/>
      <c r="HG46" s="102"/>
      <c r="HH46" s="102"/>
      <c r="HI46" s="102"/>
      <c r="HJ46" s="102"/>
      <c r="HK46" s="103"/>
      <c r="HL46" s="105"/>
      <c r="HM46" s="1"/>
      <c r="HN46" s="103">
        <v>2230.0376999999999</v>
      </c>
      <c r="HO46" s="104">
        <v>2192.70451</v>
      </c>
      <c r="HP46" s="105">
        <v>671.25917000000004</v>
      </c>
    </row>
    <row r="47" spans="1:224" x14ac:dyDescent="0.3">
      <c r="A47" s="1"/>
      <c r="B47" s="101" t="s">
        <v>848</v>
      </c>
      <c r="C47" s="102"/>
      <c r="D47" s="103"/>
      <c r="E47" s="104"/>
      <c r="F47" s="104"/>
      <c r="G47" s="105"/>
      <c r="H47" s="103"/>
      <c r="I47" s="105"/>
      <c r="J47" s="103"/>
      <c r="K47" s="105"/>
      <c r="L47" s="103"/>
      <c r="M47" s="104"/>
      <c r="N47" s="104"/>
      <c r="O47" s="104"/>
      <c r="P47" s="104"/>
      <c r="Q47" s="104"/>
      <c r="R47" s="104"/>
      <c r="S47" s="105"/>
      <c r="T47" s="103">
        <v>18.14123</v>
      </c>
      <c r="U47" s="104">
        <v>19.191960000000002</v>
      </c>
      <c r="V47" s="105">
        <v>1.0612699999999999</v>
      </c>
      <c r="W47" s="102"/>
      <c r="X47" s="103"/>
      <c r="Y47" s="104"/>
      <c r="Z47" s="105">
        <v>17.279389999999999</v>
      </c>
      <c r="AA47" s="103"/>
      <c r="AB47" s="104"/>
      <c r="AC47" s="104"/>
      <c r="AD47" s="104">
        <v>11.413130000000001</v>
      </c>
      <c r="AE47" s="104">
        <v>23.889150000000001</v>
      </c>
      <c r="AF47" s="105">
        <v>10.22284</v>
      </c>
      <c r="AG47" s="102"/>
      <c r="AH47" s="102"/>
      <c r="AI47" s="102"/>
      <c r="AJ47" s="103"/>
      <c r="AK47" s="105">
        <v>7.8466800000000001</v>
      </c>
      <c r="AL47" s="103"/>
      <c r="AM47" s="105"/>
      <c r="AN47" s="102"/>
      <c r="AO47" s="103"/>
      <c r="AP47" s="105"/>
      <c r="AQ47" s="102"/>
      <c r="AR47" s="102"/>
      <c r="AS47" s="102"/>
      <c r="AT47" s="103"/>
      <c r="AU47" s="104"/>
      <c r="AV47" s="105"/>
      <c r="AW47" s="103"/>
      <c r="AX47" s="104"/>
      <c r="AY47" s="104"/>
      <c r="AZ47" s="104"/>
      <c r="BA47" s="104"/>
      <c r="BB47" s="105"/>
      <c r="BC47" s="103"/>
      <c r="BD47" s="105"/>
      <c r="BE47" s="102"/>
      <c r="BF47" s="103"/>
      <c r="BG47" s="104"/>
      <c r="BH47" s="105"/>
      <c r="BI47" s="103">
        <v>164.44227000000001</v>
      </c>
      <c r="BJ47" s="104">
        <v>165.47058000000001</v>
      </c>
      <c r="BK47" s="104">
        <v>165.59853000000001</v>
      </c>
      <c r="BL47" s="104"/>
      <c r="BM47" s="104"/>
      <c r="BN47" s="104"/>
      <c r="BO47" s="104"/>
      <c r="BP47" s="104"/>
      <c r="BQ47" s="104"/>
      <c r="BR47" s="104">
        <v>110.49702000000001</v>
      </c>
      <c r="BS47" s="104">
        <v>206.49456000000001</v>
      </c>
      <c r="BT47" s="104">
        <v>206.11548999999999</v>
      </c>
      <c r="BU47" s="104">
        <v>205.99002999999999</v>
      </c>
      <c r="BV47" s="105"/>
      <c r="BW47" s="103">
        <v>17.41583</v>
      </c>
      <c r="BX47" s="105">
        <v>44.053669999999997</v>
      </c>
      <c r="BY47" s="102"/>
      <c r="BZ47" s="103"/>
      <c r="CA47" s="104"/>
      <c r="CB47" s="104"/>
      <c r="CC47" s="104"/>
      <c r="CD47" s="104"/>
      <c r="CE47" s="104">
        <v>118.14735</v>
      </c>
      <c r="CF47" s="104">
        <v>52.418509999999998</v>
      </c>
      <c r="CG47" s="104">
        <v>51.404559999999996</v>
      </c>
      <c r="CH47" s="104"/>
      <c r="CI47" s="104"/>
      <c r="CJ47" s="104"/>
      <c r="CK47" s="105"/>
      <c r="CL47" s="103">
        <v>180.55348000000001</v>
      </c>
      <c r="CM47" s="104">
        <v>180.52450999999999</v>
      </c>
      <c r="CN47" s="104">
        <v>181.33356000000001</v>
      </c>
      <c r="CO47" s="105">
        <v>181.02912000000001</v>
      </c>
      <c r="CP47" s="103"/>
      <c r="CQ47" s="105"/>
      <c r="CR47" s="103"/>
      <c r="CS47" s="105"/>
      <c r="CT47" s="103"/>
      <c r="CU47" s="104"/>
      <c r="CV47" s="106"/>
      <c r="CW47" s="103"/>
      <c r="CX47" s="104"/>
      <c r="CY47" s="104"/>
      <c r="CZ47" s="105"/>
      <c r="DA47" s="103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5"/>
      <c r="DN47" s="107"/>
      <c r="DO47" s="108"/>
      <c r="DP47" s="108"/>
      <c r="DQ47" s="109"/>
      <c r="DR47" s="103"/>
      <c r="DS47" s="104"/>
      <c r="DT47" s="104"/>
      <c r="DU47" s="105"/>
      <c r="DV47" s="102"/>
      <c r="DW47" s="103"/>
      <c r="DX47" s="104"/>
      <c r="DY47" s="104"/>
      <c r="DZ47" s="104"/>
      <c r="EA47" s="104"/>
      <c r="EB47" s="106"/>
      <c r="EC47" s="1"/>
      <c r="ED47" s="102"/>
      <c r="EE47" s="102"/>
      <c r="EF47" s="102"/>
      <c r="EG47" s="102"/>
      <c r="EH47" s="102"/>
      <c r="EI47" s="102"/>
      <c r="EJ47" s="102"/>
      <c r="EK47" s="102"/>
      <c r="EL47" s="103"/>
      <c r="EM47" s="105"/>
      <c r="EN47" s="103"/>
      <c r="EO47" s="105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3"/>
      <c r="FN47" s="104"/>
      <c r="FO47" s="104"/>
      <c r="FP47" s="105"/>
      <c r="FQ47" s="103"/>
      <c r="FR47" s="105"/>
      <c r="FS47" s="103"/>
      <c r="FT47" s="104"/>
      <c r="FU47" s="104"/>
      <c r="FV47" s="104"/>
      <c r="FW47" s="104"/>
      <c r="FX47" s="105"/>
      <c r="FY47" s="103"/>
      <c r="FZ47" s="105"/>
      <c r="GA47" s="103"/>
      <c r="GB47" s="104"/>
      <c r="GC47" s="104"/>
      <c r="GD47" s="105"/>
      <c r="GE47" s="102"/>
      <c r="GF47" s="102"/>
      <c r="GG47" s="102"/>
      <c r="GH47" s="103"/>
      <c r="GI47" s="104"/>
      <c r="GJ47" s="104"/>
      <c r="GK47" s="104"/>
      <c r="GL47" s="105"/>
      <c r="GM47" s="103"/>
      <c r="GN47" s="104"/>
      <c r="GO47" s="104"/>
      <c r="GP47" s="105"/>
      <c r="GQ47" s="102"/>
      <c r="GR47" s="103"/>
      <c r="GS47" s="104"/>
      <c r="GT47" s="105"/>
      <c r="GU47" s="1"/>
      <c r="GV47" s="102"/>
      <c r="GW47" s="103"/>
      <c r="GX47" s="102"/>
      <c r="GY47" s="102"/>
      <c r="GZ47" s="102"/>
      <c r="HA47" s="102"/>
      <c r="HB47" s="102"/>
      <c r="HC47" s="102"/>
      <c r="HD47" s="1"/>
      <c r="HE47" s="102"/>
      <c r="HF47" s="102"/>
      <c r="HG47" s="102"/>
      <c r="HH47" s="102"/>
      <c r="HI47" s="102"/>
      <c r="HJ47" s="102"/>
      <c r="HK47" s="103"/>
      <c r="HL47" s="105"/>
      <c r="HM47" s="1"/>
      <c r="HN47" s="103">
        <v>2340.5347199999997</v>
      </c>
      <c r="HO47" s="104">
        <v>2303.2015299999998</v>
      </c>
      <c r="HP47" s="105">
        <v>671.25917000000004</v>
      </c>
    </row>
    <row r="48" spans="1:224" x14ac:dyDescent="0.3">
      <c r="A48" s="1"/>
      <c r="B48" s="101" t="s">
        <v>849</v>
      </c>
      <c r="C48" s="102"/>
      <c r="D48" s="103"/>
      <c r="E48" s="104"/>
      <c r="F48" s="104"/>
      <c r="G48" s="105"/>
      <c r="H48" s="103"/>
      <c r="I48" s="105"/>
      <c r="J48" s="103"/>
      <c r="K48" s="105"/>
      <c r="L48" s="103"/>
      <c r="M48" s="104"/>
      <c r="N48" s="104"/>
      <c r="O48" s="104"/>
      <c r="P48" s="104"/>
      <c r="Q48" s="104"/>
      <c r="R48" s="104"/>
      <c r="S48" s="105"/>
      <c r="T48" s="103">
        <v>18.14123</v>
      </c>
      <c r="U48" s="104">
        <v>19.191960000000002</v>
      </c>
      <c r="V48" s="105">
        <v>1.0612699999999999</v>
      </c>
      <c r="W48" s="102"/>
      <c r="X48" s="103"/>
      <c r="Y48" s="104"/>
      <c r="Z48" s="105">
        <v>17.279389999999999</v>
      </c>
      <c r="AA48" s="103"/>
      <c r="AB48" s="104"/>
      <c r="AC48" s="104"/>
      <c r="AD48" s="104">
        <v>11.413130000000001</v>
      </c>
      <c r="AE48" s="104">
        <v>23.889150000000001</v>
      </c>
      <c r="AF48" s="105">
        <v>10.22284</v>
      </c>
      <c r="AG48" s="102"/>
      <c r="AH48" s="102"/>
      <c r="AI48" s="102"/>
      <c r="AJ48" s="103"/>
      <c r="AK48" s="105">
        <v>7.8466800000000001</v>
      </c>
      <c r="AL48" s="103"/>
      <c r="AM48" s="105"/>
      <c r="AN48" s="102"/>
      <c r="AO48" s="103"/>
      <c r="AP48" s="105"/>
      <c r="AQ48" s="102"/>
      <c r="AR48" s="102"/>
      <c r="AS48" s="102"/>
      <c r="AT48" s="103"/>
      <c r="AU48" s="104"/>
      <c r="AV48" s="105"/>
      <c r="AW48" s="103"/>
      <c r="AX48" s="104"/>
      <c r="AY48" s="104"/>
      <c r="AZ48" s="104"/>
      <c r="BA48" s="104"/>
      <c r="BB48" s="105"/>
      <c r="BC48" s="103"/>
      <c r="BD48" s="105"/>
      <c r="BE48" s="102"/>
      <c r="BF48" s="103"/>
      <c r="BG48" s="104"/>
      <c r="BH48" s="105"/>
      <c r="BI48" s="103">
        <v>164.44227000000001</v>
      </c>
      <c r="BJ48" s="104">
        <v>165.47058000000001</v>
      </c>
      <c r="BK48" s="104">
        <v>165.59853000000001</v>
      </c>
      <c r="BL48" s="104"/>
      <c r="BM48" s="104"/>
      <c r="BN48" s="104"/>
      <c r="BO48" s="104"/>
      <c r="BP48" s="104"/>
      <c r="BQ48" s="104"/>
      <c r="BR48" s="104">
        <v>110.49702000000001</v>
      </c>
      <c r="BS48" s="104">
        <v>206.49456000000001</v>
      </c>
      <c r="BT48" s="104">
        <v>206.11548999999999</v>
      </c>
      <c r="BU48" s="104">
        <v>205.99002999999999</v>
      </c>
      <c r="BV48" s="105"/>
      <c r="BW48" s="103">
        <v>17.41583</v>
      </c>
      <c r="BX48" s="105">
        <v>44.053669999999997</v>
      </c>
      <c r="BY48" s="102"/>
      <c r="BZ48" s="103"/>
      <c r="CA48" s="104"/>
      <c r="CB48" s="104"/>
      <c r="CC48" s="104"/>
      <c r="CD48" s="104"/>
      <c r="CE48" s="104">
        <v>118.14735</v>
      </c>
      <c r="CF48" s="104">
        <v>52.418509999999998</v>
      </c>
      <c r="CG48" s="104">
        <v>51.404559999999996</v>
      </c>
      <c r="CH48" s="104"/>
      <c r="CI48" s="104"/>
      <c r="CJ48" s="104"/>
      <c r="CK48" s="105"/>
      <c r="CL48" s="103">
        <v>180.55348000000001</v>
      </c>
      <c r="CM48" s="104">
        <v>180.52450999999999</v>
      </c>
      <c r="CN48" s="104">
        <v>181.33356000000001</v>
      </c>
      <c r="CO48" s="105">
        <v>181.02912000000001</v>
      </c>
      <c r="CP48" s="103"/>
      <c r="CQ48" s="105"/>
      <c r="CR48" s="103"/>
      <c r="CS48" s="105"/>
      <c r="CT48" s="103"/>
      <c r="CU48" s="104"/>
      <c r="CV48" s="106"/>
      <c r="CW48" s="103"/>
      <c r="CX48" s="104"/>
      <c r="CY48" s="104"/>
      <c r="CZ48" s="105"/>
      <c r="DA48" s="103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5"/>
      <c r="DN48" s="107"/>
      <c r="DO48" s="108"/>
      <c r="DP48" s="108"/>
      <c r="DQ48" s="109"/>
      <c r="DR48" s="103"/>
      <c r="DS48" s="104"/>
      <c r="DT48" s="104"/>
      <c r="DU48" s="105"/>
      <c r="DV48" s="102"/>
      <c r="DW48" s="103"/>
      <c r="DX48" s="104"/>
      <c r="DY48" s="104"/>
      <c r="DZ48" s="104"/>
      <c r="EA48" s="104"/>
      <c r="EB48" s="106"/>
      <c r="EC48" s="1"/>
      <c r="ED48" s="102"/>
      <c r="EE48" s="102"/>
      <c r="EF48" s="102"/>
      <c r="EG48" s="102"/>
      <c r="EH48" s="102"/>
      <c r="EI48" s="102"/>
      <c r="EJ48" s="102"/>
      <c r="EK48" s="102"/>
      <c r="EL48" s="103"/>
      <c r="EM48" s="105"/>
      <c r="EN48" s="103"/>
      <c r="EO48" s="105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3"/>
      <c r="FN48" s="104"/>
      <c r="FO48" s="104"/>
      <c r="FP48" s="105"/>
      <c r="FQ48" s="103"/>
      <c r="FR48" s="105"/>
      <c r="FS48" s="103"/>
      <c r="FT48" s="104"/>
      <c r="FU48" s="104"/>
      <c r="FV48" s="104"/>
      <c r="FW48" s="104"/>
      <c r="FX48" s="105"/>
      <c r="FY48" s="103"/>
      <c r="FZ48" s="105"/>
      <c r="GA48" s="103"/>
      <c r="GB48" s="104"/>
      <c r="GC48" s="104"/>
      <c r="GD48" s="105"/>
      <c r="GE48" s="102"/>
      <c r="GF48" s="102"/>
      <c r="GG48" s="102"/>
      <c r="GH48" s="103"/>
      <c r="GI48" s="104"/>
      <c r="GJ48" s="104"/>
      <c r="GK48" s="104"/>
      <c r="GL48" s="105"/>
      <c r="GM48" s="103"/>
      <c r="GN48" s="104"/>
      <c r="GO48" s="104"/>
      <c r="GP48" s="105"/>
      <c r="GQ48" s="102"/>
      <c r="GR48" s="103"/>
      <c r="GS48" s="104"/>
      <c r="GT48" s="105"/>
      <c r="GU48" s="1"/>
      <c r="GV48" s="102"/>
      <c r="GW48" s="103"/>
      <c r="GX48" s="102"/>
      <c r="GY48" s="102"/>
      <c r="GZ48" s="102"/>
      <c r="HA48" s="102"/>
      <c r="HB48" s="102"/>
      <c r="HC48" s="102"/>
      <c r="HD48" s="1"/>
      <c r="HE48" s="102"/>
      <c r="HF48" s="102"/>
      <c r="HG48" s="102"/>
      <c r="HH48" s="102"/>
      <c r="HI48" s="102"/>
      <c r="HJ48" s="102"/>
      <c r="HK48" s="103"/>
      <c r="HL48" s="105"/>
      <c r="HM48" s="1"/>
      <c r="HN48" s="103">
        <v>2340.5347199999997</v>
      </c>
      <c r="HO48" s="104">
        <v>2303.2015299999998</v>
      </c>
      <c r="HP48" s="105">
        <v>671.25917000000004</v>
      </c>
    </row>
    <row r="49" spans="1:224" x14ac:dyDescent="0.3">
      <c r="A49" s="1"/>
      <c r="B49" s="101" t="s">
        <v>850</v>
      </c>
      <c r="C49" s="102"/>
      <c r="D49" s="103"/>
      <c r="E49" s="104"/>
      <c r="F49" s="104">
        <v>8.8258700000000001</v>
      </c>
      <c r="G49" s="105">
        <v>8.5166900000000005</v>
      </c>
      <c r="H49" s="103"/>
      <c r="I49" s="105"/>
      <c r="J49" s="103"/>
      <c r="K49" s="105"/>
      <c r="L49" s="103"/>
      <c r="M49" s="104"/>
      <c r="N49" s="104"/>
      <c r="O49" s="104"/>
      <c r="P49" s="104"/>
      <c r="Q49" s="104"/>
      <c r="R49" s="104"/>
      <c r="S49" s="105"/>
      <c r="T49" s="103">
        <v>18.14123</v>
      </c>
      <c r="U49" s="104">
        <v>19.191960000000002</v>
      </c>
      <c r="V49" s="105">
        <v>1.0612699999999999</v>
      </c>
      <c r="W49" s="102"/>
      <c r="X49" s="103"/>
      <c r="Y49" s="104"/>
      <c r="Z49" s="105">
        <v>17.279389999999999</v>
      </c>
      <c r="AA49" s="103"/>
      <c r="AB49" s="104"/>
      <c r="AC49" s="104"/>
      <c r="AD49" s="104">
        <v>11.413130000000001</v>
      </c>
      <c r="AE49" s="104">
        <v>23.889150000000001</v>
      </c>
      <c r="AF49" s="105">
        <v>10.22284</v>
      </c>
      <c r="AG49" s="102"/>
      <c r="AH49" s="102"/>
      <c r="AI49" s="102"/>
      <c r="AJ49" s="103"/>
      <c r="AK49" s="105">
        <v>7.8466800000000001</v>
      </c>
      <c r="AL49" s="103"/>
      <c r="AM49" s="105"/>
      <c r="AN49" s="102"/>
      <c r="AO49" s="103"/>
      <c r="AP49" s="105"/>
      <c r="AQ49" s="102"/>
      <c r="AR49" s="102"/>
      <c r="AS49" s="102"/>
      <c r="AT49" s="103"/>
      <c r="AU49" s="104"/>
      <c r="AV49" s="105"/>
      <c r="AW49" s="103"/>
      <c r="AX49" s="104"/>
      <c r="AY49" s="104"/>
      <c r="AZ49" s="104"/>
      <c r="BA49" s="104"/>
      <c r="BB49" s="105"/>
      <c r="BC49" s="103"/>
      <c r="BD49" s="105"/>
      <c r="BE49" s="102"/>
      <c r="BF49" s="103"/>
      <c r="BG49" s="104"/>
      <c r="BH49" s="105"/>
      <c r="BI49" s="103">
        <v>164.44227000000001</v>
      </c>
      <c r="BJ49" s="104">
        <v>165.47058000000001</v>
      </c>
      <c r="BK49" s="104">
        <v>165.59853000000001</v>
      </c>
      <c r="BL49" s="104"/>
      <c r="BM49" s="104"/>
      <c r="BN49" s="104"/>
      <c r="BO49" s="104"/>
      <c r="BP49" s="104"/>
      <c r="BQ49" s="104"/>
      <c r="BR49" s="104">
        <v>110.49702000000001</v>
      </c>
      <c r="BS49" s="104">
        <v>206.49456000000001</v>
      </c>
      <c r="BT49" s="104">
        <v>206.11548999999999</v>
      </c>
      <c r="BU49" s="104">
        <v>205.99002999999999</v>
      </c>
      <c r="BV49" s="105"/>
      <c r="BW49" s="103">
        <v>17.41583</v>
      </c>
      <c r="BX49" s="105">
        <v>44.053669999999997</v>
      </c>
      <c r="BY49" s="102"/>
      <c r="BZ49" s="103"/>
      <c r="CA49" s="104"/>
      <c r="CB49" s="104"/>
      <c r="CC49" s="104"/>
      <c r="CD49" s="104"/>
      <c r="CE49" s="104">
        <v>118.14735</v>
      </c>
      <c r="CF49" s="104">
        <v>52.418509999999998</v>
      </c>
      <c r="CG49" s="104">
        <v>51.404559999999996</v>
      </c>
      <c r="CH49" s="104"/>
      <c r="CI49" s="104"/>
      <c r="CJ49" s="104"/>
      <c r="CK49" s="105"/>
      <c r="CL49" s="103">
        <v>180.55348000000001</v>
      </c>
      <c r="CM49" s="104">
        <v>180.52450999999999</v>
      </c>
      <c r="CN49" s="104">
        <v>181.33356000000001</v>
      </c>
      <c r="CO49" s="105">
        <v>181.02912000000001</v>
      </c>
      <c r="CP49" s="103"/>
      <c r="CQ49" s="105"/>
      <c r="CR49" s="103"/>
      <c r="CS49" s="105"/>
      <c r="CT49" s="103"/>
      <c r="CU49" s="104"/>
      <c r="CV49" s="106"/>
      <c r="CW49" s="103"/>
      <c r="CX49" s="104"/>
      <c r="CY49" s="104"/>
      <c r="CZ49" s="105"/>
      <c r="DA49" s="103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5"/>
      <c r="DN49" s="107"/>
      <c r="DO49" s="108"/>
      <c r="DP49" s="108"/>
      <c r="DQ49" s="109"/>
      <c r="DR49" s="103"/>
      <c r="DS49" s="104"/>
      <c r="DT49" s="104"/>
      <c r="DU49" s="105"/>
      <c r="DV49" s="102"/>
      <c r="DW49" s="103"/>
      <c r="DX49" s="104"/>
      <c r="DY49" s="104"/>
      <c r="DZ49" s="104"/>
      <c r="EA49" s="104"/>
      <c r="EB49" s="106"/>
      <c r="EC49" s="1"/>
      <c r="ED49" s="102"/>
      <c r="EE49" s="102"/>
      <c r="EF49" s="102"/>
      <c r="EG49" s="102"/>
      <c r="EH49" s="102"/>
      <c r="EI49" s="102"/>
      <c r="EJ49" s="102"/>
      <c r="EK49" s="102"/>
      <c r="EL49" s="103"/>
      <c r="EM49" s="105"/>
      <c r="EN49" s="103"/>
      <c r="EO49" s="105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3"/>
      <c r="FN49" s="104"/>
      <c r="FO49" s="104"/>
      <c r="FP49" s="105"/>
      <c r="FQ49" s="103"/>
      <c r="FR49" s="105"/>
      <c r="FS49" s="103"/>
      <c r="FT49" s="104"/>
      <c r="FU49" s="104"/>
      <c r="FV49" s="104"/>
      <c r="FW49" s="104"/>
      <c r="FX49" s="105"/>
      <c r="FY49" s="103"/>
      <c r="FZ49" s="105"/>
      <c r="GA49" s="103"/>
      <c r="GB49" s="104"/>
      <c r="GC49" s="104"/>
      <c r="GD49" s="105"/>
      <c r="GE49" s="102"/>
      <c r="GF49" s="102"/>
      <c r="GG49" s="102"/>
      <c r="GH49" s="103"/>
      <c r="GI49" s="104"/>
      <c r="GJ49" s="104"/>
      <c r="GK49" s="104"/>
      <c r="GL49" s="105"/>
      <c r="GM49" s="103"/>
      <c r="GN49" s="104"/>
      <c r="GO49" s="104"/>
      <c r="GP49" s="105"/>
      <c r="GQ49" s="102"/>
      <c r="GR49" s="103"/>
      <c r="GS49" s="104"/>
      <c r="GT49" s="105"/>
      <c r="GU49" s="1"/>
      <c r="GV49" s="102"/>
      <c r="GW49" s="103"/>
      <c r="GX49" s="102"/>
      <c r="GY49" s="102"/>
      <c r="GZ49" s="102"/>
      <c r="HA49" s="102"/>
      <c r="HB49" s="102"/>
      <c r="HC49" s="102"/>
      <c r="HD49" s="1"/>
      <c r="HE49" s="102"/>
      <c r="HF49" s="102"/>
      <c r="HG49" s="102"/>
      <c r="HH49" s="102"/>
      <c r="HI49" s="102"/>
      <c r="HJ49" s="102"/>
      <c r="HK49" s="103"/>
      <c r="HL49" s="105"/>
      <c r="HM49" s="1"/>
      <c r="HN49" s="103">
        <v>2357.8772799999997</v>
      </c>
      <c r="HO49" s="104">
        <v>2320.5440899999999</v>
      </c>
      <c r="HP49" s="105">
        <v>671.25917000000004</v>
      </c>
    </row>
    <row r="50" spans="1:224" x14ac:dyDescent="0.3">
      <c r="A50" s="1"/>
      <c r="B50" s="101" t="s">
        <v>851</v>
      </c>
      <c r="C50" s="102"/>
      <c r="D50" s="103"/>
      <c r="E50" s="104"/>
      <c r="F50" s="104">
        <v>8.8258700000000001</v>
      </c>
      <c r="G50" s="105">
        <v>8.5166900000000005</v>
      </c>
      <c r="H50" s="103"/>
      <c r="I50" s="105"/>
      <c r="J50" s="103"/>
      <c r="K50" s="105"/>
      <c r="L50" s="103"/>
      <c r="M50" s="104"/>
      <c r="N50" s="104"/>
      <c r="O50" s="104"/>
      <c r="P50" s="104"/>
      <c r="Q50" s="104"/>
      <c r="R50" s="104"/>
      <c r="S50" s="105"/>
      <c r="T50" s="103">
        <v>18.14123</v>
      </c>
      <c r="U50" s="104">
        <v>19.191960000000002</v>
      </c>
      <c r="V50" s="105">
        <v>1.0612699999999999</v>
      </c>
      <c r="W50" s="102"/>
      <c r="X50" s="103"/>
      <c r="Y50" s="104"/>
      <c r="Z50" s="105">
        <v>17.279389999999999</v>
      </c>
      <c r="AA50" s="103"/>
      <c r="AB50" s="104"/>
      <c r="AC50" s="104"/>
      <c r="AD50" s="104">
        <v>11.413130000000001</v>
      </c>
      <c r="AE50" s="104">
        <v>23.889150000000001</v>
      </c>
      <c r="AF50" s="105">
        <v>10.22284</v>
      </c>
      <c r="AG50" s="102"/>
      <c r="AH50" s="102"/>
      <c r="AI50" s="102"/>
      <c r="AJ50" s="103">
        <v>213.71525</v>
      </c>
      <c r="AK50" s="105">
        <v>7.8466800000000001</v>
      </c>
      <c r="AL50" s="103"/>
      <c r="AM50" s="105"/>
      <c r="AN50" s="102"/>
      <c r="AO50" s="103"/>
      <c r="AP50" s="105"/>
      <c r="AQ50" s="102"/>
      <c r="AR50" s="102"/>
      <c r="AS50" s="102"/>
      <c r="AT50" s="103"/>
      <c r="AU50" s="104"/>
      <c r="AV50" s="105"/>
      <c r="AW50" s="103"/>
      <c r="AX50" s="104"/>
      <c r="AY50" s="104"/>
      <c r="AZ50" s="104"/>
      <c r="BA50" s="104"/>
      <c r="BB50" s="105"/>
      <c r="BC50" s="103"/>
      <c r="BD50" s="105"/>
      <c r="BE50" s="102"/>
      <c r="BF50" s="103"/>
      <c r="BG50" s="104"/>
      <c r="BH50" s="105"/>
      <c r="BI50" s="103">
        <v>164.44227000000001</v>
      </c>
      <c r="BJ50" s="104">
        <v>165.47058000000001</v>
      </c>
      <c r="BK50" s="104">
        <v>165.59853000000001</v>
      </c>
      <c r="BL50" s="104"/>
      <c r="BM50" s="104"/>
      <c r="BN50" s="104"/>
      <c r="BO50" s="104"/>
      <c r="BP50" s="104"/>
      <c r="BQ50" s="104"/>
      <c r="BR50" s="104">
        <v>110.49702000000001</v>
      </c>
      <c r="BS50" s="104">
        <v>206.49456000000001</v>
      </c>
      <c r="BT50" s="104">
        <v>206.11548999999999</v>
      </c>
      <c r="BU50" s="104">
        <v>205.99002999999999</v>
      </c>
      <c r="BV50" s="105"/>
      <c r="BW50" s="103">
        <v>17.41583</v>
      </c>
      <c r="BX50" s="105">
        <v>44.053669999999997</v>
      </c>
      <c r="BY50" s="102"/>
      <c r="BZ50" s="103"/>
      <c r="CA50" s="104"/>
      <c r="CB50" s="104"/>
      <c r="CC50" s="104"/>
      <c r="CD50" s="104"/>
      <c r="CE50" s="104">
        <v>118.14735</v>
      </c>
      <c r="CF50" s="104">
        <v>52.418509999999998</v>
      </c>
      <c r="CG50" s="104">
        <v>51.404559999999996</v>
      </c>
      <c r="CH50" s="104"/>
      <c r="CI50" s="104"/>
      <c r="CJ50" s="104"/>
      <c r="CK50" s="105"/>
      <c r="CL50" s="103">
        <v>180.55348000000001</v>
      </c>
      <c r="CM50" s="104">
        <v>180.52450999999999</v>
      </c>
      <c r="CN50" s="104">
        <v>181.33356000000001</v>
      </c>
      <c r="CO50" s="105">
        <v>181.02912000000001</v>
      </c>
      <c r="CP50" s="103"/>
      <c r="CQ50" s="105"/>
      <c r="CR50" s="103"/>
      <c r="CS50" s="105"/>
      <c r="CT50" s="103"/>
      <c r="CU50" s="104"/>
      <c r="CV50" s="106"/>
      <c r="CW50" s="103"/>
      <c r="CX50" s="104"/>
      <c r="CY50" s="104"/>
      <c r="CZ50" s="105"/>
      <c r="DA50" s="103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5"/>
      <c r="DN50" s="107"/>
      <c r="DO50" s="108"/>
      <c r="DP50" s="108"/>
      <c r="DQ50" s="109"/>
      <c r="DR50" s="103"/>
      <c r="DS50" s="104"/>
      <c r="DT50" s="104"/>
      <c r="DU50" s="105"/>
      <c r="DV50" s="102"/>
      <c r="DW50" s="103"/>
      <c r="DX50" s="104"/>
      <c r="DY50" s="104"/>
      <c r="DZ50" s="104"/>
      <c r="EA50" s="104"/>
      <c r="EB50" s="106"/>
      <c r="EC50" s="1"/>
      <c r="ED50" s="102"/>
      <c r="EE50" s="102"/>
      <c r="EF50" s="102"/>
      <c r="EG50" s="102"/>
      <c r="EH50" s="102"/>
      <c r="EI50" s="102"/>
      <c r="EJ50" s="102"/>
      <c r="EK50" s="102"/>
      <c r="EL50" s="103"/>
      <c r="EM50" s="105"/>
      <c r="EN50" s="103"/>
      <c r="EO50" s="105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3"/>
      <c r="FN50" s="104"/>
      <c r="FO50" s="104"/>
      <c r="FP50" s="105"/>
      <c r="FQ50" s="103"/>
      <c r="FR50" s="105"/>
      <c r="FS50" s="103"/>
      <c r="FT50" s="104"/>
      <c r="FU50" s="104"/>
      <c r="FV50" s="104"/>
      <c r="FW50" s="104"/>
      <c r="FX50" s="105"/>
      <c r="FY50" s="103"/>
      <c r="FZ50" s="105"/>
      <c r="GA50" s="103"/>
      <c r="GB50" s="104"/>
      <c r="GC50" s="104"/>
      <c r="GD50" s="105"/>
      <c r="GE50" s="102"/>
      <c r="GF50" s="102"/>
      <c r="GG50" s="102"/>
      <c r="GH50" s="103"/>
      <c r="GI50" s="104"/>
      <c r="GJ50" s="104"/>
      <c r="GK50" s="104"/>
      <c r="GL50" s="105"/>
      <c r="GM50" s="103"/>
      <c r="GN50" s="104"/>
      <c r="GO50" s="104"/>
      <c r="GP50" s="105"/>
      <c r="GQ50" s="102"/>
      <c r="GR50" s="103"/>
      <c r="GS50" s="104"/>
      <c r="GT50" s="105"/>
      <c r="GU50" s="1"/>
      <c r="GV50" s="102"/>
      <c r="GW50" s="103"/>
      <c r="GX50" s="102"/>
      <c r="GY50" s="102"/>
      <c r="GZ50" s="102"/>
      <c r="HA50" s="102"/>
      <c r="HB50" s="102"/>
      <c r="HC50" s="102"/>
      <c r="HD50" s="1"/>
      <c r="HE50" s="102"/>
      <c r="HF50" s="102"/>
      <c r="HG50" s="102"/>
      <c r="HH50" s="102"/>
      <c r="HI50" s="102"/>
      <c r="HJ50" s="102"/>
      <c r="HK50" s="103"/>
      <c r="HL50" s="105"/>
      <c r="HM50" s="1"/>
      <c r="HN50" s="103">
        <v>2571.5925299999999</v>
      </c>
      <c r="HO50" s="104">
        <v>2534.2593400000001</v>
      </c>
      <c r="HP50" s="105">
        <v>671.25917000000004</v>
      </c>
    </row>
    <row r="51" spans="1:224" x14ac:dyDescent="0.3">
      <c r="A51" s="1"/>
      <c r="B51" s="101" t="s">
        <v>852</v>
      </c>
      <c r="C51" s="102"/>
      <c r="D51" s="103"/>
      <c r="E51" s="104"/>
      <c r="F51" s="104">
        <v>8.8258700000000001</v>
      </c>
      <c r="G51" s="105">
        <v>8.5166900000000005</v>
      </c>
      <c r="H51" s="103"/>
      <c r="I51" s="105"/>
      <c r="J51" s="103"/>
      <c r="K51" s="105"/>
      <c r="L51" s="103"/>
      <c r="M51" s="104"/>
      <c r="N51" s="104"/>
      <c r="O51" s="104"/>
      <c r="P51" s="104"/>
      <c r="Q51" s="104"/>
      <c r="R51" s="104"/>
      <c r="S51" s="105"/>
      <c r="T51" s="103">
        <v>18.14123</v>
      </c>
      <c r="U51" s="104">
        <v>19.191960000000002</v>
      </c>
      <c r="V51" s="105">
        <v>1.0612699999999999</v>
      </c>
      <c r="W51" s="102"/>
      <c r="X51" s="103"/>
      <c r="Y51" s="104"/>
      <c r="Z51" s="105">
        <v>17.279389999999999</v>
      </c>
      <c r="AA51" s="103"/>
      <c r="AB51" s="104"/>
      <c r="AC51" s="104"/>
      <c r="AD51" s="104">
        <v>11.413130000000001</v>
      </c>
      <c r="AE51" s="104">
        <v>23.889150000000001</v>
      </c>
      <c r="AF51" s="105">
        <v>10.22284</v>
      </c>
      <c r="AG51" s="102"/>
      <c r="AH51" s="102"/>
      <c r="AI51" s="102"/>
      <c r="AJ51" s="103">
        <v>213.71525</v>
      </c>
      <c r="AK51" s="105">
        <v>7.8466800000000001</v>
      </c>
      <c r="AL51" s="103"/>
      <c r="AM51" s="105"/>
      <c r="AN51" s="102"/>
      <c r="AO51" s="103"/>
      <c r="AP51" s="105"/>
      <c r="AQ51" s="102"/>
      <c r="AR51" s="102"/>
      <c r="AS51" s="102"/>
      <c r="AT51" s="103"/>
      <c r="AU51" s="104"/>
      <c r="AV51" s="105"/>
      <c r="AW51" s="103"/>
      <c r="AX51" s="104"/>
      <c r="AY51" s="104"/>
      <c r="AZ51" s="104"/>
      <c r="BA51" s="104"/>
      <c r="BB51" s="105"/>
      <c r="BC51" s="103"/>
      <c r="BD51" s="105"/>
      <c r="BE51" s="102"/>
      <c r="BF51" s="103"/>
      <c r="BG51" s="104"/>
      <c r="BH51" s="105"/>
      <c r="BI51" s="103">
        <v>164.44227000000001</v>
      </c>
      <c r="BJ51" s="104">
        <v>165.47058000000001</v>
      </c>
      <c r="BK51" s="104">
        <v>165.59853000000001</v>
      </c>
      <c r="BL51" s="104"/>
      <c r="BM51" s="104"/>
      <c r="BN51" s="104"/>
      <c r="BO51" s="104"/>
      <c r="BP51" s="104"/>
      <c r="BQ51" s="104"/>
      <c r="BR51" s="104">
        <v>110.49702000000001</v>
      </c>
      <c r="BS51" s="104">
        <v>206.49456000000001</v>
      </c>
      <c r="BT51" s="104">
        <v>206.11548999999999</v>
      </c>
      <c r="BU51" s="104">
        <v>205.99002999999999</v>
      </c>
      <c r="BV51" s="105"/>
      <c r="BW51" s="103">
        <v>17.41583</v>
      </c>
      <c r="BX51" s="105">
        <v>44.053669999999997</v>
      </c>
      <c r="BY51" s="102"/>
      <c r="BZ51" s="103"/>
      <c r="CA51" s="104"/>
      <c r="CB51" s="104"/>
      <c r="CC51" s="104"/>
      <c r="CD51" s="104"/>
      <c r="CE51" s="104">
        <v>118.14735</v>
      </c>
      <c r="CF51" s="104">
        <v>52.418509999999998</v>
      </c>
      <c r="CG51" s="104">
        <v>51.404559999999996</v>
      </c>
      <c r="CH51" s="104"/>
      <c r="CI51" s="104"/>
      <c r="CJ51" s="104"/>
      <c r="CK51" s="105"/>
      <c r="CL51" s="103">
        <v>180.55348000000001</v>
      </c>
      <c r="CM51" s="104">
        <v>180.52450999999999</v>
      </c>
      <c r="CN51" s="104">
        <v>181.33356000000001</v>
      </c>
      <c r="CO51" s="105">
        <v>181.02912000000001</v>
      </c>
      <c r="CP51" s="103"/>
      <c r="CQ51" s="105"/>
      <c r="CR51" s="103"/>
      <c r="CS51" s="105"/>
      <c r="CT51" s="103"/>
      <c r="CU51" s="104"/>
      <c r="CV51" s="106"/>
      <c r="CW51" s="103"/>
      <c r="CX51" s="104"/>
      <c r="CY51" s="104"/>
      <c r="CZ51" s="105"/>
      <c r="DA51" s="103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5"/>
      <c r="DN51" s="107"/>
      <c r="DO51" s="108"/>
      <c r="DP51" s="108"/>
      <c r="DQ51" s="109"/>
      <c r="DR51" s="103"/>
      <c r="DS51" s="104"/>
      <c r="DT51" s="104"/>
      <c r="DU51" s="105"/>
      <c r="DV51" s="102"/>
      <c r="DW51" s="103"/>
      <c r="DX51" s="104"/>
      <c r="DY51" s="104"/>
      <c r="DZ51" s="104"/>
      <c r="EA51" s="104"/>
      <c r="EB51" s="106"/>
      <c r="EC51" s="1"/>
      <c r="ED51" s="102"/>
      <c r="EE51" s="102"/>
      <c r="EF51" s="102"/>
      <c r="EG51" s="102"/>
      <c r="EH51" s="102"/>
      <c r="EI51" s="102"/>
      <c r="EJ51" s="102"/>
      <c r="EK51" s="102"/>
      <c r="EL51" s="103"/>
      <c r="EM51" s="105"/>
      <c r="EN51" s="103"/>
      <c r="EO51" s="105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3"/>
      <c r="FN51" s="104"/>
      <c r="FO51" s="104"/>
      <c r="FP51" s="105"/>
      <c r="FQ51" s="103"/>
      <c r="FR51" s="105"/>
      <c r="FS51" s="103"/>
      <c r="FT51" s="104"/>
      <c r="FU51" s="104"/>
      <c r="FV51" s="104"/>
      <c r="FW51" s="104"/>
      <c r="FX51" s="105"/>
      <c r="FY51" s="103"/>
      <c r="FZ51" s="105"/>
      <c r="GA51" s="103"/>
      <c r="GB51" s="104"/>
      <c r="GC51" s="104"/>
      <c r="GD51" s="105"/>
      <c r="GE51" s="102"/>
      <c r="GF51" s="102"/>
      <c r="GG51" s="102"/>
      <c r="GH51" s="103"/>
      <c r="GI51" s="104"/>
      <c r="GJ51" s="104"/>
      <c r="GK51" s="104"/>
      <c r="GL51" s="105"/>
      <c r="GM51" s="103"/>
      <c r="GN51" s="104"/>
      <c r="GO51" s="104"/>
      <c r="GP51" s="105"/>
      <c r="GQ51" s="102"/>
      <c r="GR51" s="103"/>
      <c r="GS51" s="104"/>
      <c r="GT51" s="105"/>
      <c r="GU51" s="1"/>
      <c r="GV51" s="102"/>
      <c r="GW51" s="103"/>
      <c r="GX51" s="102"/>
      <c r="GY51" s="102"/>
      <c r="GZ51" s="102"/>
      <c r="HA51" s="102"/>
      <c r="HB51" s="102"/>
      <c r="HC51" s="102"/>
      <c r="HD51" s="1"/>
      <c r="HE51" s="102"/>
      <c r="HF51" s="102"/>
      <c r="HG51" s="102"/>
      <c r="HH51" s="102"/>
      <c r="HI51" s="102"/>
      <c r="HJ51" s="102"/>
      <c r="HK51" s="103"/>
      <c r="HL51" s="105"/>
      <c r="HM51" s="1"/>
      <c r="HN51" s="103">
        <v>2571.5925299999999</v>
      </c>
      <c r="HO51" s="104">
        <v>2534.2593400000001</v>
      </c>
      <c r="HP51" s="105">
        <v>671.25917000000004</v>
      </c>
    </row>
    <row r="52" spans="1:224" x14ac:dyDescent="0.3">
      <c r="A52" s="1"/>
      <c r="B52" s="101" t="s">
        <v>853</v>
      </c>
      <c r="C52" s="102"/>
      <c r="D52" s="103"/>
      <c r="E52" s="104"/>
      <c r="F52" s="104">
        <v>8.8258700000000001</v>
      </c>
      <c r="G52" s="105">
        <v>8.5166900000000005</v>
      </c>
      <c r="H52" s="103"/>
      <c r="I52" s="105"/>
      <c r="J52" s="103"/>
      <c r="K52" s="105"/>
      <c r="L52" s="103"/>
      <c r="M52" s="104"/>
      <c r="N52" s="104"/>
      <c r="O52" s="104"/>
      <c r="P52" s="104"/>
      <c r="Q52" s="104"/>
      <c r="R52" s="104"/>
      <c r="S52" s="105"/>
      <c r="T52" s="103">
        <v>18.14123</v>
      </c>
      <c r="U52" s="104">
        <v>19.191960000000002</v>
      </c>
      <c r="V52" s="105">
        <v>1.0612699999999999</v>
      </c>
      <c r="W52" s="102"/>
      <c r="X52" s="103"/>
      <c r="Y52" s="104"/>
      <c r="Z52" s="105">
        <v>17.279389999999999</v>
      </c>
      <c r="AA52" s="103"/>
      <c r="AB52" s="104"/>
      <c r="AC52" s="104"/>
      <c r="AD52" s="104">
        <v>11.413130000000001</v>
      </c>
      <c r="AE52" s="104">
        <v>23.889150000000001</v>
      </c>
      <c r="AF52" s="105">
        <v>10.22284</v>
      </c>
      <c r="AG52" s="102"/>
      <c r="AH52" s="102"/>
      <c r="AI52" s="102"/>
      <c r="AJ52" s="103">
        <v>213.71525</v>
      </c>
      <c r="AK52" s="105">
        <v>7.8466800000000001</v>
      </c>
      <c r="AL52" s="103"/>
      <c r="AM52" s="105"/>
      <c r="AN52" s="102"/>
      <c r="AO52" s="103"/>
      <c r="AP52" s="105"/>
      <c r="AQ52" s="102"/>
      <c r="AR52" s="102"/>
      <c r="AS52" s="102"/>
      <c r="AT52" s="103"/>
      <c r="AU52" s="104"/>
      <c r="AV52" s="105"/>
      <c r="AW52" s="103"/>
      <c r="AX52" s="104"/>
      <c r="AY52" s="104"/>
      <c r="AZ52" s="104"/>
      <c r="BA52" s="104"/>
      <c r="BB52" s="105"/>
      <c r="BC52" s="103"/>
      <c r="BD52" s="105"/>
      <c r="BE52" s="102"/>
      <c r="BF52" s="103"/>
      <c r="BG52" s="104"/>
      <c r="BH52" s="105"/>
      <c r="BI52" s="103">
        <v>164.44227000000001</v>
      </c>
      <c r="BJ52" s="104">
        <v>165.47058000000001</v>
      </c>
      <c r="BK52" s="104">
        <v>165.59853000000001</v>
      </c>
      <c r="BL52" s="104"/>
      <c r="BM52" s="104"/>
      <c r="BN52" s="104"/>
      <c r="BO52" s="104"/>
      <c r="BP52" s="104"/>
      <c r="BQ52" s="104"/>
      <c r="BR52" s="104">
        <v>110.49702000000001</v>
      </c>
      <c r="BS52" s="104">
        <v>206.49456000000001</v>
      </c>
      <c r="BT52" s="104">
        <v>206.11548999999999</v>
      </c>
      <c r="BU52" s="104">
        <v>205.99002999999999</v>
      </c>
      <c r="BV52" s="105"/>
      <c r="BW52" s="103">
        <v>17.41583</v>
      </c>
      <c r="BX52" s="105">
        <v>44.053669999999997</v>
      </c>
      <c r="BY52" s="102"/>
      <c r="BZ52" s="103"/>
      <c r="CA52" s="104"/>
      <c r="CB52" s="104"/>
      <c r="CC52" s="104"/>
      <c r="CD52" s="104"/>
      <c r="CE52" s="104">
        <v>118.14735</v>
      </c>
      <c r="CF52" s="104">
        <v>52.418509999999998</v>
      </c>
      <c r="CG52" s="104">
        <v>51.404559999999996</v>
      </c>
      <c r="CH52" s="104"/>
      <c r="CI52" s="104"/>
      <c r="CJ52" s="104"/>
      <c r="CK52" s="105"/>
      <c r="CL52" s="103">
        <v>180.55348000000001</v>
      </c>
      <c r="CM52" s="104">
        <v>180.52450999999999</v>
      </c>
      <c r="CN52" s="104">
        <v>181.33356000000001</v>
      </c>
      <c r="CO52" s="105">
        <v>181.02912000000001</v>
      </c>
      <c r="CP52" s="103"/>
      <c r="CQ52" s="105"/>
      <c r="CR52" s="103"/>
      <c r="CS52" s="105"/>
      <c r="CT52" s="103"/>
      <c r="CU52" s="104"/>
      <c r="CV52" s="106"/>
      <c r="CW52" s="103"/>
      <c r="CX52" s="104"/>
      <c r="CY52" s="104"/>
      <c r="CZ52" s="105"/>
      <c r="DA52" s="103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5"/>
      <c r="DN52" s="107"/>
      <c r="DO52" s="108"/>
      <c r="DP52" s="108"/>
      <c r="DQ52" s="109"/>
      <c r="DR52" s="103"/>
      <c r="DS52" s="104"/>
      <c r="DT52" s="104"/>
      <c r="DU52" s="105"/>
      <c r="DV52" s="102"/>
      <c r="DW52" s="103"/>
      <c r="DX52" s="104"/>
      <c r="DY52" s="104"/>
      <c r="DZ52" s="104"/>
      <c r="EA52" s="104"/>
      <c r="EB52" s="106"/>
      <c r="EC52" s="1"/>
      <c r="ED52" s="102"/>
      <c r="EE52" s="102"/>
      <c r="EF52" s="102"/>
      <c r="EG52" s="102"/>
      <c r="EH52" s="102"/>
      <c r="EI52" s="102"/>
      <c r="EJ52" s="102"/>
      <c r="EK52" s="102"/>
      <c r="EL52" s="103"/>
      <c r="EM52" s="105"/>
      <c r="EN52" s="103"/>
      <c r="EO52" s="105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3"/>
      <c r="FN52" s="104"/>
      <c r="FO52" s="104"/>
      <c r="FP52" s="105"/>
      <c r="FQ52" s="103"/>
      <c r="FR52" s="105"/>
      <c r="FS52" s="103"/>
      <c r="FT52" s="104"/>
      <c r="FU52" s="104"/>
      <c r="FV52" s="104"/>
      <c r="FW52" s="104"/>
      <c r="FX52" s="105"/>
      <c r="FY52" s="103"/>
      <c r="FZ52" s="105"/>
      <c r="GA52" s="103"/>
      <c r="GB52" s="104"/>
      <c r="GC52" s="104"/>
      <c r="GD52" s="105"/>
      <c r="GE52" s="102"/>
      <c r="GF52" s="102"/>
      <c r="GG52" s="102"/>
      <c r="GH52" s="103"/>
      <c r="GI52" s="104"/>
      <c r="GJ52" s="104"/>
      <c r="GK52" s="104"/>
      <c r="GL52" s="105"/>
      <c r="GM52" s="103"/>
      <c r="GN52" s="104"/>
      <c r="GO52" s="104"/>
      <c r="GP52" s="105"/>
      <c r="GQ52" s="102"/>
      <c r="GR52" s="103"/>
      <c r="GS52" s="104"/>
      <c r="GT52" s="105"/>
      <c r="GU52" s="1"/>
      <c r="GV52" s="102"/>
      <c r="GW52" s="103"/>
      <c r="GX52" s="102"/>
      <c r="GY52" s="102"/>
      <c r="GZ52" s="102"/>
      <c r="HA52" s="102"/>
      <c r="HB52" s="102"/>
      <c r="HC52" s="102"/>
      <c r="HD52" s="1"/>
      <c r="HE52" s="102"/>
      <c r="HF52" s="102"/>
      <c r="HG52" s="102"/>
      <c r="HH52" s="102"/>
      <c r="HI52" s="102"/>
      <c r="HJ52" s="102"/>
      <c r="HK52" s="103"/>
      <c r="HL52" s="105"/>
      <c r="HM52" s="1"/>
      <c r="HN52" s="103">
        <v>2571.5925299999999</v>
      </c>
      <c r="HO52" s="104">
        <v>2534.2593400000001</v>
      </c>
      <c r="HP52" s="105">
        <v>671.25917000000004</v>
      </c>
    </row>
    <row r="53" spans="1:224" x14ac:dyDescent="0.3">
      <c r="A53" s="1"/>
      <c r="B53" s="101" t="s">
        <v>854</v>
      </c>
      <c r="C53" s="102"/>
      <c r="D53" s="103"/>
      <c r="E53" s="104"/>
      <c r="F53" s="104">
        <v>8.8258700000000001</v>
      </c>
      <c r="G53" s="105">
        <v>8.5166900000000005</v>
      </c>
      <c r="H53" s="103"/>
      <c r="I53" s="105"/>
      <c r="J53" s="103"/>
      <c r="K53" s="105"/>
      <c r="L53" s="103"/>
      <c r="M53" s="104"/>
      <c r="N53" s="104"/>
      <c r="O53" s="104"/>
      <c r="P53" s="104"/>
      <c r="Q53" s="104"/>
      <c r="R53" s="104"/>
      <c r="S53" s="105"/>
      <c r="T53" s="103">
        <v>18.14123</v>
      </c>
      <c r="U53" s="104">
        <v>19.191960000000002</v>
      </c>
      <c r="V53" s="105">
        <v>1.0612699999999999</v>
      </c>
      <c r="W53" s="102"/>
      <c r="X53" s="103"/>
      <c r="Y53" s="104"/>
      <c r="Z53" s="105">
        <v>17.279389999999999</v>
      </c>
      <c r="AA53" s="103"/>
      <c r="AB53" s="104"/>
      <c r="AC53" s="104"/>
      <c r="AD53" s="104">
        <v>11.413130000000001</v>
      </c>
      <c r="AE53" s="104">
        <v>23.889150000000001</v>
      </c>
      <c r="AF53" s="105">
        <v>10.22284</v>
      </c>
      <c r="AG53" s="102"/>
      <c r="AH53" s="102"/>
      <c r="AI53" s="102"/>
      <c r="AJ53" s="103">
        <v>213.71525</v>
      </c>
      <c r="AK53" s="105">
        <v>7.8466800000000001</v>
      </c>
      <c r="AL53" s="103"/>
      <c r="AM53" s="105"/>
      <c r="AN53" s="102"/>
      <c r="AO53" s="103"/>
      <c r="AP53" s="105"/>
      <c r="AQ53" s="102"/>
      <c r="AR53" s="102"/>
      <c r="AS53" s="102"/>
      <c r="AT53" s="103"/>
      <c r="AU53" s="104"/>
      <c r="AV53" s="105"/>
      <c r="AW53" s="103"/>
      <c r="AX53" s="104"/>
      <c r="AY53" s="104"/>
      <c r="AZ53" s="104"/>
      <c r="BA53" s="104"/>
      <c r="BB53" s="105"/>
      <c r="BC53" s="103"/>
      <c r="BD53" s="105"/>
      <c r="BE53" s="102"/>
      <c r="BF53" s="103"/>
      <c r="BG53" s="104"/>
      <c r="BH53" s="105"/>
      <c r="BI53" s="103">
        <v>164.44227000000001</v>
      </c>
      <c r="BJ53" s="104">
        <v>165.47058000000001</v>
      </c>
      <c r="BK53" s="104">
        <v>165.59853000000001</v>
      </c>
      <c r="BL53" s="104"/>
      <c r="BM53" s="104"/>
      <c r="BN53" s="104"/>
      <c r="BO53" s="104"/>
      <c r="BP53" s="104"/>
      <c r="BQ53" s="104"/>
      <c r="BR53" s="104">
        <v>110.49702000000001</v>
      </c>
      <c r="BS53" s="104">
        <v>206.49456000000001</v>
      </c>
      <c r="BT53" s="104">
        <v>206.11548999999999</v>
      </c>
      <c r="BU53" s="104">
        <v>205.99002999999999</v>
      </c>
      <c r="BV53" s="105"/>
      <c r="BW53" s="103">
        <v>17.41583</v>
      </c>
      <c r="BX53" s="105">
        <v>44.053669999999997</v>
      </c>
      <c r="BY53" s="102"/>
      <c r="BZ53" s="103"/>
      <c r="CA53" s="104"/>
      <c r="CB53" s="104"/>
      <c r="CC53" s="104"/>
      <c r="CD53" s="104"/>
      <c r="CE53" s="104">
        <v>118.14735</v>
      </c>
      <c r="CF53" s="104">
        <v>52.418509999999998</v>
      </c>
      <c r="CG53" s="104">
        <v>51.404559999999996</v>
      </c>
      <c r="CH53" s="104"/>
      <c r="CI53" s="104"/>
      <c r="CJ53" s="104"/>
      <c r="CK53" s="105"/>
      <c r="CL53" s="103">
        <v>180.55348000000001</v>
      </c>
      <c r="CM53" s="104">
        <v>180.52450999999999</v>
      </c>
      <c r="CN53" s="104">
        <v>181.33356000000001</v>
      </c>
      <c r="CO53" s="105">
        <v>181.02912000000001</v>
      </c>
      <c r="CP53" s="103"/>
      <c r="CQ53" s="105"/>
      <c r="CR53" s="103"/>
      <c r="CS53" s="105"/>
      <c r="CT53" s="103"/>
      <c r="CU53" s="104"/>
      <c r="CV53" s="106"/>
      <c r="CW53" s="103"/>
      <c r="CX53" s="104"/>
      <c r="CY53" s="104"/>
      <c r="CZ53" s="105"/>
      <c r="DA53" s="103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5"/>
      <c r="DN53" s="107"/>
      <c r="DO53" s="108"/>
      <c r="DP53" s="108"/>
      <c r="DQ53" s="109"/>
      <c r="DR53" s="103"/>
      <c r="DS53" s="104"/>
      <c r="DT53" s="104"/>
      <c r="DU53" s="105"/>
      <c r="DV53" s="102"/>
      <c r="DW53" s="103"/>
      <c r="DX53" s="104"/>
      <c r="DY53" s="104"/>
      <c r="DZ53" s="104"/>
      <c r="EA53" s="104"/>
      <c r="EB53" s="106"/>
      <c r="EC53" s="1"/>
      <c r="ED53" s="102"/>
      <c r="EE53" s="102"/>
      <c r="EF53" s="102"/>
      <c r="EG53" s="102"/>
      <c r="EH53" s="102"/>
      <c r="EI53" s="102"/>
      <c r="EJ53" s="102"/>
      <c r="EK53" s="102"/>
      <c r="EL53" s="103"/>
      <c r="EM53" s="105"/>
      <c r="EN53" s="103"/>
      <c r="EO53" s="105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3"/>
      <c r="FN53" s="104"/>
      <c r="FO53" s="104"/>
      <c r="FP53" s="105"/>
      <c r="FQ53" s="103"/>
      <c r="FR53" s="105"/>
      <c r="FS53" s="103"/>
      <c r="FT53" s="104"/>
      <c r="FU53" s="104"/>
      <c r="FV53" s="104"/>
      <c r="FW53" s="104"/>
      <c r="FX53" s="105"/>
      <c r="FY53" s="103"/>
      <c r="FZ53" s="105"/>
      <c r="GA53" s="103"/>
      <c r="GB53" s="104"/>
      <c r="GC53" s="104"/>
      <c r="GD53" s="105"/>
      <c r="GE53" s="102"/>
      <c r="GF53" s="102"/>
      <c r="GG53" s="102"/>
      <c r="GH53" s="103"/>
      <c r="GI53" s="104"/>
      <c r="GJ53" s="104"/>
      <c r="GK53" s="104"/>
      <c r="GL53" s="105"/>
      <c r="GM53" s="103"/>
      <c r="GN53" s="104"/>
      <c r="GO53" s="104"/>
      <c r="GP53" s="105"/>
      <c r="GQ53" s="102"/>
      <c r="GR53" s="103"/>
      <c r="GS53" s="104"/>
      <c r="GT53" s="105"/>
      <c r="GU53" s="1"/>
      <c r="GV53" s="102"/>
      <c r="GW53" s="103"/>
      <c r="GX53" s="102"/>
      <c r="GY53" s="102"/>
      <c r="GZ53" s="102"/>
      <c r="HA53" s="102"/>
      <c r="HB53" s="102"/>
      <c r="HC53" s="102"/>
      <c r="HD53" s="1"/>
      <c r="HE53" s="102"/>
      <c r="HF53" s="102"/>
      <c r="HG53" s="102"/>
      <c r="HH53" s="102"/>
      <c r="HI53" s="102"/>
      <c r="HJ53" s="102"/>
      <c r="HK53" s="103"/>
      <c r="HL53" s="105"/>
      <c r="HM53" s="1"/>
      <c r="HN53" s="103">
        <v>2571.5925299999999</v>
      </c>
      <c r="HO53" s="104">
        <v>2534.2593400000001</v>
      </c>
      <c r="HP53" s="105">
        <v>671.25917000000004</v>
      </c>
    </row>
    <row r="54" spans="1:224" x14ac:dyDescent="0.3">
      <c r="A54" s="1"/>
      <c r="B54" s="101" t="s">
        <v>1508</v>
      </c>
      <c r="C54" s="102"/>
      <c r="D54" s="103"/>
      <c r="E54" s="104"/>
      <c r="F54" s="104">
        <v>8.8258700000000001</v>
      </c>
      <c r="G54" s="105">
        <v>8.5166900000000005</v>
      </c>
      <c r="H54" s="103"/>
      <c r="I54" s="105"/>
      <c r="J54" s="103"/>
      <c r="K54" s="105"/>
      <c r="L54" s="103"/>
      <c r="M54" s="104"/>
      <c r="N54" s="104"/>
      <c r="O54" s="104"/>
      <c r="P54" s="104"/>
      <c r="Q54" s="104"/>
      <c r="R54" s="104"/>
      <c r="S54" s="105"/>
      <c r="T54" s="103">
        <v>18.14123</v>
      </c>
      <c r="U54" s="104">
        <v>19.191960000000002</v>
      </c>
      <c r="V54" s="105">
        <v>1.0612699999999999</v>
      </c>
      <c r="W54" s="102"/>
      <c r="X54" s="103"/>
      <c r="Y54" s="104"/>
      <c r="Z54" s="105">
        <v>17.279389999999999</v>
      </c>
      <c r="AA54" s="103"/>
      <c r="AB54" s="104"/>
      <c r="AC54" s="104"/>
      <c r="AD54" s="104">
        <v>11.413130000000001</v>
      </c>
      <c r="AE54" s="104">
        <v>23.889150000000001</v>
      </c>
      <c r="AF54" s="105">
        <v>10.22284</v>
      </c>
      <c r="AG54" s="102"/>
      <c r="AH54" s="102"/>
      <c r="AI54" s="102"/>
      <c r="AJ54" s="103">
        <v>213.71525</v>
      </c>
      <c r="AK54" s="105">
        <v>7.8466800000000001</v>
      </c>
      <c r="AL54" s="103"/>
      <c r="AM54" s="105"/>
      <c r="AN54" s="102"/>
      <c r="AO54" s="103"/>
      <c r="AP54" s="105"/>
      <c r="AQ54" s="102"/>
      <c r="AR54" s="102"/>
      <c r="AS54" s="102"/>
      <c r="AT54" s="103"/>
      <c r="AU54" s="104"/>
      <c r="AV54" s="105"/>
      <c r="AW54" s="103"/>
      <c r="AX54" s="104"/>
      <c r="AY54" s="104"/>
      <c r="AZ54" s="104"/>
      <c r="BA54" s="104"/>
      <c r="BB54" s="105"/>
      <c r="BC54" s="103"/>
      <c r="BD54" s="105"/>
      <c r="BE54" s="102"/>
      <c r="BF54" s="103"/>
      <c r="BG54" s="104"/>
      <c r="BH54" s="105"/>
      <c r="BI54" s="103">
        <v>164.44227000000001</v>
      </c>
      <c r="BJ54" s="104">
        <v>165.47058000000001</v>
      </c>
      <c r="BK54" s="104">
        <v>165.59853000000001</v>
      </c>
      <c r="BL54" s="104"/>
      <c r="BM54" s="104"/>
      <c r="BN54" s="104"/>
      <c r="BO54" s="104"/>
      <c r="BP54" s="104"/>
      <c r="BQ54" s="104"/>
      <c r="BR54" s="104">
        <v>110.49702000000001</v>
      </c>
      <c r="BS54" s="104">
        <v>206.49456000000001</v>
      </c>
      <c r="BT54" s="104">
        <v>206.11548999999999</v>
      </c>
      <c r="BU54" s="104">
        <v>205.99002999999999</v>
      </c>
      <c r="BV54" s="105"/>
      <c r="BW54" s="103">
        <v>17.41583</v>
      </c>
      <c r="BX54" s="105">
        <v>44.053669999999997</v>
      </c>
      <c r="BY54" s="102"/>
      <c r="BZ54" s="103"/>
      <c r="CA54" s="104"/>
      <c r="CB54" s="104"/>
      <c r="CC54" s="104"/>
      <c r="CD54" s="104"/>
      <c r="CE54" s="104">
        <v>118.14735</v>
      </c>
      <c r="CF54" s="104">
        <v>52.418509999999998</v>
      </c>
      <c r="CG54" s="104">
        <v>51.404559999999996</v>
      </c>
      <c r="CH54" s="104"/>
      <c r="CI54" s="104"/>
      <c r="CJ54" s="104"/>
      <c r="CK54" s="105"/>
      <c r="CL54" s="103">
        <v>180.55348000000001</v>
      </c>
      <c r="CM54" s="104">
        <v>180.52450999999999</v>
      </c>
      <c r="CN54" s="104">
        <v>181.33356000000001</v>
      </c>
      <c r="CO54" s="105">
        <v>181.02912000000001</v>
      </c>
      <c r="CP54" s="103"/>
      <c r="CQ54" s="105"/>
      <c r="CR54" s="103"/>
      <c r="CS54" s="105"/>
      <c r="CT54" s="103"/>
      <c r="CU54" s="104"/>
      <c r="CV54" s="106"/>
      <c r="CW54" s="103"/>
      <c r="CX54" s="104"/>
      <c r="CY54" s="104"/>
      <c r="CZ54" s="105"/>
      <c r="DA54" s="103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5"/>
      <c r="DN54" s="107"/>
      <c r="DO54" s="108"/>
      <c r="DP54" s="108"/>
      <c r="DQ54" s="109"/>
      <c r="DR54" s="103"/>
      <c r="DS54" s="104"/>
      <c r="DT54" s="104"/>
      <c r="DU54" s="105"/>
      <c r="DV54" s="102"/>
      <c r="DW54" s="103"/>
      <c r="DX54" s="104"/>
      <c r="DY54" s="104"/>
      <c r="DZ54" s="104"/>
      <c r="EA54" s="104"/>
      <c r="EB54" s="106"/>
      <c r="EC54" s="1"/>
      <c r="ED54" s="102"/>
      <c r="EE54" s="102"/>
      <c r="EF54" s="102"/>
      <c r="EG54" s="102"/>
      <c r="EH54" s="102"/>
      <c r="EI54" s="102"/>
      <c r="EJ54" s="102"/>
      <c r="EK54" s="102"/>
      <c r="EL54" s="103"/>
      <c r="EM54" s="105"/>
      <c r="EN54" s="103"/>
      <c r="EO54" s="105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3"/>
      <c r="FN54" s="104"/>
      <c r="FO54" s="104"/>
      <c r="FP54" s="105"/>
      <c r="FQ54" s="103"/>
      <c r="FR54" s="105"/>
      <c r="FS54" s="103"/>
      <c r="FT54" s="104"/>
      <c r="FU54" s="104"/>
      <c r="FV54" s="104"/>
      <c r="FW54" s="104"/>
      <c r="FX54" s="105"/>
      <c r="FY54" s="103"/>
      <c r="FZ54" s="105"/>
      <c r="GA54" s="103"/>
      <c r="GB54" s="104"/>
      <c r="GC54" s="104"/>
      <c r="GD54" s="105"/>
      <c r="GE54" s="102"/>
      <c r="GF54" s="102"/>
      <c r="GG54" s="102"/>
      <c r="GH54" s="103"/>
      <c r="GI54" s="104"/>
      <c r="GJ54" s="104"/>
      <c r="GK54" s="104"/>
      <c r="GL54" s="105"/>
      <c r="GM54" s="103"/>
      <c r="GN54" s="104"/>
      <c r="GO54" s="104"/>
      <c r="GP54" s="105"/>
      <c r="GQ54" s="102"/>
      <c r="GR54" s="103"/>
      <c r="GS54" s="104"/>
      <c r="GT54" s="105"/>
      <c r="GU54" s="1"/>
      <c r="GV54" s="102"/>
      <c r="GW54" s="103"/>
      <c r="GX54" s="102"/>
      <c r="GY54" s="102"/>
      <c r="GZ54" s="102"/>
      <c r="HA54" s="102"/>
      <c r="HB54" s="102"/>
      <c r="HC54" s="102"/>
      <c r="HD54" s="1"/>
      <c r="HE54" s="102"/>
      <c r="HF54" s="102"/>
      <c r="HG54" s="102"/>
      <c r="HH54" s="102"/>
      <c r="HI54" s="102"/>
      <c r="HJ54" s="102"/>
      <c r="HK54" s="103"/>
      <c r="HL54" s="105"/>
      <c r="HM54" s="1"/>
      <c r="HN54" s="103">
        <v>2571.5925299999999</v>
      </c>
      <c r="HO54" s="104">
        <v>2534.2593400000001</v>
      </c>
      <c r="HP54" s="105">
        <v>671.25917000000004</v>
      </c>
    </row>
    <row r="55" spans="1:224" x14ac:dyDescent="0.3">
      <c r="A55" s="1"/>
      <c r="B55" s="110" t="s">
        <v>945</v>
      </c>
      <c r="C55" s="111">
        <v>0</v>
      </c>
      <c r="D55" s="112">
        <v>0</v>
      </c>
      <c r="E55" s="113">
        <v>0</v>
      </c>
      <c r="F55" s="113">
        <v>150.03979000000001</v>
      </c>
      <c r="G55" s="114">
        <v>144.78372999999999</v>
      </c>
      <c r="H55" s="112">
        <v>0</v>
      </c>
      <c r="I55" s="114">
        <v>0</v>
      </c>
      <c r="J55" s="112">
        <v>0</v>
      </c>
      <c r="K55" s="114">
        <v>135</v>
      </c>
      <c r="L55" s="112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4">
        <v>0</v>
      </c>
      <c r="T55" s="112">
        <v>435.38952</v>
      </c>
      <c r="U55" s="113">
        <v>460.60703999999998</v>
      </c>
      <c r="V55" s="114">
        <v>25.470479999999998</v>
      </c>
      <c r="W55" s="111">
        <v>0</v>
      </c>
      <c r="X55" s="112">
        <v>0</v>
      </c>
      <c r="Y55" s="113">
        <v>0</v>
      </c>
      <c r="Z55" s="114">
        <v>458.25847499999998</v>
      </c>
      <c r="AA55" s="112">
        <v>0</v>
      </c>
      <c r="AB55" s="113">
        <v>0</v>
      </c>
      <c r="AC55" s="113">
        <v>0</v>
      </c>
      <c r="AD55" s="113">
        <v>273.91512</v>
      </c>
      <c r="AE55" s="113">
        <v>573.33960000000002</v>
      </c>
      <c r="AF55" s="114">
        <v>245.34816000000001</v>
      </c>
      <c r="AG55" s="111">
        <v>0</v>
      </c>
      <c r="AH55" s="111">
        <v>0</v>
      </c>
      <c r="AI55" s="111">
        <v>0</v>
      </c>
      <c r="AJ55" s="112">
        <v>3419.444</v>
      </c>
      <c r="AK55" s="114">
        <v>188.32032000000001</v>
      </c>
      <c r="AL55" s="112">
        <v>0</v>
      </c>
      <c r="AM55" s="114">
        <v>0</v>
      </c>
      <c r="AN55" s="111">
        <v>0</v>
      </c>
      <c r="AO55" s="112">
        <v>0</v>
      </c>
      <c r="AP55" s="114">
        <v>0</v>
      </c>
      <c r="AQ55" s="111">
        <v>0</v>
      </c>
      <c r="AR55" s="111">
        <v>0</v>
      </c>
      <c r="AS55" s="111">
        <v>0</v>
      </c>
      <c r="AT55" s="112">
        <v>0</v>
      </c>
      <c r="AU55" s="113">
        <v>0</v>
      </c>
      <c r="AV55" s="114">
        <v>0</v>
      </c>
      <c r="AW55" s="112">
        <v>0</v>
      </c>
      <c r="AX55" s="113">
        <v>0</v>
      </c>
      <c r="AY55" s="113">
        <v>0</v>
      </c>
      <c r="AZ55" s="113">
        <v>0</v>
      </c>
      <c r="BA55" s="113">
        <v>0</v>
      </c>
      <c r="BB55" s="114">
        <v>0</v>
      </c>
      <c r="BC55" s="112">
        <v>0</v>
      </c>
      <c r="BD55" s="114">
        <v>0</v>
      </c>
      <c r="BE55" s="111">
        <v>0</v>
      </c>
      <c r="BF55" s="112">
        <v>87.5</v>
      </c>
      <c r="BG55" s="113">
        <v>0</v>
      </c>
      <c r="BH55" s="114">
        <v>46.877099999999999</v>
      </c>
      <c r="BI55" s="112">
        <v>3946.6144800000002</v>
      </c>
      <c r="BJ55" s="113">
        <v>3971.2939200000001</v>
      </c>
      <c r="BK55" s="113">
        <v>3974.36472</v>
      </c>
      <c r="BL55" s="113">
        <v>0</v>
      </c>
      <c r="BM55" s="113">
        <v>0</v>
      </c>
      <c r="BN55" s="113">
        <v>0</v>
      </c>
      <c r="BO55" s="113">
        <v>0</v>
      </c>
      <c r="BP55" s="113">
        <v>0</v>
      </c>
      <c r="BQ55" s="113">
        <v>0</v>
      </c>
      <c r="BR55" s="113">
        <v>2281.6771749999998</v>
      </c>
      <c r="BS55" s="113">
        <v>4955.8694400000004</v>
      </c>
      <c r="BT55" s="113">
        <v>4946.7717599999996</v>
      </c>
      <c r="BU55" s="113">
        <v>4943.7607200000002</v>
      </c>
      <c r="BV55" s="114">
        <v>0</v>
      </c>
      <c r="BW55" s="112">
        <v>417.97991999999999</v>
      </c>
      <c r="BX55" s="114">
        <v>1057.28808</v>
      </c>
      <c r="BY55" s="111">
        <v>0</v>
      </c>
      <c r="BZ55" s="112">
        <v>0</v>
      </c>
      <c r="CA55" s="113">
        <v>0</v>
      </c>
      <c r="CB55" s="113">
        <v>0</v>
      </c>
      <c r="CC55" s="113">
        <v>0</v>
      </c>
      <c r="CD55" s="113">
        <v>0</v>
      </c>
      <c r="CE55" s="113">
        <v>2481.0943499999998</v>
      </c>
      <c r="CF55" s="113">
        <v>1258.0442399999999</v>
      </c>
      <c r="CG55" s="113">
        <v>1233.7094400000001</v>
      </c>
      <c r="CH55" s="113">
        <v>0</v>
      </c>
      <c r="CI55" s="113">
        <v>0</v>
      </c>
      <c r="CJ55" s="113">
        <v>0</v>
      </c>
      <c r="CK55" s="114">
        <v>2198.7564149999998</v>
      </c>
      <c r="CL55" s="112">
        <v>4333.28352</v>
      </c>
      <c r="CM55" s="113">
        <v>4332.58824</v>
      </c>
      <c r="CN55" s="113">
        <v>4352.0054399999999</v>
      </c>
      <c r="CO55" s="114">
        <v>4344.6988799999999</v>
      </c>
      <c r="CP55" s="112">
        <v>0</v>
      </c>
      <c r="CQ55" s="114">
        <v>0</v>
      </c>
      <c r="CR55" s="112">
        <v>0</v>
      </c>
      <c r="CS55" s="114">
        <v>0</v>
      </c>
      <c r="CT55" s="115"/>
      <c r="CU55" s="116"/>
      <c r="CV55" s="117"/>
      <c r="CW55" s="115"/>
      <c r="CX55" s="116"/>
      <c r="CY55" s="116"/>
      <c r="CZ55" s="117"/>
      <c r="DA55" s="115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7"/>
      <c r="DN55" s="115"/>
      <c r="DO55" s="116"/>
      <c r="DP55" s="116"/>
      <c r="DQ55" s="117"/>
      <c r="DR55" s="115"/>
      <c r="DS55" s="116"/>
      <c r="DT55" s="116"/>
      <c r="DU55" s="117"/>
      <c r="DV55" s="110"/>
      <c r="DW55" s="115"/>
      <c r="DX55" s="116"/>
      <c r="DY55" s="116"/>
      <c r="DZ55" s="116"/>
      <c r="EA55" s="116"/>
      <c r="EB55" s="117"/>
      <c r="EC55" s="1"/>
      <c r="ED55" s="111">
        <v>0</v>
      </c>
      <c r="EE55" s="111">
        <v>0</v>
      </c>
      <c r="EF55" s="111">
        <v>0</v>
      </c>
      <c r="EG55" s="111">
        <v>0</v>
      </c>
      <c r="EH55" s="111">
        <v>0</v>
      </c>
      <c r="EI55" s="111">
        <v>0</v>
      </c>
      <c r="EJ55" s="111">
        <v>0</v>
      </c>
      <c r="EK55" s="111">
        <v>0</v>
      </c>
      <c r="EL55" s="112">
        <v>0</v>
      </c>
      <c r="EM55" s="114">
        <v>0</v>
      </c>
      <c r="EN55" s="112">
        <v>0</v>
      </c>
      <c r="EO55" s="114">
        <v>0</v>
      </c>
      <c r="EP55" s="111">
        <v>0</v>
      </c>
      <c r="EQ55" s="111">
        <v>0</v>
      </c>
      <c r="ER55" s="111">
        <v>0</v>
      </c>
      <c r="ES55" s="111">
        <v>0</v>
      </c>
      <c r="ET55" s="111">
        <v>0</v>
      </c>
      <c r="EU55" s="111">
        <v>0</v>
      </c>
      <c r="EV55" s="111">
        <v>0</v>
      </c>
      <c r="EW55" s="111">
        <v>0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  <c r="FC55" s="111">
        <v>0</v>
      </c>
      <c r="FD55" s="111">
        <v>0</v>
      </c>
      <c r="FE55" s="111">
        <v>0</v>
      </c>
      <c r="FF55" s="111">
        <v>0</v>
      </c>
      <c r="FG55" s="111">
        <v>0</v>
      </c>
      <c r="FH55" s="111">
        <v>0</v>
      </c>
      <c r="FI55" s="111">
        <v>0</v>
      </c>
      <c r="FJ55" s="111">
        <v>0</v>
      </c>
      <c r="FK55" s="111">
        <v>0</v>
      </c>
      <c r="FL55" s="111">
        <v>0</v>
      </c>
      <c r="FM55" s="112">
        <v>0</v>
      </c>
      <c r="FN55" s="113">
        <v>0</v>
      </c>
      <c r="FO55" s="113">
        <v>0</v>
      </c>
      <c r="FP55" s="114">
        <v>0</v>
      </c>
      <c r="FQ55" s="112">
        <v>0</v>
      </c>
      <c r="FR55" s="114">
        <v>0</v>
      </c>
      <c r="FS55" s="112">
        <v>0</v>
      </c>
      <c r="FT55" s="113">
        <v>0</v>
      </c>
      <c r="FU55" s="113">
        <v>0</v>
      </c>
      <c r="FV55" s="113">
        <v>0</v>
      </c>
      <c r="FW55" s="113">
        <v>0</v>
      </c>
      <c r="FX55" s="114">
        <v>0</v>
      </c>
      <c r="FY55" s="112">
        <v>0</v>
      </c>
      <c r="FZ55" s="114">
        <v>0</v>
      </c>
      <c r="GA55" s="112">
        <v>0</v>
      </c>
      <c r="GB55" s="113">
        <v>0</v>
      </c>
      <c r="GC55" s="113">
        <v>0</v>
      </c>
      <c r="GD55" s="114">
        <v>0</v>
      </c>
      <c r="GE55" s="111">
        <v>0</v>
      </c>
      <c r="GF55" s="111">
        <v>0</v>
      </c>
      <c r="GG55" s="111">
        <v>0</v>
      </c>
      <c r="GH55" s="112">
        <v>0</v>
      </c>
      <c r="GI55" s="113">
        <v>0</v>
      </c>
      <c r="GJ55" s="113">
        <v>0</v>
      </c>
      <c r="GK55" s="113">
        <v>0</v>
      </c>
      <c r="GL55" s="114">
        <v>0</v>
      </c>
      <c r="GM55" s="112">
        <v>0</v>
      </c>
      <c r="GN55" s="113">
        <v>0</v>
      </c>
      <c r="GO55" s="113">
        <v>0</v>
      </c>
      <c r="GP55" s="114">
        <v>0</v>
      </c>
      <c r="GQ55" s="111">
        <v>0</v>
      </c>
      <c r="GR55" s="112">
        <v>0</v>
      </c>
      <c r="GS55" s="113">
        <v>0</v>
      </c>
      <c r="GT55" s="114">
        <v>0</v>
      </c>
      <c r="GU55" s="1"/>
      <c r="GV55" s="111">
        <v>0</v>
      </c>
      <c r="GW55" s="112">
        <v>0</v>
      </c>
      <c r="GX55" s="111">
        <v>0</v>
      </c>
      <c r="GY55" s="111">
        <v>0</v>
      </c>
      <c r="GZ55" s="111">
        <v>0</v>
      </c>
      <c r="HA55" s="111">
        <v>0</v>
      </c>
      <c r="HB55" s="111">
        <v>0</v>
      </c>
      <c r="HC55" s="111">
        <v>0</v>
      </c>
      <c r="HD55" s="1"/>
      <c r="HE55" s="111">
        <v>0</v>
      </c>
      <c r="HF55" s="111">
        <v>0</v>
      </c>
      <c r="HG55" s="111">
        <v>0</v>
      </c>
      <c r="HH55" s="111">
        <v>0</v>
      </c>
      <c r="HI55" s="111">
        <v>0</v>
      </c>
      <c r="HJ55" s="111">
        <v>0</v>
      </c>
      <c r="HK55" s="112">
        <v>0</v>
      </c>
      <c r="HL55" s="114">
        <v>0</v>
      </c>
      <c r="HM55" s="1"/>
      <c r="HN55" s="115"/>
      <c r="HO55" s="116"/>
      <c r="HP55" s="117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8" t="s">
        <v>1509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8" t="s">
        <v>1510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1511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8" t="s">
        <v>871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19"/>
      <c r="D63" s="1" t="s">
        <v>1512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P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0" t="s">
        <v>3</v>
      </c>
      <c r="B6" s="233" t="s">
        <v>70</v>
      </c>
      <c r="C6" s="233"/>
      <c r="D6" s="233"/>
      <c r="E6" s="233"/>
      <c r="F6" s="233"/>
      <c r="G6" s="233"/>
      <c r="H6" s="233" t="s">
        <v>606</v>
      </c>
      <c r="I6" s="233"/>
      <c r="J6" s="233" t="s">
        <v>75</v>
      </c>
      <c r="K6" s="233"/>
      <c r="L6" s="233"/>
      <c r="M6" s="233" t="s">
        <v>602</v>
      </c>
      <c r="N6" s="233"/>
      <c r="O6" s="233" t="s">
        <v>28</v>
      </c>
      <c r="P6" s="233" t="s">
        <v>80</v>
      </c>
      <c r="Q6" s="233"/>
      <c r="R6" s="233"/>
      <c r="S6" s="233"/>
      <c r="T6" s="233" t="s">
        <v>83</v>
      </c>
      <c r="U6" s="233" t="s">
        <v>286</v>
      </c>
      <c r="V6" s="233" t="s">
        <v>93</v>
      </c>
      <c r="W6" s="233"/>
      <c r="X6" s="233"/>
      <c r="Y6" s="233"/>
      <c r="Z6" s="233"/>
      <c r="AA6" s="233" t="s">
        <v>106</v>
      </c>
      <c r="AB6" s="233"/>
      <c r="AC6" s="233" t="s">
        <v>122</v>
      </c>
      <c r="AD6" s="233"/>
      <c r="AE6" s="233"/>
      <c r="AF6" s="233"/>
      <c r="AG6" s="233" t="s">
        <v>130</v>
      </c>
      <c r="AH6" s="233"/>
      <c r="AI6" s="233"/>
      <c r="AJ6" s="233"/>
      <c r="AK6" s="233"/>
      <c r="AL6" s="233" t="s">
        <v>603</v>
      </c>
      <c r="AM6" s="233"/>
      <c r="AN6" s="233" t="s">
        <v>151</v>
      </c>
      <c r="AO6" s="233"/>
      <c r="AP6" s="233"/>
      <c r="AQ6" s="233"/>
      <c r="AR6" s="233"/>
      <c r="AS6" s="233"/>
      <c r="AT6" s="233"/>
      <c r="AU6" s="233"/>
      <c r="AV6" s="233"/>
      <c r="AW6" s="233" t="s">
        <v>613</v>
      </c>
    </row>
    <row r="7" spans="1:49" ht="39.6" x14ac:dyDescent="0.3">
      <c r="A7" s="120" t="s">
        <v>1514</v>
      </c>
      <c r="B7" s="120" t="s">
        <v>1515</v>
      </c>
      <c r="C7" s="120" t="s">
        <v>1515</v>
      </c>
      <c r="D7" s="120" t="s">
        <v>1515</v>
      </c>
      <c r="E7" s="120" t="s">
        <v>1515</v>
      </c>
      <c r="F7" s="120" t="s">
        <v>1515</v>
      </c>
      <c r="G7" s="120" t="s">
        <v>1515</v>
      </c>
      <c r="H7" s="120" t="s">
        <v>1516</v>
      </c>
      <c r="I7" s="120" t="s">
        <v>1517</v>
      </c>
      <c r="J7" s="120" t="s">
        <v>1518</v>
      </c>
      <c r="K7" s="120" t="s">
        <v>1518</v>
      </c>
      <c r="L7" s="120" t="s">
        <v>1518</v>
      </c>
      <c r="M7" s="120" t="s">
        <v>1519</v>
      </c>
      <c r="N7" s="120" t="s">
        <v>1519</v>
      </c>
      <c r="O7" s="120" t="s">
        <v>1520</v>
      </c>
      <c r="P7" s="120" t="s">
        <v>273</v>
      </c>
      <c r="Q7" s="120" t="s">
        <v>273</v>
      </c>
      <c r="R7" s="120" t="s">
        <v>273</v>
      </c>
      <c r="S7" s="120" t="s">
        <v>273</v>
      </c>
      <c r="T7" s="120" t="s">
        <v>1521</v>
      </c>
      <c r="U7" s="120" t="s">
        <v>1522</v>
      </c>
      <c r="V7" s="120" t="s">
        <v>1523</v>
      </c>
      <c r="W7" s="120" t="s">
        <v>1524</v>
      </c>
      <c r="X7" s="120" t="s">
        <v>1524</v>
      </c>
      <c r="Y7" s="120" t="s">
        <v>1525</v>
      </c>
      <c r="Z7" s="120" t="s">
        <v>1526</v>
      </c>
      <c r="AA7" s="120" t="s">
        <v>273</v>
      </c>
      <c r="AB7" s="120" t="s">
        <v>273</v>
      </c>
      <c r="AC7" s="120" t="s">
        <v>1527</v>
      </c>
      <c r="AD7" s="120" t="s">
        <v>1528</v>
      </c>
      <c r="AE7" s="120" t="s">
        <v>1529</v>
      </c>
      <c r="AF7" s="120" t="s">
        <v>1527</v>
      </c>
      <c r="AG7" s="120" t="s">
        <v>1530</v>
      </c>
      <c r="AH7" s="120" t="s">
        <v>1530</v>
      </c>
      <c r="AI7" s="120" t="s">
        <v>1531</v>
      </c>
      <c r="AJ7" s="120" t="s">
        <v>1532</v>
      </c>
      <c r="AK7" s="120" t="s">
        <v>1532</v>
      </c>
      <c r="AL7" s="120" t="s">
        <v>603</v>
      </c>
      <c r="AM7" s="120" t="s">
        <v>603</v>
      </c>
      <c r="AN7" s="120" t="s">
        <v>1533</v>
      </c>
      <c r="AO7" s="120" t="s">
        <v>273</v>
      </c>
      <c r="AP7" s="120" t="s">
        <v>273</v>
      </c>
      <c r="AQ7" s="120" t="s">
        <v>273</v>
      </c>
      <c r="AR7" s="120" t="s">
        <v>1524</v>
      </c>
      <c r="AS7" s="120" t="s">
        <v>1534</v>
      </c>
      <c r="AT7" s="120" t="s">
        <v>1523</v>
      </c>
      <c r="AU7" s="120" t="s">
        <v>1524</v>
      </c>
      <c r="AV7" s="120" t="s">
        <v>1535</v>
      </c>
      <c r="AW7" s="120" t="s">
        <v>1021</v>
      </c>
    </row>
    <row r="8" spans="1:49" ht="26.4" x14ac:dyDescent="0.3">
      <c r="A8" s="120" t="s">
        <v>1536</v>
      </c>
      <c r="B8" s="120" t="s">
        <v>1537</v>
      </c>
      <c r="C8" s="120" t="s">
        <v>1537</v>
      </c>
      <c r="D8" s="120" t="s">
        <v>1538</v>
      </c>
      <c r="E8" s="120" t="s">
        <v>1538</v>
      </c>
      <c r="F8" s="120" t="s">
        <v>1539</v>
      </c>
      <c r="G8" s="120" t="s">
        <v>1538</v>
      </c>
      <c r="H8" s="120" t="s">
        <v>1538</v>
      </c>
      <c r="I8" s="120" t="s">
        <v>1538</v>
      </c>
      <c r="J8" s="120" t="s">
        <v>1537</v>
      </c>
      <c r="K8" s="120" t="s">
        <v>1537</v>
      </c>
      <c r="L8" s="120" t="s">
        <v>1539</v>
      </c>
      <c r="M8" s="120" t="s">
        <v>1538</v>
      </c>
      <c r="N8" s="120" t="s">
        <v>1538</v>
      </c>
      <c r="O8" s="120" t="s">
        <v>1538</v>
      </c>
      <c r="P8" s="120" t="s">
        <v>1538</v>
      </c>
      <c r="Q8" s="120" t="s">
        <v>1538</v>
      </c>
      <c r="R8" s="120" t="s">
        <v>1538</v>
      </c>
      <c r="S8" s="120" t="s">
        <v>1538</v>
      </c>
      <c r="T8" s="120" t="s">
        <v>1538</v>
      </c>
      <c r="U8" s="120" t="s">
        <v>1538</v>
      </c>
      <c r="V8" s="120" t="s">
        <v>1538</v>
      </c>
      <c r="W8" s="120" t="s">
        <v>1538</v>
      </c>
      <c r="X8" s="120" t="s">
        <v>1538</v>
      </c>
      <c r="Y8" s="120" t="s">
        <v>1538</v>
      </c>
      <c r="Z8" s="120" t="s">
        <v>1538</v>
      </c>
      <c r="AA8" s="120" t="s">
        <v>1538</v>
      </c>
      <c r="AB8" s="120" t="s">
        <v>1538</v>
      </c>
      <c r="AC8" s="120" t="s">
        <v>1538</v>
      </c>
      <c r="AD8" s="120" t="s">
        <v>1539</v>
      </c>
      <c r="AE8" s="120" t="s">
        <v>1537</v>
      </c>
      <c r="AF8" s="120" t="s">
        <v>1538</v>
      </c>
      <c r="AG8" s="120" t="s">
        <v>1538</v>
      </c>
      <c r="AH8" s="120" t="s">
        <v>1538</v>
      </c>
      <c r="AI8" s="120" t="s">
        <v>1537</v>
      </c>
      <c r="AJ8" s="120" t="s">
        <v>1538</v>
      </c>
      <c r="AK8" s="120" t="s">
        <v>1538</v>
      </c>
      <c r="AL8" s="120" t="s">
        <v>1538</v>
      </c>
      <c r="AM8" s="120" t="s">
        <v>1538</v>
      </c>
      <c r="AN8" s="120" t="s">
        <v>1538</v>
      </c>
      <c r="AO8" s="120" t="s">
        <v>1538</v>
      </c>
      <c r="AP8" s="120" t="s">
        <v>1538</v>
      </c>
      <c r="AQ8" s="120" t="s">
        <v>1538</v>
      </c>
      <c r="AR8" s="120" t="s">
        <v>1538</v>
      </c>
      <c r="AS8" s="120" t="s">
        <v>1538</v>
      </c>
      <c r="AT8" s="120" t="s">
        <v>1538</v>
      </c>
      <c r="AU8" s="120" t="s">
        <v>1538</v>
      </c>
      <c r="AV8" s="120" t="s">
        <v>1538</v>
      </c>
      <c r="AW8" s="120" t="s">
        <v>1538</v>
      </c>
    </row>
    <row r="9" spans="1:49" ht="39.6" x14ac:dyDescent="0.3">
      <c r="A9" s="120" t="s">
        <v>6</v>
      </c>
      <c r="B9" s="120" t="s">
        <v>1540</v>
      </c>
      <c r="C9" s="120" t="s">
        <v>1541</v>
      </c>
      <c r="D9" s="120" t="s">
        <v>1542</v>
      </c>
      <c r="E9" s="120" t="s">
        <v>1542</v>
      </c>
      <c r="F9" s="120" t="s">
        <v>71</v>
      </c>
      <c r="G9" s="120" t="s">
        <v>1542</v>
      </c>
      <c r="H9" s="120" t="s">
        <v>684</v>
      </c>
      <c r="I9" s="120" t="s">
        <v>683</v>
      </c>
      <c r="J9" s="120" t="s">
        <v>1543</v>
      </c>
      <c r="K9" s="120" t="s">
        <v>1544</v>
      </c>
      <c r="L9" s="120" t="s">
        <v>972</v>
      </c>
      <c r="M9" s="120" t="s">
        <v>1545</v>
      </c>
      <c r="N9" s="120" t="s">
        <v>1545</v>
      </c>
      <c r="O9" s="120" t="s">
        <v>1546</v>
      </c>
      <c r="P9" s="120" t="s">
        <v>1547</v>
      </c>
      <c r="Q9" s="120" t="s">
        <v>1548</v>
      </c>
      <c r="R9" s="120" t="s">
        <v>1549</v>
      </c>
      <c r="S9" s="120" t="s">
        <v>1550</v>
      </c>
      <c r="T9" s="120" t="s">
        <v>282</v>
      </c>
      <c r="U9" s="120" t="s">
        <v>1551</v>
      </c>
      <c r="V9" s="120" t="s">
        <v>1552</v>
      </c>
      <c r="W9" s="120" t="s">
        <v>1553</v>
      </c>
      <c r="X9" s="120" t="s">
        <v>1553</v>
      </c>
      <c r="Y9" s="120" t="s">
        <v>1554</v>
      </c>
      <c r="Z9" s="120" t="s">
        <v>1555</v>
      </c>
      <c r="AA9" s="120" t="s">
        <v>1556</v>
      </c>
      <c r="AB9" s="120" t="s">
        <v>664</v>
      </c>
      <c r="AC9" s="120" t="s">
        <v>1557</v>
      </c>
      <c r="AD9" s="120" t="s">
        <v>1004</v>
      </c>
      <c r="AE9" s="120" t="s">
        <v>1558</v>
      </c>
      <c r="AF9" s="120" t="s">
        <v>1557</v>
      </c>
      <c r="AG9" s="120" t="s">
        <v>1559</v>
      </c>
      <c r="AH9" s="120" t="s">
        <v>1559</v>
      </c>
      <c r="AI9" s="120" t="s">
        <v>1560</v>
      </c>
      <c r="AJ9" s="120" t="s">
        <v>1561</v>
      </c>
      <c r="AK9" s="120" t="s">
        <v>1561</v>
      </c>
      <c r="AL9" s="120" t="s">
        <v>603</v>
      </c>
      <c r="AM9" s="120" t="s">
        <v>1562</v>
      </c>
      <c r="AN9" s="120" t="s">
        <v>1563</v>
      </c>
      <c r="AO9" s="120" t="s">
        <v>1564</v>
      </c>
      <c r="AP9" s="120" t="s">
        <v>1564</v>
      </c>
      <c r="AQ9" s="120" t="s">
        <v>1565</v>
      </c>
      <c r="AR9" s="120" t="s">
        <v>1566</v>
      </c>
      <c r="AS9" s="120" t="s">
        <v>1567</v>
      </c>
      <c r="AT9" s="120" t="s">
        <v>1568</v>
      </c>
      <c r="AU9" s="120" t="s">
        <v>1569</v>
      </c>
      <c r="AV9" s="120" t="s">
        <v>1570</v>
      </c>
      <c r="AW9" s="120" t="s">
        <v>1571</v>
      </c>
    </row>
    <row r="10" spans="1:49" ht="52.8" x14ac:dyDescent="0.3">
      <c r="A10" s="120" t="s">
        <v>1153</v>
      </c>
      <c r="B10" s="120" t="s">
        <v>1572</v>
      </c>
      <c r="C10" s="120" t="s">
        <v>1572</v>
      </c>
      <c r="D10" s="120" t="s">
        <v>1573</v>
      </c>
      <c r="E10" s="120" t="s">
        <v>1574</v>
      </c>
      <c r="F10" s="120" t="s">
        <v>1575</v>
      </c>
      <c r="G10" s="120" t="s">
        <v>1576</v>
      </c>
      <c r="H10" s="120" t="s">
        <v>1573</v>
      </c>
      <c r="I10" s="120" t="s">
        <v>1573</v>
      </c>
      <c r="J10" s="120" t="s">
        <v>1572</v>
      </c>
      <c r="K10" s="120" t="s">
        <v>1572</v>
      </c>
      <c r="L10" s="120" t="s">
        <v>1575</v>
      </c>
      <c r="M10" s="120" t="s">
        <v>1574</v>
      </c>
      <c r="N10" s="120" t="s">
        <v>1576</v>
      </c>
      <c r="O10" s="120" t="s">
        <v>1573</v>
      </c>
      <c r="P10" s="120" t="s">
        <v>1576</v>
      </c>
      <c r="Q10" s="120" t="s">
        <v>1576</v>
      </c>
      <c r="R10" s="120" t="s">
        <v>1576</v>
      </c>
      <c r="S10" s="120" t="s">
        <v>1573</v>
      </c>
      <c r="T10" s="120" t="s">
        <v>1576</v>
      </c>
      <c r="U10" s="120" t="s">
        <v>1573</v>
      </c>
      <c r="V10" s="120" t="s">
        <v>1576</v>
      </c>
      <c r="W10" s="120" t="s">
        <v>1576</v>
      </c>
      <c r="X10" s="120" t="s">
        <v>1574</v>
      </c>
      <c r="Y10" s="120" t="s">
        <v>1576</v>
      </c>
      <c r="Z10" s="120" t="s">
        <v>1576</v>
      </c>
      <c r="AA10" s="120" t="s">
        <v>1573</v>
      </c>
      <c r="AB10" s="120" t="s">
        <v>1576</v>
      </c>
      <c r="AC10" s="120" t="s">
        <v>1573</v>
      </c>
      <c r="AD10" s="120" t="s">
        <v>1575</v>
      </c>
      <c r="AE10" s="120" t="s">
        <v>1573</v>
      </c>
      <c r="AF10" s="120" t="s">
        <v>1573</v>
      </c>
      <c r="AG10" s="120" t="s">
        <v>1573</v>
      </c>
      <c r="AH10" s="120" t="s">
        <v>1576</v>
      </c>
      <c r="AI10" s="120" t="s">
        <v>1576</v>
      </c>
      <c r="AJ10" s="120" t="s">
        <v>1573</v>
      </c>
      <c r="AK10" s="120" t="s">
        <v>1576</v>
      </c>
      <c r="AL10" s="120" t="s">
        <v>1573</v>
      </c>
      <c r="AM10" s="120" t="s">
        <v>1576</v>
      </c>
      <c r="AN10" s="120" t="s">
        <v>1576</v>
      </c>
      <c r="AO10" s="120" t="s">
        <v>1573</v>
      </c>
      <c r="AP10" s="120" t="s">
        <v>1576</v>
      </c>
      <c r="AQ10" s="120" t="s">
        <v>1573</v>
      </c>
      <c r="AR10" s="120" t="s">
        <v>1573</v>
      </c>
      <c r="AS10" s="120" t="s">
        <v>1573</v>
      </c>
      <c r="AT10" s="120" t="s">
        <v>1573</v>
      </c>
      <c r="AU10" s="120" t="s">
        <v>1573</v>
      </c>
      <c r="AV10" s="120" t="s">
        <v>1576</v>
      </c>
      <c r="AW10" s="120" t="s">
        <v>1576</v>
      </c>
    </row>
    <row r="11" spans="1:49" x14ac:dyDescent="0.3">
      <c r="A11" s="120" t="s">
        <v>63</v>
      </c>
      <c r="B11" s="120" t="s">
        <v>1577</v>
      </c>
      <c r="C11" s="120" t="s">
        <v>1577</v>
      </c>
      <c r="D11" s="120" t="s">
        <v>1577</v>
      </c>
      <c r="E11" s="120" t="s">
        <v>1577</v>
      </c>
      <c r="F11" s="120" t="s">
        <v>1577</v>
      </c>
      <c r="G11" s="120" t="s">
        <v>1577</v>
      </c>
      <c r="H11" s="120" t="s">
        <v>1577</v>
      </c>
      <c r="I11" s="120" t="s">
        <v>1577</v>
      </c>
      <c r="J11" s="120" t="s">
        <v>1577</v>
      </c>
      <c r="K11" s="120" t="s">
        <v>1577</v>
      </c>
      <c r="L11" s="120" t="s">
        <v>1577</v>
      </c>
      <c r="M11" s="120" t="s">
        <v>1577</v>
      </c>
      <c r="N11" s="120" t="s">
        <v>1577</v>
      </c>
      <c r="O11" s="120" t="s">
        <v>1577</v>
      </c>
      <c r="P11" s="120" t="s">
        <v>1577</v>
      </c>
      <c r="Q11" s="120" t="s">
        <v>1577</v>
      </c>
      <c r="R11" s="120" t="s">
        <v>1577</v>
      </c>
      <c r="S11" s="120" t="s">
        <v>1577</v>
      </c>
      <c r="T11" s="120" t="s">
        <v>1577</v>
      </c>
      <c r="U11" s="120" t="s">
        <v>1577</v>
      </c>
      <c r="V11" s="120" t="s">
        <v>1577</v>
      </c>
      <c r="W11" s="120" t="s">
        <v>1577</v>
      </c>
      <c r="X11" s="120" t="s">
        <v>1577</v>
      </c>
      <c r="Y11" s="120" t="s">
        <v>1577</v>
      </c>
      <c r="Z11" s="120" t="s">
        <v>1577</v>
      </c>
      <c r="AA11" s="120" t="s">
        <v>1577</v>
      </c>
      <c r="AB11" s="120" t="s">
        <v>1577</v>
      </c>
      <c r="AC11" s="120" t="s">
        <v>1577</v>
      </c>
      <c r="AD11" s="120" t="s">
        <v>1577</v>
      </c>
      <c r="AE11" s="120" t="s">
        <v>1577</v>
      </c>
      <c r="AF11" s="120" t="s">
        <v>1577</v>
      </c>
      <c r="AG11" s="120" t="s">
        <v>1577</v>
      </c>
      <c r="AH11" s="120" t="s">
        <v>1577</v>
      </c>
      <c r="AI11" s="120" t="s">
        <v>1577</v>
      </c>
      <c r="AJ11" s="120" t="s">
        <v>1577</v>
      </c>
      <c r="AK11" s="120" t="s">
        <v>1577</v>
      </c>
      <c r="AL11" s="120" t="s">
        <v>1577</v>
      </c>
      <c r="AM11" s="120" t="s">
        <v>1577</v>
      </c>
      <c r="AN11" s="120" t="s">
        <v>1577</v>
      </c>
      <c r="AO11" s="120" t="s">
        <v>1577</v>
      </c>
      <c r="AP11" s="120" t="s">
        <v>1577</v>
      </c>
      <c r="AQ11" s="120" t="s">
        <v>1577</v>
      </c>
      <c r="AR11" s="120" t="s">
        <v>1577</v>
      </c>
      <c r="AS11" s="120" t="s">
        <v>1577</v>
      </c>
      <c r="AT11" s="120" t="s">
        <v>1577</v>
      </c>
      <c r="AU11" s="120" t="s">
        <v>1577</v>
      </c>
      <c r="AV11" s="120" t="s">
        <v>1577</v>
      </c>
      <c r="AW11" s="120" t="s">
        <v>1577</v>
      </c>
    </row>
    <row r="12" spans="1:49" x14ac:dyDescent="0.3">
      <c r="A12" s="121" t="s">
        <v>68</v>
      </c>
      <c r="B12" s="122">
        <v>1.1000000000000001</v>
      </c>
      <c r="C12" s="123">
        <v>24</v>
      </c>
      <c r="D12" s="123">
        <v>24.9</v>
      </c>
      <c r="E12" s="123">
        <v>2</v>
      </c>
      <c r="F12" s="123">
        <v>19.399999999999999</v>
      </c>
      <c r="G12" s="124">
        <v>26</v>
      </c>
      <c r="H12" s="122">
        <v>19.399999999999999</v>
      </c>
      <c r="I12" s="124">
        <v>50</v>
      </c>
      <c r="J12" s="122">
        <v>12.95</v>
      </c>
      <c r="K12" s="123">
        <v>12.41</v>
      </c>
      <c r="L12" s="124">
        <v>16.231000000000002</v>
      </c>
      <c r="M12" s="125" t="s">
        <v>1578</v>
      </c>
      <c r="N12" s="126" t="s">
        <v>1578</v>
      </c>
      <c r="O12" s="127">
        <v>1.929</v>
      </c>
      <c r="P12" s="122">
        <v>80.86</v>
      </c>
      <c r="Q12" s="123">
        <v>61.46</v>
      </c>
      <c r="R12" s="123">
        <v>135.09</v>
      </c>
      <c r="S12" s="124">
        <v>77.25</v>
      </c>
      <c r="T12" s="127">
        <v>120.217</v>
      </c>
      <c r="U12" s="127">
        <v>5.89</v>
      </c>
      <c r="V12" s="122">
        <v>10.99</v>
      </c>
      <c r="W12" s="123">
        <v>6.6609999999999996</v>
      </c>
      <c r="X12" s="123">
        <v>0.57999999999999996</v>
      </c>
      <c r="Y12" s="128" t="s">
        <v>1578</v>
      </c>
      <c r="Z12" s="126" t="s">
        <v>1578</v>
      </c>
      <c r="AA12" s="122">
        <v>61.95</v>
      </c>
      <c r="AB12" s="124">
        <v>183.072</v>
      </c>
      <c r="AC12" s="122">
        <v>40.960999999999999</v>
      </c>
      <c r="AD12" s="123">
        <v>33.978000000000002</v>
      </c>
      <c r="AE12" s="123">
        <v>7.83</v>
      </c>
      <c r="AF12" s="124">
        <v>3.3</v>
      </c>
      <c r="AG12" s="122">
        <v>7.2649999999999997</v>
      </c>
      <c r="AH12" s="123">
        <v>12.3</v>
      </c>
      <c r="AI12" s="123">
        <v>5.30105</v>
      </c>
      <c r="AJ12" s="123">
        <v>12.371</v>
      </c>
      <c r="AK12" s="124">
        <v>12.7</v>
      </c>
      <c r="AL12" s="122">
        <v>15.41</v>
      </c>
      <c r="AM12" s="124">
        <v>15.7</v>
      </c>
      <c r="AN12" s="122">
        <v>16.094000000000001</v>
      </c>
      <c r="AO12" s="128" t="s">
        <v>1578</v>
      </c>
      <c r="AP12" s="123">
        <v>15.055</v>
      </c>
      <c r="AQ12" s="128" t="s">
        <v>1578</v>
      </c>
      <c r="AR12" s="123">
        <v>6.5605799999999999</v>
      </c>
      <c r="AS12" s="128" t="s">
        <v>1578</v>
      </c>
      <c r="AT12" s="123">
        <v>15.489000000000001</v>
      </c>
      <c r="AU12" s="123">
        <v>9.8650000000000002</v>
      </c>
      <c r="AV12" s="124">
        <v>16.38</v>
      </c>
      <c r="AW12" s="127">
        <v>5.0069999999999997</v>
      </c>
    </row>
    <row r="13" spans="1:49" x14ac:dyDescent="0.3">
      <c r="A13" s="129" t="s">
        <v>808</v>
      </c>
      <c r="B13" s="122">
        <v>1.1000000000000001</v>
      </c>
      <c r="C13" s="123">
        <v>24</v>
      </c>
      <c r="D13" s="123">
        <v>24.9</v>
      </c>
      <c r="E13" s="123">
        <v>2</v>
      </c>
      <c r="F13" s="123">
        <v>19.399999999999999</v>
      </c>
      <c r="G13" s="124">
        <v>26</v>
      </c>
      <c r="H13" s="122">
        <v>19.399999999999999</v>
      </c>
      <c r="I13" s="124">
        <v>50</v>
      </c>
      <c r="J13" s="122">
        <v>12.95</v>
      </c>
      <c r="K13" s="123">
        <v>12.41</v>
      </c>
      <c r="L13" s="124">
        <v>16.231000000000002</v>
      </c>
      <c r="M13" s="125" t="s">
        <v>1578</v>
      </c>
      <c r="N13" s="126" t="s">
        <v>1578</v>
      </c>
      <c r="O13" s="127">
        <v>1.929</v>
      </c>
      <c r="P13" s="122">
        <v>80.86</v>
      </c>
      <c r="Q13" s="123">
        <v>61.46</v>
      </c>
      <c r="R13" s="123">
        <v>135.09</v>
      </c>
      <c r="S13" s="124">
        <v>77.25</v>
      </c>
      <c r="T13" s="127">
        <v>120.217</v>
      </c>
      <c r="U13" s="127">
        <v>5.89</v>
      </c>
      <c r="V13" s="122">
        <v>10.99</v>
      </c>
      <c r="W13" s="123">
        <v>6.6609999999999996</v>
      </c>
      <c r="X13" s="123">
        <v>0.57999999999999996</v>
      </c>
      <c r="Y13" s="128" t="s">
        <v>1578</v>
      </c>
      <c r="Z13" s="126" t="s">
        <v>1578</v>
      </c>
      <c r="AA13" s="122">
        <v>61.95</v>
      </c>
      <c r="AB13" s="124">
        <v>183.072</v>
      </c>
      <c r="AC13" s="122">
        <v>40.960999999999999</v>
      </c>
      <c r="AD13" s="123">
        <v>33.978000000000002</v>
      </c>
      <c r="AE13" s="123">
        <v>7.83</v>
      </c>
      <c r="AF13" s="124">
        <v>3.3</v>
      </c>
      <c r="AG13" s="122">
        <v>7.2649999999999997</v>
      </c>
      <c r="AH13" s="123">
        <v>12.3</v>
      </c>
      <c r="AI13" s="123">
        <v>5.30105</v>
      </c>
      <c r="AJ13" s="123">
        <v>12.371</v>
      </c>
      <c r="AK13" s="124">
        <v>12.7</v>
      </c>
      <c r="AL13" s="122">
        <v>15.41</v>
      </c>
      <c r="AM13" s="124">
        <v>15.7</v>
      </c>
      <c r="AN13" s="122">
        <v>16.094000000000001</v>
      </c>
      <c r="AO13" s="128" t="s">
        <v>1578</v>
      </c>
      <c r="AP13" s="123">
        <v>15.055</v>
      </c>
      <c r="AQ13" s="128" t="s">
        <v>1578</v>
      </c>
      <c r="AR13" s="123">
        <v>6.5605799999999999</v>
      </c>
      <c r="AS13" s="128" t="s">
        <v>1578</v>
      </c>
      <c r="AT13" s="123">
        <v>15.489000000000001</v>
      </c>
      <c r="AU13" s="123">
        <v>9.8650000000000002</v>
      </c>
      <c r="AV13" s="124">
        <v>16.38</v>
      </c>
      <c r="AW13" s="127">
        <v>5.0069999999999997</v>
      </c>
    </row>
    <row r="14" spans="1:49" x14ac:dyDescent="0.3">
      <c r="A14" s="129" t="s">
        <v>809</v>
      </c>
      <c r="B14" s="122">
        <v>1.1000000000000001</v>
      </c>
      <c r="C14" s="123">
        <v>24</v>
      </c>
      <c r="D14" s="123">
        <v>24.9</v>
      </c>
      <c r="E14" s="123">
        <v>2</v>
      </c>
      <c r="F14" s="123">
        <v>21.7</v>
      </c>
      <c r="G14" s="124">
        <v>26</v>
      </c>
      <c r="H14" s="122">
        <v>19.399999999999999</v>
      </c>
      <c r="I14" s="124">
        <v>50</v>
      </c>
      <c r="J14" s="122">
        <v>11.43</v>
      </c>
      <c r="K14" s="123">
        <v>12.44</v>
      </c>
      <c r="L14" s="124">
        <v>10.063000000000001</v>
      </c>
      <c r="M14" s="125" t="s">
        <v>1578</v>
      </c>
      <c r="N14" s="126" t="s">
        <v>1578</v>
      </c>
      <c r="O14" s="127">
        <v>1.929</v>
      </c>
      <c r="P14" s="122">
        <v>81.709999999999994</v>
      </c>
      <c r="Q14" s="123">
        <v>61.46</v>
      </c>
      <c r="R14" s="123">
        <v>136.18</v>
      </c>
      <c r="S14" s="124">
        <v>83.04</v>
      </c>
      <c r="T14" s="127">
        <v>120.119</v>
      </c>
      <c r="U14" s="127">
        <v>5.91</v>
      </c>
      <c r="V14" s="122">
        <v>15.64</v>
      </c>
      <c r="W14" s="123">
        <v>14.156000000000001</v>
      </c>
      <c r="X14" s="123">
        <v>0.5</v>
      </c>
      <c r="Y14" s="128" t="s">
        <v>1578</v>
      </c>
      <c r="Z14" s="126" t="s">
        <v>1578</v>
      </c>
      <c r="AA14" s="122">
        <v>61.08</v>
      </c>
      <c r="AB14" s="124">
        <v>182.21</v>
      </c>
      <c r="AC14" s="122">
        <v>41.508000000000003</v>
      </c>
      <c r="AD14" s="123">
        <v>33.953000000000003</v>
      </c>
      <c r="AE14" s="123">
        <v>10.637</v>
      </c>
      <c r="AF14" s="124">
        <v>3.5</v>
      </c>
      <c r="AG14" s="122">
        <v>7.2649999999999997</v>
      </c>
      <c r="AH14" s="123">
        <v>12.3</v>
      </c>
      <c r="AI14" s="123">
        <v>5.3774499999999996</v>
      </c>
      <c r="AJ14" s="123">
        <v>12.371</v>
      </c>
      <c r="AK14" s="124">
        <v>12.7</v>
      </c>
      <c r="AL14" s="122">
        <v>13</v>
      </c>
      <c r="AM14" s="124">
        <v>13.28</v>
      </c>
      <c r="AN14" s="122">
        <v>16.094000000000001</v>
      </c>
      <c r="AO14" s="128" t="s">
        <v>1578</v>
      </c>
      <c r="AP14" s="128" t="s">
        <v>1578</v>
      </c>
      <c r="AQ14" s="128" t="s">
        <v>1578</v>
      </c>
      <c r="AR14" s="123">
        <v>6.40829</v>
      </c>
      <c r="AS14" s="128" t="s">
        <v>1578</v>
      </c>
      <c r="AT14" s="123">
        <v>15.489000000000001</v>
      </c>
      <c r="AU14" s="123">
        <v>9.1310000000000002</v>
      </c>
      <c r="AV14" s="124">
        <v>16.38</v>
      </c>
      <c r="AW14" s="127">
        <v>5.0069999999999997</v>
      </c>
    </row>
    <row r="15" spans="1:49" x14ac:dyDescent="0.3">
      <c r="A15" s="129" t="s">
        <v>810</v>
      </c>
      <c r="B15" s="122">
        <v>1.1000000000000001</v>
      </c>
      <c r="C15" s="123">
        <v>24</v>
      </c>
      <c r="D15" s="123">
        <v>24.9</v>
      </c>
      <c r="E15" s="123">
        <v>2</v>
      </c>
      <c r="F15" s="123">
        <v>21.7</v>
      </c>
      <c r="G15" s="124">
        <v>26</v>
      </c>
      <c r="H15" s="122">
        <v>19.399999999999999</v>
      </c>
      <c r="I15" s="124">
        <v>50</v>
      </c>
      <c r="J15" s="122">
        <v>11.43</v>
      </c>
      <c r="K15" s="123">
        <v>12.44</v>
      </c>
      <c r="L15" s="124">
        <v>10.063000000000001</v>
      </c>
      <c r="M15" s="125" t="s">
        <v>1578</v>
      </c>
      <c r="N15" s="126" t="s">
        <v>1578</v>
      </c>
      <c r="O15" s="127">
        <v>1.929</v>
      </c>
      <c r="P15" s="122">
        <v>81.709999999999994</v>
      </c>
      <c r="Q15" s="123">
        <v>61.46</v>
      </c>
      <c r="R15" s="123">
        <v>136.18</v>
      </c>
      <c r="S15" s="124">
        <v>83.04</v>
      </c>
      <c r="T15" s="127">
        <v>120.119</v>
      </c>
      <c r="U15" s="127">
        <v>5.91</v>
      </c>
      <c r="V15" s="122">
        <v>15.64</v>
      </c>
      <c r="W15" s="123">
        <v>14.156000000000001</v>
      </c>
      <c r="X15" s="123">
        <v>0.5</v>
      </c>
      <c r="Y15" s="128" t="s">
        <v>1578</v>
      </c>
      <c r="Z15" s="126" t="s">
        <v>1578</v>
      </c>
      <c r="AA15" s="122">
        <v>61.08</v>
      </c>
      <c r="AB15" s="124">
        <v>182.21</v>
      </c>
      <c r="AC15" s="122">
        <v>41.508000000000003</v>
      </c>
      <c r="AD15" s="123">
        <v>33.953000000000003</v>
      </c>
      <c r="AE15" s="123">
        <v>10.637</v>
      </c>
      <c r="AF15" s="124">
        <v>3.5</v>
      </c>
      <c r="AG15" s="122">
        <v>7.2649999999999997</v>
      </c>
      <c r="AH15" s="123">
        <v>12.3</v>
      </c>
      <c r="AI15" s="123">
        <v>5.3774499999999996</v>
      </c>
      <c r="AJ15" s="123">
        <v>12.371</v>
      </c>
      <c r="AK15" s="124">
        <v>12.7</v>
      </c>
      <c r="AL15" s="122">
        <v>13</v>
      </c>
      <c r="AM15" s="124">
        <v>13.28</v>
      </c>
      <c r="AN15" s="122">
        <v>16.094000000000001</v>
      </c>
      <c r="AO15" s="128" t="s">
        <v>1578</v>
      </c>
      <c r="AP15" s="128" t="s">
        <v>1578</v>
      </c>
      <c r="AQ15" s="128" t="s">
        <v>1578</v>
      </c>
      <c r="AR15" s="123">
        <v>6.40829</v>
      </c>
      <c r="AS15" s="128" t="s">
        <v>1578</v>
      </c>
      <c r="AT15" s="123">
        <v>15.489000000000001</v>
      </c>
      <c r="AU15" s="123">
        <v>9.1310000000000002</v>
      </c>
      <c r="AV15" s="124">
        <v>16.38</v>
      </c>
      <c r="AW15" s="127">
        <v>5.0069999999999997</v>
      </c>
    </row>
    <row r="16" spans="1:49" x14ac:dyDescent="0.3">
      <c r="A16" s="129" t="s">
        <v>811</v>
      </c>
      <c r="B16" s="122">
        <v>1.1000000000000001</v>
      </c>
      <c r="C16" s="123">
        <v>24</v>
      </c>
      <c r="D16" s="123">
        <v>24.9</v>
      </c>
      <c r="E16" s="123">
        <v>2</v>
      </c>
      <c r="F16" s="123">
        <v>26.1</v>
      </c>
      <c r="G16" s="124">
        <v>26</v>
      </c>
      <c r="H16" s="122">
        <v>19.399999999999999</v>
      </c>
      <c r="I16" s="124">
        <v>52</v>
      </c>
      <c r="J16" s="122">
        <v>11.47</v>
      </c>
      <c r="K16" s="123">
        <v>12.44</v>
      </c>
      <c r="L16" s="124">
        <v>10.101000000000001</v>
      </c>
      <c r="M16" s="125" t="s">
        <v>1578</v>
      </c>
      <c r="N16" s="126" t="s">
        <v>1578</v>
      </c>
      <c r="O16" s="127">
        <v>1.929</v>
      </c>
      <c r="P16" s="122">
        <v>81.709999999999994</v>
      </c>
      <c r="Q16" s="123">
        <v>61.46</v>
      </c>
      <c r="R16" s="123">
        <v>135.09</v>
      </c>
      <c r="S16" s="124">
        <v>77.25</v>
      </c>
      <c r="T16" s="127">
        <v>120.161</v>
      </c>
      <c r="U16" s="127">
        <v>5.89</v>
      </c>
      <c r="V16" s="122">
        <v>16.260000000000002</v>
      </c>
      <c r="W16" s="123">
        <v>9.8620000000000001</v>
      </c>
      <c r="X16" s="123">
        <v>0.49</v>
      </c>
      <c r="Y16" s="128" t="s">
        <v>1578</v>
      </c>
      <c r="Z16" s="126" t="s">
        <v>1578</v>
      </c>
      <c r="AA16" s="122">
        <v>63.32</v>
      </c>
      <c r="AB16" s="124">
        <v>184.44800000000001</v>
      </c>
      <c r="AC16" s="122">
        <v>41.41</v>
      </c>
      <c r="AD16" s="123">
        <v>33.887</v>
      </c>
      <c r="AE16" s="123">
        <v>12.404</v>
      </c>
      <c r="AF16" s="124">
        <v>3.3</v>
      </c>
      <c r="AG16" s="122">
        <v>7.2649999999999997</v>
      </c>
      <c r="AH16" s="123">
        <v>12.3</v>
      </c>
      <c r="AI16" s="123">
        <v>5.3688900000000004</v>
      </c>
      <c r="AJ16" s="123">
        <v>12.371</v>
      </c>
      <c r="AK16" s="124">
        <v>12.7</v>
      </c>
      <c r="AL16" s="122">
        <v>15.76</v>
      </c>
      <c r="AM16" s="124">
        <v>16.05</v>
      </c>
      <c r="AN16" s="122">
        <v>16.094000000000001</v>
      </c>
      <c r="AO16" s="128" t="s">
        <v>1578</v>
      </c>
      <c r="AP16" s="128" t="s">
        <v>1578</v>
      </c>
      <c r="AQ16" s="128" t="s">
        <v>1578</v>
      </c>
      <c r="AR16" s="123">
        <v>6.2846299999999999</v>
      </c>
      <c r="AS16" s="128" t="s">
        <v>1578</v>
      </c>
      <c r="AT16" s="123">
        <v>15.489000000000001</v>
      </c>
      <c r="AU16" s="123">
        <v>8.5350000000000001</v>
      </c>
      <c r="AV16" s="124">
        <v>16.38</v>
      </c>
      <c r="AW16" s="127">
        <v>5.0069999999999997</v>
      </c>
    </row>
    <row r="17" spans="1:49" x14ac:dyDescent="0.3">
      <c r="A17" s="129" t="s">
        <v>812</v>
      </c>
      <c r="B17" s="122">
        <v>1.1000000000000001</v>
      </c>
      <c r="C17" s="123">
        <v>24</v>
      </c>
      <c r="D17" s="123">
        <v>24.9</v>
      </c>
      <c r="E17" s="123">
        <v>2</v>
      </c>
      <c r="F17" s="123">
        <v>26.1</v>
      </c>
      <c r="G17" s="124">
        <v>26</v>
      </c>
      <c r="H17" s="122">
        <v>19.399999999999999</v>
      </c>
      <c r="I17" s="124">
        <v>52</v>
      </c>
      <c r="J17" s="122">
        <v>11.47</v>
      </c>
      <c r="K17" s="123">
        <v>12.44</v>
      </c>
      <c r="L17" s="124">
        <v>10.101000000000001</v>
      </c>
      <c r="M17" s="125" t="s">
        <v>1578</v>
      </c>
      <c r="N17" s="126" t="s">
        <v>1578</v>
      </c>
      <c r="O17" s="127">
        <v>1.929</v>
      </c>
      <c r="P17" s="122">
        <v>81.709999999999994</v>
      </c>
      <c r="Q17" s="123">
        <v>61.46</v>
      </c>
      <c r="R17" s="123">
        <v>135.09</v>
      </c>
      <c r="S17" s="124">
        <v>77.25</v>
      </c>
      <c r="T17" s="127">
        <v>120.161</v>
      </c>
      <c r="U17" s="127">
        <v>5.89</v>
      </c>
      <c r="V17" s="122">
        <v>16.260000000000002</v>
      </c>
      <c r="W17" s="123">
        <v>9.8620000000000001</v>
      </c>
      <c r="X17" s="123">
        <v>0.49</v>
      </c>
      <c r="Y17" s="128" t="s">
        <v>1578</v>
      </c>
      <c r="Z17" s="126" t="s">
        <v>1578</v>
      </c>
      <c r="AA17" s="122">
        <v>63.32</v>
      </c>
      <c r="AB17" s="124">
        <v>184.44800000000001</v>
      </c>
      <c r="AC17" s="122">
        <v>41.41</v>
      </c>
      <c r="AD17" s="123">
        <v>33.887</v>
      </c>
      <c r="AE17" s="123">
        <v>12.404</v>
      </c>
      <c r="AF17" s="124">
        <v>3.3</v>
      </c>
      <c r="AG17" s="122">
        <v>7.2649999999999997</v>
      </c>
      <c r="AH17" s="123">
        <v>12.3</v>
      </c>
      <c r="AI17" s="123">
        <v>5.3688900000000004</v>
      </c>
      <c r="AJ17" s="123">
        <v>12.371</v>
      </c>
      <c r="AK17" s="124">
        <v>12.7</v>
      </c>
      <c r="AL17" s="122">
        <v>15.76</v>
      </c>
      <c r="AM17" s="124">
        <v>16.05</v>
      </c>
      <c r="AN17" s="122">
        <v>16.094000000000001</v>
      </c>
      <c r="AO17" s="128" t="s">
        <v>1578</v>
      </c>
      <c r="AP17" s="128" t="s">
        <v>1578</v>
      </c>
      <c r="AQ17" s="128" t="s">
        <v>1578</v>
      </c>
      <c r="AR17" s="123">
        <v>6.2846299999999999</v>
      </c>
      <c r="AS17" s="128" t="s">
        <v>1578</v>
      </c>
      <c r="AT17" s="123">
        <v>15.489000000000001</v>
      </c>
      <c r="AU17" s="123">
        <v>8.5350000000000001</v>
      </c>
      <c r="AV17" s="124">
        <v>16.38</v>
      </c>
      <c r="AW17" s="127">
        <v>5.0069999999999997</v>
      </c>
    </row>
    <row r="18" spans="1:49" x14ac:dyDescent="0.3">
      <c r="A18" s="129" t="s">
        <v>813</v>
      </c>
      <c r="B18" s="122">
        <v>1.1000000000000001</v>
      </c>
      <c r="C18" s="123">
        <v>24</v>
      </c>
      <c r="D18" s="123">
        <v>24.9</v>
      </c>
      <c r="E18" s="123">
        <v>2</v>
      </c>
      <c r="F18" s="123">
        <v>20.7</v>
      </c>
      <c r="G18" s="124">
        <v>26</v>
      </c>
      <c r="H18" s="122">
        <v>20.3</v>
      </c>
      <c r="I18" s="124">
        <v>52</v>
      </c>
      <c r="J18" s="122">
        <v>11.48</v>
      </c>
      <c r="K18" s="123">
        <v>12.46</v>
      </c>
      <c r="L18" s="124">
        <v>10.164</v>
      </c>
      <c r="M18" s="125" t="s">
        <v>1578</v>
      </c>
      <c r="N18" s="126" t="s">
        <v>1578</v>
      </c>
      <c r="O18" s="127">
        <v>1.929</v>
      </c>
      <c r="P18" s="122">
        <v>62.8</v>
      </c>
      <c r="Q18" s="123">
        <v>61.46</v>
      </c>
      <c r="R18" s="123">
        <v>131.85</v>
      </c>
      <c r="S18" s="124">
        <v>68.33</v>
      </c>
      <c r="T18" s="127">
        <v>120.07599999999999</v>
      </c>
      <c r="U18" s="127">
        <v>5.92</v>
      </c>
      <c r="V18" s="122">
        <v>17.54</v>
      </c>
      <c r="W18" s="123">
        <v>7.6509999999999998</v>
      </c>
      <c r="X18" s="123">
        <v>0.49</v>
      </c>
      <c r="Y18" s="128" t="s">
        <v>1578</v>
      </c>
      <c r="Z18" s="126" t="s">
        <v>1578</v>
      </c>
      <c r="AA18" s="122">
        <v>61.95</v>
      </c>
      <c r="AB18" s="124">
        <v>183.072</v>
      </c>
      <c r="AC18" s="122">
        <v>40.103000000000002</v>
      </c>
      <c r="AD18" s="123">
        <v>34.31</v>
      </c>
      <c r="AE18" s="123">
        <v>13.162000000000001</v>
      </c>
      <c r="AF18" s="124">
        <v>2.2000000000000002</v>
      </c>
      <c r="AG18" s="122">
        <v>7.2649999999999997</v>
      </c>
      <c r="AH18" s="123">
        <v>12.4</v>
      </c>
      <c r="AI18" s="123">
        <v>5.36998</v>
      </c>
      <c r="AJ18" s="123">
        <v>12.371</v>
      </c>
      <c r="AK18" s="124">
        <v>12.7</v>
      </c>
      <c r="AL18" s="122">
        <v>15.27</v>
      </c>
      <c r="AM18" s="124">
        <v>15.55</v>
      </c>
      <c r="AN18" s="122">
        <v>16.094000000000001</v>
      </c>
      <c r="AO18" s="128" t="s">
        <v>1578</v>
      </c>
      <c r="AP18" s="128" t="s">
        <v>1578</v>
      </c>
      <c r="AQ18" s="128" t="s">
        <v>1578</v>
      </c>
      <c r="AR18" s="123">
        <v>6.1779799999999998</v>
      </c>
      <c r="AS18" s="128" t="s">
        <v>1578</v>
      </c>
      <c r="AT18" s="123">
        <v>15.489000000000001</v>
      </c>
      <c r="AU18" s="123">
        <v>8.0210000000000008</v>
      </c>
      <c r="AV18" s="124">
        <v>16.38</v>
      </c>
      <c r="AW18" s="127">
        <v>5.0069999999999997</v>
      </c>
    </row>
    <row r="19" spans="1:49" x14ac:dyDescent="0.3">
      <c r="A19" s="129" t="s">
        <v>814</v>
      </c>
      <c r="B19" s="122">
        <v>1.1000000000000001</v>
      </c>
      <c r="C19" s="123">
        <v>24</v>
      </c>
      <c r="D19" s="123">
        <v>24.9</v>
      </c>
      <c r="E19" s="123">
        <v>2</v>
      </c>
      <c r="F19" s="123">
        <v>20.7</v>
      </c>
      <c r="G19" s="124">
        <v>26</v>
      </c>
      <c r="H19" s="122">
        <v>20.3</v>
      </c>
      <c r="I19" s="124">
        <v>52</v>
      </c>
      <c r="J19" s="122">
        <v>11.48</v>
      </c>
      <c r="K19" s="123">
        <v>12.46</v>
      </c>
      <c r="L19" s="124">
        <v>10.164</v>
      </c>
      <c r="M19" s="125" t="s">
        <v>1578</v>
      </c>
      <c r="N19" s="126" t="s">
        <v>1578</v>
      </c>
      <c r="O19" s="127">
        <v>1.929</v>
      </c>
      <c r="P19" s="122">
        <v>62.8</v>
      </c>
      <c r="Q19" s="123">
        <v>61.46</v>
      </c>
      <c r="R19" s="123">
        <v>131.85</v>
      </c>
      <c r="S19" s="124">
        <v>68.33</v>
      </c>
      <c r="T19" s="127">
        <v>120.07599999999999</v>
      </c>
      <c r="U19" s="127">
        <v>5.92</v>
      </c>
      <c r="V19" s="122">
        <v>17.54</v>
      </c>
      <c r="W19" s="123">
        <v>7.6509999999999998</v>
      </c>
      <c r="X19" s="123">
        <v>0.49</v>
      </c>
      <c r="Y19" s="128" t="s">
        <v>1578</v>
      </c>
      <c r="Z19" s="126" t="s">
        <v>1578</v>
      </c>
      <c r="AA19" s="122">
        <v>61.95</v>
      </c>
      <c r="AB19" s="124">
        <v>183.072</v>
      </c>
      <c r="AC19" s="122">
        <v>40.103000000000002</v>
      </c>
      <c r="AD19" s="123">
        <v>34.31</v>
      </c>
      <c r="AE19" s="123">
        <v>13.162000000000001</v>
      </c>
      <c r="AF19" s="124">
        <v>2.2000000000000002</v>
      </c>
      <c r="AG19" s="122">
        <v>7.2649999999999997</v>
      </c>
      <c r="AH19" s="123">
        <v>12.4</v>
      </c>
      <c r="AI19" s="123">
        <v>5.36998</v>
      </c>
      <c r="AJ19" s="123">
        <v>12.371</v>
      </c>
      <c r="AK19" s="124">
        <v>12.7</v>
      </c>
      <c r="AL19" s="122">
        <v>15.27</v>
      </c>
      <c r="AM19" s="124">
        <v>15.55</v>
      </c>
      <c r="AN19" s="122">
        <v>16.094000000000001</v>
      </c>
      <c r="AO19" s="128" t="s">
        <v>1578</v>
      </c>
      <c r="AP19" s="128" t="s">
        <v>1578</v>
      </c>
      <c r="AQ19" s="128" t="s">
        <v>1578</v>
      </c>
      <c r="AR19" s="123">
        <v>6.1779799999999998</v>
      </c>
      <c r="AS19" s="128" t="s">
        <v>1578</v>
      </c>
      <c r="AT19" s="123">
        <v>15.489000000000001</v>
      </c>
      <c r="AU19" s="123">
        <v>8.0210000000000008</v>
      </c>
      <c r="AV19" s="124">
        <v>16.38</v>
      </c>
      <c r="AW19" s="127">
        <v>5.0069999999999997</v>
      </c>
    </row>
    <row r="20" spans="1:49" x14ac:dyDescent="0.3">
      <c r="A20" s="129" t="s">
        <v>815</v>
      </c>
      <c r="B20" s="122">
        <v>1.1000000000000001</v>
      </c>
      <c r="C20" s="123">
        <v>24</v>
      </c>
      <c r="D20" s="123">
        <v>24.9</v>
      </c>
      <c r="E20" s="123">
        <v>2</v>
      </c>
      <c r="F20" s="123">
        <v>15.6</v>
      </c>
      <c r="G20" s="124">
        <v>26</v>
      </c>
      <c r="H20" s="122">
        <v>20.3</v>
      </c>
      <c r="I20" s="124">
        <v>52</v>
      </c>
      <c r="J20" s="122">
        <v>12.53</v>
      </c>
      <c r="K20" s="123">
        <v>12.44</v>
      </c>
      <c r="L20" s="124">
        <v>10.167999999999999</v>
      </c>
      <c r="M20" s="125" t="s">
        <v>1578</v>
      </c>
      <c r="N20" s="126" t="s">
        <v>1578</v>
      </c>
      <c r="O20" s="127">
        <v>1.929</v>
      </c>
      <c r="P20" s="122">
        <v>37.74</v>
      </c>
      <c r="Q20" s="123">
        <v>61.46</v>
      </c>
      <c r="R20" s="123">
        <v>126.55</v>
      </c>
      <c r="S20" s="124">
        <v>71.430000000000007</v>
      </c>
      <c r="T20" s="127">
        <v>120.065</v>
      </c>
      <c r="U20" s="127">
        <v>5.91</v>
      </c>
      <c r="V20" s="122">
        <v>17.54</v>
      </c>
      <c r="W20" s="123">
        <v>9.1620000000000008</v>
      </c>
      <c r="X20" s="123">
        <v>0.49</v>
      </c>
      <c r="Y20" s="128" t="s">
        <v>1578</v>
      </c>
      <c r="Z20" s="126" t="s">
        <v>1578</v>
      </c>
      <c r="AA20" s="122">
        <v>52.13</v>
      </c>
      <c r="AB20" s="124">
        <v>182.858</v>
      </c>
      <c r="AC20" s="122">
        <v>42.326999999999998</v>
      </c>
      <c r="AD20" s="123">
        <v>34.457000000000001</v>
      </c>
      <c r="AE20" s="123">
        <v>11.593999999999999</v>
      </c>
      <c r="AF20" s="124">
        <v>3.9</v>
      </c>
      <c r="AG20" s="122">
        <v>7.2649999999999997</v>
      </c>
      <c r="AH20" s="123">
        <v>12.3</v>
      </c>
      <c r="AI20" s="123">
        <v>5.2944899999999997</v>
      </c>
      <c r="AJ20" s="123">
        <v>12.371</v>
      </c>
      <c r="AK20" s="124">
        <v>12.7</v>
      </c>
      <c r="AL20" s="122">
        <v>15.97</v>
      </c>
      <c r="AM20" s="124">
        <v>16.25</v>
      </c>
      <c r="AN20" s="122">
        <v>16.094000000000001</v>
      </c>
      <c r="AO20" s="128" t="s">
        <v>1578</v>
      </c>
      <c r="AP20" s="128" t="s">
        <v>1578</v>
      </c>
      <c r="AQ20" s="128" t="s">
        <v>1578</v>
      </c>
      <c r="AR20" s="123">
        <v>6.1240300000000003</v>
      </c>
      <c r="AS20" s="128" t="s">
        <v>1578</v>
      </c>
      <c r="AT20" s="123">
        <v>15.489000000000001</v>
      </c>
      <c r="AU20" s="123">
        <v>7.7610000000000001</v>
      </c>
      <c r="AV20" s="124">
        <v>16.38</v>
      </c>
      <c r="AW20" s="127">
        <v>5.0069999999999997</v>
      </c>
    </row>
    <row r="21" spans="1:49" x14ac:dyDescent="0.3">
      <c r="A21" s="129" t="s">
        <v>816</v>
      </c>
      <c r="B21" s="122">
        <v>1.1000000000000001</v>
      </c>
      <c r="C21" s="123">
        <v>24</v>
      </c>
      <c r="D21" s="123">
        <v>24.9</v>
      </c>
      <c r="E21" s="123">
        <v>2</v>
      </c>
      <c r="F21" s="123">
        <v>15.6</v>
      </c>
      <c r="G21" s="124">
        <v>26</v>
      </c>
      <c r="H21" s="122">
        <v>20.3</v>
      </c>
      <c r="I21" s="124">
        <v>52</v>
      </c>
      <c r="J21" s="122">
        <v>12.53</v>
      </c>
      <c r="K21" s="123">
        <v>12.44</v>
      </c>
      <c r="L21" s="124">
        <v>10.167999999999999</v>
      </c>
      <c r="M21" s="125" t="s">
        <v>1578</v>
      </c>
      <c r="N21" s="126" t="s">
        <v>1578</v>
      </c>
      <c r="O21" s="127">
        <v>1.929</v>
      </c>
      <c r="P21" s="122">
        <v>37.74</v>
      </c>
      <c r="Q21" s="123">
        <v>61.46</v>
      </c>
      <c r="R21" s="123">
        <v>126.55</v>
      </c>
      <c r="S21" s="124">
        <v>71.430000000000007</v>
      </c>
      <c r="T21" s="127">
        <v>120.065</v>
      </c>
      <c r="U21" s="127">
        <v>5.91</v>
      </c>
      <c r="V21" s="122">
        <v>17.54</v>
      </c>
      <c r="W21" s="123">
        <v>9.1620000000000008</v>
      </c>
      <c r="X21" s="123">
        <v>0.49</v>
      </c>
      <c r="Y21" s="128" t="s">
        <v>1578</v>
      </c>
      <c r="Z21" s="126" t="s">
        <v>1578</v>
      </c>
      <c r="AA21" s="122">
        <v>52.13</v>
      </c>
      <c r="AB21" s="124">
        <v>182.858</v>
      </c>
      <c r="AC21" s="122">
        <v>42.326999999999998</v>
      </c>
      <c r="AD21" s="123">
        <v>34.457000000000001</v>
      </c>
      <c r="AE21" s="123">
        <v>11.593999999999999</v>
      </c>
      <c r="AF21" s="124">
        <v>3.9</v>
      </c>
      <c r="AG21" s="122">
        <v>7.2649999999999997</v>
      </c>
      <c r="AH21" s="123">
        <v>12.3</v>
      </c>
      <c r="AI21" s="123">
        <v>5.2944899999999997</v>
      </c>
      <c r="AJ21" s="123">
        <v>12.371</v>
      </c>
      <c r="AK21" s="124">
        <v>12.7</v>
      </c>
      <c r="AL21" s="122">
        <v>15.97</v>
      </c>
      <c r="AM21" s="124">
        <v>16.25</v>
      </c>
      <c r="AN21" s="122">
        <v>16.094000000000001</v>
      </c>
      <c r="AO21" s="128" t="s">
        <v>1578</v>
      </c>
      <c r="AP21" s="128" t="s">
        <v>1578</v>
      </c>
      <c r="AQ21" s="128" t="s">
        <v>1578</v>
      </c>
      <c r="AR21" s="123">
        <v>6.1240300000000003</v>
      </c>
      <c r="AS21" s="128" t="s">
        <v>1578</v>
      </c>
      <c r="AT21" s="123">
        <v>15.489000000000001</v>
      </c>
      <c r="AU21" s="123">
        <v>7.7610000000000001</v>
      </c>
      <c r="AV21" s="124">
        <v>16.38</v>
      </c>
      <c r="AW21" s="127">
        <v>5.0069999999999997</v>
      </c>
    </row>
    <row r="22" spans="1:49" x14ac:dyDescent="0.3">
      <c r="A22" s="129" t="s">
        <v>817</v>
      </c>
      <c r="B22" s="122">
        <v>1.1000000000000001</v>
      </c>
      <c r="C22" s="123">
        <v>24</v>
      </c>
      <c r="D22" s="123">
        <v>24.9</v>
      </c>
      <c r="E22" s="123">
        <v>2</v>
      </c>
      <c r="F22" s="123">
        <v>16.8</v>
      </c>
      <c r="G22" s="124">
        <v>26</v>
      </c>
      <c r="H22" s="122">
        <v>20.3</v>
      </c>
      <c r="I22" s="124">
        <v>52</v>
      </c>
      <c r="J22" s="122">
        <v>12.49</v>
      </c>
      <c r="K22" s="123">
        <v>12.62</v>
      </c>
      <c r="L22" s="124">
        <v>9.9529999999999994</v>
      </c>
      <c r="M22" s="125" t="s">
        <v>1578</v>
      </c>
      <c r="N22" s="126" t="s">
        <v>1578</v>
      </c>
      <c r="O22" s="127">
        <v>1.929</v>
      </c>
      <c r="P22" s="122">
        <v>27.13</v>
      </c>
      <c r="Q22" s="123">
        <v>61.46</v>
      </c>
      <c r="R22" s="123">
        <v>122.4</v>
      </c>
      <c r="S22" s="124">
        <v>86.24</v>
      </c>
      <c r="T22" s="127">
        <v>120.003</v>
      </c>
      <c r="U22" s="127">
        <v>5.9</v>
      </c>
      <c r="V22" s="122">
        <v>16.899999999999999</v>
      </c>
      <c r="W22" s="123">
        <v>6.7779999999999996</v>
      </c>
      <c r="X22" s="123">
        <v>0.48</v>
      </c>
      <c r="Y22" s="128" t="s">
        <v>1578</v>
      </c>
      <c r="Z22" s="126" t="s">
        <v>1578</v>
      </c>
      <c r="AA22" s="122">
        <v>52.57</v>
      </c>
      <c r="AB22" s="124">
        <v>183.29599999999999</v>
      </c>
      <c r="AC22" s="122">
        <v>43.359000000000002</v>
      </c>
      <c r="AD22" s="123">
        <v>34.860999999999997</v>
      </c>
      <c r="AE22" s="123">
        <v>10.295999999999999</v>
      </c>
      <c r="AF22" s="124">
        <v>4.8</v>
      </c>
      <c r="AG22" s="122">
        <v>7.2649999999999997</v>
      </c>
      <c r="AH22" s="123">
        <v>12.3</v>
      </c>
      <c r="AI22" s="123">
        <v>5.75563</v>
      </c>
      <c r="AJ22" s="123">
        <v>12.371</v>
      </c>
      <c r="AK22" s="124">
        <v>12.7</v>
      </c>
      <c r="AL22" s="122">
        <v>15.65</v>
      </c>
      <c r="AM22" s="124">
        <v>15.94</v>
      </c>
      <c r="AN22" s="122">
        <v>16.094000000000001</v>
      </c>
      <c r="AO22" s="128" t="s">
        <v>1578</v>
      </c>
      <c r="AP22" s="128" t="s">
        <v>1578</v>
      </c>
      <c r="AQ22" s="128" t="s">
        <v>1578</v>
      </c>
      <c r="AR22" s="123">
        <v>6.0657300000000003</v>
      </c>
      <c r="AS22" s="128" t="s">
        <v>1578</v>
      </c>
      <c r="AT22" s="123">
        <v>15.489000000000001</v>
      </c>
      <c r="AU22" s="123">
        <v>7.48</v>
      </c>
      <c r="AV22" s="124">
        <v>16.216999999999999</v>
      </c>
      <c r="AW22" s="127">
        <v>5.0069999999999997</v>
      </c>
    </row>
    <row r="23" spans="1:49" x14ac:dyDescent="0.3">
      <c r="A23" s="129" t="s">
        <v>818</v>
      </c>
      <c r="B23" s="122">
        <v>1.1000000000000001</v>
      </c>
      <c r="C23" s="123">
        <v>24</v>
      </c>
      <c r="D23" s="123">
        <v>24.9</v>
      </c>
      <c r="E23" s="123">
        <v>2</v>
      </c>
      <c r="F23" s="123">
        <v>16.8</v>
      </c>
      <c r="G23" s="124">
        <v>26</v>
      </c>
      <c r="H23" s="122">
        <v>20.3</v>
      </c>
      <c r="I23" s="124">
        <v>52</v>
      </c>
      <c r="J23" s="122">
        <v>12.49</v>
      </c>
      <c r="K23" s="123">
        <v>12.62</v>
      </c>
      <c r="L23" s="124">
        <v>9.9529999999999994</v>
      </c>
      <c r="M23" s="125" t="s">
        <v>1578</v>
      </c>
      <c r="N23" s="126" t="s">
        <v>1578</v>
      </c>
      <c r="O23" s="127">
        <v>1.929</v>
      </c>
      <c r="P23" s="122">
        <v>27.13</v>
      </c>
      <c r="Q23" s="123">
        <v>61.46</v>
      </c>
      <c r="R23" s="123">
        <v>122.4</v>
      </c>
      <c r="S23" s="124">
        <v>86.24</v>
      </c>
      <c r="T23" s="127">
        <v>120.003</v>
      </c>
      <c r="U23" s="127">
        <v>5.9</v>
      </c>
      <c r="V23" s="122">
        <v>16.899999999999999</v>
      </c>
      <c r="W23" s="123">
        <v>6.7779999999999996</v>
      </c>
      <c r="X23" s="123">
        <v>0.48</v>
      </c>
      <c r="Y23" s="128" t="s">
        <v>1578</v>
      </c>
      <c r="Z23" s="126" t="s">
        <v>1578</v>
      </c>
      <c r="AA23" s="122">
        <v>52.57</v>
      </c>
      <c r="AB23" s="124">
        <v>183.29599999999999</v>
      </c>
      <c r="AC23" s="122">
        <v>43.359000000000002</v>
      </c>
      <c r="AD23" s="123">
        <v>34.860999999999997</v>
      </c>
      <c r="AE23" s="123">
        <v>10.295999999999999</v>
      </c>
      <c r="AF23" s="124">
        <v>4.8</v>
      </c>
      <c r="AG23" s="122">
        <v>7.2649999999999997</v>
      </c>
      <c r="AH23" s="123">
        <v>12.3</v>
      </c>
      <c r="AI23" s="123">
        <v>5.75563</v>
      </c>
      <c r="AJ23" s="123">
        <v>12.371</v>
      </c>
      <c r="AK23" s="124">
        <v>12.7</v>
      </c>
      <c r="AL23" s="122">
        <v>15.65</v>
      </c>
      <c r="AM23" s="124">
        <v>15.94</v>
      </c>
      <c r="AN23" s="122">
        <v>16.094000000000001</v>
      </c>
      <c r="AO23" s="128" t="s">
        <v>1578</v>
      </c>
      <c r="AP23" s="128" t="s">
        <v>1578</v>
      </c>
      <c r="AQ23" s="128" t="s">
        <v>1578</v>
      </c>
      <c r="AR23" s="123">
        <v>6.0657300000000003</v>
      </c>
      <c r="AS23" s="128" t="s">
        <v>1578</v>
      </c>
      <c r="AT23" s="123">
        <v>15.489000000000001</v>
      </c>
      <c r="AU23" s="123">
        <v>7.48</v>
      </c>
      <c r="AV23" s="124">
        <v>16.216999999999999</v>
      </c>
      <c r="AW23" s="127">
        <v>5.0069999999999997</v>
      </c>
    </row>
    <row r="24" spans="1:49" x14ac:dyDescent="0.3">
      <c r="A24" s="129" t="s">
        <v>819</v>
      </c>
      <c r="B24" s="122">
        <v>1.1000000000000001</v>
      </c>
      <c r="C24" s="123">
        <v>24</v>
      </c>
      <c r="D24" s="123">
        <v>24.9</v>
      </c>
      <c r="E24" s="123">
        <v>2</v>
      </c>
      <c r="F24" s="123">
        <v>19</v>
      </c>
      <c r="G24" s="124">
        <v>26</v>
      </c>
      <c r="H24" s="122">
        <v>20.3</v>
      </c>
      <c r="I24" s="124">
        <v>52</v>
      </c>
      <c r="J24" s="122">
        <v>12.47</v>
      </c>
      <c r="K24" s="123">
        <v>12.44</v>
      </c>
      <c r="L24" s="124">
        <v>10.103</v>
      </c>
      <c r="M24" s="122">
        <v>1.07</v>
      </c>
      <c r="N24" s="124">
        <v>72.8</v>
      </c>
      <c r="O24" s="127">
        <v>1.929</v>
      </c>
      <c r="P24" s="122">
        <v>22.61</v>
      </c>
      <c r="Q24" s="123">
        <v>61.46</v>
      </c>
      <c r="R24" s="123">
        <v>118.33</v>
      </c>
      <c r="S24" s="124">
        <v>91.63</v>
      </c>
      <c r="T24" s="127">
        <v>120.047</v>
      </c>
      <c r="U24" s="127">
        <v>5.91</v>
      </c>
      <c r="V24" s="122">
        <v>16.260000000000002</v>
      </c>
      <c r="W24" s="123">
        <v>8.0359999999999996</v>
      </c>
      <c r="X24" s="123">
        <v>0.48</v>
      </c>
      <c r="Y24" s="128" t="s">
        <v>1578</v>
      </c>
      <c r="Z24" s="126" t="s">
        <v>1578</v>
      </c>
      <c r="AA24" s="122">
        <v>56.25</v>
      </c>
      <c r="AB24" s="124">
        <v>186.97399999999999</v>
      </c>
      <c r="AC24" s="122">
        <v>44.454000000000001</v>
      </c>
      <c r="AD24" s="123">
        <v>34.618000000000002</v>
      </c>
      <c r="AE24" s="123">
        <v>9.8390000000000004</v>
      </c>
      <c r="AF24" s="124">
        <v>5.3</v>
      </c>
      <c r="AG24" s="122">
        <v>7.2649999999999997</v>
      </c>
      <c r="AH24" s="123">
        <v>12.4</v>
      </c>
      <c r="AI24" s="123">
        <v>5.7766400000000004</v>
      </c>
      <c r="AJ24" s="123">
        <v>12.371</v>
      </c>
      <c r="AK24" s="124">
        <v>12.7</v>
      </c>
      <c r="AL24" s="122">
        <v>16.39</v>
      </c>
      <c r="AM24" s="124">
        <v>16.68</v>
      </c>
      <c r="AN24" s="122">
        <v>14.409000000000001</v>
      </c>
      <c r="AO24" s="128" t="s">
        <v>1578</v>
      </c>
      <c r="AP24" s="128" t="s">
        <v>1578</v>
      </c>
      <c r="AQ24" s="128" t="s">
        <v>1578</v>
      </c>
      <c r="AR24" s="123">
        <v>6.0045200000000003</v>
      </c>
      <c r="AS24" s="128" t="s">
        <v>1578</v>
      </c>
      <c r="AT24" s="123">
        <v>15.489000000000001</v>
      </c>
      <c r="AU24" s="123">
        <v>7.1849999999999996</v>
      </c>
      <c r="AV24" s="124">
        <v>16.172000000000001</v>
      </c>
      <c r="AW24" s="127">
        <v>5.0069999999999997</v>
      </c>
    </row>
    <row r="25" spans="1:49" x14ac:dyDescent="0.3">
      <c r="A25" s="129" t="s">
        <v>820</v>
      </c>
      <c r="B25" s="122">
        <v>1.1000000000000001</v>
      </c>
      <c r="C25" s="123">
        <v>24</v>
      </c>
      <c r="D25" s="123">
        <v>24.9</v>
      </c>
      <c r="E25" s="123">
        <v>2</v>
      </c>
      <c r="F25" s="123">
        <v>19</v>
      </c>
      <c r="G25" s="124">
        <v>26</v>
      </c>
      <c r="H25" s="122">
        <v>20.3</v>
      </c>
      <c r="I25" s="124">
        <v>52</v>
      </c>
      <c r="J25" s="122">
        <v>12.47</v>
      </c>
      <c r="K25" s="123">
        <v>12.44</v>
      </c>
      <c r="L25" s="124">
        <v>10.103</v>
      </c>
      <c r="M25" s="122">
        <v>1.07</v>
      </c>
      <c r="N25" s="124">
        <v>72.8</v>
      </c>
      <c r="O25" s="127">
        <v>1.929</v>
      </c>
      <c r="P25" s="122">
        <v>22.61</v>
      </c>
      <c r="Q25" s="123">
        <v>61.46</v>
      </c>
      <c r="R25" s="123">
        <v>118.33</v>
      </c>
      <c r="S25" s="124">
        <v>91.63</v>
      </c>
      <c r="T25" s="127">
        <v>120.047</v>
      </c>
      <c r="U25" s="127">
        <v>5.91</v>
      </c>
      <c r="V25" s="122">
        <v>16.260000000000002</v>
      </c>
      <c r="W25" s="123">
        <v>8.0359999999999996</v>
      </c>
      <c r="X25" s="123">
        <v>0.48</v>
      </c>
      <c r="Y25" s="128" t="s">
        <v>1578</v>
      </c>
      <c r="Z25" s="126" t="s">
        <v>1578</v>
      </c>
      <c r="AA25" s="122">
        <v>56.25</v>
      </c>
      <c r="AB25" s="124">
        <v>186.97399999999999</v>
      </c>
      <c r="AC25" s="122">
        <v>44.454000000000001</v>
      </c>
      <c r="AD25" s="123">
        <v>34.618000000000002</v>
      </c>
      <c r="AE25" s="123">
        <v>9.8390000000000004</v>
      </c>
      <c r="AF25" s="124">
        <v>5.3</v>
      </c>
      <c r="AG25" s="122">
        <v>7.2649999999999997</v>
      </c>
      <c r="AH25" s="123">
        <v>12.4</v>
      </c>
      <c r="AI25" s="123">
        <v>5.7766400000000004</v>
      </c>
      <c r="AJ25" s="123">
        <v>12.371</v>
      </c>
      <c r="AK25" s="124">
        <v>12.7</v>
      </c>
      <c r="AL25" s="122">
        <v>16.39</v>
      </c>
      <c r="AM25" s="124">
        <v>16.68</v>
      </c>
      <c r="AN25" s="122">
        <v>14.409000000000001</v>
      </c>
      <c r="AO25" s="128" t="s">
        <v>1578</v>
      </c>
      <c r="AP25" s="128" t="s">
        <v>1578</v>
      </c>
      <c r="AQ25" s="128" t="s">
        <v>1578</v>
      </c>
      <c r="AR25" s="123">
        <v>6.0045200000000003</v>
      </c>
      <c r="AS25" s="128" t="s">
        <v>1578</v>
      </c>
      <c r="AT25" s="123">
        <v>15.489000000000001</v>
      </c>
      <c r="AU25" s="123">
        <v>7.1849999999999996</v>
      </c>
      <c r="AV25" s="124">
        <v>16.172000000000001</v>
      </c>
      <c r="AW25" s="127">
        <v>5.0069999999999997</v>
      </c>
    </row>
    <row r="26" spans="1:49" x14ac:dyDescent="0.3">
      <c r="A26" s="129" t="s">
        <v>821</v>
      </c>
      <c r="B26" s="122">
        <v>1.1000000000000001</v>
      </c>
      <c r="C26" s="123">
        <v>24</v>
      </c>
      <c r="D26" s="123">
        <v>24.9</v>
      </c>
      <c r="E26" s="123">
        <v>2</v>
      </c>
      <c r="F26" s="123">
        <v>17.7</v>
      </c>
      <c r="G26" s="124">
        <v>26</v>
      </c>
      <c r="H26" s="122">
        <v>20.3</v>
      </c>
      <c r="I26" s="124">
        <v>52</v>
      </c>
      <c r="J26" s="122">
        <v>12.91</v>
      </c>
      <c r="K26" s="123">
        <v>12.62</v>
      </c>
      <c r="L26" s="124">
        <v>10.162000000000001</v>
      </c>
      <c r="M26" s="125" t="s">
        <v>1578</v>
      </c>
      <c r="N26" s="126" t="s">
        <v>1578</v>
      </c>
      <c r="O26" s="127">
        <v>1.929</v>
      </c>
      <c r="P26" s="122">
        <v>19.989999999999998</v>
      </c>
      <c r="Q26" s="123">
        <v>61.46</v>
      </c>
      <c r="R26" s="123">
        <v>115.34</v>
      </c>
      <c r="S26" s="124">
        <v>93.12</v>
      </c>
      <c r="T26" s="127">
        <v>120.146</v>
      </c>
      <c r="U26" s="127">
        <v>5.92</v>
      </c>
      <c r="V26" s="122">
        <v>16.260000000000002</v>
      </c>
      <c r="W26" s="123">
        <v>8.6159999999999997</v>
      </c>
      <c r="X26" s="123">
        <v>0.47</v>
      </c>
      <c r="Y26" s="128" t="s">
        <v>1578</v>
      </c>
      <c r="Z26" s="126" t="s">
        <v>1578</v>
      </c>
      <c r="AA26" s="122">
        <v>56.75</v>
      </c>
      <c r="AB26" s="124">
        <v>187.48</v>
      </c>
      <c r="AC26" s="122">
        <v>44.084000000000003</v>
      </c>
      <c r="AD26" s="123">
        <v>34.835000000000001</v>
      </c>
      <c r="AE26" s="123">
        <v>10.666</v>
      </c>
      <c r="AF26" s="124">
        <v>5.7</v>
      </c>
      <c r="AG26" s="122">
        <v>7.2649999999999997</v>
      </c>
      <c r="AH26" s="123">
        <v>12.6</v>
      </c>
      <c r="AI26" s="123">
        <v>5.7085699999999999</v>
      </c>
      <c r="AJ26" s="123">
        <v>12.371</v>
      </c>
      <c r="AK26" s="124">
        <v>12.7</v>
      </c>
      <c r="AL26" s="122">
        <v>16.02</v>
      </c>
      <c r="AM26" s="124">
        <v>16.309999999999999</v>
      </c>
      <c r="AN26" s="122">
        <v>16.094000000000001</v>
      </c>
      <c r="AO26" s="128" t="s">
        <v>1578</v>
      </c>
      <c r="AP26" s="128" t="s">
        <v>1578</v>
      </c>
      <c r="AQ26" s="128" t="s">
        <v>1578</v>
      </c>
      <c r="AR26" s="123">
        <v>6.0045200000000003</v>
      </c>
      <c r="AS26" s="128" t="s">
        <v>1578</v>
      </c>
      <c r="AT26" s="123">
        <v>15.489000000000001</v>
      </c>
      <c r="AU26" s="123">
        <v>7.1849999999999996</v>
      </c>
      <c r="AV26" s="124">
        <v>16.335000000000001</v>
      </c>
      <c r="AW26" s="127">
        <v>5.0069999999999997</v>
      </c>
    </row>
    <row r="27" spans="1:49" x14ac:dyDescent="0.3">
      <c r="A27" s="129" t="s">
        <v>822</v>
      </c>
      <c r="B27" s="122">
        <v>1.1000000000000001</v>
      </c>
      <c r="C27" s="123">
        <v>24</v>
      </c>
      <c r="D27" s="123">
        <v>24.9</v>
      </c>
      <c r="E27" s="123">
        <v>2</v>
      </c>
      <c r="F27" s="123">
        <v>17.7</v>
      </c>
      <c r="G27" s="124">
        <v>26</v>
      </c>
      <c r="H27" s="122">
        <v>20.3</v>
      </c>
      <c r="I27" s="124">
        <v>52</v>
      </c>
      <c r="J27" s="122">
        <v>12.91</v>
      </c>
      <c r="K27" s="123">
        <v>12.62</v>
      </c>
      <c r="L27" s="124">
        <v>10.162000000000001</v>
      </c>
      <c r="M27" s="125" t="s">
        <v>1578</v>
      </c>
      <c r="N27" s="126" t="s">
        <v>1578</v>
      </c>
      <c r="O27" s="127">
        <v>1.929</v>
      </c>
      <c r="P27" s="122">
        <v>19.989999999999998</v>
      </c>
      <c r="Q27" s="123">
        <v>61.46</v>
      </c>
      <c r="R27" s="123">
        <v>115.34</v>
      </c>
      <c r="S27" s="124">
        <v>93.12</v>
      </c>
      <c r="T27" s="127">
        <v>120.146</v>
      </c>
      <c r="U27" s="127">
        <v>5.92</v>
      </c>
      <c r="V27" s="122">
        <v>16.260000000000002</v>
      </c>
      <c r="W27" s="123">
        <v>8.6159999999999997</v>
      </c>
      <c r="X27" s="123">
        <v>0.47</v>
      </c>
      <c r="Y27" s="128" t="s">
        <v>1578</v>
      </c>
      <c r="Z27" s="126" t="s">
        <v>1578</v>
      </c>
      <c r="AA27" s="122">
        <v>56.75</v>
      </c>
      <c r="AB27" s="124">
        <v>187.48</v>
      </c>
      <c r="AC27" s="122">
        <v>44.084000000000003</v>
      </c>
      <c r="AD27" s="123">
        <v>34.835000000000001</v>
      </c>
      <c r="AE27" s="123">
        <v>10.666</v>
      </c>
      <c r="AF27" s="124">
        <v>5.7</v>
      </c>
      <c r="AG27" s="122">
        <v>7.2649999999999997</v>
      </c>
      <c r="AH27" s="123">
        <v>12.6</v>
      </c>
      <c r="AI27" s="123">
        <v>5.7085699999999999</v>
      </c>
      <c r="AJ27" s="123">
        <v>12.371</v>
      </c>
      <c r="AK27" s="124">
        <v>12.7</v>
      </c>
      <c r="AL27" s="122">
        <v>16.02</v>
      </c>
      <c r="AM27" s="124">
        <v>16.309999999999999</v>
      </c>
      <c r="AN27" s="122">
        <v>16.094000000000001</v>
      </c>
      <c r="AO27" s="128" t="s">
        <v>1578</v>
      </c>
      <c r="AP27" s="128" t="s">
        <v>1578</v>
      </c>
      <c r="AQ27" s="128" t="s">
        <v>1578</v>
      </c>
      <c r="AR27" s="123">
        <v>6.0045200000000003</v>
      </c>
      <c r="AS27" s="128" t="s">
        <v>1578</v>
      </c>
      <c r="AT27" s="123">
        <v>15.489000000000001</v>
      </c>
      <c r="AU27" s="123">
        <v>7.1849999999999996</v>
      </c>
      <c r="AV27" s="124">
        <v>16.335000000000001</v>
      </c>
      <c r="AW27" s="127">
        <v>5.0069999999999997</v>
      </c>
    </row>
    <row r="28" spans="1:49" x14ac:dyDescent="0.3">
      <c r="A28" s="129" t="s">
        <v>823</v>
      </c>
      <c r="B28" s="122">
        <v>1.1000000000000001</v>
      </c>
      <c r="C28" s="123">
        <v>24</v>
      </c>
      <c r="D28" s="123">
        <v>24.9</v>
      </c>
      <c r="E28" s="123">
        <v>2</v>
      </c>
      <c r="F28" s="123">
        <v>14.2</v>
      </c>
      <c r="G28" s="124">
        <v>26</v>
      </c>
      <c r="H28" s="122">
        <v>20.3</v>
      </c>
      <c r="I28" s="124">
        <v>52</v>
      </c>
      <c r="J28" s="122">
        <v>13.42</v>
      </c>
      <c r="K28" s="123">
        <v>12.47</v>
      </c>
      <c r="L28" s="124">
        <v>10.021000000000001</v>
      </c>
      <c r="M28" s="125" t="s">
        <v>1578</v>
      </c>
      <c r="N28" s="126" t="s">
        <v>1578</v>
      </c>
      <c r="O28" s="127">
        <v>1.929</v>
      </c>
      <c r="P28" s="122">
        <v>18.579999999999998</v>
      </c>
      <c r="Q28" s="123">
        <v>61.46</v>
      </c>
      <c r="R28" s="123">
        <v>113.36</v>
      </c>
      <c r="S28" s="124">
        <v>93.73</v>
      </c>
      <c r="T28" s="127">
        <v>120.482</v>
      </c>
      <c r="U28" s="127">
        <v>5.99</v>
      </c>
      <c r="V28" s="122">
        <v>16.260000000000002</v>
      </c>
      <c r="W28" s="123">
        <v>6.7380000000000004</v>
      </c>
      <c r="X28" s="123">
        <v>0.47</v>
      </c>
      <c r="Y28" s="128" t="s">
        <v>1578</v>
      </c>
      <c r="Z28" s="126" t="s">
        <v>1578</v>
      </c>
      <c r="AA28" s="122">
        <v>44.6</v>
      </c>
      <c r="AB28" s="124">
        <v>175.32300000000001</v>
      </c>
      <c r="AC28" s="122">
        <v>44.603000000000002</v>
      </c>
      <c r="AD28" s="123">
        <v>35.057000000000002</v>
      </c>
      <c r="AE28" s="123">
        <v>9.7569999999999997</v>
      </c>
      <c r="AF28" s="124">
        <v>5.9</v>
      </c>
      <c r="AG28" s="122">
        <v>7.2649999999999997</v>
      </c>
      <c r="AH28" s="123">
        <v>10.4</v>
      </c>
      <c r="AI28" s="123">
        <v>5.6659899999999999</v>
      </c>
      <c r="AJ28" s="123">
        <v>12.371</v>
      </c>
      <c r="AK28" s="124">
        <v>12.7</v>
      </c>
      <c r="AL28" s="122">
        <v>15.7</v>
      </c>
      <c r="AM28" s="124">
        <v>15.99</v>
      </c>
      <c r="AN28" s="122">
        <v>14.409000000000001</v>
      </c>
      <c r="AO28" s="128" t="s">
        <v>1578</v>
      </c>
      <c r="AP28" s="128" t="s">
        <v>1578</v>
      </c>
      <c r="AQ28" s="128" t="s">
        <v>1578</v>
      </c>
      <c r="AR28" s="123">
        <v>6.0045200000000003</v>
      </c>
      <c r="AS28" s="128" t="s">
        <v>1578</v>
      </c>
      <c r="AT28" s="123">
        <v>15.489000000000001</v>
      </c>
      <c r="AU28" s="123">
        <v>7.1849999999999996</v>
      </c>
      <c r="AV28" s="124">
        <v>16.38</v>
      </c>
      <c r="AW28" s="127">
        <v>5.0069999999999997</v>
      </c>
    </row>
    <row r="29" spans="1:49" x14ac:dyDescent="0.3">
      <c r="A29" s="129" t="s">
        <v>824</v>
      </c>
      <c r="B29" s="122">
        <v>1.1000000000000001</v>
      </c>
      <c r="C29" s="123">
        <v>24</v>
      </c>
      <c r="D29" s="123">
        <v>24.9</v>
      </c>
      <c r="E29" s="123">
        <v>2</v>
      </c>
      <c r="F29" s="123">
        <v>14.2</v>
      </c>
      <c r="G29" s="124">
        <v>26</v>
      </c>
      <c r="H29" s="122">
        <v>20.3</v>
      </c>
      <c r="I29" s="124">
        <v>52</v>
      </c>
      <c r="J29" s="122">
        <v>13.42</v>
      </c>
      <c r="K29" s="123">
        <v>12.47</v>
      </c>
      <c r="L29" s="124">
        <v>10.021000000000001</v>
      </c>
      <c r="M29" s="125" t="s">
        <v>1578</v>
      </c>
      <c r="N29" s="126" t="s">
        <v>1578</v>
      </c>
      <c r="O29" s="127">
        <v>1.929</v>
      </c>
      <c r="P29" s="122">
        <v>18.579999999999998</v>
      </c>
      <c r="Q29" s="123">
        <v>61.46</v>
      </c>
      <c r="R29" s="123">
        <v>113.36</v>
      </c>
      <c r="S29" s="124">
        <v>93.73</v>
      </c>
      <c r="T29" s="127">
        <v>120.482</v>
      </c>
      <c r="U29" s="127">
        <v>5.99</v>
      </c>
      <c r="V29" s="122">
        <v>16.260000000000002</v>
      </c>
      <c r="W29" s="123">
        <v>6.7380000000000004</v>
      </c>
      <c r="X29" s="123">
        <v>0.47</v>
      </c>
      <c r="Y29" s="128" t="s">
        <v>1578</v>
      </c>
      <c r="Z29" s="126" t="s">
        <v>1578</v>
      </c>
      <c r="AA29" s="122">
        <v>44.6</v>
      </c>
      <c r="AB29" s="124">
        <v>175.32300000000001</v>
      </c>
      <c r="AC29" s="122">
        <v>44.603000000000002</v>
      </c>
      <c r="AD29" s="123">
        <v>35.057000000000002</v>
      </c>
      <c r="AE29" s="123">
        <v>9.7569999999999997</v>
      </c>
      <c r="AF29" s="124">
        <v>5.9</v>
      </c>
      <c r="AG29" s="122">
        <v>7.2649999999999997</v>
      </c>
      <c r="AH29" s="123">
        <v>10.4</v>
      </c>
      <c r="AI29" s="123">
        <v>5.6659899999999999</v>
      </c>
      <c r="AJ29" s="123">
        <v>12.371</v>
      </c>
      <c r="AK29" s="124">
        <v>12.7</v>
      </c>
      <c r="AL29" s="122">
        <v>15.7</v>
      </c>
      <c r="AM29" s="124">
        <v>15.99</v>
      </c>
      <c r="AN29" s="122">
        <v>14.409000000000001</v>
      </c>
      <c r="AO29" s="128" t="s">
        <v>1578</v>
      </c>
      <c r="AP29" s="128" t="s">
        <v>1578</v>
      </c>
      <c r="AQ29" s="128" t="s">
        <v>1578</v>
      </c>
      <c r="AR29" s="123">
        <v>6.0045200000000003</v>
      </c>
      <c r="AS29" s="128" t="s">
        <v>1578</v>
      </c>
      <c r="AT29" s="123">
        <v>15.489000000000001</v>
      </c>
      <c r="AU29" s="123">
        <v>7.1849999999999996</v>
      </c>
      <c r="AV29" s="124">
        <v>16.38</v>
      </c>
      <c r="AW29" s="127">
        <v>5.0069999999999997</v>
      </c>
    </row>
    <row r="30" spans="1:49" x14ac:dyDescent="0.3">
      <c r="A30" s="129" t="s">
        <v>825</v>
      </c>
      <c r="B30" s="122">
        <v>1.1000000000000001</v>
      </c>
      <c r="C30" s="123">
        <v>24</v>
      </c>
      <c r="D30" s="123">
        <v>24.9</v>
      </c>
      <c r="E30" s="123">
        <v>2</v>
      </c>
      <c r="F30" s="123">
        <v>16.3</v>
      </c>
      <c r="G30" s="124">
        <v>26</v>
      </c>
      <c r="H30" s="122">
        <v>20.3</v>
      </c>
      <c r="I30" s="124">
        <v>51</v>
      </c>
      <c r="J30" s="122">
        <v>13.46</v>
      </c>
      <c r="K30" s="123">
        <v>12.61</v>
      </c>
      <c r="L30" s="124">
        <v>10.33</v>
      </c>
      <c r="M30" s="125" t="s">
        <v>1578</v>
      </c>
      <c r="N30" s="126" t="s">
        <v>1578</v>
      </c>
      <c r="O30" s="127">
        <v>1.929</v>
      </c>
      <c r="P30" s="122">
        <v>17.899999999999999</v>
      </c>
      <c r="Q30" s="123">
        <v>76.66</v>
      </c>
      <c r="R30" s="123">
        <v>111.41</v>
      </c>
      <c r="S30" s="124">
        <v>93.17</v>
      </c>
      <c r="T30" s="127">
        <v>120.70099999999999</v>
      </c>
      <c r="U30" s="127">
        <v>6.01</v>
      </c>
      <c r="V30" s="122">
        <v>15.64</v>
      </c>
      <c r="W30" s="123">
        <v>8.125</v>
      </c>
      <c r="X30" s="123">
        <v>0.45</v>
      </c>
      <c r="Y30" s="128" t="s">
        <v>1578</v>
      </c>
      <c r="Z30" s="126" t="s">
        <v>1578</v>
      </c>
      <c r="AA30" s="122">
        <v>45.34</v>
      </c>
      <c r="AB30" s="124">
        <v>176.071</v>
      </c>
      <c r="AC30" s="122">
        <v>45.131999999999998</v>
      </c>
      <c r="AD30" s="123">
        <v>41.566000000000003</v>
      </c>
      <c r="AE30" s="123">
        <v>9.6660000000000004</v>
      </c>
      <c r="AF30" s="124">
        <v>0</v>
      </c>
      <c r="AG30" s="122">
        <v>7.2649999999999997</v>
      </c>
      <c r="AH30" s="123">
        <v>2.8</v>
      </c>
      <c r="AI30" s="123">
        <v>5.7964799999999999</v>
      </c>
      <c r="AJ30" s="123">
        <v>12.371</v>
      </c>
      <c r="AK30" s="124">
        <v>12.7</v>
      </c>
      <c r="AL30" s="122">
        <v>15.99</v>
      </c>
      <c r="AM30" s="124">
        <v>16.27</v>
      </c>
      <c r="AN30" s="122">
        <v>16.094000000000001</v>
      </c>
      <c r="AO30" s="128" t="s">
        <v>1578</v>
      </c>
      <c r="AP30" s="128" t="s">
        <v>1578</v>
      </c>
      <c r="AQ30" s="128" t="s">
        <v>1578</v>
      </c>
      <c r="AR30" s="123">
        <v>6.0045200000000003</v>
      </c>
      <c r="AS30" s="128" t="s">
        <v>1578</v>
      </c>
      <c r="AT30" s="123">
        <v>15.489000000000001</v>
      </c>
      <c r="AU30" s="123">
        <v>7.1849999999999996</v>
      </c>
      <c r="AV30" s="124">
        <v>16.216999999999999</v>
      </c>
      <c r="AW30" s="127">
        <v>5.0069999999999997</v>
      </c>
    </row>
    <row r="31" spans="1:49" x14ac:dyDescent="0.3">
      <c r="A31" s="129" t="s">
        <v>826</v>
      </c>
      <c r="B31" s="122">
        <v>1.1000000000000001</v>
      </c>
      <c r="C31" s="123">
        <v>24</v>
      </c>
      <c r="D31" s="123">
        <v>24.9</v>
      </c>
      <c r="E31" s="123">
        <v>2</v>
      </c>
      <c r="F31" s="123">
        <v>16.3</v>
      </c>
      <c r="G31" s="124">
        <v>26</v>
      </c>
      <c r="H31" s="122">
        <v>20.3</v>
      </c>
      <c r="I31" s="124">
        <v>51</v>
      </c>
      <c r="J31" s="122">
        <v>13.46</v>
      </c>
      <c r="K31" s="123">
        <v>12.61</v>
      </c>
      <c r="L31" s="124">
        <v>10.33</v>
      </c>
      <c r="M31" s="125" t="s">
        <v>1578</v>
      </c>
      <c r="N31" s="126" t="s">
        <v>1578</v>
      </c>
      <c r="O31" s="127">
        <v>1.929</v>
      </c>
      <c r="P31" s="122">
        <v>17.899999999999999</v>
      </c>
      <c r="Q31" s="123">
        <v>76.66</v>
      </c>
      <c r="R31" s="123">
        <v>111.41</v>
      </c>
      <c r="S31" s="124">
        <v>93.17</v>
      </c>
      <c r="T31" s="127">
        <v>120.70099999999999</v>
      </c>
      <c r="U31" s="127">
        <v>6.01</v>
      </c>
      <c r="V31" s="122">
        <v>15.64</v>
      </c>
      <c r="W31" s="123">
        <v>8.125</v>
      </c>
      <c r="X31" s="123">
        <v>0.45</v>
      </c>
      <c r="Y31" s="128" t="s">
        <v>1578</v>
      </c>
      <c r="Z31" s="126" t="s">
        <v>1578</v>
      </c>
      <c r="AA31" s="122">
        <v>45.34</v>
      </c>
      <c r="AB31" s="124">
        <v>176.071</v>
      </c>
      <c r="AC31" s="122">
        <v>45.131999999999998</v>
      </c>
      <c r="AD31" s="123">
        <v>41.566000000000003</v>
      </c>
      <c r="AE31" s="123">
        <v>9.6660000000000004</v>
      </c>
      <c r="AF31" s="124">
        <v>0</v>
      </c>
      <c r="AG31" s="122">
        <v>7.2649999999999997</v>
      </c>
      <c r="AH31" s="123">
        <v>2.8</v>
      </c>
      <c r="AI31" s="123">
        <v>5.7964799999999999</v>
      </c>
      <c r="AJ31" s="123">
        <v>12.371</v>
      </c>
      <c r="AK31" s="124">
        <v>12.7</v>
      </c>
      <c r="AL31" s="122">
        <v>15.99</v>
      </c>
      <c r="AM31" s="124">
        <v>16.27</v>
      </c>
      <c r="AN31" s="122">
        <v>16.094000000000001</v>
      </c>
      <c r="AO31" s="128" t="s">
        <v>1578</v>
      </c>
      <c r="AP31" s="128" t="s">
        <v>1578</v>
      </c>
      <c r="AQ31" s="128" t="s">
        <v>1578</v>
      </c>
      <c r="AR31" s="123">
        <v>6.0045200000000003</v>
      </c>
      <c r="AS31" s="128" t="s">
        <v>1578</v>
      </c>
      <c r="AT31" s="123">
        <v>15.489000000000001</v>
      </c>
      <c r="AU31" s="123">
        <v>7.1849999999999996</v>
      </c>
      <c r="AV31" s="124">
        <v>16.216999999999999</v>
      </c>
      <c r="AW31" s="127">
        <v>5.0069999999999997</v>
      </c>
    </row>
    <row r="32" spans="1:49" x14ac:dyDescent="0.3">
      <c r="A32" s="129" t="s">
        <v>827</v>
      </c>
      <c r="B32" s="122">
        <v>1</v>
      </c>
      <c r="C32" s="123">
        <v>24</v>
      </c>
      <c r="D32" s="123">
        <v>24.9</v>
      </c>
      <c r="E32" s="123">
        <v>2</v>
      </c>
      <c r="F32" s="123">
        <v>22.5</v>
      </c>
      <c r="G32" s="124">
        <v>26</v>
      </c>
      <c r="H32" s="122">
        <v>20.3</v>
      </c>
      <c r="I32" s="124">
        <v>51</v>
      </c>
      <c r="J32" s="122">
        <v>13.56</v>
      </c>
      <c r="K32" s="123">
        <v>12.47</v>
      </c>
      <c r="L32" s="124">
        <v>9.8829999999999991</v>
      </c>
      <c r="M32" s="125" t="s">
        <v>1578</v>
      </c>
      <c r="N32" s="126" t="s">
        <v>1578</v>
      </c>
      <c r="O32" s="127">
        <v>1.929</v>
      </c>
      <c r="P32" s="122">
        <v>17.239999999999998</v>
      </c>
      <c r="Q32" s="123">
        <v>75.819999999999993</v>
      </c>
      <c r="R32" s="123">
        <v>110.44</v>
      </c>
      <c r="S32" s="124">
        <v>92.87</v>
      </c>
      <c r="T32" s="127">
        <v>119.657</v>
      </c>
      <c r="U32" s="127">
        <v>5.96</v>
      </c>
      <c r="V32" s="122">
        <v>16.260000000000002</v>
      </c>
      <c r="W32" s="123">
        <v>7.75</v>
      </c>
      <c r="X32" s="123">
        <v>0.44</v>
      </c>
      <c r="Y32" s="128" t="s">
        <v>1578</v>
      </c>
      <c r="Z32" s="126" t="s">
        <v>1578</v>
      </c>
      <c r="AA32" s="122">
        <v>47.24</v>
      </c>
      <c r="AB32" s="124">
        <v>177.971</v>
      </c>
      <c r="AC32" s="122">
        <v>42.433999999999997</v>
      </c>
      <c r="AD32" s="123">
        <v>43.362000000000002</v>
      </c>
      <c r="AE32" s="123">
        <v>7.6310000000000002</v>
      </c>
      <c r="AF32" s="124">
        <v>0</v>
      </c>
      <c r="AG32" s="122">
        <v>7.2649999999999997</v>
      </c>
      <c r="AH32" s="123">
        <v>4</v>
      </c>
      <c r="AI32" s="123">
        <v>5.8812499999999996</v>
      </c>
      <c r="AJ32" s="123">
        <v>12.371</v>
      </c>
      <c r="AK32" s="124">
        <v>12.7</v>
      </c>
      <c r="AL32" s="122">
        <v>15.13</v>
      </c>
      <c r="AM32" s="124">
        <v>15.42</v>
      </c>
      <c r="AN32" s="122">
        <v>14.409000000000001</v>
      </c>
      <c r="AO32" s="128" t="s">
        <v>1578</v>
      </c>
      <c r="AP32" s="128" t="s">
        <v>1578</v>
      </c>
      <c r="AQ32" s="128" t="s">
        <v>1578</v>
      </c>
      <c r="AR32" s="123">
        <v>6.0045200000000003</v>
      </c>
      <c r="AS32" s="128" t="s">
        <v>1578</v>
      </c>
      <c r="AT32" s="123">
        <v>15.489000000000001</v>
      </c>
      <c r="AU32" s="123">
        <v>7.1849999999999996</v>
      </c>
      <c r="AV32" s="124">
        <v>16.335000000000001</v>
      </c>
      <c r="AW32" s="127">
        <v>5.0069999999999997</v>
      </c>
    </row>
    <row r="33" spans="1:49" x14ac:dyDescent="0.3">
      <c r="A33" s="129" t="s">
        <v>828</v>
      </c>
      <c r="B33" s="122">
        <v>1</v>
      </c>
      <c r="C33" s="123">
        <v>24</v>
      </c>
      <c r="D33" s="123">
        <v>24.9</v>
      </c>
      <c r="E33" s="123">
        <v>2</v>
      </c>
      <c r="F33" s="123">
        <v>22.5</v>
      </c>
      <c r="G33" s="124">
        <v>26</v>
      </c>
      <c r="H33" s="122">
        <v>20.3</v>
      </c>
      <c r="I33" s="124">
        <v>51</v>
      </c>
      <c r="J33" s="122">
        <v>13.56</v>
      </c>
      <c r="K33" s="123">
        <v>12.47</v>
      </c>
      <c r="L33" s="124">
        <v>9.8829999999999991</v>
      </c>
      <c r="M33" s="125" t="s">
        <v>1578</v>
      </c>
      <c r="N33" s="126" t="s">
        <v>1578</v>
      </c>
      <c r="O33" s="127">
        <v>1.929</v>
      </c>
      <c r="P33" s="122">
        <v>17.239999999999998</v>
      </c>
      <c r="Q33" s="123">
        <v>75.819999999999993</v>
      </c>
      <c r="R33" s="123">
        <v>110.44</v>
      </c>
      <c r="S33" s="124">
        <v>92.87</v>
      </c>
      <c r="T33" s="127">
        <v>119.657</v>
      </c>
      <c r="U33" s="127">
        <v>5.96</v>
      </c>
      <c r="V33" s="122">
        <v>16.260000000000002</v>
      </c>
      <c r="W33" s="123">
        <v>7.75</v>
      </c>
      <c r="X33" s="123">
        <v>0.44</v>
      </c>
      <c r="Y33" s="128" t="s">
        <v>1578</v>
      </c>
      <c r="Z33" s="126" t="s">
        <v>1578</v>
      </c>
      <c r="AA33" s="122">
        <v>47.24</v>
      </c>
      <c r="AB33" s="124">
        <v>177.971</v>
      </c>
      <c r="AC33" s="122">
        <v>42.433999999999997</v>
      </c>
      <c r="AD33" s="123">
        <v>43.362000000000002</v>
      </c>
      <c r="AE33" s="123">
        <v>7.6310000000000002</v>
      </c>
      <c r="AF33" s="124">
        <v>0</v>
      </c>
      <c r="AG33" s="122">
        <v>7.2649999999999997</v>
      </c>
      <c r="AH33" s="123">
        <v>4</v>
      </c>
      <c r="AI33" s="123">
        <v>5.8812499999999996</v>
      </c>
      <c r="AJ33" s="123">
        <v>12.371</v>
      </c>
      <c r="AK33" s="124">
        <v>12.7</v>
      </c>
      <c r="AL33" s="122">
        <v>15.13</v>
      </c>
      <c r="AM33" s="124">
        <v>15.42</v>
      </c>
      <c r="AN33" s="122">
        <v>14.409000000000001</v>
      </c>
      <c r="AO33" s="128" t="s">
        <v>1578</v>
      </c>
      <c r="AP33" s="128" t="s">
        <v>1578</v>
      </c>
      <c r="AQ33" s="128" t="s">
        <v>1578</v>
      </c>
      <c r="AR33" s="123">
        <v>6.0045200000000003</v>
      </c>
      <c r="AS33" s="128" t="s">
        <v>1578</v>
      </c>
      <c r="AT33" s="123">
        <v>15.489000000000001</v>
      </c>
      <c r="AU33" s="123">
        <v>7.1849999999999996</v>
      </c>
      <c r="AV33" s="124">
        <v>16.335000000000001</v>
      </c>
      <c r="AW33" s="127">
        <v>5.0069999999999997</v>
      </c>
    </row>
    <row r="34" spans="1:49" x14ac:dyDescent="0.3">
      <c r="A34" s="129" t="s">
        <v>829</v>
      </c>
      <c r="B34" s="122">
        <v>1</v>
      </c>
      <c r="C34" s="123">
        <v>24</v>
      </c>
      <c r="D34" s="123">
        <v>24.9</v>
      </c>
      <c r="E34" s="123">
        <v>2</v>
      </c>
      <c r="F34" s="123">
        <v>26.8</v>
      </c>
      <c r="G34" s="124">
        <v>26</v>
      </c>
      <c r="H34" s="122">
        <v>20.3</v>
      </c>
      <c r="I34" s="124">
        <v>51</v>
      </c>
      <c r="J34" s="122">
        <v>13.44</v>
      </c>
      <c r="K34" s="123">
        <v>12.63</v>
      </c>
      <c r="L34" s="124">
        <v>10.253</v>
      </c>
      <c r="M34" s="125" t="s">
        <v>1578</v>
      </c>
      <c r="N34" s="126" t="s">
        <v>1578</v>
      </c>
      <c r="O34" s="127">
        <v>1.929</v>
      </c>
      <c r="P34" s="122">
        <v>16.91</v>
      </c>
      <c r="Q34" s="123">
        <v>65.319999999999993</v>
      </c>
      <c r="R34" s="123">
        <v>109.48</v>
      </c>
      <c r="S34" s="124">
        <v>92.57</v>
      </c>
      <c r="T34" s="127">
        <v>118.77500000000001</v>
      </c>
      <c r="U34" s="127">
        <v>5.96</v>
      </c>
      <c r="V34" s="122">
        <v>16.260000000000002</v>
      </c>
      <c r="W34" s="123">
        <v>5.54</v>
      </c>
      <c r="X34" s="123">
        <v>0.44</v>
      </c>
      <c r="Y34" s="128" t="s">
        <v>1578</v>
      </c>
      <c r="Z34" s="126" t="s">
        <v>1578</v>
      </c>
      <c r="AA34" s="122">
        <v>42.94</v>
      </c>
      <c r="AB34" s="124">
        <v>173.666</v>
      </c>
      <c r="AC34" s="122">
        <v>42.5</v>
      </c>
      <c r="AD34" s="123">
        <v>43.341999999999999</v>
      </c>
      <c r="AE34" s="123">
        <v>4.83</v>
      </c>
      <c r="AF34" s="124">
        <v>0</v>
      </c>
      <c r="AG34" s="122">
        <v>7.2649999999999997</v>
      </c>
      <c r="AH34" s="123">
        <v>3.7</v>
      </c>
      <c r="AI34" s="123">
        <v>6.0137900000000002</v>
      </c>
      <c r="AJ34" s="123">
        <v>12.371</v>
      </c>
      <c r="AK34" s="124">
        <v>12.7</v>
      </c>
      <c r="AL34" s="122">
        <v>15.57</v>
      </c>
      <c r="AM34" s="124">
        <v>15.86</v>
      </c>
      <c r="AN34" s="122">
        <v>14.409000000000001</v>
      </c>
      <c r="AO34" s="128" t="s">
        <v>1578</v>
      </c>
      <c r="AP34" s="128" t="s">
        <v>1578</v>
      </c>
      <c r="AQ34" s="128" t="s">
        <v>1578</v>
      </c>
      <c r="AR34" s="123">
        <v>6.0045200000000003</v>
      </c>
      <c r="AS34" s="128" t="s">
        <v>1578</v>
      </c>
      <c r="AT34" s="123">
        <v>15.489000000000001</v>
      </c>
      <c r="AU34" s="123">
        <v>7.1849999999999996</v>
      </c>
      <c r="AV34" s="124">
        <v>16.38</v>
      </c>
      <c r="AW34" s="127">
        <v>5.0069999999999997</v>
      </c>
    </row>
    <row r="35" spans="1:49" x14ac:dyDescent="0.3">
      <c r="A35" s="129" t="s">
        <v>830</v>
      </c>
      <c r="B35" s="122">
        <v>1</v>
      </c>
      <c r="C35" s="123">
        <v>24</v>
      </c>
      <c r="D35" s="123">
        <v>24.9</v>
      </c>
      <c r="E35" s="123">
        <v>2</v>
      </c>
      <c r="F35" s="123">
        <v>26.8</v>
      </c>
      <c r="G35" s="124">
        <v>26</v>
      </c>
      <c r="H35" s="122">
        <v>20.3</v>
      </c>
      <c r="I35" s="124">
        <v>51</v>
      </c>
      <c r="J35" s="122">
        <v>13.44</v>
      </c>
      <c r="K35" s="123">
        <v>12.63</v>
      </c>
      <c r="L35" s="124">
        <v>10.253</v>
      </c>
      <c r="M35" s="125" t="s">
        <v>1578</v>
      </c>
      <c r="N35" s="126" t="s">
        <v>1578</v>
      </c>
      <c r="O35" s="127">
        <v>1.929</v>
      </c>
      <c r="P35" s="122">
        <v>16.91</v>
      </c>
      <c r="Q35" s="123">
        <v>65.319999999999993</v>
      </c>
      <c r="R35" s="123">
        <v>109.48</v>
      </c>
      <c r="S35" s="124">
        <v>92.57</v>
      </c>
      <c r="T35" s="127">
        <v>118.77500000000001</v>
      </c>
      <c r="U35" s="127">
        <v>5.96</v>
      </c>
      <c r="V35" s="122">
        <v>16.260000000000002</v>
      </c>
      <c r="W35" s="123">
        <v>5.54</v>
      </c>
      <c r="X35" s="123">
        <v>0.44</v>
      </c>
      <c r="Y35" s="128" t="s">
        <v>1578</v>
      </c>
      <c r="Z35" s="126" t="s">
        <v>1578</v>
      </c>
      <c r="AA35" s="122">
        <v>42.94</v>
      </c>
      <c r="AB35" s="124">
        <v>173.666</v>
      </c>
      <c r="AC35" s="122">
        <v>42.5</v>
      </c>
      <c r="AD35" s="123">
        <v>43.341999999999999</v>
      </c>
      <c r="AE35" s="123">
        <v>4.83</v>
      </c>
      <c r="AF35" s="124">
        <v>0</v>
      </c>
      <c r="AG35" s="122">
        <v>7.2649999999999997</v>
      </c>
      <c r="AH35" s="123">
        <v>3.7</v>
      </c>
      <c r="AI35" s="123">
        <v>6.0137900000000002</v>
      </c>
      <c r="AJ35" s="123">
        <v>12.371</v>
      </c>
      <c r="AK35" s="124">
        <v>12.7</v>
      </c>
      <c r="AL35" s="122">
        <v>15.57</v>
      </c>
      <c r="AM35" s="124">
        <v>15.86</v>
      </c>
      <c r="AN35" s="122">
        <v>14.409000000000001</v>
      </c>
      <c r="AO35" s="128" t="s">
        <v>1578</v>
      </c>
      <c r="AP35" s="128" t="s">
        <v>1578</v>
      </c>
      <c r="AQ35" s="128" t="s">
        <v>1578</v>
      </c>
      <c r="AR35" s="123">
        <v>6.0045200000000003</v>
      </c>
      <c r="AS35" s="128" t="s">
        <v>1578</v>
      </c>
      <c r="AT35" s="123">
        <v>15.489000000000001</v>
      </c>
      <c r="AU35" s="123">
        <v>7.1849999999999996</v>
      </c>
      <c r="AV35" s="124">
        <v>16.38</v>
      </c>
      <c r="AW35" s="127">
        <v>5.0069999999999997</v>
      </c>
    </row>
    <row r="36" spans="1:49" x14ac:dyDescent="0.3">
      <c r="A36" s="129" t="s">
        <v>831</v>
      </c>
      <c r="B36" s="122">
        <v>1</v>
      </c>
      <c r="C36" s="123">
        <v>24</v>
      </c>
      <c r="D36" s="123">
        <v>24.9</v>
      </c>
      <c r="E36" s="123">
        <v>2</v>
      </c>
      <c r="F36" s="123">
        <v>29</v>
      </c>
      <c r="G36" s="124">
        <v>26</v>
      </c>
      <c r="H36" s="122">
        <v>20.3</v>
      </c>
      <c r="I36" s="124">
        <v>51</v>
      </c>
      <c r="J36" s="122">
        <v>13.53</v>
      </c>
      <c r="K36" s="123">
        <v>12.52</v>
      </c>
      <c r="L36" s="124">
        <v>10.202999999999999</v>
      </c>
      <c r="M36" s="125" t="s">
        <v>1578</v>
      </c>
      <c r="N36" s="126" t="s">
        <v>1578</v>
      </c>
      <c r="O36" s="127">
        <v>1.929</v>
      </c>
      <c r="P36" s="122">
        <v>26.27</v>
      </c>
      <c r="Q36" s="123">
        <v>61.46</v>
      </c>
      <c r="R36" s="123">
        <v>108.52</v>
      </c>
      <c r="S36" s="124">
        <v>91.61</v>
      </c>
      <c r="T36" s="127">
        <v>118.658</v>
      </c>
      <c r="U36" s="127">
        <v>6.16</v>
      </c>
      <c r="V36" s="122">
        <v>15.64</v>
      </c>
      <c r="W36" s="123">
        <v>6.66</v>
      </c>
      <c r="X36" s="123">
        <v>0.31</v>
      </c>
      <c r="Y36" s="128" t="s">
        <v>1578</v>
      </c>
      <c r="Z36" s="126" t="s">
        <v>1578</v>
      </c>
      <c r="AA36" s="122">
        <v>42.32</v>
      </c>
      <c r="AB36" s="124">
        <v>173.04300000000001</v>
      </c>
      <c r="AC36" s="122">
        <v>41.22</v>
      </c>
      <c r="AD36" s="123">
        <v>44.405000000000001</v>
      </c>
      <c r="AE36" s="123">
        <v>7.3940000000000001</v>
      </c>
      <c r="AF36" s="124">
        <v>0</v>
      </c>
      <c r="AG36" s="122">
        <v>7.2649999999999997</v>
      </c>
      <c r="AH36" s="123">
        <v>3.7</v>
      </c>
      <c r="AI36" s="123">
        <v>6.15116</v>
      </c>
      <c r="AJ36" s="123">
        <v>12.371</v>
      </c>
      <c r="AK36" s="124">
        <v>12.7</v>
      </c>
      <c r="AL36" s="122">
        <v>15.37</v>
      </c>
      <c r="AM36" s="124">
        <v>15.66</v>
      </c>
      <c r="AN36" s="122">
        <v>14.409000000000001</v>
      </c>
      <c r="AO36" s="128" t="s">
        <v>1578</v>
      </c>
      <c r="AP36" s="128" t="s">
        <v>1578</v>
      </c>
      <c r="AQ36" s="128" t="s">
        <v>1578</v>
      </c>
      <c r="AR36" s="123">
        <v>6.0045200000000003</v>
      </c>
      <c r="AS36" s="128" t="s">
        <v>1578</v>
      </c>
      <c r="AT36" s="123">
        <v>15.489000000000001</v>
      </c>
      <c r="AU36" s="123">
        <v>7.1849999999999996</v>
      </c>
      <c r="AV36" s="124">
        <v>16.38</v>
      </c>
      <c r="AW36" s="127">
        <v>5.0069999999999997</v>
      </c>
    </row>
    <row r="37" spans="1:49" x14ac:dyDescent="0.3">
      <c r="A37" s="129" t="s">
        <v>832</v>
      </c>
      <c r="B37" s="122">
        <v>1</v>
      </c>
      <c r="C37" s="123">
        <v>24</v>
      </c>
      <c r="D37" s="123">
        <v>24.9</v>
      </c>
      <c r="E37" s="123">
        <v>2</v>
      </c>
      <c r="F37" s="123">
        <v>29</v>
      </c>
      <c r="G37" s="124">
        <v>26</v>
      </c>
      <c r="H37" s="122">
        <v>20.3</v>
      </c>
      <c r="I37" s="124">
        <v>51</v>
      </c>
      <c r="J37" s="122">
        <v>13.53</v>
      </c>
      <c r="K37" s="123">
        <v>12.52</v>
      </c>
      <c r="L37" s="124">
        <v>10.202999999999999</v>
      </c>
      <c r="M37" s="125" t="s">
        <v>1578</v>
      </c>
      <c r="N37" s="126" t="s">
        <v>1578</v>
      </c>
      <c r="O37" s="127">
        <v>1.929</v>
      </c>
      <c r="P37" s="122">
        <v>26.27</v>
      </c>
      <c r="Q37" s="123">
        <v>61.46</v>
      </c>
      <c r="R37" s="123">
        <v>108.52</v>
      </c>
      <c r="S37" s="124">
        <v>91.61</v>
      </c>
      <c r="T37" s="127">
        <v>118.658</v>
      </c>
      <c r="U37" s="127">
        <v>6.16</v>
      </c>
      <c r="V37" s="122">
        <v>15.64</v>
      </c>
      <c r="W37" s="123">
        <v>6.66</v>
      </c>
      <c r="X37" s="123">
        <v>0.31</v>
      </c>
      <c r="Y37" s="128" t="s">
        <v>1578</v>
      </c>
      <c r="Z37" s="126" t="s">
        <v>1578</v>
      </c>
      <c r="AA37" s="122">
        <v>42.32</v>
      </c>
      <c r="AB37" s="124">
        <v>173.04300000000001</v>
      </c>
      <c r="AC37" s="122">
        <v>41.22</v>
      </c>
      <c r="AD37" s="123">
        <v>44.405000000000001</v>
      </c>
      <c r="AE37" s="123">
        <v>7.3940000000000001</v>
      </c>
      <c r="AF37" s="124">
        <v>0</v>
      </c>
      <c r="AG37" s="122">
        <v>7.2649999999999997</v>
      </c>
      <c r="AH37" s="123">
        <v>3.7</v>
      </c>
      <c r="AI37" s="123">
        <v>6.15116</v>
      </c>
      <c r="AJ37" s="123">
        <v>12.371</v>
      </c>
      <c r="AK37" s="124">
        <v>12.7</v>
      </c>
      <c r="AL37" s="122">
        <v>15.37</v>
      </c>
      <c r="AM37" s="124">
        <v>15.66</v>
      </c>
      <c r="AN37" s="122">
        <v>14.409000000000001</v>
      </c>
      <c r="AO37" s="128" t="s">
        <v>1578</v>
      </c>
      <c r="AP37" s="128" t="s">
        <v>1578</v>
      </c>
      <c r="AQ37" s="128" t="s">
        <v>1578</v>
      </c>
      <c r="AR37" s="123">
        <v>6.0045200000000003</v>
      </c>
      <c r="AS37" s="128" t="s">
        <v>1578</v>
      </c>
      <c r="AT37" s="123">
        <v>15.489000000000001</v>
      </c>
      <c r="AU37" s="123">
        <v>7.1849999999999996</v>
      </c>
      <c r="AV37" s="124">
        <v>16.38</v>
      </c>
      <c r="AW37" s="127">
        <v>5.0069999999999997</v>
      </c>
    </row>
    <row r="38" spans="1:49" x14ac:dyDescent="0.3">
      <c r="A38" s="129" t="s">
        <v>833</v>
      </c>
      <c r="B38" s="122">
        <v>1.1000000000000001</v>
      </c>
      <c r="C38" s="123">
        <v>24</v>
      </c>
      <c r="D38" s="123">
        <v>24.9</v>
      </c>
      <c r="E38" s="123">
        <v>2</v>
      </c>
      <c r="F38" s="123">
        <v>23.2</v>
      </c>
      <c r="G38" s="124">
        <v>26</v>
      </c>
      <c r="H38" s="122">
        <v>20.3</v>
      </c>
      <c r="I38" s="124">
        <v>51</v>
      </c>
      <c r="J38" s="122">
        <v>13.43</v>
      </c>
      <c r="K38" s="123">
        <v>12.63</v>
      </c>
      <c r="L38" s="124">
        <v>10.143000000000001</v>
      </c>
      <c r="M38" s="125" t="s">
        <v>1578</v>
      </c>
      <c r="N38" s="126" t="s">
        <v>1578</v>
      </c>
      <c r="O38" s="127">
        <v>1.929</v>
      </c>
      <c r="P38" s="122">
        <v>51.84</v>
      </c>
      <c r="Q38" s="123">
        <v>61.46</v>
      </c>
      <c r="R38" s="123">
        <v>107.56</v>
      </c>
      <c r="S38" s="124">
        <v>90.97</v>
      </c>
      <c r="T38" s="127">
        <v>118.42700000000001</v>
      </c>
      <c r="U38" s="127">
        <v>6.36</v>
      </c>
      <c r="V38" s="122">
        <v>15.02</v>
      </c>
      <c r="W38" s="123">
        <v>6.41</v>
      </c>
      <c r="X38" s="123">
        <v>0.31</v>
      </c>
      <c r="Y38" s="128" t="s">
        <v>1578</v>
      </c>
      <c r="Z38" s="126" t="s">
        <v>1578</v>
      </c>
      <c r="AA38" s="122">
        <v>38.68</v>
      </c>
      <c r="AB38" s="124">
        <v>169.40299999999999</v>
      </c>
      <c r="AC38" s="122">
        <v>41.621000000000002</v>
      </c>
      <c r="AD38" s="123">
        <v>38.259</v>
      </c>
      <c r="AE38" s="123">
        <v>9.5679999999999996</v>
      </c>
      <c r="AF38" s="124">
        <v>0</v>
      </c>
      <c r="AG38" s="122">
        <v>7.2649999999999997</v>
      </c>
      <c r="AH38" s="123">
        <v>3.8</v>
      </c>
      <c r="AI38" s="123">
        <v>7.7715699999999996</v>
      </c>
      <c r="AJ38" s="123">
        <v>12.371</v>
      </c>
      <c r="AK38" s="124">
        <v>12.7</v>
      </c>
      <c r="AL38" s="122">
        <v>15.69</v>
      </c>
      <c r="AM38" s="124">
        <v>15.98</v>
      </c>
      <c r="AN38" s="122">
        <v>14.409000000000001</v>
      </c>
      <c r="AO38" s="128" t="s">
        <v>1578</v>
      </c>
      <c r="AP38" s="128" t="s">
        <v>1578</v>
      </c>
      <c r="AQ38" s="128" t="s">
        <v>1578</v>
      </c>
      <c r="AR38" s="123">
        <v>6.0045200000000003</v>
      </c>
      <c r="AS38" s="128" t="s">
        <v>1578</v>
      </c>
      <c r="AT38" s="123">
        <v>15.489000000000001</v>
      </c>
      <c r="AU38" s="123">
        <v>7.1849999999999996</v>
      </c>
      <c r="AV38" s="124">
        <v>16.216999999999999</v>
      </c>
      <c r="AW38" s="127">
        <v>5.0069999999999997</v>
      </c>
    </row>
    <row r="39" spans="1:49" x14ac:dyDescent="0.3">
      <c r="A39" s="129" t="s">
        <v>834</v>
      </c>
      <c r="B39" s="122">
        <v>1.1000000000000001</v>
      </c>
      <c r="C39" s="123">
        <v>24</v>
      </c>
      <c r="D39" s="123">
        <v>24.9</v>
      </c>
      <c r="E39" s="123">
        <v>2</v>
      </c>
      <c r="F39" s="123">
        <v>23.2</v>
      </c>
      <c r="G39" s="124">
        <v>26</v>
      </c>
      <c r="H39" s="122">
        <v>20.3</v>
      </c>
      <c r="I39" s="124">
        <v>51</v>
      </c>
      <c r="J39" s="122">
        <v>13.43</v>
      </c>
      <c r="K39" s="123">
        <v>12.63</v>
      </c>
      <c r="L39" s="124">
        <v>10.143000000000001</v>
      </c>
      <c r="M39" s="125" t="s">
        <v>1578</v>
      </c>
      <c r="N39" s="126" t="s">
        <v>1578</v>
      </c>
      <c r="O39" s="127">
        <v>1.929</v>
      </c>
      <c r="P39" s="122">
        <v>51.84</v>
      </c>
      <c r="Q39" s="123">
        <v>61.46</v>
      </c>
      <c r="R39" s="123">
        <v>107.56</v>
      </c>
      <c r="S39" s="124">
        <v>90.97</v>
      </c>
      <c r="T39" s="127">
        <v>118.42700000000001</v>
      </c>
      <c r="U39" s="127">
        <v>6.36</v>
      </c>
      <c r="V39" s="122">
        <v>15.02</v>
      </c>
      <c r="W39" s="123">
        <v>6.41</v>
      </c>
      <c r="X39" s="123">
        <v>0.31</v>
      </c>
      <c r="Y39" s="128" t="s">
        <v>1578</v>
      </c>
      <c r="Z39" s="126" t="s">
        <v>1578</v>
      </c>
      <c r="AA39" s="122">
        <v>38.68</v>
      </c>
      <c r="AB39" s="124">
        <v>169.40299999999999</v>
      </c>
      <c r="AC39" s="122">
        <v>41.621000000000002</v>
      </c>
      <c r="AD39" s="123">
        <v>38.259</v>
      </c>
      <c r="AE39" s="123">
        <v>9.5679999999999996</v>
      </c>
      <c r="AF39" s="124">
        <v>0</v>
      </c>
      <c r="AG39" s="122">
        <v>7.2649999999999997</v>
      </c>
      <c r="AH39" s="123">
        <v>3.8</v>
      </c>
      <c r="AI39" s="123">
        <v>7.7715699999999996</v>
      </c>
      <c r="AJ39" s="123">
        <v>12.371</v>
      </c>
      <c r="AK39" s="124">
        <v>12.7</v>
      </c>
      <c r="AL39" s="122">
        <v>15.69</v>
      </c>
      <c r="AM39" s="124">
        <v>15.98</v>
      </c>
      <c r="AN39" s="122">
        <v>14.409000000000001</v>
      </c>
      <c r="AO39" s="128" t="s">
        <v>1578</v>
      </c>
      <c r="AP39" s="128" t="s">
        <v>1578</v>
      </c>
      <c r="AQ39" s="128" t="s">
        <v>1578</v>
      </c>
      <c r="AR39" s="123">
        <v>6.0045200000000003</v>
      </c>
      <c r="AS39" s="128" t="s">
        <v>1578</v>
      </c>
      <c r="AT39" s="123">
        <v>15.489000000000001</v>
      </c>
      <c r="AU39" s="123">
        <v>7.1849999999999996</v>
      </c>
      <c r="AV39" s="124">
        <v>16.216999999999999</v>
      </c>
      <c r="AW39" s="127">
        <v>5.0069999999999997</v>
      </c>
    </row>
    <row r="40" spans="1:49" x14ac:dyDescent="0.3">
      <c r="A40" s="129" t="s">
        <v>835</v>
      </c>
      <c r="B40" s="122">
        <v>1.1000000000000001</v>
      </c>
      <c r="C40" s="123">
        <v>24</v>
      </c>
      <c r="D40" s="123">
        <v>24.9</v>
      </c>
      <c r="E40" s="123">
        <v>2</v>
      </c>
      <c r="F40" s="123">
        <v>16.8</v>
      </c>
      <c r="G40" s="124">
        <v>26</v>
      </c>
      <c r="H40" s="122">
        <v>20.3</v>
      </c>
      <c r="I40" s="124">
        <v>51</v>
      </c>
      <c r="J40" s="122">
        <v>13.45</v>
      </c>
      <c r="K40" s="123">
        <v>12.59</v>
      </c>
      <c r="L40" s="124">
        <v>10.584</v>
      </c>
      <c r="M40" s="125" t="s">
        <v>1578</v>
      </c>
      <c r="N40" s="126" t="s">
        <v>1578</v>
      </c>
      <c r="O40" s="127">
        <v>1.929</v>
      </c>
      <c r="P40" s="122">
        <v>49.3</v>
      </c>
      <c r="Q40" s="123">
        <v>61.46</v>
      </c>
      <c r="R40" s="123">
        <v>107.56</v>
      </c>
      <c r="S40" s="124">
        <v>90.97</v>
      </c>
      <c r="T40" s="127">
        <v>118.369</v>
      </c>
      <c r="U40" s="127">
        <v>6.56</v>
      </c>
      <c r="V40" s="122">
        <v>15.02</v>
      </c>
      <c r="W40" s="123">
        <v>6.28</v>
      </c>
      <c r="X40" s="123">
        <v>0.31</v>
      </c>
      <c r="Y40" s="128" t="s">
        <v>1578</v>
      </c>
      <c r="Z40" s="126" t="s">
        <v>1578</v>
      </c>
      <c r="AA40" s="122">
        <v>39.200000000000003</v>
      </c>
      <c r="AB40" s="124">
        <v>169.93100000000001</v>
      </c>
      <c r="AC40" s="122">
        <v>40.097999999999999</v>
      </c>
      <c r="AD40" s="123">
        <v>36.454999999999998</v>
      </c>
      <c r="AE40" s="123">
        <v>9.6289999999999996</v>
      </c>
      <c r="AF40" s="124">
        <v>0</v>
      </c>
      <c r="AG40" s="122">
        <v>7.2649999999999997</v>
      </c>
      <c r="AH40" s="123">
        <v>3.8</v>
      </c>
      <c r="AI40" s="123">
        <v>7.8728300000000004</v>
      </c>
      <c r="AJ40" s="123">
        <v>12.371</v>
      </c>
      <c r="AK40" s="124">
        <v>12.7</v>
      </c>
      <c r="AL40" s="122">
        <v>15.89</v>
      </c>
      <c r="AM40" s="124">
        <v>16.18</v>
      </c>
      <c r="AN40" s="122">
        <v>14.409000000000001</v>
      </c>
      <c r="AO40" s="128" t="s">
        <v>1578</v>
      </c>
      <c r="AP40" s="128" t="s">
        <v>1578</v>
      </c>
      <c r="AQ40" s="128" t="s">
        <v>1578</v>
      </c>
      <c r="AR40" s="123">
        <v>6.0045200000000003</v>
      </c>
      <c r="AS40" s="128" t="s">
        <v>1578</v>
      </c>
      <c r="AT40" s="123">
        <v>15.489000000000001</v>
      </c>
      <c r="AU40" s="123">
        <v>7.1849999999999996</v>
      </c>
      <c r="AV40" s="124">
        <v>16.172000000000001</v>
      </c>
      <c r="AW40" s="127">
        <v>5.0069999999999997</v>
      </c>
    </row>
    <row r="41" spans="1:49" x14ac:dyDescent="0.3">
      <c r="A41" s="129" t="s">
        <v>836</v>
      </c>
      <c r="B41" s="122">
        <v>1.1000000000000001</v>
      </c>
      <c r="C41" s="123">
        <v>24</v>
      </c>
      <c r="D41" s="123">
        <v>24.9</v>
      </c>
      <c r="E41" s="123">
        <v>2</v>
      </c>
      <c r="F41" s="123">
        <v>16.8</v>
      </c>
      <c r="G41" s="124">
        <v>26</v>
      </c>
      <c r="H41" s="122">
        <v>20.3</v>
      </c>
      <c r="I41" s="124">
        <v>51</v>
      </c>
      <c r="J41" s="122">
        <v>13.45</v>
      </c>
      <c r="K41" s="123">
        <v>12.59</v>
      </c>
      <c r="L41" s="124">
        <v>10.584</v>
      </c>
      <c r="M41" s="125" t="s">
        <v>1578</v>
      </c>
      <c r="N41" s="126" t="s">
        <v>1578</v>
      </c>
      <c r="O41" s="127">
        <v>1.929</v>
      </c>
      <c r="P41" s="122">
        <v>49.3</v>
      </c>
      <c r="Q41" s="123">
        <v>61.46</v>
      </c>
      <c r="R41" s="123">
        <v>107.56</v>
      </c>
      <c r="S41" s="124">
        <v>90.97</v>
      </c>
      <c r="T41" s="127">
        <v>118.369</v>
      </c>
      <c r="U41" s="127">
        <v>6.56</v>
      </c>
      <c r="V41" s="122">
        <v>15.02</v>
      </c>
      <c r="W41" s="123">
        <v>6.28</v>
      </c>
      <c r="X41" s="123">
        <v>0.31</v>
      </c>
      <c r="Y41" s="128" t="s">
        <v>1578</v>
      </c>
      <c r="Z41" s="126" t="s">
        <v>1578</v>
      </c>
      <c r="AA41" s="122">
        <v>39.200000000000003</v>
      </c>
      <c r="AB41" s="124">
        <v>169.93100000000001</v>
      </c>
      <c r="AC41" s="122">
        <v>40.097999999999999</v>
      </c>
      <c r="AD41" s="123">
        <v>36.454999999999998</v>
      </c>
      <c r="AE41" s="123">
        <v>9.6289999999999996</v>
      </c>
      <c r="AF41" s="124">
        <v>0</v>
      </c>
      <c r="AG41" s="122">
        <v>7.2649999999999997</v>
      </c>
      <c r="AH41" s="123">
        <v>3.8</v>
      </c>
      <c r="AI41" s="123">
        <v>7.8728300000000004</v>
      </c>
      <c r="AJ41" s="123">
        <v>12.371</v>
      </c>
      <c r="AK41" s="124">
        <v>12.7</v>
      </c>
      <c r="AL41" s="122">
        <v>15.89</v>
      </c>
      <c r="AM41" s="124">
        <v>16.18</v>
      </c>
      <c r="AN41" s="122">
        <v>14.409000000000001</v>
      </c>
      <c r="AO41" s="128" t="s">
        <v>1578</v>
      </c>
      <c r="AP41" s="128" t="s">
        <v>1578</v>
      </c>
      <c r="AQ41" s="128" t="s">
        <v>1578</v>
      </c>
      <c r="AR41" s="123">
        <v>6.0045200000000003</v>
      </c>
      <c r="AS41" s="128" t="s">
        <v>1578</v>
      </c>
      <c r="AT41" s="123">
        <v>15.489000000000001</v>
      </c>
      <c r="AU41" s="123">
        <v>7.1849999999999996</v>
      </c>
      <c r="AV41" s="124">
        <v>16.172000000000001</v>
      </c>
      <c r="AW41" s="127">
        <v>5.0069999999999997</v>
      </c>
    </row>
    <row r="42" spans="1:49" x14ac:dyDescent="0.3">
      <c r="A42" s="129" t="s">
        <v>837</v>
      </c>
      <c r="B42" s="122">
        <v>1.1000000000000001</v>
      </c>
      <c r="C42" s="123">
        <v>24</v>
      </c>
      <c r="D42" s="123">
        <v>24.9</v>
      </c>
      <c r="E42" s="123">
        <v>2</v>
      </c>
      <c r="F42" s="123">
        <v>11.5</v>
      </c>
      <c r="G42" s="124">
        <v>26</v>
      </c>
      <c r="H42" s="122">
        <v>20.3</v>
      </c>
      <c r="I42" s="124">
        <v>51</v>
      </c>
      <c r="J42" s="122">
        <v>13.43</v>
      </c>
      <c r="K42" s="123">
        <v>12.51</v>
      </c>
      <c r="L42" s="124">
        <v>10.388</v>
      </c>
      <c r="M42" s="125" t="s">
        <v>1578</v>
      </c>
      <c r="N42" s="126" t="s">
        <v>1578</v>
      </c>
      <c r="O42" s="127">
        <v>1.929</v>
      </c>
      <c r="P42" s="122">
        <v>49.3</v>
      </c>
      <c r="Q42" s="123">
        <v>61.46</v>
      </c>
      <c r="R42" s="123">
        <v>107.56</v>
      </c>
      <c r="S42" s="124">
        <v>82.96</v>
      </c>
      <c r="T42" s="127">
        <v>119.148</v>
      </c>
      <c r="U42" s="127">
        <v>6.56</v>
      </c>
      <c r="V42" s="122">
        <v>15.64</v>
      </c>
      <c r="W42" s="123">
        <v>6.55</v>
      </c>
      <c r="X42" s="123">
        <v>0.31</v>
      </c>
      <c r="Y42" s="128" t="s">
        <v>1578</v>
      </c>
      <c r="Z42" s="126" t="s">
        <v>1578</v>
      </c>
      <c r="AA42" s="122">
        <v>37.68</v>
      </c>
      <c r="AB42" s="124">
        <v>168.404</v>
      </c>
      <c r="AC42" s="122">
        <v>42.462000000000003</v>
      </c>
      <c r="AD42" s="123">
        <v>36.078000000000003</v>
      </c>
      <c r="AE42" s="123">
        <v>7.7809999999999997</v>
      </c>
      <c r="AF42" s="124">
        <v>3.3</v>
      </c>
      <c r="AG42" s="122">
        <v>7.2649999999999997</v>
      </c>
      <c r="AH42" s="123">
        <v>4.0999999999999996</v>
      </c>
      <c r="AI42" s="123">
        <v>9.6156900000000007</v>
      </c>
      <c r="AJ42" s="123">
        <v>12.371</v>
      </c>
      <c r="AK42" s="124">
        <v>12.7</v>
      </c>
      <c r="AL42" s="122">
        <v>15.16</v>
      </c>
      <c r="AM42" s="124">
        <v>15.44</v>
      </c>
      <c r="AN42" s="122">
        <v>14.409000000000001</v>
      </c>
      <c r="AO42" s="128" t="s">
        <v>1578</v>
      </c>
      <c r="AP42" s="128" t="s">
        <v>1578</v>
      </c>
      <c r="AQ42" s="128" t="s">
        <v>1578</v>
      </c>
      <c r="AR42" s="123">
        <v>6.0045200000000003</v>
      </c>
      <c r="AS42" s="128" t="s">
        <v>1578</v>
      </c>
      <c r="AT42" s="123">
        <v>15.489000000000001</v>
      </c>
      <c r="AU42" s="123">
        <v>7.1849999999999996</v>
      </c>
      <c r="AV42" s="124">
        <v>16.335000000000001</v>
      </c>
      <c r="AW42" s="127">
        <v>5.0069999999999997</v>
      </c>
    </row>
    <row r="43" spans="1:49" x14ac:dyDescent="0.3">
      <c r="A43" s="129" t="s">
        <v>838</v>
      </c>
      <c r="B43" s="122">
        <v>1.1000000000000001</v>
      </c>
      <c r="C43" s="123">
        <v>24</v>
      </c>
      <c r="D43" s="123">
        <v>24.9</v>
      </c>
      <c r="E43" s="123">
        <v>2</v>
      </c>
      <c r="F43" s="123">
        <v>11.5</v>
      </c>
      <c r="G43" s="124">
        <v>26</v>
      </c>
      <c r="H43" s="122">
        <v>20.3</v>
      </c>
      <c r="I43" s="124">
        <v>51</v>
      </c>
      <c r="J43" s="122">
        <v>13.43</v>
      </c>
      <c r="K43" s="123">
        <v>12.51</v>
      </c>
      <c r="L43" s="124">
        <v>10.388</v>
      </c>
      <c r="M43" s="125" t="s">
        <v>1578</v>
      </c>
      <c r="N43" s="126" t="s">
        <v>1578</v>
      </c>
      <c r="O43" s="127">
        <v>1.929</v>
      </c>
      <c r="P43" s="122">
        <v>49.3</v>
      </c>
      <c r="Q43" s="123">
        <v>61.46</v>
      </c>
      <c r="R43" s="123">
        <v>107.56</v>
      </c>
      <c r="S43" s="124">
        <v>82.96</v>
      </c>
      <c r="T43" s="127">
        <v>119.148</v>
      </c>
      <c r="U43" s="127">
        <v>6.56</v>
      </c>
      <c r="V43" s="122">
        <v>15.64</v>
      </c>
      <c r="W43" s="123">
        <v>6.55</v>
      </c>
      <c r="X43" s="123">
        <v>0.31</v>
      </c>
      <c r="Y43" s="128" t="s">
        <v>1578</v>
      </c>
      <c r="Z43" s="126" t="s">
        <v>1578</v>
      </c>
      <c r="AA43" s="122">
        <v>37.68</v>
      </c>
      <c r="AB43" s="124">
        <v>168.404</v>
      </c>
      <c r="AC43" s="122">
        <v>42.462000000000003</v>
      </c>
      <c r="AD43" s="123">
        <v>36.078000000000003</v>
      </c>
      <c r="AE43" s="123">
        <v>7.7809999999999997</v>
      </c>
      <c r="AF43" s="124">
        <v>3.3</v>
      </c>
      <c r="AG43" s="122">
        <v>7.2649999999999997</v>
      </c>
      <c r="AH43" s="123">
        <v>4.0999999999999996</v>
      </c>
      <c r="AI43" s="123">
        <v>9.6156900000000007</v>
      </c>
      <c r="AJ43" s="123">
        <v>12.371</v>
      </c>
      <c r="AK43" s="124">
        <v>12.7</v>
      </c>
      <c r="AL43" s="122">
        <v>15.16</v>
      </c>
      <c r="AM43" s="124">
        <v>15.44</v>
      </c>
      <c r="AN43" s="122">
        <v>14.409000000000001</v>
      </c>
      <c r="AO43" s="128" t="s">
        <v>1578</v>
      </c>
      <c r="AP43" s="128" t="s">
        <v>1578</v>
      </c>
      <c r="AQ43" s="128" t="s">
        <v>1578</v>
      </c>
      <c r="AR43" s="123">
        <v>6.0045200000000003</v>
      </c>
      <c r="AS43" s="128" t="s">
        <v>1578</v>
      </c>
      <c r="AT43" s="123">
        <v>15.489000000000001</v>
      </c>
      <c r="AU43" s="123">
        <v>7.1849999999999996</v>
      </c>
      <c r="AV43" s="124">
        <v>16.335000000000001</v>
      </c>
      <c r="AW43" s="127">
        <v>5.0069999999999997</v>
      </c>
    </row>
    <row r="44" spans="1:49" x14ac:dyDescent="0.3">
      <c r="A44" s="129" t="s">
        <v>839</v>
      </c>
      <c r="B44" s="122">
        <v>1.1000000000000001</v>
      </c>
      <c r="C44" s="123">
        <v>24</v>
      </c>
      <c r="D44" s="123">
        <v>24.9</v>
      </c>
      <c r="E44" s="123">
        <v>2</v>
      </c>
      <c r="F44" s="123">
        <v>20.3</v>
      </c>
      <c r="G44" s="124">
        <v>26</v>
      </c>
      <c r="H44" s="122">
        <v>18.600000000000001</v>
      </c>
      <c r="I44" s="124">
        <v>51</v>
      </c>
      <c r="J44" s="122">
        <v>13.42</v>
      </c>
      <c r="K44" s="123">
        <v>12.46</v>
      </c>
      <c r="L44" s="124">
        <v>13.866</v>
      </c>
      <c r="M44" s="125" t="s">
        <v>1578</v>
      </c>
      <c r="N44" s="126" t="s">
        <v>1578</v>
      </c>
      <c r="O44" s="127">
        <v>1.929</v>
      </c>
      <c r="P44" s="122">
        <v>58.53</v>
      </c>
      <c r="Q44" s="123">
        <v>61.46</v>
      </c>
      <c r="R44" s="123">
        <v>114.35</v>
      </c>
      <c r="S44" s="124">
        <v>89.75</v>
      </c>
      <c r="T44" s="127">
        <v>118.69</v>
      </c>
      <c r="U44" s="127">
        <v>6.86</v>
      </c>
      <c r="V44" s="122">
        <v>15.02</v>
      </c>
      <c r="W44" s="123">
        <v>5.41</v>
      </c>
      <c r="X44" s="123">
        <v>0.35</v>
      </c>
      <c r="Y44" s="128" t="s">
        <v>1578</v>
      </c>
      <c r="Z44" s="126" t="s">
        <v>1578</v>
      </c>
      <c r="AA44" s="122">
        <v>37.69</v>
      </c>
      <c r="AB44" s="124">
        <v>168.41800000000001</v>
      </c>
      <c r="AC44" s="122">
        <v>43.43</v>
      </c>
      <c r="AD44" s="123">
        <v>33.457999999999998</v>
      </c>
      <c r="AE44" s="123">
        <v>7.3650000000000002</v>
      </c>
      <c r="AF44" s="124">
        <v>3.1</v>
      </c>
      <c r="AG44" s="122">
        <v>7.2649999999999997</v>
      </c>
      <c r="AH44" s="123">
        <v>4.3</v>
      </c>
      <c r="AI44" s="123">
        <v>9.3544199999999993</v>
      </c>
      <c r="AJ44" s="123">
        <v>12.371</v>
      </c>
      <c r="AK44" s="124">
        <v>12.7</v>
      </c>
      <c r="AL44" s="122">
        <v>15.96</v>
      </c>
      <c r="AM44" s="124">
        <v>16.25</v>
      </c>
      <c r="AN44" s="122">
        <v>16.094000000000001</v>
      </c>
      <c r="AO44" s="128" t="s">
        <v>1578</v>
      </c>
      <c r="AP44" s="128" t="s">
        <v>1578</v>
      </c>
      <c r="AQ44" s="128" t="s">
        <v>1578</v>
      </c>
      <c r="AR44" s="123">
        <v>6.0045200000000003</v>
      </c>
      <c r="AS44" s="128" t="s">
        <v>1578</v>
      </c>
      <c r="AT44" s="123">
        <v>15.489000000000001</v>
      </c>
      <c r="AU44" s="123">
        <v>7.1849999999999996</v>
      </c>
      <c r="AV44" s="124">
        <v>16.38</v>
      </c>
      <c r="AW44" s="127">
        <v>5.0069999999999997</v>
      </c>
    </row>
    <row r="45" spans="1:49" x14ac:dyDescent="0.3">
      <c r="A45" s="129" t="s">
        <v>840</v>
      </c>
      <c r="B45" s="122">
        <v>1.1000000000000001</v>
      </c>
      <c r="C45" s="123">
        <v>24</v>
      </c>
      <c r="D45" s="123">
        <v>24.9</v>
      </c>
      <c r="E45" s="123">
        <v>2</v>
      </c>
      <c r="F45" s="123">
        <v>20.3</v>
      </c>
      <c r="G45" s="124">
        <v>26</v>
      </c>
      <c r="H45" s="122">
        <v>18.600000000000001</v>
      </c>
      <c r="I45" s="124">
        <v>51</v>
      </c>
      <c r="J45" s="122">
        <v>13.42</v>
      </c>
      <c r="K45" s="123">
        <v>12.46</v>
      </c>
      <c r="L45" s="124">
        <v>13.866</v>
      </c>
      <c r="M45" s="125" t="s">
        <v>1578</v>
      </c>
      <c r="N45" s="126" t="s">
        <v>1578</v>
      </c>
      <c r="O45" s="127">
        <v>1.929</v>
      </c>
      <c r="P45" s="122">
        <v>58.53</v>
      </c>
      <c r="Q45" s="123">
        <v>61.46</v>
      </c>
      <c r="R45" s="123">
        <v>114.35</v>
      </c>
      <c r="S45" s="124">
        <v>89.75</v>
      </c>
      <c r="T45" s="127">
        <v>118.69</v>
      </c>
      <c r="U45" s="127">
        <v>6.86</v>
      </c>
      <c r="V45" s="122">
        <v>15.02</v>
      </c>
      <c r="W45" s="123">
        <v>5.41</v>
      </c>
      <c r="X45" s="123">
        <v>0.35</v>
      </c>
      <c r="Y45" s="128" t="s">
        <v>1578</v>
      </c>
      <c r="Z45" s="126" t="s">
        <v>1578</v>
      </c>
      <c r="AA45" s="122">
        <v>37.69</v>
      </c>
      <c r="AB45" s="124">
        <v>168.41800000000001</v>
      </c>
      <c r="AC45" s="122">
        <v>43.43</v>
      </c>
      <c r="AD45" s="123">
        <v>33.457999999999998</v>
      </c>
      <c r="AE45" s="123">
        <v>7.3650000000000002</v>
      </c>
      <c r="AF45" s="124">
        <v>3.1</v>
      </c>
      <c r="AG45" s="122">
        <v>7.2649999999999997</v>
      </c>
      <c r="AH45" s="123">
        <v>4.3</v>
      </c>
      <c r="AI45" s="123">
        <v>9.3544199999999993</v>
      </c>
      <c r="AJ45" s="123">
        <v>12.371</v>
      </c>
      <c r="AK45" s="124">
        <v>12.7</v>
      </c>
      <c r="AL45" s="122">
        <v>15.96</v>
      </c>
      <c r="AM45" s="124">
        <v>16.25</v>
      </c>
      <c r="AN45" s="122">
        <v>16.094000000000001</v>
      </c>
      <c r="AO45" s="128" t="s">
        <v>1578</v>
      </c>
      <c r="AP45" s="128" t="s">
        <v>1578</v>
      </c>
      <c r="AQ45" s="128" t="s">
        <v>1578</v>
      </c>
      <c r="AR45" s="123">
        <v>6.0045200000000003</v>
      </c>
      <c r="AS45" s="128" t="s">
        <v>1578</v>
      </c>
      <c r="AT45" s="123">
        <v>15.489000000000001</v>
      </c>
      <c r="AU45" s="123">
        <v>7.1849999999999996</v>
      </c>
      <c r="AV45" s="124">
        <v>16.38</v>
      </c>
      <c r="AW45" s="127">
        <v>5.0069999999999997</v>
      </c>
    </row>
    <row r="46" spans="1:49" x14ac:dyDescent="0.3">
      <c r="A46" s="129" t="s">
        <v>841</v>
      </c>
      <c r="B46" s="122">
        <v>1.1000000000000001</v>
      </c>
      <c r="C46" s="123">
        <v>24</v>
      </c>
      <c r="D46" s="123">
        <v>24.9</v>
      </c>
      <c r="E46" s="123">
        <v>2</v>
      </c>
      <c r="F46" s="123">
        <v>28</v>
      </c>
      <c r="G46" s="124">
        <v>26</v>
      </c>
      <c r="H46" s="122">
        <v>18.600000000000001</v>
      </c>
      <c r="I46" s="124">
        <v>51</v>
      </c>
      <c r="J46" s="122">
        <v>13.51</v>
      </c>
      <c r="K46" s="123">
        <v>12.58</v>
      </c>
      <c r="L46" s="124">
        <v>23.465</v>
      </c>
      <c r="M46" s="125" t="s">
        <v>1578</v>
      </c>
      <c r="N46" s="126" t="s">
        <v>1578</v>
      </c>
      <c r="O46" s="127">
        <v>1.929</v>
      </c>
      <c r="P46" s="122">
        <v>69.53</v>
      </c>
      <c r="Q46" s="123">
        <v>61.46</v>
      </c>
      <c r="R46" s="123">
        <v>122.4</v>
      </c>
      <c r="S46" s="124">
        <v>74.959999999999994</v>
      </c>
      <c r="T46" s="127">
        <v>118.83799999999999</v>
      </c>
      <c r="U46" s="127">
        <v>6.95</v>
      </c>
      <c r="V46" s="122">
        <v>15.02</v>
      </c>
      <c r="W46" s="123">
        <v>6.89</v>
      </c>
      <c r="X46" s="123">
        <v>0.33</v>
      </c>
      <c r="Y46" s="128" t="s">
        <v>1578</v>
      </c>
      <c r="Z46" s="126" t="s">
        <v>1578</v>
      </c>
      <c r="AA46" s="122">
        <v>42.28</v>
      </c>
      <c r="AB46" s="124">
        <v>173.00899999999999</v>
      </c>
      <c r="AC46" s="122">
        <v>40.628999999999998</v>
      </c>
      <c r="AD46" s="123">
        <v>36.073</v>
      </c>
      <c r="AE46" s="123">
        <v>10.845000000000001</v>
      </c>
      <c r="AF46" s="124">
        <v>0.3</v>
      </c>
      <c r="AG46" s="122">
        <v>7.2649999999999997</v>
      </c>
      <c r="AH46" s="123">
        <v>4.3</v>
      </c>
      <c r="AI46" s="123">
        <v>9.3617500000000007</v>
      </c>
      <c r="AJ46" s="123">
        <v>12.371</v>
      </c>
      <c r="AK46" s="124">
        <v>12.6</v>
      </c>
      <c r="AL46" s="122">
        <v>15.59</v>
      </c>
      <c r="AM46" s="124">
        <v>15.87</v>
      </c>
      <c r="AN46" s="122">
        <v>14.409000000000001</v>
      </c>
      <c r="AO46" s="128" t="s">
        <v>1578</v>
      </c>
      <c r="AP46" s="128" t="s">
        <v>1578</v>
      </c>
      <c r="AQ46" s="128" t="s">
        <v>1578</v>
      </c>
      <c r="AR46" s="123">
        <v>6.0045200000000003</v>
      </c>
      <c r="AS46" s="128" t="s">
        <v>1578</v>
      </c>
      <c r="AT46" s="123">
        <v>15.489000000000001</v>
      </c>
      <c r="AU46" s="123">
        <v>7.1849999999999996</v>
      </c>
      <c r="AV46" s="124">
        <v>16.216999999999999</v>
      </c>
      <c r="AW46" s="127">
        <v>5.0069999999999997</v>
      </c>
    </row>
    <row r="47" spans="1:49" x14ac:dyDescent="0.3">
      <c r="A47" s="129" t="s">
        <v>842</v>
      </c>
      <c r="B47" s="122">
        <v>1.1000000000000001</v>
      </c>
      <c r="C47" s="123">
        <v>24</v>
      </c>
      <c r="D47" s="123">
        <v>24.9</v>
      </c>
      <c r="E47" s="123">
        <v>2</v>
      </c>
      <c r="F47" s="123">
        <v>28</v>
      </c>
      <c r="G47" s="124">
        <v>26</v>
      </c>
      <c r="H47" s="122">
        <v>18.600000000000001</v>
      </c>
      <c r="I47" s="124">
        <v>51</v>
      </c>
      <c r="J47" s="122">
        <v>13.51</v>
      </c>
      <c r="K47" s="123">
        <v>12.58</v>
      </c>
      <c r="L47" s="124">
        <v>23.465</v>
      </c>
      <c r="M47" s="125" t="s">
        <v>1578</v>
      </c>
      <c r="N47" s="126" t="s">
        <v>1578</v>
      </c>
      <c r="O47" s="127">
        <v>1.929</v>
      </c>
      <c r="P47" s="122">
        <v>69.53</v>
      </c>
      <c r="Q47" s="123">
        <v>61.46</v>
      </c>
      <c r="R47" s="123">
        <v>122.4</v>
      </c>
      <c r="S47" s="124">
        <v>74.959999999999994</v>
      </c>
      <c r="T47" s="127">
        <v>118.83799999999999</v>
      </c>
      <c r="U47" s="127">
        <v>6.95</v>
      </c>
      <c r="V47" s="122">
        <v>15.02</v>
      </c>
      <c r="W47" s="123">
        <v>6.89</v>
      </c>
      <c r="X47" s="123">
        <v>0.33</v>
      </c>
      <c r="Y47" s="128" t="s">
        <v>1578</v>
      </c>
      <c r="Z47" s="126" t="s">
        <v>1578</v>
      </c>
      <c r="AA47" s="122">
        <v>42.28</v>
      </c>
      <c r="AB47" s="124">
        <v>173.00899999999999</v>
      </c>
      <c r="AC47" s="122">
        <v>40.628999999999998</v>
      </c>
      <c r="AD47" s="123">
        <v>36.073</v>
      </c>
      <c r="AE47" s="123">
        <v>10.845000000000001</v>
      </c>
      <c r="AF47" s="124">
        <v>0.3</v>
      </c>
      <c r="AG47" s="122">
        <v>7.2649999999999997</v>
      </c>
      <c r="AH47" s="123">
        <v>4.3</v>
      </c>
      <c r="AI47" s="123">
        <v>9.3617500000000007</v>
      </c>
      <c r="AJ47" s="123">
        <v>12.371</v>
      </c>
      <c r="AK47" s="124">
        <v>12.6</v>
      </c>
      <c r="AL47" s="122">
        <v>15.59</v>
      </c>
      <c r="AM47" s="124">
        <v>15.87</v>
      </c>
      <c r="AN47" s="122">
        <v>14.409000000000001</v>
      </c>
      <c r="AO47" s="128" t="s">
        <v>1578</v>
      </c>
      <c r="AP47" s="128" t="s">
        <v>1578</v>
      </c>
      <c r="AQ47" s="128" t="s">
        <v>1578</v>
      </c>
      <c r="AR47" s="123">
        <v>6.0045200000000003</v>
      </c>
      <c r="AS47" s="128" t="s">
        <v>1578</v>
      </c>
      <c r="AT47" s="123">
        <v>15.489000000000001</v>
      </c>
      <c r="AU47" s="123">
        <v>7.1849999999999996</v>
      </c>
      <c r="AV47" s="124">
        <v>16.216999999999999</v>
      </c>
      <c r="AW47" s="127">
        <v>5.0069999999999997</v>
      </c>
    </row>
    <row r="48" spans="1:49" x14ac:dyDescent="0.3">
      <c r="A48" s="129" t="s">
        <v>843</v>
      </c>
      <c r="B48" s="122">
        <v>1.1000000000000001</v>
      </c>
      <c r="C48" s="123">
        <v>24</v>
      </c>
      <c r="D48" s="123">
        <v>24.9</v>
      </c>
      <c r="E48" s="123">
        <v>2</v>
      </c>
      <c r="F48" s="123">
        <v>30.8</v>
      </c>
      <c r="G48" s="124">
        <v>26</v>
      </c>
      <c r="H48" s="122">
        <v>18.600000000000001</v>
      </c>
      <c r="I48" s="124">
        <v>51</v>
      </c>
      <c r="J48" s="122">
        <v>14.56</v>
      </c>
      <c r="K48" s="123">
        <v>12.49</v>
      </c>
      <c r="L48" s="124">
        <v>14.932</v>
      </c>
      <c r="M48" s="122">
        <v>1.07</v>
      </c>
      <c r="N48" s="124">
        <v>67.650000000000006</v>
      </c>
      <c r="O48" s="127">
        <v>1.929</v>
      </c>
      <c r="P48" s="122">
        <v>48.05</v>
      </c>
      <c r="Q48" s="123">
        <v>61.46</v>
      </c>
      <c r="R48" s="123">
        <v>125.5</v>
      </c>
      <c r="S48" s="124">
        <v>76.2</v>
      </c>
      <c r="T48" s="127">
        <v>119.148</v>
      </c>
      <c r="U48" s="127">
        <v>6.94</v>
      </c>
      <c r="V48" s="122">
        <v>15.02</v>
      </c>
      <c r="W48" s="123">
        <v>5.44</v>
      </c>
      <c r="X48" s="123">
        <v>0.32</v>
      </c>
      <c r="Y48" s="128" t="s">
        <v>1578</v>
      </c>
      <c r="Z48" s="126" t="s">
        <v>1578</v>
      </c>
      <c r="AA48" s="122">
        <v>36.35</v>
      </c>
      <c r="AB48" s="124">
        <v>167.07499999999999</v>
      </c>
      <c r="AC48" s="122">
        <v>40.572000000000003</v>
      </c>
      <c r="AD48" s="123">
        <v>35.99</v>
      </c>
      <c r="AE48" s="123">
        <v>10.417999999999999</v>
      </c>
      <c r="AF48" s="124">
        <v>0</v>
      </c>
      <c r="AG48" s="122">
        <v>7.2649999999999997</v>
      </c>
      <c r="AH48" s="123">
        <v>9.6999999999999993</v>
      </c>
      <c r="AI48" s="123">
        <v>9.1532599999999995</v>
      </c>
      <c r="AJ48" s="123">
        <v>12.371</v>
      </c>
      <c r="AK48" s="124">
        <v>12.6</v>
      </c>
      <c r="AL48" s="122">
        <v>15.81</v>
      </c>
      <c r="AM48" s="124">
        <v>16.100000000000001</v>
      </c>
      <c r="AN48" s="122">
        <v>14.409000000000001</v>
      </c>
      <c r="AO48" s="128" t="s">
        <v>1578</v>
      </c>
      <c r="AP48" s="128" t="s">
        <v>1578</v>
      </c>
      <c r="AQ48" s="128" t="s">
        <v>1578</v>
      </c>
      <c r="AR48" s="123">
        <v>6.0045200000000003</v>
      </c>
      <c r="AS48" s="128" t="s">
        <v>1578</v>
      </c>
      <c r="AT48" s="123">
        <v>15.489000000000001</v>
      </c>
      <c r="AU48" s="123">
        <v>7.1849999999999996</v>
      </c>
      <c r="AV48" s="124">
        <v>16.172000000000001</v>
      </c>
      <c r="AW48" s="127">
        <v>5.0069999999999997</v>
      </c>
    </row>
    <row r="49" spans="1:49" x14ac:dyDescent="0.3">
      <c r="A49" s="129" t="s">
        <v>844</v>
      </c>
      <c r="B49" s="122">
        <v>1.1000000000000001</v>
      </c>
      <c r="C49" s="123">
        <v>24</v>
      </c>
      <c r="D49" s="123">
        <v>24.9</v>
      </c>
      <c r="E49" s="123">
        <v>2</v>
      </c>
      <c r="F49" s="123">
        <v>30.8</v>
      </c>
      <c r="G49" s="124">
        <v>26</v>
      </c>
      <c r="H49" s="122">
        <v>18.600000000000001</v>
      </c>
      <c r="I49" s="124">
        <v>51</v>
      </c>
      <c r="J49" s="122">
        <v>14.56</v>
      </c>
      <c r="K49" s="123">
        <v>12.49</v>
      </c>
      <c r="L49" s="124">
        <v>14.932</v>
      </c>
      <c r="M49" s="122">
        <v>1.07</v>
      </c>
      <c r="N49" s="124">
        <v>67.650000000000006</v>
      </c>
      <c r="O49" s="127">
        <v>1.929</v>
      </c>
      <c r="P49" s="122">
        <v>48.05</v>
      </c>
      <c r="Q49" s="123">
        <v>61.46</v>
      </c>
      <c r="R49" s="123">
        <v>125.5</v>
      </c>
      <c r="S49" s="124">
        <v>76.2</v>
      </c>
      <c r="T49" s="127">
        <v>119.148</v>
      </c>
      <c r="U49" s="127">
        <v>6.94</v>
      </c>
      <c r="V49" s="122">
        <v>15.02</v>
      </c>
      <c r="W49" s="123">
        <v>5.44</v>
      </c>
      <c r="X49" s="123">
        <v>0.32</v>
      </c>
      <c r="Y49" s="128" t="s">
        <v>1578</v>
      </c>
      <c r="Z49" s="126" t="s">
        <v>1578</v>
      </c>
      <c r="AA49" s="122">
        <v>36.35</v>
      </c>
      <c r="AB49" s="124">
        <v>167.07499999999999</v>
      </c>
      <c r="AC49" s="122">
        <v>40.572000000000003</v>
      </c>
      <c r="AD49" s="123">
        <v>35.99</v>
      </c>
      <c r="AE49" s="123">
        <v>10.417999999999999</v>
      </c>
      <c r="AF49" s="124">
        <v>0</v>
      </c>
      <c r="AG49" s="122">
        <v>7.2649999999999997</v>
      </c>
      <c r="AH49" s="123">
        <v>9.6999999999999993</v>
      </c>
      <c r="AI49" s="123">
        <v>9.1532599999999995</v>
      </c>
      <c r="AJ49" s="123">
        <v>12.371</v>
      </c>
      <c r="AK49" s="124">
        <v>12.6</v>
      </c>
      <c r="AL49" s="122">
        <v>15.81</v>
      </c>
      <c r="AM49" s="124">
        <v>16.100000000000001</v>
      </c>
      <c r="AN49" s="122">
        <v>14.409000000000001</v>
      </c>
      <c r="AO49" s="128" t="s">
        <v>1578</v>
      </c>
      <c r="AP49" s="128" t="s">
        <v>1578</v>
      </c>
      <c r="AQ49" s="128" t="s">
        <v>1578</v>
      </c>
      <c r="AR49" s="123">
        <v>6.0045200000000003</v>
      </c>
      <c r="AS49" s="128" t="s">
        <v>1578</v>
      </c>
      <c r="AT49" s="123">
        <v>15.489000000000001</v>
      </c>
      <c r="AU49" s="123">
        <v>7.1849999999999996</v>
      </c>
      <c r="AV49" s="124">
        <v>16.172000000000001</v>
      </c>
      <c r="AW49" s="127">
        <v>5.0069999999999997</v>
      </c>
    </row>
    <row r="50" spans="1:49" x14ac:dyDescent="0.3">
      <c r="A50" s="129" t="s">
        <v>845</v>
      </c>
      <c r="B50" s="122">
        <v>1.1000000000000001</v>
      </c>
      <c r="C50" s="123">
        <v>24</v>
      </c>
      <c r="D50" s="123">
        <v>24.9</v>
      </c>
      <c r="E50" s="123">
        <v>2</v>
      </c>
      <c r="F50" s="123">
        <v>26.8</v>
      </c>
      <c r="G50" s="124">
        <v>26</v>
      </c>
      <c r="H50" s="122">
        <v>18.600000000000001</v>
      </c>
      <c r="I50" s="124">
        <v>51</v>
      </c>
      <c r="J50" s="122">
        <v>14.97</v>
      </c>
      <c r="K50" s="123">
        <v>12.66</v>
      </c>
      <c r="L50" s="124">
        <v>15.087</v>
      </c>
      <c r="M50" s="125" t="s">
        <v>1578</v>
      </c>
      <c r="N50" s="126" t="s">
        <v>1578</v>
      </c>
      <c r="O50" s="127">
        <v>1.929</v>
      </c>
      <c r="P50" s="122">
        <v>32.17</v>
      </c>
      <c r="Q50" s="123">
        <v>61.46</v>
      </c>
      <c r="R50" s="123">
        <v>125.5</v>
      </c>
      <c r="S50" s="124">
        <v>74.31</v>
      </c>
      <c r="T50" s="127">
        <v>119.10899999999999</v>
      </c>
      <c r="U50" s="127">
        <v>6.93</v>
      </c>
      <c r="V50" s="122">
        <v>15.02</v>
      </c>
      <c r="W50" s="123">
        <v>6.28</v>
      </c>
      <c r="X50" s="123">
        <v>0.32</v>
      </c>
      <c r="Y50" s="128" t="s">
        <v>1578</v>
      </c>
      <c r="Z50" s="126" t="s">
        <v>1578</v>
      </c>
      <c r="AA50" s="122">
        <v>50.31</v>
      </c>
      <c r="AB50" s="124">
        <v>181.03299999999999</v>
      </c>
      <c r="AC50" s="122">
        <v>40.055999999999997</v>
      </c>
      <c r="AD50" s="123">
        <v>35.956000000000003</v>
      </c>
      <c r="AE50" s="123">
        <v>9.77</v>
      </c>
      <c r="AF50" s="124">
        <v>0.1</v>
      </c>
      <c r="AG50" s="122">
        <v>7.2649999999999997</v>
      </c>
      <c r="AH50" s="123">
        <v>10.3</v>
      </c>
      <c r="AI50" s="123">
        <v>9.0912400000000009</v>
      </c>
      <c r="AJ50" s="123">
        <v>12.371</v>
      </c>
      <c r="AK50" s="124">
        <v>12.6</v>
      </c>
      <c r="AL50" s="122">
        <v>15.61</v>
      </c>
      <c r="AM50" s="124">
        <v>15.9</v>
      </c>
      <c r="AN50" s="122">
        <v>14.409000000000001</v>
      </c>
      <c r="AO50" s="128" t="s">
        <v>1578</v>
      </c>
      <c r="AP50" s="128" t="s">
        <v>1578</v>
      </c>
      <c r="AQ50" s="128" t="s">
        <v>1578</v>
      </c>
      <c r="AR50" s="123">
        <v>6.0045200000000003</v>
      </c>
      <c r="AS50" s="128" t="s">
        <v>1578</v>
      </c>
      <c r="AT50" s="123">
        <v>15.489000000000001</v>
      </c>
      <c r="AU50" s="123">
        <v>7.1849999999999996</v>
      </c>
      <c r="AV50" s="124">
        <v>16.335000000000001</v>
      </c>
      <c r="AW50" s="127">
        <v>5.0069999999999997</v>
      </c>
    </row>
    <row r="51" spans="1:49" x14ac:dyDescent="0.3">
      <c r="A51" s="129" t="s">
        <v>846</v>
      </c>
      <c r="B51" s="122">
        <v>1.1000000000000001</v>
      </c>
      <c r="C51" s="123">
        <v>24</v>
      </c>
      <c r="D51" s="123">
        <v>24.9</v>
      </c>
      <c r="E51" s="123">
        <v>2</v>
      </c>
      <c r="F51" s="123">
        <v>26.8</v>
      </c>
      <c r="G51" s="124">
        <v>26</v>
      </c>
      <c r="H51" s="122">
        <v>18.600000000000001</v>
      </c>
      <c r="I51" s="124">
        <v>51</v>
      </c>
      <c r="J51" s="122">
        <v>14.97</v>
      </c>
      <c r="K51" s="123">
        <v>12.66</v>
      </c>
      <c r="L51" s="124">
        <v>15.087</v>
      </c>
      <c r="M51" s="125" t="s">
        <v>1578</v>
      </c>
      <c r="N51" s="126" t="s">
        <v>1578</v>
      </c>
      <c r="O51" s="127">
        <v>1.929</v>
      </c>
      <c r="P51" s="122">
        <v>32.17</v>
      </c>
      <c r="Q51" s="123">
        <v>61.46</v>
      </c>
      <c r="R51" s="123">
        <v>125.5</v>
      </c>
      <c r="S51" s="124">
        <v>74.31</v>
      </c>
      <c r="T51" s="127">
        <v>119.10899999999999</v>
      </c>
      <c r="U51" s="127">
        <v>6.93</v>
      </c>
      <c r="V51" s="122">
        <v>15.02</v>
      </c>
      <c r="W51" s="123">
        <v>6.28</v>
      </c>
      <c r="X51" s="123">
        <v>0.32</v>
      </c>
      <c r="Y51" s="128" t="s">
        <v>1578</v>
      </c>
      <c r="Z51" s="126" t="s">
        <v>1578</v>
      </c>
      <c r="AA51" s="122">
        <v>50.31</v>
      </c>
      <c r="AB51" s="124">
        <v>181.03299999999999</v>
      </c>
      <c r="AC51" s="122">
        <v>40.055999999999997</v>
      </c>
      <c r="AD51" s="123">
        <v>35.956000000000003</v>
      </c>
      <c r="AE51" s="123">
        <v>9.77</v>
      </c>
      <c r="AF51" s="124">
        <v>0.1</v>
      </c>
      <c r="AG51" s="122">
        <v>7.2649999999999997</v>
      </c>
      <c r="AH51" s="123">
        <v>10.3</v>
      </c>
      <c r="AI51" s="123">
        <v>9.0912400000000009</v>
      </c>
      <c r="AJ51" s="123">
        <v>12.371</v>
      </c>
      <c r="AK51" s="124">
        <v>12.6</v>
      </c>
      <c r="AL51" s="122">
        <v>15.61</v>
      </c>
      <c r="AM51" s="124">
        <v>15.9</v>
      </c>
      <c r="AN51" s="122">
        <v>14.409000000000001</v>
      </c>
      <c r="AO51" s="128" t="s">
        <v>1578</v>
      </c>
      <c r="AP51" s="128" t="s">
        <v>1578</v>
      </c>
      <c r="AQ51" s="128" t="s">
        <v>1578</v>
      </c>
      <c r="AR51" s="123">
        <v>6.0045200000000003</v>
      </c>
      <c r="AS51" s="128" t="s">
        <v>1578</v>
      </c>
      <c r="AT51" s="123">
        <v>15.489000000000001</v>
      </c>
      <c r="AU51" s="123">
        <v>7.1849999999999996</v>
      </c>
      <c r="AV51" s="124">
        <v>16.335000000000001</v>
      </c>
      <c r="AW51" s="127">
        <v>5.0069999999999997</v>
      </c>
    </row>
    <row r="52" spans="1:49" x14ac:dyDescent="0.3">
      <c r="A52" s="129" t="s">
        <v>847</v>
      </c>
      <c r="B52" s="122">
        <v>1.1000000000000001</v>
      </c>
      <c r="C52" s="123">
        <v>24</v>
      </c>
      <c r="D52" s="123">
        <v>24.9</v>
      </c>
      <c r="E52" s="123">
        <v>2</v>
      </c>
      <c r="F52" s="123">
        <v>33.1</v>
      </c>
      <c r="G52" s="124">
        <v>26</v>
      </c>
      <c r="H52" s="122">
        <v>18.600000000000001</v>
      </c>
      <c r="I52" s="124">
        <v>51</v>
      </c>
      <c r="J52" s="122">
        <v>15.07</v>
      </c>
      <c r="K52" s="123">
        <v>12.66</v>
      </c>
      <c r="L52" s="124">
        <v>21.798999999999999</v>
      </c>
      <c r="M52" s="125" t="s">
        <v>1578</v>
      </c>
      <c r="N52" s="126" t="s">
        <v>1578</v>
      </c>
      <c r="O52" s="127">
        <v>1.929</v>
      </c>
      <c r="P52" s="122">
        <v>30.74</v>
      </c>
      <c r="Q52" s="123">
        <v>61.46</v>
      </c>
      <c r="R52" s="123">
        <v>123.43</v>
      </c>
      <c r="S52" s="124">
        <v>74.13</v>
      </c>
      <c r="T52" s="127">
        <v>119.157</v>
      </c>
      <c r="U52" s="127">
        <v>6.95</v>
      </c>
      <c r="V52" s="122">
        <v>15.02</v>
      </c>
      <c r="W52" s="123">
        <v>6.28</v>
      </c>
      <c r="X52" s="123">
        <v>0.32</v>
      </c>
      <c r="Y52" s="128" t="s">
        <v>1578</v>
      </c>
      <c r="Z52" s="126" t="s">
        <v>1578</v>
      </c>
      <c r="AA52" s="122">
        <v>51.77</v>
      </c>
      <c r="AB52" s="124">
        <v>182.501</v>
      </c>
      <c r="AC52" s="122">
        <v>40.237000000000002</v>
      </c>
      <c r="AD52" s="123">
        <v>35.655000000000001</v>
      </c>
      <c r="AE52" s="123">
        <v>6.069</v>
      </c>
      <c r="AF52" s="124">
        <v>0.2</v>
      </c>
      <c r="AG52" s="122">
        <v>7.2649999999999997</v>
      </c>
      <c r="AH52" s="123">
        <v>12.3</v>
      </c>
      <c r="AI52" s="123">
        <v>6.8300099999999997</v>
      </c>
      <c r="AJ52" s="123">
        <v>12.371</v>
      </c>
      <c r="AK52" s="124">
        <v>12.6</v>
      </c>
      <c r="AL52" s="122">
        <v>15.64</v>
      </c>
      <c r="AM52" s="124">
        <v>15.93</v>
      </c>
      <c r="AN52" s="122">
        <v>14.409000000000001</v>
      </c>
      <c r="AO52" s="128" t="s">
        <v>1578</v>
      </c>
      <c r="AP52" s="128" t="s">
        <v>1578</v>
      </c>
      <c r="AQ52" s="128" t="s">
        <v>1578</v>
      </c>
      <c r="AR52" s="123">
        <v>6.0045200000000003</v>
      </c>
      <c r="AS52" s="128" t="s">
        <v>1578</v>
      </c>
      <c r="AT52" s="123">
        <v>15.489000000000001</v>
      </c>
      <c r="AU52" s="123">
        <v>7.1849999999999996</v>
      </c>
      <c r="AV52" s="124">
        <v>16.056000000000001</v>
      </c>
      <c r="AW52" s="127">
        <v>5.0069999999999997</v>
      </c>
    </row>
    <row r="53" spans="1:49" x14ac:dyDescent="0.3">
      <c r="A53" s="129" t="s">
        <v>848</v>
      </c>
      <c r="B53" s="122">
        <v>1.1000000000000001</v>
      </c>
      <c r="C53" s="123">
        <v>24</v>
      </c>
      <c r="D53" s="123">
        <v>24.9</v>
      </c>
      <c r="E53" s="123">
        <v>2</v>
      </c>
      <c r="F53" s="123">
        <v>33.1</v>
      </c>
      <c r="G53" s="124">
        <v>26</v>
      </c>
      <c r="H53" s="122">
        <v>18.600000000000001</v>
      </c>
      <c r="I53" s="124">
        <v>51</v>
      </c>
      <c r="J53" s="122">
        <v>15.07</v>
      </c>
      <c r="K53" s="123">
        <v>12.66</v>
      </c>
      <c r="L53" s="124">
        <v>21.798999999999999</v>
      </c>
      <c r="M53" s="125" t="s">
        <v>1578</v>
      </c>
      <c r="N53" s="126" t="s">
        <v>1578</v>
      </c>
      <c r="O53" s="127">
        <v>1.929</v>
      </c>
      <c r="P53" s="122">
        <v>30.74</v>
      </c>
      <c r="Q53" s="123">
        <v>61.46</v>
      </c>
      <c r="R53" s="123">
        <v>123.43</v>
      </c>
      <c r="S53" s="124">
        <v>74.13</v>
      </c>
      <c r="T53" s="127">
        <v>119.157</v>
      </c>
      <c r="U53" s="127">
        <v>6.95</v>
      </c>
      <c r="V53" s="122">
        <v>15.02</v>
      </c>
      <c r="W53" s="123">
        <v>6.28</v>
      </c>
      <c r="X53" s="123">
        <v>0.32</v>
      </c>
      <c r="Y53" s="128" t="s">
        <v>1578</v>
      </c>
      <c r="Z53" s="126" t="s">
        <v>1578</v>
      </c>
      <c r="AA53" s="122">
        <v>51.77</v>
      </c>
      <c r="AB53" s="124">
        <v>182.501</v>
      </c>
      <c r="AC53" s="122">
        <v>40.237000000000002</v>
      </c>
      <c r="AD53" s="123">
        <v>35.655000000000001</v>
      </c>
      <c r="AE53" s="123">
        <v>6.069</v>
      </c>
      <c r="AF53" s="124">
        <v>0.2</v>
      </c>
      <c r="AG53" s="122">
        <v>7.2649999999999997</v>
      </c>
      <c r="AH53" s="123">
        <v>12.3</v>
      </c>
      <c r="AI53" s="123">
        <v>6.8300099999999997</v>
      </c>
      <c r="AJ53" s="123">
        <v>12.371</v>
      </c>
      <c r="AK53" s="124">
        <v>12.6</v>
      </c>
      <c r="AL53" s="122">
        <v>15.64</v>
      </c>
      <c r="AM53" s="124">
        <v>15.93</v>
      </c>
      <c r="AN53" s="122">
        <v>14.409000000000001</v>
      </c>
      <c r="AO53" s="128" t="s">
        <v>1578</v>
      </c>
      <c r="AP53" s="128" t="s">
        <v>1578</v>
      </c>
      <c r="AQ53" s="128" t="s">
        <v>1578</v>
      </c>
      <c r="AR53" s="123">
        <v>6.0045200000000003</v>
      </c>
      <c r="AS53" s="128" t="s">
        <v>1578</v>
      </c>
      <c r="AT53" s="123">
        <v>15.489000000000001</v>
      </c>
      <c r="AU53" s="123">
        <v>7.1849999999999996</v>
      </c>
      <c r="AV53" s="124">
        <v>16.056000000000001</v>
      </c>
      <c r="AW53" s="127">
        <v>5.0069999999999997</v>
      </c>
    </row>
    <row r="54" spans="1:49" x14ac:dyDescent="0.3">
      <c r="A54" s="129" t="s">
        <v>849</v>
      </c>
      <c r="B54" s="122">
        <v>1.1000000000000001</v>
      </c>
      <c r="C54" s="123">
        <v>24</v>
      </c>
      <c r="D54" s="123">
        <v>24.9</v>
      </c>
      <c r="E54" s="123">
        <v>2</v>
      </c>
      <c r="F54" s="123">
        <v>39.799999999999997</v>
      </c>
      <c r="G54" s="124">
        <v>26</v>
      </c>
      <c r="H54" s="122">
        <v>18.600000000000001</v>
      </c>
      <c r="I54" s="124">
        <v>51</v>
      </c>
      <c r="J54" s="122">
        <v>15.02</v>
      </c>
      <c r="K54" s="123">
        <v>12.67</v>
      </c>
      <c r="L54" s="124">
        <v>21.853999999999999</v>
      </c>
      <c r="M54" s="125" t="s">
        <v>1578</v>
      </c>
      <c r="N54" s="126" t="s">
        <v>1578</v>
      </c>
      <c r="O54" s="127">
        <v>1.929</v>
      </c>
      <c r="P54" s="122">
        <v>49.3</v>
      </c>
      <c r="Q54" s="123">
        <v>61.46</v>
      </c>
      <c r="R54" s="123">
        <v>125.5</v>
      </c>
      <c r="S54" s="124">
        <v>85.05</v>
      </c>
      <c r="T54" s="127">
        <v>119.027</v>
      </c>
      <c r="U54" s="127">
        <v>7</v>
      </c>
      <c r="V54" s="122">
        <v>15.02</v>
      </c>
      <c r="W54" s="123">
        <v>6.28</v>
      </c>
      <c r="X54" s="123">
        <v>0.32</v>
      </c>
      <c r="Y54" s="128" t="s">
        <v>1578</v>
      </c>
      <c r="Z54" s="126" t="s">
        <v>1578</v>
      </c>
      <c r="AA54" s="122">
        <v>47.34</v>
      </c>
      <c r="AB54" s="124">
        <v>178.06899999999999</v>
      </c>
      <c r="AC54" s="122">
        <v>41.874000000000002</v>
      </c>
      <c r="AD54" s="123">
        <v>34.396000000000001</v>
      </c>
      <c r="AE54" s="123">
        <v>6.3129999999999997</v>
      </c>
      <c r="AF54" s="124">
        <v>2.1</v>
      </c>
      <c r="AG54" s="122">
        <v>7.2649999999999997</v>
      </c>
      <c r="AH54" s="123">
        <v>12.2</v>
      </c>
      <c r="AI54" s="123">
        <v>6.32552</v>
      </c>
      <c r="AJ54" s="123">
        <v>12.371</v>
      </c>
      <c r="AK54" s="124">
        <v>12.6</v>
      </c>
      <c r="AL54" s="122">
        <v>15.71</v>
      </c>
      <c r="AM54" s="124">
        <v>16</v>
      </c>
      <c r="AN54" s="122">
        <v>14.409000000000001</v>
      </c>
      <c r="AO54" s="128" t="s">
        <v>1578</v>
      </c>
      <c r="AP54" s="128" t="s">
        <v>1578</v>
      </c>
      <c r="AQ54" s="128" t="s">
        <v>1578</v>
      </c>
      <c r="AR54" s="123">
        <v>6.0045200000000003</v>
      </c>
      <c r="AS54" s="128" t="s">
        <v>1578</v>
      </c>
      <c r="AT54" s="123">
        <v>15.489000000000001</v>
      </c>
      <c r="AU54" s="123">
        <v>7.1849999999999996</v>
      </c>
      <c r="AV54" s="124">
        <v>16.126999999999999</v>
      </c>
      <c r="AW54" s="127">
        <v>5.0069999999999997</v>
      </c>
    </row>
    <row r="55" spans="1:49" x14ac:dyDescent="0.3">
      <c r="A55" s="129" t="s">
        <v>850</v>
      </c>
      <c r="B55" s="122">
        <v>1.1000000000000001</v>
      </c>
      <c r="C55" s="123">
        <v>24</v>
      </c>
      <c r="D55" s="123">
        <v>24.9</v>
      </c>
      <c r="E55" s="123">
        <v>2</v>
      </c>
      <c r="F55" s="123">
        <v>39.799999999999997</v>
      </c>
      <c r="G55" s="124">
        <v>26</v>
      </c>
      <c r="H55" s="122">
        <v>18.600000000000001</v>
      </c>
      <c r="I55" s="124">
        <v>51</v>
      </c>
      <c r="J55" s="122">
        <v>15.02</v>
      </c>
      <c r="K55" s="123">
        <v>12.67</v>
      </c>
      <c r="L55" s="124">
        <v>21.853999999999999</v>
      </c>
      <c r="M55" s="125" t="s">
        <v>1578</v>
      </c>
      <c r="N55" s="126" t="s">
        <v>1578</v>
      </c>
      <c r="O55" s="127">
        <v>1.929</v>
      </c>
      <c r="P55" s="122">
        <v>49.3</v>
      </c>
      <c r="Q55" s="123">
        <v>61.46</v>
      </c>
      <c r="R55" s="123">
        <v>125.5</v>
      </c>
      <c r="S55" s="124">
        <v>85.05</v>
      </c>
      <c r="T55" s="127">
        <v>119.027</v>
      </c>
      <c r="U55" s="127">
        <v>7</v>
      </c>
      <c r="V55" s="122">
        <v>15.02</v>
      </c>
      <c r="W55" s="123">
        <v>6.28</v>
      </c>
      <c r="X55" s="123">
        <v>0.32</v>
      </c>
      <c r="Y55" s="128" t="s">
        <v>1578</v>
      </c>
      <c r="Z55" s="126" t="s">
        <v>1578</v>
      </c>
      <c r="AA55" s="122">
        <v>47.34</v>
      </c>
      <c r="AB55" s="124">
        <v>178.06899999999999</v>
      </c>
      <c r="AC55" s="122">
        <v>41.874000000000002</v>
      </c>
      <c r="AD55" s="123">
        <v>34.396000000000001</v>
      </c>
      <c r="AE55" s="123">
        <v>6.3129999999999997</v>
      </c>
      <c r="AF55" s="124">
        <v>2.1</v>
      </c>
      <c r="AG55" s="122">
        <v>7.2649999999999997</v>
      </c>
      <c r="AH55" s="123">
        <v>12.2</v>
      </c>
      <c r="AI55" s="123">
        <v>6.32552</v>
      </c>
      <c r="AJ55" s="123">
        <v>12.371</v>
      </c>
      <c r="AK55" s="124">
        <v>12.6</v>
      </c>
      <c r="AL55" s="122">
        <v>15.71</v>
      </c>
      <c r="AM55" s="124">
        <v>16</v>
      </c>
      <c r="AN55" s="122">
        <v>14.409000000000001</v>
      </c>
      <c r="AO55" s="128" t="s">
        <v>1578</v>
      </c>
      <c r="AP55" s="128" t="s">
        <v>1578</v>
      </c>
      <c r="AQ55" s="128" t="s">
        <v>1578</v>
      </c>
      <c r="AR55" s="123">
        <v>6.0045200000000003</v>
      </c>
      <c r="AS55" s="128" t="s">
        <v>1578</v>
      </c>
      <c r="AT55" s="123">
        <v>15.489000000000001</v>
      </c>
      <c r="AU55" s="123">
        <v>7.1849999999999996</v>
      </c>
      <c r="AV55" s="124">
        <v>16.126999999999999</v>
      </c>
      <c r="AW55" s="127">
        <v>5.0069999999999997</v>
      </c>
    </row>
    <row r="56" spans="1:49" x14ac:dyDescent="0.3">
      <c r="A56" s="129" t="s">
        <v>851</v>
      </c>
      <c r="B56" s="122">
        <v>1.1000000000000001</v>
      </c>
      <c r="C56" s="123">
        <v>24</v>
      </c>
      <c r="D56" s="123">
        <v>24.9</v>
      </c>
      <c r="E56" s="123">
        <v>2</v>
      </c>
      <c r="F56" s="123">
        <v>39.700000000000003</v>
      </c>
      <c r="G56" s="124">
        <v>26</v>
      </c>
      <c r="H56" s="122">
        <v>18.600000000000001</v>
      </c>
      <c r="I56" s="124">
        <v>51</v>
      </c>
      <c r="J56" s="122">
        <v>15.05</v>
      </c>
      <c r="K56" s="123">
        <v>12.63</v>
      </c>
      <c r="L56" s="124">
        <v>21.757000000000001</v>
      </c>
      <c r="M56" s="125" t="s">
        <v>1578</v>
      </c>
      <c r="N56" s="126" t="s">
        <v>1578</v>
      </c>
      <c r="O56" s="127">
        <v>1.929</v>
      </c>
      <c r="P56" s="122">
        <v>48.05</v>
      </c>
      <c r="Q56" s="123">
        <v>61.46</v>
      </c>
      <c r="R56" s="123">
        <v>137.27000000000001</v>
      </c>
      <c r="S56" s="124">
        <v>95.14</v>
      </c>
      <c r="T56" s="127">
        <v>119.06</v>
      </c>
      <c r="U56" s="127">
        <v>6.9</v>
      </c>
      <c r="V56" s="122">
        <v>15.02</v>
      </c>
      <c r="W56" s="123">
        <v>6.28</v>
      </c>
      <c r="X56" s="123">
        <v>0.32</v>
      </c>
      <c r="Y56" s="128" t="s">
        <v>1578</v>
      </c>
      <c r="Z56" s="126" t="s">
        <v>1578</v>
      </c>
      <c r="AA56" s="122">
        <v>59.4</v>
      </c>
      <c r="AB56" s="124">
        <v>181.03299999999999</v>
      </c>
      <c r="AC56" s="122">
        <v>40.518999999999998</v>
      </c>
      <c r="AD56" s="123">
        <v>34.484999999999999</v>
      </c>
      <c r="AE56" s="123">
        <v>8.7149999999999999</v>
      </c>
      <c r="AF56" s="124">
        <v>1.8</v>
      </c>
      <c r="AG56" s="122">
        <v>7.2649999999999997</v>
      </c>
      <c r="AH56" s="123">
        <v>12</v>
      </c>
      <c r="AI56" s="123">
        <v>6.34809</v>
      </c>
      <c r="AJ56" s="123">
        <v>12.371</v>
      </c>
      <c r="AK56" s="124">
        <v>12.6</v>
      </c>
      <c r="AL56" s="122">
        <v>15.62</v>
      </c>
      <c r="AM56" s="124">
        <v>15.91</v>
      </c>
      <c r="AN56" s="122">
        <v>14.409000000000001</v>
      </c>
      <c r="AO56" s="128" t="s">
        <v>1578</v>
      </c>
      <c r="AP56" s="128" t="s">
        <v>1578</v>
      </c>
      <c r="AQ56" s="128" t="s">
        <v>1578</v>
      </c>
      <c r="AR56" s="123">
        <v>6.0045200000000003</v>
      </c>
      <c r="AS56" s="128" t="s">
        <v>1578</v>
      </c>
      <c r="AT56" s="123">
        <v>15.489000000000001</v>
      </c>
      <c r="AU56" s="123">
        <v>7.1849999999999996</v>
      </c>
      <c r="AV56" s="124">
        <v>16.172000000000001</v>
      </c>
      <c r="AW56" s="127">
        <v>5.0069999999999997</v>
      </c>
    </row>
    <row r="57" spans="1:49" x14ac:dyDescent="0.3">
      <c r="A57" s="129" t="s">
        <v>852</v>
      </c>
      <c r="B57" s="122">
        <v>1.1000000000000001</v>
      </c>
      <c r="C57" s="123">
        <v>24</v>
      </c>
      <c r="D57" s="123">
        <v>24.9</v>
      </c>
      <c r="E57" s="123">
        <v>2</v>
      </c>
      <c r="F57" s="123">
        <v>39.700000000000003</v>
      </c>
      <c r="G57" s="124">
        <v>26</v>
      </c>
      <c r="H57" s="122">
        <v>18.600000000000001</v>
      </c>
      <c r="I57" s="124">
        <v>51</v>
      </c>
      <c r="J57" s="122">
        <v>15.05</v>
      </c>
      <c r="K57" s="123">
        <v>12.63</v>
      </c>
      <c r="L57" s="124">
        <v>21.757000000000001</v>
      </c>
      <c r="M57" s="125" t="s">
        <v>1578</v>
      </c>
      <c r="N57" s="126" t="s">
        <v>1578</v>
      </c>
      <c r="O57" s="127">
        <v>1.929</v>
      </c>
      <c r="P57" s="122">
        <v>48.05</v>
      </c>
      <c r="Q57" s="123">
        <v>61.46</v>
      </c>
      <c r="R57" s="123">
        <v>137.27000000000001</v>
      </c>
      <c r="S57" s="124">
        <v>95.14</v>
      </c>
      <c r="T57" s="127">
        <v>119.06</v>
      </c>
      <c r="U57" s="127">
        <v>6.9</v>
      </c>
      <c r="V57" s="122">
        <v>15.02</v>
      </c>
      <c r="W57" s="123">
        <v>6.28</v>
      </c>
      <c r="X57" s="123">
        <v>0.32</v>
      </c>
      <c r="Y57" s="128" t="s">
        <v>1578</v>
      </c>
      <c r="Z57" s="126" t="s">
        <v>1578</v>
      </c>
      <c r="AA57" s="122">
        <v>59.4</v>
      </c>
      <c r="AB57" s="124">
        <v>181.03299999999999</v>
      </c>
      <c r="AC57" s="122">
        <v>40.518999999999998</v>
      </c>
      <c r="AD57" s="123">
        <v>34.484999999999999</v>
      </c>
      <c r="AE57" s="123">
        <v>8.7149999999999999</v>
      </c>
      <c r="AF57" s="124">
        <v>1.8</v>
      </c>
      <c r="AG57" s="122">
        <v>7.2649999999999997</v>
      </c>
      <c r="AH57" s="123">
        <v>12</v>
      </c>
      <c r="AI57" s="123">
        <v>6.34809</v>
      </c>
      <c r="AJ57" s="123">
        <v>12.371</v>
      </c>
      <c r="AK57" s="124">
        <v>12.6</v>
      </c>
      <c r="AL57" s="122">
        <v>15.62</v>
      </c>
      <c r="AM57" s="124">
        <v>15.91</v>
      </c>
      <c r="AN57" s="122">
        <v>14.409000000000001</v>
      </c>
      <c r="AO57" s="128" t="s">
        <v>1578</v>
      </c>
      <c r="AP57" s="128" t="s">
        <v>1578</v>
      </c>
      <c r="AQ57" s="128" t="s">
        <v>1578</v>
      </c>
      <c r="AR57" s="123">
        <v>6.0045200000000003</v>
      </c>
      <c r="AS57" s="128" t="s">
        <v>1578</v>
      </c>
      <c r="AT57" s="123">
        <v>15.489000000000001</v>
      </c>
      <c r="AU57" s="123">
        <v>7.1849999999999996</v>
      </c>
      <c r="AV57" s="124">
        <v>16.172000000000001</v>
      </c>
      <c r="AW57" s="127">
        <v>5.0069999999999997</v>
      </c>
    </row>
    <row r="58" spans="1:49" x14ac:dyDescent="0.3">
      <c r="A58" s="129" t="s">
        <v>853</v>
      </c>
      <c r="B58" s="122">
        <v>1.1000000000000001</v>
      </c>
      <c r="C58" s="123">
        <v>24</v>
      </c>
      <c r="D58" s="123">
        <v>24.9</v>
      </c>
      <c r="E58" s="123">
        <v>2</v>
      </c>
      <c r="F58" s="123">
        <v>30.9</v>
      </c>
      <c r="G58" s="124">
        <v>26</v>
      </c>
      <c r="H58" s="122">
        <v>18.600000000000001</v>
      </c>
      <c r="I58" s="124">
        <v>51</v>
      </c>
      <c r="J58" s="122">
        <v>14.97</v>
      </c>
      <c r="K58" s="123">
        <v>12.68</v>
      </c>
      <c r="L58" s="124">
        <v>20.516999999999999</v>
      </c>
      <c r="M58" s="125" t="s">
        <v>1578</v>
      </c>
      <c r="N58" s="126" t="s">
        <v>1578</v>
      </c>
      <c r="O58" s="127">
        <v>1.929</v>
      </c>
      <c r="P58" s="122">
        <v>61.35</v>
      </c>
      <c r="Q58" s="123">
        <v>61.46</v>
      </c>
      <c r="R58" s="123">
        <v>146.22999999999999</v>
      </c>
      <c r="S58" s="124">
        <v>99.4</v>
      </c>
      <c r="T58" s="127">
        <v>118.95699999999999</v>
      </c>
      <c r="U58" s="127">
        <v>6.9</v>
      </c>
      <c r="V58" s="122">
        <v>15.02</v>
      </c>
      <c r="W58" s="123">
        <v>6.28</v>
      </c>
      <c r="X58" s="123">
        <v>0.32</v>
      </c>
      <c r="Y58" s="128" t="s">
        <v>1578</v>
      </c>
      <c r="Z58" s="126" t="s">
        <v>1578</v>
      </c>
      <c r="AA58" s="122">
        <v>60.86</v>
      </c>
      <c r="AB58" s="124">
        <v>182.501</v>
      </c>
      <c r="AC58" s="122">
        <v>40.31</v>
      </c>
      <c r="AD58" s="123">
        <v>34.177</v>
      </c>
      <c r="AE58" s="123">
        <v>10.68</v>
      </c>
      <c r="AF58" s="124">
        <v>1.8</v>
      </c>
      <c r="AG58" s="122">
        <v>7.2649999999999997</v>
      </c>
      <c r="AH58" s="123">
        <v>12</v>
      </c>
      <c r="AI58" s="123">
        <v>6.3151400000000004</v>
      </c>
      <c r="AJ58" s="123">
        <v>12.371</v>
      </c>
      <c r="AK58" s="124">
        <v>12.6</v>
      </c>
      <c r="AL58" s="122">
        <v>15.54</v>
      </c>
      <c r="AM58" s="124">
        <v>15.83</v>
      </c>
      <c r="AN58" s="122">
        <v>12.724</v>
      </c>
      <c r="AO58" s="123">
        <v>17.208210000000001</v>
      </c>
      <c r="AP58" s="123">
        <v>21.237680000000001</v>
      </c>
      <c r="AQ58" s="123">
        <v>19.789439999999999</v>
      </c>
      <c r="AR58" s="123">
        <v>6.0045200000000003</v>
      </c>
      <c r="AS58" s="128" t="s">
        <v>1578</v>
      </c>
      <c r="AT58" s="123">
        <v>15.489000000000001</v>
      </c>
      <c r="AU58" s="123">
        <v>7.1849999999999996</v>
      </c>
      <c r="AV58" s="124">
        <v>16.172000000000001</v>
      </c>
      <c r="AW58" s="127">
        <v>5.0069999999999997</v>
      </c>
    </row>
    <row r="59" spans="1:49" x14ac:dyDescent="0.3">
      <c r="A59" s="130" t="s">
        <v>854</v>
      </c>
      <c r="B59" s="131">
        <v>1.1000000000000001</v>
      </c>
      <c r="C59" s="132">
        <v>24</v>
      </c>
      <c r="D59" s="132">
        <v>24.9</v>
      </c>
      <c r="E59" s="132">
        <v>2</v>
      </c>
      <c r="F59" s="132">
        <v>30.9</v>
      </c>
      <c r="G59" s="133">
        <v>26</v>
      </c>
      <c r="H59" s="131">
        <v>18.600000000000001</v>
      </c>
      <c r="I59" s="133">
        <v>51</v>
      </c>
      <c r="J59" s="131">
        <v>14.97</v>
      </c>
      <c r="K59" s="132">
        <v>12.68</v>
      </c>
      <c r="L59" s="133">
        <v>20.516999999999999</v>
      </c>
      <c r="M59" s="134" t="s">
        <v>1578</v>
      </c>
      <c r="N59" s="135" t="s">
        <v>1578</v>
      </c>
      <c r="O59" s="136">
        <v>1.929</v>
      </c>
      <c r="P59" s="131">
        <v>61.35</v>
      </c>
      <c r="Q59" s="132">
        <v>61.46</v>
      </c>
      <c r="R59" s="132">
        <v>146.22999999999999</v>
      </c>
      <c r="S59" s="133">
        <v>99.4</v>
      </c>
      <c r="T59" s="136">
        <v>118.95699999999999</v>
      </c>
      <c r="U59" s="136">
        <v>6.9</v>
      </c>
      <c r="V59" s="131">
        <v>15.02</v>
      </c>
      <c r="W59" s="132">
        <v>6.28</v>
      </c>
      <c r="X59" s="132">
        <v>0.32</v>
      </c>
      <c r="Y59" s="137" t="s">
        <v>1578</v>
      </c>
      <c r="Z59" s="135" t="s">
        <v>1578</v>
      </c>
      <c r="AA59" s="131">
        <v>60.86</v>
      </c>
      <c r="AB59" s="133">
        <v>182.501</v>
      </c>
      <c r="AC59" s="131">
        <v>40.31</v>
      </c>
      <c r="AD59" s="132">
        <v>34.177</v>
      </c>
      <c r="AE59" s="132">
        <v>10.68</v>
      </c>
      <c r="AF59" s="133">
        <v>1.8</v>
      </c>
      <c r="AG59" s="131">
        <v>7.2649999999999997</v>
      </c>
      <c r="AH59" s="132">
        <v>12</v>
      </c>
      <c r="AI59" s="132">
        <v>6.3151400000000004</v>
      </c>
      <c r="AJ59" s="132">
        <v>12.371</v>
      </c>
      <c r="AK59" s="133">
        <v>12.6</v>
      </c>
      <c r="AL59" s="131">
        <v>15.54</v>
      </c>
      <c r="AM59" s="133">
        <v>15.83</v>
      </c>
      <c r="AN59" s="131">
        <v>12.724</v>
      </c>
      <c r="AO59" s="132">
        <v>17.208210000000001</v>
      </c>
      <c r="AP59" s="132">
        <v>21.237680000000001</v>
      </c>
      <c r="AQ59" s="132">
        <v>19.789439999999999</v>
      </c>
      <c r="AR59" s="132">
        <v>6.0045200000000003</v>
      </c>
      <c r="AS59" s="137" t="s">
        <v>1578</v>
      </c>
      <c r="AT59" s="132">
        <v>15.489000000000001</v>
      </c>
      <c r="AU59" s="132">
        <v>7.1849999999999996</v>
      </c>
      <c r="AV59" s="133">
        <v>16.172000000000001</v>
      </c>
      <c r="AW59" s="136">
        <v>5.0069999999999997</v>
      </c>
    </row>
    <row r="60" spans="1:49" x14ac:dyDescent="0.3">
      <c r="A60" s="138" t="s">
        <v>1507</v>
      </c>
      <c r="B60" s="139">
        <f t="shared" ref="B60:AW60" si="0">MIN(B12:B59)</f>
        <v>1</v>
      </c>
      <c r="C60" s="139">
        <f t="shared" si="0"/>
        <v>24</v>
      </c>
      <c r="D60" s="139">
        <f t="shared" si="0"/>
        <v>24.9</v>
      </c>
      <c r="E60" s="139">
        <f t="shared" si="0"/>
        <v>2</v>
      </c>
      <c r="F60" s="139">
        <f t="shared" si="0"/>
        <v>11.5</v>
      </c>
      <c r="G60" s="139">
        <f t="shared" si="0"/>
        <v>26</v>
      </c>
      <c r="H60" s="139">
        <f t="shared" si="0"/>
        <v>18.600000000000001</v>
      </c>
      <c r="I60" s="139">
        <f t="shared" si="0"/>
        <v>50</v>
      </c>
      <c r="J60" s="139">
        <f t="shared" si="0"/>
        <v>11.43</v>
      </c>
      <c r="K60" s="139">
        <f t="shared" si="0"/>
        <v>12.41</v>
      </c>
      <c r="L60" s="139">
        <f t="shared" si="0"/>
        <v>9.8829999999999991</v>
      </c>
      <c r="M60" s="139">
        <f t="shared" si="0"/>
        <v>1.07</v>
      </c>
      <c r="N60" s="139">
        <f t="shared" si="0"/>
        <v>67.650000000000006</v>
      </c>
      <c r="O60" s="139">
        <f t="shared" si="0"/>
        <v>1.929</v>
      </c>
      <c r="P60" s="139">
        <f t="shared" si="0"/>
        <v>16.91</v>
      </c>
      <c r="Q60" s="139">
        <f t="shared" si="0"/>
        <v>61.46</v>
      </c>
      <c r="R60" s="139">
        <f t="shared" si="0"/>
        <v>107.56</v>
      </c>
      <c r="S60" s="139">
        <f t="shared" si="0"/>
        <v>68.33</v>
      </c>
      <c r="T60" s="139">
        <f t="shared" si="0"/>
        <v>118.369</v>
      </c>
      <c r="U60" s="139">
        <f t="shared" si="0"/>
        <v>5.89</v>
      </c>
      <c r="V60" s="139">
        <f t="shared" si="0"/>
        <v>10.99</v>
      </c>
      <c r="W60" s="139">
        <f t="shared" si="0"/>
        <v>5.41</v>
      </c>
      <c r="X60" s="139">
        <f t="shared" si="0"/>
        <v>0.31</v>
      </c>
      <c r="Y60" s="139">
        <f t="shared" si="0"/>
        <v>0</v>
      </c>
      <c r="Z60" s="139">
        <f t="shared" si="0"/>
        <v>0</v>
      </c>
      <c r="AA60" s="139">
        <f t="shared" si="0"/>
        <v>36.35</v>
      </c>
      <c r="AB60" s="139">
        <f t="shared" si="0"/>
        <v>167.07499999999999</v>
      </c>
      <c r="AC60" s="139">
        <f t="shared" si="0"/>
        <v>40.055999999999997</v>
      </c>
      <c r="AD60" s="139">
        <f t="shared" si="0"/>
        <v>33.457999999999998</v>
      </c>
      <c r="AE60" s="139">
        <f t="shared" si="0"/>
        <v>4.83</v>
      </c>
      <c r="AF60" s="139">
        <f t="shared" si="0"/>
        <v>0</v>
      </c>
      <c r="AG60" s="139">
        <f t="shared" si="0"/>
        <v>7.2649999999999997</v>
      </c>
      <c r="AH60" s="139">
        <f t="shared" si="0"/>
        <v>2.8</v>
      </c>
      <c r="AI60" s="139">
        <f t="shared" si="0"/>
        <v>5.2944899999999997</v>
      </c>
      <c r="AJ60" s="139">
        <f t="shared" si="0"/>
        <v>12.371</v>
      </c>
      <c r="AK60" s="139">
        <f t="shared" si="0"/>
        <v>12.6</v>
      </c>
      <c r="AL60" s="139">
        <f t="shared" si="0"/>
        <v>13</v>
      </c>
      <c r="AM60" s="139">
        <f t="shared" si="0"/>
        <v>13.28</v>
      </c>
      <c r="AN60" s="139">
        <f t="shared" si="0"/>
        <v>12.724</v>
      </c>
      <c r="AO60" s="139">
        <f t="shared" si="0"/>
        <v>17.208210000000001</v>
      </c>
      <c r="AP60" s="139">
        <f t="shared" si="0"/>
        <v>15.055</v>
      </c>
      <c r="AQ60" s="139">
        <f t="shared" si="0"/>
        <v>19.789439999999999</v>
      </c>
      <c r="AR60" s="139">
        <f t="shared" si="0"/>
        <v>6.0045200000000003</v>
      </c>
      <c r="AS60" s="139">
        <f t="shared" si="0"/>
        <v>0</v>
      </c>
      <c r="AT60" s="139">
        <f t="shared" si="0"/>
        <v>15.489000000000001</v>
      </c>
      <c r="AU60" s="139">
        <f t="shared" si="0"/>
        <v>7.1849999999999996</v>
      </c>
      <c r="AV60" s="139">
        <f t="shared" si="0"/>
        <v>16.056000000000001</v>
      </c>
      <c r="AW60" s="140">
        <f t="shared" si="0"/>
        <v>5.0069999999999997</v>
      </c>
    </row>
    <row r="61" spans="1:49" x14ac:dyDescent="0.3">
      <c r="A61" s="141" t="s">
        <v>1506</v>
      </c>
      <c r="B61" s="142">
        <f t="shared" ref="B61:AW61" si="1">MAX(B12:B59)</f>
        <v>1.1000000000000001</v>
      </c>
      <c r="C61" s="142">
        <f t="shared" si="1"/>
        <v>24</v>
      </c>
      <c r="D61" s="142">
        <f t="shared" si="1"/>
        <v>24.9</v>
      </c>
      <c r="E61" s="142">
        <f t="shared" si="1"/>
        <v>2</v>
      </c>
      <c r="F61" s="142">
        <f t="shared" si="1"/>
        <v>39.799999999999997</v>
      </c>
      <c r="G61" s="142">
        <f t="shared" si="1"/>
        <v>26</v>
      </c>
      <c r="H61" s="142">
        <f t="shared" si="1"/>
        <v>20.3</v>
      </c>
      <c r="I61" s="142">
        <f t="shared" si="1"/>
        <v>52</v>
      </c>
      <c r="J61" s="142">
        <f t="shared" si="1"/>
        <v>15.07</v>
      </c>
      <c r="K61" s="142">
        <f t="shared" si="1"/>
        <v>12.68</v>
      </c>
      <c r="L61" s="142">
        <f t="shared" si="1"/>
        <v>23.465</v>
      </c>
      <c r="M61" s="142">
        <f t="shared" si="1"/>
        <v>1.07</v>
      </c>
      <c r="N61" s="142">
        <f t="shared" si="1"/>
        <v>72.8</v>
      </c>
      <c r="O61" s="142">
        <f t="shared" si="1"/>
        <v>1.929</v>
      </c>
      <c r="P61" s="142">
        <f t="shared" si="1"/>
        <v>81.709999999999994</v>
      </c>
      <c r="Q61" s="142">
        <f t="shared" si="1"/>
        <v>76.66</v>
      </c>
      <c r="R61" s="142">
        <f t="shared" si="1"/>
        <v>146.22999999999999</v>
      </c>
      <c r="S61" s="142">
        <f t="shared" si="1"/>
        <v>99.4</v>
      </c>
      <c r="T61" s="142">
        <f t="shared" si="1"/>
        <v>120.70099999999999</v>
      </c>
      <c r="U61" s="142">
        <f t="shared" si="1"/>
        <v>7</v>
      </c>
      <c r="V61" s="142">
        <f t="shared" si="1"/>
        <v>17.54</v>
      </c>
      <c r="W61" s="142">
        <f t="shared" si="1"/>
        <v>14.156000000000001</v>
      </c>
      <c r="X61" s="142">
        <f t="shared" si="1"/>
        <v>0.57999999999999996</v>
      </c>
      <c r="Y61" s="142">
        <f t="shared" si="1"/>
        <v>0</v>
      </c>
      <c r="Z61" s="142">
        <f t="shared" si="1"/>
        <v>0</v>
      </c>
      <c r="AA61" s="142">
        <f t="shared" si="1"/>
        <v>63.32</v>
      </c>
      <c r="AB61" s="142">
        <f t="shared" si="1"/>
        <v>187.48</v>
      </c>
      <c r="AC61" s="142">
        <f t="shared" si="1"/>
        <v>45.131999999999998</v>
      </c>
      <c r="AD61" s="142">
        <f t="shared" si="1"/>
        <v>44.405000000000001</v>
      </c>
      <c r="AE61" s="142">
        <f t="shared" si="1"/>
        <v>13.162000000000001</v>
      </c>
      <c r="AF61" s="142">
        <f t="shared" si="1"/>
        <v>5.9</v>
      </c>
      <c r="AG61" s="142">
        <f t="shared" si="1"/>
        <v>7.2649999999999997</v>
      </c>
      <c r="AH61" s="142">
        <f t="shared" si="1"/>
        <v>12.6</v>
      </c>
      <c r="AI61" s="142">
        <f t="shared" si="1"/>
        <v>9.6156900000000007</v>
      </c>
      <c r="AJ61" s="142">
        <f t="shared" si="1"/>
        <v>12.371</v>
      </c>
      <c r="AK61" s="142">
        <f t="shared" si="1"/>
        <v>12.7</v>
      </c>
      <c r="AL61" s="142">
        <f t="shared" si="1"/>
        <v>16.39</v>
      </c>
      <c r="AM61" s="142">
        <f t="shared" si="1"/>
        <v>16.68</v>
      </c>
      <c r="AN61" s="142">
        <f t="shared" si="1"/>
        <v>16.094000000000001</v>
      </c>
      <c r="AO61" s="142">
        <f t="shared" si="1"/>
        <v>17.208210000000001</v>
      </c>
      <c r="AP61" s="142">
        <f t="shared" si="1"/>
        <v>21.237680000000001</v>
      </c>
      <c r="AQ61" s="142">
        <f t="shared" si="1"/>
        <v>19.789439999999999</v>
      </c>
      <c r="AR61" s="142">
        <f t="shared" si="1"/>
        <v>6.5605799999999999</v>
      </c>
      <c r="AS61" s="142">
        <f t="shared" si="1"/>
        <v>0</v>
      </c>
      <c r="AT61" s="142">
        <f t="shared" si="1"/>
        <v>15.489000000000001</v>
      </c>
      <c r="AU61" s="142">
        <f t="shared" si="1"/>
        <v>9.8650000000000002</v>
      </c>
      <c r="AV61" s="142">
        <f t="shared" si="1"/>
        <v>16.38</v>
      </c>
      <c r="AW61" s="143">
        <f t="shared" si="1"/>
        <v>5.0069999999999997</v>
      </c>
    </row>
    <row r="62" spans="1:49" x14ac:dyDescent="0.3">
      <c r="A62" s="144" t="s">
        <v>1579</v>
      </c>
      <c r="B62" s="145">
        <f t="shared" ref="B62:AW62" si="2">AVERAGE(B12:B59)</f>
        <v>1.0875000000000006</v>
      </c>
      <c r="C62" s="145">
        <f t="shared" si="2"/>
        <v>24</v>
      </c>
      <c r="D62" s="145">
        <f t="shared" si="2"/>
        <v>24.900000000000002</v>
      </c>
      <c r="E62" s="145">
        <f t="shared" si="2"/>
        <v>2</v>
      </c>
      <c r="F62" s="145">
        <f t="shared" si="2"/>
        <v>23.612499999999997</v>
      </c>
      <c r="G62" s="145">
        <f t="shared" si="2"/>
        <v>26</v>
      </c>
      <c r="H62" s="145">
        <f t="shared" si="2"/>
        <v>19.620833333333341</v>
      </c>
      <c r="I62" s="145">
        <f t="shared" si="2"/>
        <v>51.208333333333336</v>
      </c>
      <c r="J62" s="145">
        <f t="shared" si="2"/>
        <v>13.417499999999999</v>
      </c>
      <c r="K62" s="145">
        <f t="shared" si="2"/>
        <v>12.547083333333328</v>
      </c>
      <c r="L62" s="145">
        <f t="shared" si="2"/>
        <v>13.417791666666666</v>
      </c>
      <c r="M62" s="145">
        <f t="shared" si="2"/>
        <v>1.07</v>
      </c>
      <c r="N62" s="145">
        <f t="shared" si="2"/>
        <v>70.224999999999994</v>
      </c>
      <c r="O62" s="145">
        <f t="shared" si="2"/>
        <v>1.9290000000000012</v>
      </c>
      <c r="P62" s="145">
        <f t="shared" si="2"/>
        <v>44.150416666666651</v>
      </c>
      <c r="Q62" s="145">
        <f t="shared" si="2"/>
        <v>62.85250000000002</v>
      </c>
      <c r="R62" s="145">
        <f t="shared" si="2"/>
        <v>121.53749999999998</v>
      </c>
      <c r="S62" s="145">
        <f t="shared" si="2"/>
        <v>85.253333333333316</v>
      </c>
      <c r="T62" s="145">
        <f t="shared" si="2"/>
        <v>119.45987500000008</v>
      </c>
      <c r="U62" s="145">
        <f t="shared" si="2"/>
        <v>6.3433333333333328</v>
      </c>
      <c r="V62" s="145">
        <f t="shared" si="2"/>
        <v>15.553749999999988</v>
      </c>
      <c r="W62" s="145">
        <f t="shared" si="2"/>
        <v>7.2547916666666596</v>
      </c>
      <c r="X62" s="145">
        <f t="shared" si="2"/>
        <v>0.40083333333333343</v>
      </c>
      <c r="Y62" s="145" t="e">
        <f t="shared" si="2"/>
        <v>#DIV/0!</v>
      </c>
      <c r="Z62" s="145" t="e">
        <f t="shared" si="2"/>
        <v>#DIV/0!</v>
      </c>
      <c r="AA62" s="145">
        <f t="shared" si="2"/>
        <v>49.58333333333335</v>
      </c>
      <c r="AB62" s="145">
        <f t="shared" si="2"/>
        <v>177.95254166666669</v>
      </c>
      <c r="AC62" s="145">
        <f t="shared" si="2"/>
        <v>41.912624999999998</v>
      </c>
      <c r="AD62" s="145">
        <f t="shared" si="2"/>
        <v>36.400541666666655</v>
      </c>
      <c r="AE62" s="145">
        <f t="shared" si="2"/>
        <v>9.2857916666666682</v>
      </c>
      <c r="AF62" s="145">
        <f t="shared" si="2"/>
        <v>2.1083333333333321</v>
      </c>
      <c r="AG62" s="145">
        <f t="shared" si="2"/>
        <v>7.2649999999999908</v>
      </c>
      <c r="AH62" s="145">
        <f t="shared" si="2"/>
        <v>8.8458333333333368</v>
      </c>
      <c r="AI62" s="145">
        <f t="shared" si="2"/>
        <v>6.729203749999999</v>
      </c>
      <c r="AJ62" s="145">
        <f t="shared" si="2"/>
        <v>12.37099999999999</v>
      </c>
      <c r="AK62" s="145">
        <f t="shared" si="2"/>
        <v>12.670833333333334</v>
      </c>
      <c r="AL62" s="145">
        <f t="shared" si="2"/>
        <v>15.560416666666667</v>
      </c>
      <c r="AM62" s="145">
        <f t="shared" si="2"/>
        <v>15.847916666666668</v>
      </c>
      <c r="AN62" s="145">
        <f t="shared" si="2"/>
        <v>14.970666666666665</v>
      </c>
      <c r="AO62" s="145">
        <f t="shared" si="2"/>
        <v>17.208210000000001</v>
      </c>
      <c r="AP62" s="145">
        <f t="shared" si="2"/>
        <v>18.146339999999999</v>
      </c>
      <c r="AQ62" s="145">
        <f t="shared" si="2"/>
        <v>19.789439999999999</v>
      </c>
      <c r="AR62" s="145">
        <f t="shared" si="2"/>
        <v>6.0709416666666733</v>
      </c>
      <c r="AS62" s="145" t="e">
        <f t="shared" si="2"/>
        <v>#DIV/0!</v>
      </c>
      <c r="AT62" s="145">
        <f t="shared" si="2"/>
        <v>15.489000000000003</v>
      </c>
      <c r="AU62" s="145">
        <f t="shared" si="2"/>
        <v>7.5051250000000005</v>
      </c>
      <c r="AV62" s="145">
        <f t="shared" si="2"/>
        <v>16.277958333333334</v>
      </c>
      <c r="AW62" s="146">
        <f t="shared" si="2"/>
        <v>5.0070000000000032</v>
      </c>
    </row>
    <row r="63" spans="1:49" x14ac:dyDescent="0.3">
      <c r="A63" s="147" t="s">
        <v>7</v>
      </c>
      <c r="B63" s="142">
        <f t="shared" ref="B63:AW63" si="3">B12</f>
        <v>1.1000000000000001</v>
      </c>
      <c r="C63" s="142">
        <f t="shared" si="3"/>
        <v>24</v>
      </c>
      <c r="D63" s="142">
        <f t="shared" si="3"/>
        <v>24.9</v>
      </c>
      <c r="E63" s="142">
        <f t="shared" si="3"/>
        <v>2</v>
      </c>
      <c r="F63" s="142">
        <f t="shared" si="3"/>
        <v>19.399999999999999</v>
      </c>
      <c r="G63" s="142">
        <f t="shared" si="3"/>
        <v>26</v>
      </c>
      <c r="H63" s="142">
        <f t="shared" si="3"/>
        <v>19.399999999999999</v>
      </c>
      <c r="I63" s="142">
        <f t="shared" si="3"/>
        <v>50</v>
      </c>
      <c r="J63" s="142">
        <f t="shared" si="3"/>
        <v>12.95</v>
      </c>
      <c r="K63" s="142">
        <f t="shared" si="3"/>
        <v>12.41</v>
      </c>
      <c r="L63" s="142">
        <f t="shared" si="3"/>
        <v>16.231000000000002</v>
      </c>
      <c r="M63" s="142" t="str">
        <f t="shared" si="3"/>
        <v>--</v>
      </c>
      <c r="N63" s="142" t="str">
        <f t="shared" si="3"/>
        <v>--</v>
      </c>
      <c r="O63" s="142">
        <f t="shared" si="3"/>
        <v>1.929</v>
      </c>
      <c r="P63" s="142">
        <f t="shared" si="3"/>
        <v>80.86</v>
      </c>
      <c r="Q63" s="142">
        <f t="shared" si="3"/>
        <v>61.46</v>
      </c>
      <c r="R63" s="142">
        <f t="shared" si="3"/>
        <v>135.09</v>
      </c>
      <c r="S63" s="142">
        <f t="shared" si="3"/>
        <v>77.25</v>
      </c>
      <c r="T63" s="142">
        <f t="shared" si="3"/>
        <v>120.217</v>
      </c>
      <c r="U63" s="142">
        <f t="shared" si="3"/>
        <v>5.89</v>
      </c>
      <c r="V63" s="142">
        <f t="shared" si="3"/>
        <v>10.99</v>
      </c>
      <c r="W63" s="142">
        <f t="shared" si="3"/>
        <v>6.6609999999999996</v>
      </c>
      <c r="X63" s="142">
        <f t="shared" si="3"/>
        <v>0.57999999999999996</v>
      </c>
      <c r="Y63" s="142" t="str">
        <f t="shared" si="3"/>
        <v>--</v>
      </c>
      <c r="Z63" s="142" t="str">
        <f t="shared" si="3"/>
        <v>--</v>
      </c>
      <c r="AA63" s="142">
        <f t="shared" si="3"/>
        <v>61.95</v>
      </c>
      <c r="AB63" s="142">
        <f t="shared" si="3"/>
        <v>183.072</v>
      </c>
      <c r="AC63" s="142">
        <f t="shared" si="3"/>
        <v>40.960999999999999</v>
      </c>
      <c r="AD63" s="142">
        <f t="shared" si="3"/>
        <v>33.978000000000002</v>
      </c>
      <c r="AE63" s="142">
        <f t="shared" si="3"/>
        <v>7.83</v>
      </c>
      <c r="AF63" s="142">
        <f t="shared" si="3"/>
        <v>3.3</v>
      </c>
      <c r="AG63" s="142">
        <f t="shared" si="3"/>
        <v>7.2649999999999997</v>
      </c>
      <c r="AH63" s="142">
        <f t="shared" si="3"/>
        <v>12.3</v>
      </c>
      <c r="AI63" s="142">
        <f t="shared" si="3"/>
        <v>5.30105</v>
      </c>
      <c r="AJ63" s="142">
        <f t="shared" si="3"/>
        <v>12.371</v>
      </c>
      <c r="AK63" s="142">
        <f t="shared" si="3"/>
        <v>12.7</v>
      </c>
      <c r="AL63" s="142">
        <f t="shared" si="3"/>
        <v>15.41</v>
      </c>
      <c r="AM63" s="142">
        <f t="shared" si="3"/>
        <v>15.7</v>
      </c>
      <c r="AN63" s="142">
        <f t="shared" si="3"/>
        <v>16.094000000000001</v>
      </c>
      <c r="AO63" s="142" t="str">
        <f t="shared" si="3"/>
        <v>--</v>
      </c>
      <c r="AP63" s="142">
        <f t="shared" si="3"/>
        <v>15.055</v>
      </c>
      <c r="AQ63" s="142" t="str">
        <f t="shared" si="3"/>
        <v>--</v>
      </c>
      <c r="AR63" s="142">
        <f t="shared" si="3"/>
        <v>6.5605799999999999</v>
      </c>
      <c r="AS63" s="142" t="str">
        <f t="shared" si="3"/>
        <v>--</v>
      </c>
      <c r="AT63" s="142">
        <f t="shared" si="3"/>
        <v>15.489000000000001</v>
      </c>
      <c r="AU63" s="142">
        <f t="shared" si="3"/>
        <v>9.8650000000000002</v>
      </c>
      <c r="AV63" s="142">
        <f t="shared" si="3"/>
        <v>16.38</v>
      </c>
      <c r="AW63" s="142">
        <f t="shared" si="3"/>
        <v>5.0069999999999997</v>
      </c>
    </row>
    <row r="64" spans="1:49" x14ac:dyDescent="0.3">
      <c r="A64" s="147" t="s">
        <v>8</v>
      </c>
      <c r="B64" s="142">
        <f t="shared" ref="B64:AW64" si="4">B59</f>
        <v>1.1000000000000001</v>
      </c>
      <c r="C64" s="142">
        <f t="shared" si="4"/>
        <v>24</v>
      </c>
      <c r="D64" s="142">
        <f t="shared" si="4"/>
        <v>24.9</v>
      </c>
      <c r="E64" s="142">
        <f t="shared" si="4"/>
        <v>2</v>
      </c>
      <c r="F64" s="142">
        <f t="shared" si="4"/>
        <v>30.9</v>
      </c>
      <c r="G64" s="142">
        <f t="shared" si="4"/>
        <v>26</v>
      </c>
      <c r="H64" s="142">
        <f t="shared" si="4"/>
        <v>18.600000000000001</v>
      </c>
      <c r="I64" s="142">
        <f t="shared" si="4"/>
        <v>51</v>
      </c>
      <c r="J64" s="142">
        <f t="shared" si="4"/>
        <v>14.97</v>
      </c>
      <c r="K64" s="142">
        <f t="shared" si="4"/>
        <v>12.68</v>
      </c>
      <c r="L64" s="142">
        <f t="shared" si="4"/>
        <v>20.516999999999999</v>
      </c>
      <c r="M64" s="142" t="str">
        <f t="shared" si="4"/>
        <v>--</v>
      </c>
      <c r="N64" s="142" t="str">
        <f t="shared" si="4"/>
        <v>--</v>
      </c>
      <c r="O64" s="142">
        <f t="shared" si="4"/>
        <v>1.929</v>
      </c>
      <c r="P64" s="142">
        <f t="shared" si="4"/>
        <v>61.35</v>
      </c>
      <c r="Q64" s="142">
        <f t="shared" si="4"/>
        <v>61.46</v>
      </c>
      <c r="R64" s="142">
        <f t="shared" si="4"/>
        <v>146.22999999999999</v>
      </c>
      <c r="S64" s="142">
        <f t="shared" si="4"/>
        <v>99.4</v>
      </c>
      <c r="T64" s="142">
        <f t="shared" si="4"/>
        <v>118.95699999999999</v>
      </c>
      <c r="U64" s="142">
        <f t="shared" si="4"/>
        <v>6.9</v>
      </c>
      <c r="V64" s="142">
        <f t="shared" si="4"/>
        <v>15.02</v>
      </c>
      <c r="W64" s="142">
        <f t="shared" si="4"/>
        <v>6.28</v>
      </c>
      <c r="X64" s="142">
        <f t="shared" si="4"/>
        <v>0.32</v>
      </c>
      <c r="Y64" s="142" t="str">
        <f t="shared" si="4"/>
        <v>--</v>
      </c>
      <c r="Z64" s="142" t="str">
        <f t="shared" si="4"/>
        <v>--</v>
      </c>
      <c r="AA64" s="142">
        <f t="shared" si="4"/>
        <v>60.86</v>
      </c>
      <c r="AB64" s="142">
        <f t="shared" si="4"/>
        <v>182.501</v>
      </c>
      <c r="AC64" s="142">
        <f t="shared" si="4"/>
        <v>40.31</v>
      </c>
      <c r="AD64" s="142">
        <f t="shared" si="4"/>
        <v>34.177</v>
      </c>
      <c r="AE64" s="142">
        <f t="shared" si="4"/>
        <v>10.68</v>
      </c>
      <c r="AF64" s="142">
        <f t="shared" si="4"/>
        <v>1.8</v>
      </c>
      <c r="AG64" s="142">
        <f t="shared" si="4"/>
        <v>7.2649999999999997</v>
      </c>
      <c r="AH64" s="142">
        <f t="shared" si="4"/>
        <v>12</v>
      </c>
      <c r="AI64" s="142">
        <f t="shared" si="4"/>
        <v>6.3151400000000004</v>
      </c>
      <c r="AJ64" s="142">
        <f t="shared" si="4"/>
        <v>12.371</v>
      </c>
      <c r="AK64" s="142">
        <f t="shared" si="4"/>
        <v>12.6</v>
      </c>
      <c r="AL64" s="142">
        <f t="shared" si="4"/>
        <v>15.54</v>
      </c>
      <c r="AM64" s="142">
        <f t="shared" si="4"/>
        <v>15.83</v>
      </c>
      <c r="AN64" s="142">
        <f t="shared" si="4"/>
        <v>12.724</v>
      </c>
      <c r="AO64" s="142">
        <f t="shared" si="4"/>
        <v>17.208210000000001</v>
      </c>
      <c r="AP64" s="142">
        <f t="shared" si="4"/>
        <v>21.237680000000001</v>
      </c>
      <c r="AQ64" s="142">
        <f t="shared" si="4"/>
        <v>19.789439999999999</v>
      </c>
      <c r="AR64" s="142">
        <f t="shared" si="4"/>
        <v>6.0045200000000003</v>
      </c>
      <c r="AS64" s="142" t="str">
        <f t="shared" si="4"/>
        <v>--</v>
      </c>
      <c r="AT64" s="142">
        <f t="shared" si="4"/>
        <v>15.489000000000001</v>
      </c>
      <c r="AU64" s="142">
        <f t="shared" si="4"/>
        <v>7.1849999999999996</v>
      </c>
      <c r="AV64" s="142">
        <f t="shared" si="4"/>
        <v>16.172000000000001</v>
      </c>
      <c r="AW64" s="142">
        <f t="shared" si="4"/>
        <v>5.0069999999999997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8"/>
      <c r="C66" s="1" t="s">
        <v>1580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0" t="s">
        <v>3</v>
      </c>
      <c r="B5" s="120" t="s">
        <v>80</v>
      </c>
      <c r="C5" s="120" t="s">
        <v>83</v>
      </c>
      <c r="D5" s="120" t="s">
        <v>606</v>
      </c>
      <c r="E5" s="120" t="s">
        <v>130</v>
      </c>
      <c r="F5" s="120" t="s">
        <v>130</v>
      </c>
      <c r="G5" s="120" t="s">
        <v>130</v>
      </c>
      <c r="H5" s="120" t="s">
        <v>151</v>
      </c>
      <c r="I5" s="120" t="s">
        <v>151</v>
      </c>
      <c r="J5" s="120" t="s">
        <v>151</v>
      </c>
      <c r="K5" s="120" t="s">
        <v>151</v>
      </c>
      <c r="L5" s="120" t="s">
        <v>151</v>
      </c>
      <c r="M5" s="120" t="s">
        <v>151</v>
      </c>
      <c r="N5" s="120" t="s">
        <v>151</v>
      </c>
      <c r="O5" s="120" t="s">
        <v>151</v>
      </c>
      <c r="P5" s="120" t="s">
        <v>93</v>
      </c>
      <c r="Q5" s="120" t="s">
        <v>93</v>
      </c>
      <c r="R5" s="120" t="s">
        <v>93</v>
      </c>
      <c r="S5" s="120" t="s">
        <v>122</v>
      </c>
      <c r="T5" s="120" t="s">
        <v>122</v>
      </c>
      <c r="U5" s="120" t="s">
        <v>602</v>
      </c>
      <c r="V5" s="120" t="s">
        <v>28</v>
      </c>
      <c r="W5" s="120" t="s">
        <v>75</v>
      </c>
      <c r="X5" s="120" t="s">
        <v>75</v>
      </c>
      <c r="Y5" s="120" t="s">
        <v>603</v>
      </c>
      <c r="Z5" s="120" t="s">
        <v>603</v>
      </c>
      <c r="AA5" s="120" t="s">
        <v>70</v>
      </c>
      <c r="AB5" s="120" t="s">
        <v>70</v>
      </c>
      <c r="AC5" s="120" t="s">
        <v>106</v>
      </c>
      <c r="AD5" s="120" t="s">
        <v>286</v>
      </c>
    </row>
    <row r="6" spans="1:30" ht="26.4" x14ac:dyDescent="0.3">
      <c r="A6" s="120" t="s">
        <v>1514</v>
      </c>
      <c r="B6" s="120" t="s">
        <v>273</v>
      </c>
      <c r="C6" s="120" t="s">
        <v>1581</v>
      </c>
      <c r="D6" s="120" t="s">
        <v>1582</v>
      </c>
      <c r="E6" s="120" t="s">
        <v>1531</v>
      </c>
      <c r="F6" s="120" t="s">
        <v>1531</v>
      </c>
      <c r="G6" s="120" t="s">
        <v>1531</v>
      </c>
      <c r="H6" s="120" t="s">
        <v>273</v>
      </c>
      <c r="I6" s="120" t="s">
        <v>1524</v>
      </c>
      <c r="J6" s="120" t="s">
        <v>1533</v>
      </c>
      <c r="K6" s="120" t="s">
        <v>1583</v>
      </c>
      <c r="L6" s="120" t="s">
        <v>273</v>
      </c>
      <c r="M6" s="120" t="s">
        <v>273</v>
      </c>
      <c r="N6" s="120" t="s">
        <v>1584</v>
      </c>
      <c r="O6" s="120" t="s">
        <v>1584</v>
      </c>
      <c r="P6" s="120" t="s">
        <v>1524</v>
      </c>
      <c r="Q6" s="120" t="s">
        <v>1524</v>
      </c>
      <c r="R6" s="120" t="s">
        <v>1528</v>
      </c>
      <c r="S6" s="120" t="s">
        <v>1528</v>
      </c>
      <c r="T6" s="120" t="s">
        <v>1529</v>
      </c>
      <c r="U6" s="120" t="s">
        <v>1519</v>
      </c>
      <c r="V6" s="120" t="s">
        <v>1585</v>
      </c>
      <c r="W6" s="120" t="s">
        <v>1518</v>
      </c>
      <c r="X6" s="120" t="s">
        <v>1518</v>
      </c>
      <c r="Y6" s="120" t="s">
        <v>603</v>
      </c>
      <c r="Z6" s="120" t="s">
        <v>603</v>
      </c>
      <c r="AA6" s="120" t="s">
        <v>1515</v>
      </c>
      <c r="AB6" s="120" t="s">
        <v>1515</v>
      </c>
      <c r="AC6" s="120" t="s">
        <v>273</v>
      </c>
      <c r="AD6" s="120" t="s">
        <v>1531</v>
      </c>
    </row>
    <row r="7" spans="1:30" ht="26.4" x14ac:dyDescent="0.3">
      <c r="A7" s="120" t="s">
        <v>1536</v>
      </c>
      <c r="B7" s="120" t="s">
        <v>1537</v>
      </c>
      <c r="C7" s="120" t="s">
        <v>1537</v>
      </c>
      <c r="D7" s="120" t="s">
        <v>1537</v>
      </c>
      <c r="E7" s="120" t="s">
        <v>1537</v>
      </c>
      <c r="F7" s="120" t="s">
        <v>1537</v>
      </c>
      <c r="G7" s="120" t="s">
        <v>1537</v>
      </c>
      <c r="H7" s="120" t="s">
        <v>1537</v>
      </c>
      <c r="I7" s="120" t="s">
        <v>1537</v>
      </c>
      <c r="J7" s="120" t="s">
        <v>1537</v>
      </c>
      <c r="K7" s="120" t="s">
        <v>1537</v>
      </c>
      <c r="L7" s="120" t="s">
        <v>1537</v>
      </c>
      <c r="M7" s="120" t="s">
        <v>1537</v>
      </c>
      <c r="N7" s="120" t="s">
        <v>1537</v>
      </c>
      <c r="O7" s="120" t="s">
        <v>1537</v>
      </c>
      <c r="P7" s="120" t="s">
        <v>1537</v>
      </c>
      <c r="Q7" s="120" t="s">
        <v>1537</v>
      </c>
      <c r="R7" s="120" t="s">
        <v>1537</v>
      </c>
      <c r="S7" s="120" t="s">
        <v>1537</v>
      </c>
      <c r="T7" s="120" t="s">
        <v>1537</v>
      </c>
      <c r="U7" s="120" t="s">
        <v>1537</v>
      </c>
      <c r="V7" s="120" t="s">
        <v>1537</v>
      </c>
      <c r="W7" s="120" t="s">
        <v>1537</v>
      </c>
      <c r="X7" s="120" t="s">
        <v>1537</v>
      </c>
      <c r="Y7" s="120" t="s">
        <v>1537</v>
      </c>
      <c r="Z7" s="120" t="s">
        <v>1537</v>
      </c>
      <c r="AA7" s="120" t="s">
        <v>1537</v>
      </c>
      <c r="AB7" s="120" t="s">
        <v>1537</v>
      </c>
      <c r="AC7" s="120" t="s">
        <v>1537</v>
      </c>
      <c r="AD7" s="120" t="s">
        <v>1537</v>
      </c>
    </row>
    <row r="8" spans="1:30" ht="39.6" x14ac:dyDescent="0.3">
      <c r="A8" s="120" t="s">
        <v>6</v>
      </c>
      <c r="B8" s="120" t="s">
        <v>1586</v>
      </c>
      <c r="C8" s="120" t="s">
        <v>1587</v>
      </c>
      <c r="D8" s="120" t="s">
        <v>1588</v>
      </c>
      <c r="E8" s="120" t="s">
        <v>1589</v>
      </c>
      <c r="F8" s="120" t="s">
        <v>1590</v>
      </c>
      <c r="G8" s="120" t="s">
        <v>1591</v>
      </c>
      <c r="H8" s="120" t="s">
        <v>1592</v>
      </c>
      <c r="I8" s="120" t="s">
        <v>1593</v>
      </c>
      <c r="J8" s="120" t="s">
        <v>1594</v>
      </c>
      <c r="K8" s="120" t="s">
        <v>1595</v>
      </c>
      <c r="L8" s="120" t="s">
        <v>1592</v>
      </c>
      <c r="M8" s="120" t="s">
        <v>1596</v>
      </c>
      <c r="N8" s="120" t="s">
        <v>1597</v>
      </c>
      <c r="O8" s="120" t="s">
        <v>1535</v>
      </c>
      <c r="P8" s="120" t="s">
        <v>1553</v>
      </c>
      <c r="Q8" s="120" t="s">
        <v>1553</v>
      </c>
      <c r="R8" s="120" t="s">
        <v>1526</v>
      </c>
      <c r="S8" s="120" t="s">
        <v>1598</v>
      </c>
      <c r="T8" s="120" t="s">
        <v>1558</v>
      </c>
      <c r="U8" s="120" t="s">
        <v>1599</v>
      </c>
      <c r="V8" s="120" t="s">
        <v>1600</v>
      </c>
      <c r="W8" s="120" t="s">
        <v>1543</v>
      </c>
      <c r="X8" s="120" t="s">
        <v>1544</v>
      </c>
      <c r="Y8" s="120" t="s">
        <v>1601</v>
      </c>
      <c r="Z8" s="120" t="s">
        <v>1602</v>
      </c>
      <c r="AA8" s="120" t="s">
        <v>1541</v>
      </c>
      <c r="AB8" s="120" t="s">
        <v>1603</v>
      </c>
      <c r="AC8" s="120" t="s">
        <v>1604</v>
      </c>
      <c r="AD8" s="120" t="s">
        <v>1605</v>
      </c>
    </row>
    <row r="9" spans="1:30" ht="26.4" x14ac:dyDescent="0.3">
      <c r="A9" s="120" t="s">
        <v>1153</v>
      </c>
      <c r="B9" s="120" t="s">
        <v>1606</v>
      </c>
      <c r="C9" s="120" t="s">
        <v>1607</v>
      </c>
      <c r="D9" s="120" t="s">
        <v>1607</v>
      </c>
      <c r="E9" s="120" t="s">
        <v>1607</v>
      </c>
      <c r="F9" s="120" t="s">
        <v>1607</v>
      </c>
      <c r="G9" s="120" t="s">
        <v>1607</v>
      </c>
      <c r="H9" s="120" t="s">
        <v>1606</v>
      </c>
      <c r="I9" s="120" t="s">
        <v>1607</v>
      </c>
      <c r="J9" s="120" t="s">
        <v>1607</v>
      </c>
      <c r="K9" s="120" t="s">
        <v>1607</v>
      </c>
      <c r="L9" s="120" t="s">
        <v>1607</v>
      </c>
      <c r="M9" s="120" t="s">
        <v>1607</v>
      </c>
      <c r="N9" s="120" t="s">
        <v>1607</v>
      </c>
      <c r="O9" s="120" t="s">
        <v>1607</v>
      </c>
      <c r="P9" s="120" t="s">
        <v>1606</v>
      </c>
      <c r="Q9" s="120" t="s">
        <v>1607</v>
      </c>
      <c r="R9" s="120" t="s">
        <v>1607</v>
      </c>
      <c r="S9" s="120" t="s">
        <v>1607</v>
      </c>
      <c r="T9" s="120" t="s">
        <v>965</v>
      </c>
      <c r="U9" s="120" t="s">
        <v>1607</v>
      </c>
      <c r="V9" s="120" t="s">
        <v>1607</v>
      </c>
      <c r="W9" s="120" t="s">
        <v>1607</v>
      </c>
      <c r="X9" s="120" t="s">
        <v>1607</v>
      </c>
      <c r="Y9" s="120" t="s">
        <v>1607</v>
      </c>
      <c r="Z9" s="120" t="s">
        <v>1607</v>
      </c>
      <c r="AA9" s="120" t="s">
        <v>1607</v>
      </c>
      <c r="AB9" s="120" t="s">
        <v>1607</v>
      </c>
      <c r="AC9" s="120" t="s">
        <v>1607</v>
      </c>
      <c r="AD9" s="120" t="s">
        <v>1607</v>
      </c>
    </row>
    <row r="10" spans="1:30" x14ac:dyDescent="0.3">
      <c r="A10" s="120" t="s">
        <v>63</v>
      </c>
      <c r="B10" s="120" t="s">
        <v>1608</v>
      </c>
      <c r="C10" s="120" t="s">
        <v>1609</v>
      </c>
      <c r="D10" s="120" t="s">
        <v>1609</v>
      </c>
      <c r="E10" s="120" t="s">
        <v>1609</v>
      </c>
      <c r="F10" s="120" t="s">
        <v>1609</v>
      </c>
      <c r="G10" s="120" t="s">
        <v>1609</v>
      </c>
      <c r="H10" s="120" t="s">
        <v>1608</v>
      </c>
      <c r="I10" s="120" t="s">
        <v>1609</v>
      </c>
      <c r="J10" s="120" t="s">
        <v>1609</v>
      </c>
      <c r="K10" s="120" t="s">
        <v>1609</v>
      </c>
      <c r="L10" s="120" t="s">
        <v>1609</v>
      </c>
      <c r="M10" s="120" t="s">
        <v>1609</v>
      </c>
      <c r="N10" s="120" t="s">
        <v>1609</v>
      </c>
      <c r="O10" s="120" t="s">
        <v>1609</v>
      </c>
      <c r="P10" s="120" t="s">
        <v>1608</v>
      </c>
      <c r="Q10" s="120" t="s">
        <v>1609</v>
      </c>
      <c r="R10" s="120" t="s">
        <v>1609</v>
      </c>
      <c r="S10" s="120" t="s">
        <v>1609</v>
      </c>
      <c r="T10" s="120" t="s">
        <v>1609</v>
      </c>
      <c r="U10" s="120" t="s">
        <v>1609</v>
      </c>
      <c r="V10" s="120" t="s">
        <v>1609</v>
      </c>
      <c r="W10" s="120" t="s">
        <v>1609</v>
      </c>
      <c r="X10" s="120" t="s">
        <v>1609</v>
      </c>
      <c r="Y10" s="120" t="s">
        <v>1609</v>
      </c>
      <c r="Z10" s="120" t="s">
        <v>1609</v>
      </c>
      <c r="AA10" s="120" t="s">
        <v>1609</v>
      </c>
      <c r="AB10" s="120" t="s">
        <v>1609</v>
      </c>
      <c r="AC10" s="120" t="s">
        <v>1609</v>
      </c>
      <c r="AD10" s="120" t="s">
        <v>1609</v>
      </c>
    </row>
    <row r="11" spans="1:30" x14ac:dyDescent="0.3">
      <c r="A11" s="121" t="s">
        <v>68</v>
      </c>
      <c r="B11" s="149">
        <v>2695</v>
      </c>
      <c r="C11" s="149">
        <v>7.1417099999999998</v>
      </c>
      <c r="D11" s="149">
        <v>0.59835000000000005</v>
      </c>
      <c r="E11" s="149">
        <v>0.19500000000000001</v>
      </c>
      <c r="F11" s="149">
        <v>0.20599999999999999</v>
      </c>
      <c r="G11" s="149">
        <v>2.4070000000000001E-2</v>
      </c>
      <c r="H11" s="149">
        <v>3874.9028899999998</v>
      </c>
      <c r="I11" s="121" t="s">
        <v>1578</v>
      </c>
      <c r="J11" s="121" t="s">
        <v>1578</v>
      </c>
      <c r="K11" s="149">
        <v>0.37161</v>
      </c>
      <c r="L11" s="149">
        <v>21.965489999999999</v>
      </c>
      <c r="M11" s="121" t="s">
        <v>1578</v>
      </c>
      <c r="N11" s="149">
        <v>0.26491999999999999</v>
      </c>
      <c r="O11" s="149">
        <v>0.28564000000000001</v>
      </c>
      <c r="P11" s="149">
        <v>2412.27</v>
      </c>
      <c r="Q11" s="149">
        <v>0.996</v>
      </c>
      <c r="R11" s="121" t="s">
        <v>1578</v>
      </c>
      <c r="S11" s="149">
        <v>6.9000000000000006E-2</v>
      </c>
      <c r="T11" s="149">
        <v>0.307</v>
      </c>
      <c r="U11" s="121" t="s">
        <v>1578</v>
      </c>
      <c r="V11" s="149">
        <v>261.04300000000001</v>
      </c>
      <c r="W11" s="149">
        <v>0.13800000000000001</v>
      </c>
      <c r="X11" s="149">
        <v>2.7E-2</v>
      </c>
      <c r="Y11" s="149">
        <v>56.3</v>
      </c>
      <c r="Z11" s="149">
        <v>7.6999999999999999E-2</v>
      </c>
      <c r="AA11" s="149">
        <v>0.46572999999999998</v>
      </c>
      <c r="AB11" s="149">
        <v>0.12644</v>
      </c>
      <c r="AC11" s="149">
        <v>7.5</v>
      </c>
      <c r="AD11" s="149">
        <v>0.38700000000000001</v>
      </c>
    </row>
    <row r="12" spans="1:30" x14ac:dyDescent="0.3">
      <c r="A12" s="129" t="s">
        <v>808</v>
      </c>
      <c r="B12" s="127">
        <v>2695</v>
      </c>
      <c r="C12" s="127">
        <v>7.1417099999999998</v>
      </c>
      <c r="D12" s="127">
        <v>0.59835000000000005</v>
      </c>
      <c r="E12" s="127">
        <v>0.19500000000000001</v>
      </c>
      <c r="F12" s="127">
        <v>0.20599999999999999</v>
      </c>
      <c r="G12" s="127">
        <v>2.4070000000000001E-2</v>
      </c>
      <c r="H12" s="127">
        <v>3874.9028899999998</v>
      </c>
      <c r="I12" s="129" t="s">
        <v>1578</v>
      </c>
      <c r="J12" s="129" t="s">
        <v>1578</v>
      </c>
      <c r="K12" s="127">
        <v>0.37161</v>
      </c>
      <c r="L12" s="127">
        <v>21.965489999999999</v>
      </c>
      <c r="M12" s="129" t="s">
        <v>1578</v>
      </c>
      <c r="N12" s="127">
        <v>0.26491999999999999</v>
      </c>
      <c r="O12" s="127">
        <v>0.28564000000000001</v>
      </c>
      <c r="P12" s="127">
        <v>2412.27</v>
      </c>
      <c r="Q12" s="127">
        <v>0.996</v>
      </c>
      <c r="R12" s="129" t="s">
        <v>1578</v>
      </c>
      <c r="S12" s="127">
        <v>6.9000000000000006E-2</v>
      </c>
      <c r="T12" s="127">
        <v>0.307</v>
      </c>
      <c r="U12" s="129" t="s">
        <v>1578</v>
      </c>
      <c r="V12" s="127">
        <v>261.04300000000001</v>
      </c>
      <c r="W12" s="127">
        <v>0.13800000000000001</v>
      </c>
      <c r="X12" s="127">
        <v>2.7E-2</v>
      </c>
      <c r="Y12" s="127">
        <v>56.3</v>
      </c>
      <c r="Z12" s="127">
        <v>7.6999999999999999E-2</v>
      </c>
      <c r="AA12" s="127">
        <v>0.46572999999999998</v>
      </c>
      <c r="AB12" s="127">
        <v>0.12644</v>
      </c>
      <c r="AC12" s="127">
        <v>7.5</v>
      </c>
      <c r="AD12" s="127">
        <v>0.38700000000000001</v>
      </c>
    </row>
    <row r="13" spans="1:30" x14ac:dyDescent="0.3">
      <c r="A13" s="129" t="s">
        <v>809</v>
      </c>
      <c r="B13" s="127">
        <v>2695</v>
      </c>
      <c r="C13" s="127">
        <v>7.3117200000000002</v>
      </c>
      <c r="D13" s="127">
        <v>0.71299999999999997</v>
      </c>
      <c r="E13" s="127">
        <v>0.19700000000000001</v>
      </c>
      <c r="F13" s="127">
        <v>0.221</v>
      </c>
      <c r="G13" s="127">
        <v>2.8389999999999999E-2</v>
      </c>
      <c r="H13" s="127">
        <v>3874.9266699999998</v>
      </c>
      <c r="I13" s="129" t="s">
        <v>1578</v>
      </c>
      <c r="J13" s="129" t="s">
        <v>1578</v>
      </c>
      <c r="K13" s="127">
        <v>0.39223999999999998</v>
      </c>
      <c r="L13" s="127">
        <v>22.025459999999999</v>
      </c>
      <c r="M13" s="129" t="s">
        <v>1578</v>
      </c>
      <c r="N13" s="127">
        <v>0.25974999999999998</v>
      </c>
      <c r="O13" s="127">
        <v>0.27975</v>
      </c>
      <c r="P13" s="127">
        <v>2412.27</v>
      </c>
      <c r="Q13" s="127">
        <v>0.996</v>
      </c>
      <c r="R13" s="129" t="s">
        <v>1578</v>
      </c>
      <c r="S13" s="127">
        <v>8.2000000000000003E-2</v>
      </c>
      <c r="T13" s="127">
        <v>0.36399999999999999</v>
      </c>
      <c r="U13" s="129" t="s">
        <v>1578</v>
      </c>
      <c r="V13" s="127">
        <v>261.04399999999998</v>
      </c>
      <c r="W13" s="127">
        <v>0.15</v>
      </c>
      <c r="X13" s="127">
        <v>2.5999999999999999E-2</v>
      </c>
      <c r="Y13" s="127">
        <v>56.3</v>
      </c>
      <c r="Z13" s="127">
        <v>7.0999999999999994E-2</v>
      </c>
      <c r="AA13" s="127">
        <v>0.45612000000000003</v>
      </c>
      <c r="AB13" s="127">
        <v>0.13241</v>
      </c>
      <c r="AC13" s="127">
        <v>7.53</v>
      </c>
      <c r="AD13" s="127">
        <v>0.38100000000000001</v>
      </c>
    </row>
    <row r="14" spans="1:30" x14ac:dyDescent="0.3">
      <c r="A14" s="129" t="s">
        <v>810</v>
      </c>
      <c r="B14" s="127">
        <v>2695</v>
      </c>
      <c r="C14" s="127">
        <v>7.3117200000000002</v>
      </c>
      <c r="D14" s="127">
        <v>0.71299999999999997</v>
      </c>
      <c r="E14" s="127">
        <v>0.19700000000000001</v>
      </c>
      <c r="F14" s="127">
        <v>0.221</v>
      </c>
      <c r="G14" s="127">
        <v>2.8389999999999999E-2</v>
      </c>
      <c r="H14" s="127">
        <v>3874.9266699999998</v>
      </c>
      <c r="I14" s="129" t="s">
        <v>1578</v>
      </c>
      <c r="J14" s="129" t="s">
        <v>1578</v>
      </c>
      <c r="K14" s="127">
        <v>0.39223999999999998</v>
      </c>
      <c r="L14" s="127">
        <v>22.025459999999999</v>
      </c>
      <c r="M14" s="129" t="s">
        <v>1578</v>
      </c>
      <c r="N14" s="127">
        <v>0.25974999999999998</v>
      </c>
      <c r="O14" s="127">
        <v>0.27975</v>
      </c>
      <c r="P14" s="127">
        <v>2412.27</v>
      </c>
      <c r="Q14" s="127">
        <v>0.996</v>
      </c>
      <c r="R14" s="129" t="s">
        <v>1578</v>
      </c>
      <c r="S14" s="127">
        <v>8.2000000000000003E-2</v>
      </c>
      <c r="T14" s="127">
        <v>0.36399999999999999</v>
      </c>
      <c r="U14" s="129" t="s">
        <v>1578</v>
      </c>
      <c r="V14" s="127">
        <v>261.04399999999998</v>
      </c>
      <c r="W14" s="127">
        <v>0.15</v>
      </c>
      <c r="X14" s="127">
        <v>2.5999999999999999E-2</v>
      </c>
      <c r="Y14" s="127">
        <v>56.3</v>
      </c>
      <c r="Z14" s="127">
        <v>7.0999999999999994E-2</v>
      </c>
      <c r="AA14" s="127">
        <v>0.45612000000000003</v>
      </c>
      <c r="AB14" s="127">
        <v>0.13241</v>
      </c>
      <c r="AC14" s="127">
        <v>7.53</v>
      </c>
      <c r="AD14" s="127">
        <v>0.38100000000000001</v>
      </c>
    </row>
    <row r="15" spans="1:30" x14ac:dyDescent="0.3">
      <c r="A15" s="129" t="s">
        <v>811</v>
      </c>
      <c r="B15" s="127">
        <v>2695</v>
      </c>
      <c r="C15" s="127">
        <v>7.4804500000000003</v>
      </c>
      <c r="D15" s="127">
        <v>0.77300000000000002</v>
      </c>
      <c r="E15" s="127">
        <v>0.20799999999999999</v>
      </c>
      <c r="F15" s="127">
        <v>0.222</v>
      </c>
      <c r="G15" s="127">
        <v>3.1150000000000001E-2</v>
      </c>
      <c r="H15" s="127">
        <v>3874.95928</v>
      </c>
      <c r="I15" s="129" t="s">
        <v>1578</v>
      </c>
      <c r="J15" s="129" t="s">
        <v>1578</v>
      </c>
      <c r="K15" s="127">
        <v>0.41260999999999998</v>
      </c>
      <c r="L15" s="127">
        <v>22.107790000000001</v>
      </c>
      <c r="M15" s="129" t="s">
        <v>1578</v>
      </c>
      <c r="N15" s="127">
        <v>0.26491999999999999</v>
      </c>
      <c r="O15" s="127">
        <v>0.26811000000000001</v>
      </c>
      <c r="P15" s="127">
        <v>2412.2199999999998</v>
      </c>
      <c r="Q15" s="127">
        <v>0.98899999999999999</v>
      </c>
      <c r="R15" s="129" t="s">
        <v>1578</v>
      </c>
      <c r="S15" s="127">
        <v>9.4E-2</v>
      </c>
      <c r="T15" s="127">
        <v>0.42299999999999999</v>
      </c>
      <c r="U15" s="129" t="s">
        <v>1578</v>
      </c>
      <c r="V15" s="127">
        <v>261.04500000000002</v>
      </c>
      <c r="W15" s="127">
        <v>0.14499999999999999</v>
      </c>
      <c r="X15" s="127">
        <v>2.3E-2</v>
      </c>
      <c r="Y15" s="127">
        <v>56.3</v>
      </c>
      <c r="Z15" s="127">
        <v>7.9000000000000001E-2</v>
      </c>
      <c r="AA15" s="127">
        <v>0.46572999999999998</v>
      </c>
      <c r="AB15" s="127">
        <v>0.12578</v>
      </c>
      <c r="AC15" s="127">
        <v>7.52</v>
      </c>
      <c r="AD15" s="127">
        <v>0.374</v>
      </c>
    </row>
    <row r="16" spans="1:30" x14ac:dyDescent="0.3">
      <c r="A16" s="129" t="s">
        <v>812</v>
      </c>
      <c r="B16" s="127">
        <v>2695</v>
      </c>
      <c r="C16" s="127">
        <v>7.4804500000000003</v>
      </c>
      <c r="D16" s="127">
        <v>0.77300000000000002</v>
      </c>
      <c r="E16" s="127">
        <v>0.20799999999999999</v>
      </c>
      <c r="F16" s="127">
        <v>0.222</v>
      </c>
      <c r="G16" s="127">
        <v>3.1150000000000001E-2</v>
      </c>
      <c r="H16" s="127">
        <v>3874.95928</v>
      </c>
      <c r="I16" s="129" t="s">
        <v>1578</v>
      </c>
      <c r="J16" s="129" t="s">
        <v>1578</v>
      </c>
      <c r="K16" s="127">
        <v>0.41260999999999998</v>
      </c>
      <c r="L16" s="127">
        <v>22.107790000000001</v>
      </c>
      <c r="M16" s="129" t="s">
        <v>1578</v>
      </c>
      <c r="N16" s="127">
        <v>0.26491999999999999</v>
      </c>
      <c r="O16" s="127">
        <v>0.26811000000000001</v>
      </c>
      <c r="P16" s="127">
        <v>2412.2199999999998</v>
      </c>
      <c r="Q16" s="127">
        <v>0.98899999999999999</v>
      </c>
      <c r="R16" s="129" t="s">
        <v>1578</v>
      </c>
      <c r="S16" s="127">
        <v>9.4E-2</v>
      </c>
      <c r="T16" s="127">
        <v>0.42299999999999999</v>
      </c>
      <c r="U16" s="129" t="s">
        <v>1578</v>
      </c>
      <c r="V16" s="127">
        <v>261.04500000000002</v>
      </c>
      <c r="W16" s="127">
        <v>0.14499999999999999</v>
      </c>
      <c r="X16" s="127">
        <v>2.3E-2</v>
      </c>
      <c r="Y16" s="127">
        <v>56.3</v>
      </c>
      <c r="Z16" s="127">
        <v>7.9000000000000001E-2</v>
      </c>
      <c r="AA16" s="127">
        <v>0.46572999999999998</v>
      </c>
      <c r="AB16" s="127">
        <v>0.12578</v>
      </c>
      <c r="AC16" s="127">
        <v>7.52</v>
      </c>
      <c r="AD16" s="127">
        <v>0.374</v>
      </c>
    </row>
    <row r="17" spans="1:30" x14ac:dyDescent="0.3">
      <c r="A17" s="129" t="s">
        <v>813</v>
      </c>
      <c r="B17" s="127">
        <v>2695</v>
      </c>
      <c r="C17" s="127">
        <v>7.6462700000000003</v>
      </c>
      <c r="D17" s="127">
        <v>0.85299999999999998</v>
      </c>
      <c r="E17" s="127">
        <v>0.22</v>
      </c>
      <c r="F17" s="127">
        <v>0.223</v>
      </c>
      <c r="G17" s="127">
        <v>3.5549999999999998E-2</v>
      </c>
      <c r="H17" s="127">
        <v>3874.9836599999999</v>
      </c>
      <c r="I17" s="129" t="s">
        <v>1578</v>
      </c>
      <c r="J17" s="129" t="s">
        <v>1578</v>
      </c>
      <c r="K17" s="127">
        <v>0.43301000000000001</v>
      </c>
      <c r="L17" s="127">
        <v>22.1694</v>
      </c>
      <c r="M17" s="129" t="s">
        <v>1578</v>
      </c>
      <c r="N17" s="127">
        <v>0.23421</v>
      </c>
      <c r="O17" s="127">
        <v>0.26811000000000001</v>
      </c>
      <c r="P17" s="127">
        <v>2412.15</v>
      </c>
      <c r="Q17" s="127">
        <v>0.98</v>
      </c>
      <c r="R17" s="129" t="s">
        <v>1578</v>
      </c>
      <c r="S17" s="127">
        <v>0.105</v>
      </c>
      <c r="T17" s="127">
        <v>0.47499999999999998</v>
      </c>
      <c r="U17" s="129" t="s">
        <v>1578</v>
      </c>
      <c r="V17" s="127">
        <v>261.04599999999999</v>
      </c>
      <c r="W17" s="127">
        <v>0.14000000000000001</v>
      </c>
      <c r="X17" s="127">
        <v>1.7999999999999999E-2</v>
      </c>
      <c r="Y17" s="127">
        <v>56.3</v>
      </c>
      <c r="Z17" s="127">
        <v>8.6999999999999994E-2</v>
      </c>
      <c r="AA17" s="127">
        <v>0.45805000000000001</v>
      </c>
      <c r="AB17" s="127">
        <v>0.1484</v>
      </c>
      <c r="AC17" s="127">
        <v>7.5</v>
      </c>
      <c r="AD17" s="127">
        <v>0.36799999999999999</v>
      </c>
    </row>
    <row r="18" spans="1:30" x14ac:dyDescent="0.3">
      <c r="A18" s="129" t="s">
        <v>814</v>
      </c>
      <c r="B18" s="127">
        <v>2695</v>
      </c>
      <c r="C18" s="127">
        <v>7.6462700000000003</v>
      </c>
      <c r="D18" s="127">
        <v>0.85299999999999998</v>
      </c>
      <c r="E18" s="127">
        <v>0.22</v>
      </c>
      <c r="F18" s="127">
        <v>0.223</v>
      </c>
      <c r="G18" s="127">
        <v>3.5549999999999998E-2</v>
      </c>
      <c r="H18" s="127">
        <v>3874.9836599999999</v>
      </c>
      <c r="I18" s="129" t="s">
        <v>1578</v>
      </c>
      <c r="J18" s="129" t="s">
        <v>1578</v>
      </c>
      <c r="K18" s="127">
        <v>0.43301000000000001</v>
      </c>
      <c r="L18" s="127">
        <v>22.1694</v>
      </c>
      <c r="M18" s="129" t="s">
        <v>1578</v>
      </c>
      <c r="N18" s="127">
        <v>0.23421</v>
      </c>
      <c r="O18" s="127">
        <v>0.26811000000000001</v>
      </c>
      <c r="P18" s="127">
        <v>2412.15</v>
      </c>
      <c r="Q18" s="127">
        <v>0.98</v>
      </c>
      <c r="R18" s="129" t="s">
        <v>1578</v>
      </c>
      <c r="S18" s="127">
        <v>0.105</v>
      </c>
      <c r="T18" s="127">
        <v>0.47499999999999998</v>
      </c>
      <c r="U18" s="129" t="s">
        <v>1578</v>
      </c>
      <c r="V18" s="127">
        <v>261.04599999999999</v>
      </c>
      <c r="W18" s="127">
        <v>0.14000000000000001</v>
      </c>
      <c r="X18" s="127">
        <v>1.7999999999999999E-2</v>
      </c>
      <c r="Y18" s="127">
        <v>56.3</v>
      </c>
      <c r="Z18" s="127">
        <v>8.6999999999999994E-2</v>
      </c>
      <c r="AA18" s="127">
        <v>0.45805000000000001</v>
      </c>
      <c r="AB18" s="127">
        <v>0.1484</v>
      </c>
      <c r="AC18" s="127">
        <v>7.5</v>
      </c>
      <c r="AD18" s="127">
        <v>0.36799999999999999</v>
      </c>
    </row>
    <row r="19" spans="1:30" x14ac:dyDescent="0.3">
      <c r="A19" s="129" t="s">
        <v>815</v>
      </c>
      <c r="B19" s="127">
        <v>2695</v>
      </c>
      <c r="C19" s="127">
        <v>7.8044099999999998</v>
      </c>
      <c r="D19" s="127">
        <v>0.94510000000000005</v>
      </c>
      <c r="E19" s="127">
        <v>0.24299999999999999</v>
      </c>
      <c r="F19" s="127">
        <v>0.21299999999999999</v>
      </c>
      <c r="G19" s="127">
        <v>3.9469999999999998E-2</v>
      </c>
      <c r="H19" s="127">
        <v>3875.0138400000001</v>
      </c>
      <c r="I19" s="129" t="s">
        <v>1578</v>
      </c>
      <c r="J19" s="129" t="s">
        <v>1578</v>
      </c>
      <c r="K19" s="127">
        <v>0.42730000000000001</v>
      </c>
      <c r="L19" s="127">
        <v>22.245699999999999</v>
      </c>
      <c r="M19" s="129" t="s">
        <v>1578</v>
      </c>
      <c r="N19" s="127">
        <v>0.22448000000000001</v>
      </c>
      <c r="O19" s="127">
        <v>0.28564000000000001</v>
      </c>
      <c r="P19" s="127">
        <v>2412.11</v>
      </c>
      <c r="Q19" s="127">
        <v>0.97499999999999998</v>
      </c>
      <c r="R19" s="129" t="s">
        <v>1578</v>
      </c>
      <c r="S19" s="127">
        <v>0.11899999999999999</v>
      </c>
      <c r="T19" s="127">
        <v>0.51500000000000001</v>
      </c>
      <c r="U19" s="129" t="s">
        <v>1578</v>
      </c>
      <c r="V19" s="127">
        <v>261.04700000000003</v>
      </c>
      <c r="W19" s="127">
        <v>0.13400000000000001</v>
      </c>
      <c r="X19" s="127">
        <v>1.4E-2</v>
      </c>
      <c r="Y19" s="127">
        <v>56.3</v>
      </c>
      <c r="Z19" s="127">
        <v>9.8000000000000004E-2</v>
      </c>
      <c r="AA19" s="127">
        <v>0.42575000000000002</v>
      </c>
      <c r="AB19" s="127">
        <v>0.18218000000000001</v>
      </c>
      <c r="AC19" s="127">
        <v>7.56</v>
      </c>
      <c r="AD19" s="127">
        <v>0.36099999999999999</v>
      </c>
    </row>
    <row r="20" spans="1:30" x14ac:dyDescent="0.3">
      <c r="A20" s="129" t="s">
        <v>816</v>
      </c>
      <c r="B20" s="127">
        <v>2695</v>
      </c>
      <c r="C20" s="127">
        <v>7.8044099999999998</v>
      </c>
      <c r="D20" s="127">
        <v>0.94510000000000005</v>
      </c>
      <c r="E20" s="127">
        <v>0.24299999999999999</v>
      </c>
      <c r="F20" s="127">
        <v>0.21299999999999999</v>
      </c>
      <c r="G20" s="127">
        <v>3.9469999999999998E-2</v>
      </c>
      <c r="H20" s="127">
        <v>3875.0138400000001</v>
      </c>
      <c r="I20" s="129" t="s">
        <v>1578</v>
      </c>
      <c r="J20" s="129" t="s">
        <v>1578</v>
      </c>
      <c r="K20" s="127">
        <v>0.42730000000000001</v>
      </c>
      <c r="L20" s="127">
        <v>22.245699999999999</v>
      </c>
      <c r="M20" s="129" t="s">
        <v>1578</v>
      </c>
      <c r="N20" s="127">
        <v>0.22448000000000001</v>
      </c>
      <c r="O20" s="127">
        <v>0.28564000000000001</v>
      </c>
      <c r="P20" s="127">
        <v>2412.11</v>
      </c>
      <c r="Q20" s="127">
        <v>0.97499999999999998</v>
      </c>
      <c r="R20" s="129" t="s">
        <v>1578</v>
      </c>
      <c r="S20" s="127">
        <v>0.11899999999999999</v>
      </c>
      <c r="T20" s="127">
        <v>0.51500000000000001</v>
      </c>
      <c r="U20" s="129" t="s">
        <v>1578</v>
      </c>
      <c r="V20" s="127">
        <v>261.04700000000003</v>
      </c>
      <c r="W20" s="127">
        <v>0.13400000000000001</v>
      </c>
      <c r="X20" s="127">
        <v>1.4E-2</v>
      </c>
      <c r="Y20" s="127">
        <v>56.3</v>
      </c>
      <c r="Z20" s="127">
        <v>9.8000000000000004E-2</v>
      </c>
      <c r="AA20" s="127">
        <v>0.42575000000000002</v>
      </c>
      <c r="AB20" s="127">
        <v>0.18218000000000001</v>
      </c>
      <c r="AC20" s="127">
        <v>7.56</v>
      </c>
      <c r="AD20" s="127">
        <v>0.36099999999999999</v>
      </c>
    </row>
    <row r="21" spans="1:30" x14ac:dyDescent="0.3">
      <c r="A21" s="129" t="s">
        <v>817</v>
      </c>
      <c r="B21" s="127">
        <v>2695</v>
      </c>
      <c r="C21" s="127">
        <v>7.9744400000000004</v>
      </c>
      <c r="D21" s="127">
        <v>1.0261</v>
      </c>
      <c r="E21" s="127">
        <v>0.26600000000000001</v>
      </c>
      <c r="F21" s="127">
        <v>0.193</v>
      </c>
      <c r="G21" s="127">
        <v>4.036E-2</v>
      </c>
      <c r="H21" s="127">
        <v>3875.0376099999999</v>
      </c>
      <c r="I21" s="129" t="s">
        <v>1578</v>
      </c>
      <c r="J21" s="129" t="s">
        <v>1578</v>
      </c>
      <c r="K21" s="127">
        <v>0.37553999999999998</v>
      </c>
      <c r="L21" s="127">
        <v>22.305869999999999</v>
      </c>
      <c r="M21" s="129" t="s">
        <v>1578</v>
      </c>
      <c r="N21" s="127">
        <v>0.21473999999999999</v>
      </c>
      <c r="O21" s="127">
        <v>0.31566</v>
      </c>
      <c r="P21" s="127">
        <v>2412.04</v>
      </c>
      <c r="Q21" s="127">
        <v>0.96599999999999997</v>
      </c>
      <c r="R21" s="129" t="s">
        <v>1578</v>
      </c>
      <c r="S21" s="127">
        <v>0.13600000000000001</v>
      </c>
      <c r="T21" s="127">
        <v>0.55300000000000005</v>
      </c>
      <c r="U21" s="129" t="s">
        <v>1578</v>
      </c>
      <c r="V21" s="127">
        <v>261.048</v>
      </c>
      <c r="W21" s="127">
        <v>0.126</v>
      </c>
      <c r="X21" s="127">
        <v>1.0999999999999999E-2</v>
      </c>
      <c r="Y21" s="127">
        <v>56.3</v>
      </c>
      <c r="Z21" s="127">
        <v>0.113</v>
      </c>
      <c r="AA21" s="127">
        <v>0.39916000000000001</v>
      </c>
      <c r="AB21" s="127">
        <v>0.21152000000000001</v>
      </c>
      <c r="AC21" s="127">
        <v>7.65</v>
      </c>
      <c r="AD21" s="127">
        <v>0.35499999999999998</v>
      </c>
    </row>
    <row r="22" spans="1:30" x14ac:dyDescent="0.3">
      <c r="A22" s="129" t="s">
        <v>818</v>
      </c>
      <c r="B22" s="127">
        <v>2695</v>
      </c>
      <c r="C22" s="127">
        <v>7.9744400000000004</v>
      </c>
      <c r="D22" s="127">
        <v>1.0261</v>
      </c>
      <c r="E22" s="127">
        <v>0.26600000000000001</v>
      </c>
      <c r="F22" s="127">
        <v>0.193</v>
      </c>
      <c r="G22" s="127">
        <v>4.036E-2</v>
      </c>
      <c r="H22" s="127">
        <v>3875.0376099999999</v>
      </c>
      <c r="I22" s="129" t="s">
        <v>1578</v>
      </c>
      <c r="J22" s="129" t="s">
        <v>1578</v>
      </c>
      <c r="K22" s="127">
        <v>0.37553999999999998</v>
      </c>
      <c r="L22" s="127">
        <v>22.305869999999999</v>
      </c>
      <c r="M22" s="129" t="s">
        <v>1578</v>
      </c>
      <c r="N22" s="127">
        <v>0.21473999999999999</v>
      </c>
      <c r="O22" s="127">
        <v>0.31566</v>
      </c>
      <c r="P22" s="127">
        <v>2412.04</v>
      </c>
      <c r="Q22" s="127">
        <v>0.96599999999999997</v>
      </c>
      <c r="R22" s="129" t="s">
        <v>1578</v>
      </c>
      <c r="S22" s="127">
        <v>0.13600000000000001</v>
      </c>
      <c r="T22" s="127">
        <v>0.55300000000000005</v>
      </c>
      <c r="U22" s="129" t="s">
        <v>1578</v>
      </c>
      <c r="V22" s="127">
        <v>261.048</v>
      </c>
      <c r="W22" s="127">
        <v>0.126</v>
      </c>
      <c r="X22" s="127">
        <v>1.0999999999999999E-2</v>
      </c>
      <c r="Y22" s="127">
        <v>56.3</v>
      </c>
      <c r="Z22" s="127">
        <v>0.113</v>
      </c>
      <c r="AA22" s="127">
        <v>0.39916000000000001</v>
      </c>
      <c r="AB22" s="127">
        <v>0.21152000000000001</v>
      </c>
      <c r="AC22" s="127">
        <v>7.65</v>
      </c>
      <c r="AD22" s="127">
        <v>0.35499999999999998</v>
      </c>
    </row>
    <row r="23" spans="1:30" x14ac:dyDescent="0.3">
      <c r="A23" s="129" t="s">
        <v>819</v>
      </c>
      <c r="B23" s="127">
        <v>2695</v>
      </c>
      <c r="C23" s="127">
        <v>8.1403599999999994</v>
      </c>
      <c r="D23" s="127">
        <v>1.0882000000000001</v>
      </c>
      <c r="E23" s="127">
        <v>0.28899999999999998</v>
      </c>
      <c r="F23" s="127">
        <v>0.17599999999999999</v>
      </c>
      <c r="G23" s="127">
        <v>3.7010000000000001E-2</v>
      </c>
      <c r="H23" s="127">
        <v>3875.0653499999999</v>
      </c>
      <c r="I23" s="129" t="s">
        <v>1578</v>
      </c>
      <c r="J23" s="129" t="s">
        <v>1578</v>
      </c>
      <c r="K23" s="127">
        <v>0.32208999999999999</v>
      </c>
      <c r="L23" s="127">
        <v>22.376110000000001</v>
      </c>
      <c r="M23" s="129" t="s">
        <v>1578</v>
      </c>
      <c r="N23" s="127">
        <v>0.18793000000000001</v>
      </c>
      <c r="O23" s="127">
        <v>0.32177</v>
      </c>
      <c r="P23" s="127">
        <v>2411.98</v>
      </c>
      <c r="Q23" s="127">
        <v>0.95899999999999996</v>
      </c>
      <c r="R23" s="129" t="s">
        <v>1578</v>
      </c>
      <c r="S23" s="127">
        <v>0.154</v>
      </c>
      <c r="T23" s="127">
        <v>0.58899999999999997</v>
      </c>
      <c r="U23" s="127">
        <v>103.94</v>
      </c>
      <c r="V23" s="127">
        <v>261.05</v>
      </c>
      <c r="W23" s="127">
        <v>0.11600000000000001</v>
      </c>
      <c r="X23" s="127">
        <v>8.9999999999999993E-3</v>
      </c>
      <c r="Y23" s="127">
        <v>56.3</v>
      </c>
      <c r="Z23" s="127">
        <v>0.13100000000000001</v>
      </c>
      <c r="AA23" s="127">
        <v>0.38453999999999999</v>
      </c>
      <c r="AB23" s="127">
        <v>0.22919</v>
      </c>
      <c r="AC23" s="127">
        <v>7.71</v>
      </c>
      <c r="AD23" s="127">
        <v>0.34799999999999998</v>
      </c>
    </row>
    <row r="24" spans="1:30" x14ac:dyDescent="0.3">
      <c r="A24" s="129" t="s">
        <v>820</v>
      </c>
      <c r="B24" s="127">
        <v>2695</v>
      </c>
      <c r="C24" s="127">
        <v>8.1403599999999994</v>
      </c>
      <c r="D24" s="127">
        <v>1.0882000000000001</v>
      </c>
      <c r="E24" s="127">
        <v>0.28899999999999998</v>
      </c>
      <c r="F24" s="127">
        <v>0.17599999999999999</v>
      </c>
      <c r="G24" s="127">
        <v>3.7010000000000001E-2</v>
      </c>
      <c r="H24" s="127">
        <v>3875.0653499999999</v>
      </c>
      <c r="I24" s="129" t="s">
        <v>1578</v>
      </c>
      <c r="J24" s="129" t="s">
        <v>1578</v>
      </c>
      <c r="K24" s="127">
        <v>0.32208999999999999</v>
      </c>
      <c r="L24" s="127">
        <v>22.376110000000001</v>
      </c>
      <c r="M24" s="129" t="s">
        <v>1578</v>
      </c>
      <c r="N24" s="127">
        <v>0.18793000000000001</v>
      </c>
      <c r="O24" s="127">
        <v>0.32177</v>
      </c>
      <c r="P24" s="127">
        <v>2411.98</v>
      </c>
      <c r="Q24" s="127">
        <v>0.95899999999999996</v>
      </c>
      <c r="R24" s="129" t="s">
        <v>1578</v>
      </c>
      <c r="S24" s="127">
        <v>0.154</v>
      </c>
      <c r="T24" s="127">
        <v>0.58899999999999997</v>
      </c>
      <c r="U24" s="127">
        <v>103.94</v>
      </c>
      <c r="V24" s="127">
        <v>261.05</v>
      </c>
      <c r="W24" s="127">
        <v>0.11600000000000001</v>
      </c>
      <c r="X24" s="127">
        <v>8.9999999999999993E-3</v>
      </c>
      <c r="Y24" s="127">
        <v>56.3</v>
      </c>
      <c r="Z24" s="127">
        <v>0.13100000000000001</v>
      </c>
      <c r="AA24" s="127">
        <v>0.38453999999999999</v>
      </c>
      <c r="AB24" s="127">
        <v>0.22919</v>
      </c>
      <c r="AC24" s="127">
        <v>7.71</v>
      </c>
      <c r="AD24" s="127">
        <v>0.34799999999999998</v>
      </c>
    </row>
    <row r="25" spans="1:30" x14ac:dyDescent="0.3">
      <c r="A25" s="129" t="s">
        <v>821</v>
      </c>
      <c r="B25" s="127">
        <v>2695</v>
      </c>
      <c r="C25" s="127">
        <v>8.3071199999999994</v>
      </c>
      <c r="D25" s="127">
        <v>1.1503000000000001</v>
      </c>
      <c r="E25" s="127">
        <v>0.314</v>
      </c>
      <c r="F25" s="127">
        <v>0.155</v>
      </c>
      <c r="G25" s="127">
        <v>3.533E-2</v>
      </c>
      <c r="H25" s="127">
        <v>3875.0906500000001</v>
      </c>
      <c r="I25" s="129" t="s">
        <v>1578</v>
      </c>
      <c r="J25" s="129" t="s">
        <v>1578</v>
      </c>
      <c r="K25" s="127">
        <v>0.28542000000000001</v>
      </c>
      <c r="L25" s="127">
        <v>22.44023</v>
      </c>
      <c r="M25" s="129" t="s">
        <v>1578</v>
      </c>
      <c r="N25" s="127">
        <v>0.21021000000000001</v>
      </c>
      <c r="O25" s="127">
        <v>0.34649999999999997</v>
      </c>
      <c r="P25" s="127">
        <v>2411.91</v>
      </c>
      <c r="Q25" s="127">
        <v>0.95</v>
      </c>
      <c r="R25" s="129" t="s">
        <v>1578</v>
      </c>
      <c r="S25" s="127">
        <v>0.17399999999999999</v>
      </c>
      <c r="T25" s="127">
        <v>0.58599999999999997</v>
      </c>
      <c r="U25" s="129" t="s">
        <v>1578</v>
      </c>
      <c r="V25" s="127">
        <v>261.05099999999999</v>
      </c>
      <c r="W25" s="127">
        <v>0.106</v>
      </c>
      <c r="X25" s="127">
        <v>7.0000000000000001E-3</v>
      </c>
      <c r="Y25" s="127">
        <v>56.3</v>
      </c>
      <c r="Z25" s="127">
        <v>0.13400000000000001</v>
      </c>
      <c r="AA25" s="127">
        <v>0.36209000000000002</v>
      </c>
      <c r="AB25" s="127">
        <v>0.25813999999999998</v>
      </c>
      <c r="AC25" s="127">
        <v>7.57</v>
      </c>
      <c r="AD25" s="127">
        <v>0.34200000000000003</v>
      </c>
    </row>
    <row r="26" spans="1:30" x14ac:dyDescent="0.3">
      <c r="A26" s="129" t="s">
        <v>822</v>
      </c>
      <c r="B26" s="127">
        <v>2695</v>
      </c>
      <c r="C26" s="127">
        <v>8.3071199999999994</v>
      </c>
      <c r="D26" s="127">
        <v>1.1503000000000001</v>
      </c>
      <c r="E26" s="127">
        <v>0.314</v>
      </c>
      <c r="F26" s="127">
        <v>0.155</v>
      </c>
      <c r="G26" s="127">
        <v>3.533E-2</v>
      </c>
      <c r="H26" s="127">
        <v>3875.0906500000001</v>
      </c>
      <c r="I26" s="129" t="s">
        <v>1578</v>
      </c>
      <c r="J26" s="129" t="s">
        <v>1578</v>
      </c>
      <c r="K26" s="127">
        <v>0.28542000000000001</v>
      </c>
      <c r="L26" s="127">
        <v>22.44023</v>
      </c>
      <c r="M26" s="129" t="s">
        <v>1578</v>
      </c>
      <c r="N26" s="127">
        <v>0.21021000000000001</v>
      </c>
      <c r="O26" s="127">
        <v>0.34649999999999997</v>
      </c>
      <c r="P26" s="127">
        <v>2411.91</v>
      </c>
      <c r="Q26" s="127">
        <v>0.95</v>
      </c>
      <c r="R26" s="129" t="s">
        <v>1578</v>
      </c>
      <c r="S26" s="127">
        <v>0.17399999999999999</v>
      </c>
      <c r="T26" s="127">
        <v>0.58599999999999997</v>
      </c>
      <c r="U26" s="129" t="s">
        <v>1578</v>
      </c>
      <c r="V26" s="127">
        <v>261.05099999999999</v>
      </c>
      <c r="W26" s="127">
        <v>0.106</v>
      </c>
      <c r="X26" s="127">
        <v>7.0000000000000001E-3</v>
      </c>
      <c r="Y26" s="127">
        <v>56.3</v>
      </c>
      <c r="Z26" s="127">
        <v>0.13400000000000001</v>
      </c>
      <c r="AA26" s="127">
        <v>0.36209000000000002</v>
      </c>
      <c r="AB26" s="127">
        <v>0.25813999999999998</v>
      </c>
      <c r="AC26" s="127">
        <v>7.57</v>
      </c>
      <c r="AD26" s="127">
        <v>0.34200000000000003</v>
      </c>
    </row>
    <row r="27" spans="1:30" x14ac:dyDescent="0.3">
      <c r="A27" s="129" t="s">
        <v>823</v>
      </c>
      <c r="B27" s="127">
        <v>2695</v>
      </c>
      <c r="C27" s="127">
        <v>8.48353</v>
      </c>
      <c r="D27" s="127">
        <v>1.222</v>
      </c>
      <c r="E27" s="127">
        <v>0.34499999999999997</v>
      </c>
      <c r="F27" s="127">
        <v>0.13600000000000001</v>
      </c>
      <c r="G27" s="127">
        <v>3.6510000000000001E-2</v>
      </c>
      <c r="H27" s="127">
        <v>3875.0927799999999</v>
      </c>
      <c r="I27" s="129" t="s">
        <v>1578</v>
      </c>
      <c r="J27" s="129" t="s">
        <v>1578</v>
      </c>
      <c r="K27" s="127">
        <v>0.29024</v>
      </c>
      <c r="L27" s="127">
        <v>22.445640000000001</v>
      </c>
      <c r="M27" s="127">
        <v>302.37389000000002</v>
      </c>
      <c r="N27" s="127">
        <v>0.24424000000000001</v>
      </c>
      <c r="O27" s="127">
        <v>0.35908000000000001</v>
      </c>
      <c r="P27" s="127">
        <v>2411.8200000000002</v>
      </c>
      <c r="Q27" s="127">
        <v>0.93899999999999995</v>
      </c>
      <c r="R27" s="129" t="s">
        <v>1578</v>
      </c>
      <c r="S27" s="127">
        <v>0.19500000000000001</v>
      </c>
      <c r="T27" s="127">
        <v>0.58199999999999996</v>
      </c>
      <c r="U27" s="129" t="s">
        <v>1578</v>
      </c>
      <c r="V27" s="127">
        <v>261.05200000000002</v>
      </c>
      <c r="W27" s="127">
        <v>9.2999999999999999E-2</v>
      </c>
      <c r="X27" s="127">
        <v>5.0000000000000001E-3</v>
      </c>
      <c r="Y27" s="127">
        <v>56.3</v>
      </c>
      <c r="Z27" s="127">
        <v>0.13600000000000001</v>
      </c>
      <c r="AA27" s="127">
        <v>0.32754</v>
      </c>
      <c r="AB27" s="127">
        <v>0.29171999999999998</v>
      </c>
      <c r="AC27" s="127">
        <v>7.58</v>
      </c>
      <c r="AD27" s="127">
        <v>0.33500000000000002</v>
      </c>
    </row>
    <row r="28" spans="1:30" x14ac:dyDescent="0.3">
      <c r="A28" s="129" t="s">
        <v>824</v>
      </c>
      <c r="B28" s="127">
        <v>2695</v>
      </c>
      <c r="C28" s="127">
        <v>8.48353</v>
      </c>
      <c r="D28" s="127">
        <v>1.222</v>
      </c>
      <c r="E28" s="127">
        <v>0.34499999999999997</v>
      </c>
      <c r="F28" s="127">
        <v>0.13600000000000001</v>
      </c>
      <c r="G28" s="127">
        <v>3.6510000000000001E-2</v>
      </c>
      <c r="H28" s="127">
        <v>3875.0927799999999</v>
      </c>
      <c r="I28" s="129" t="s">
        <v>1578</v>
      </c>
      <c r="J28" s="129" t="s">
        <v>1578</v>
      </c>
      <c r="K28" s="127">
        <v>0.29024</v>
      </c>
      <c r="L28" s="127">
        <v>22.445640000000001</v>
      </c>
      <c r="M28" s="127">
        <v>302.37389000000002</v>
      </c>
      <c r="N28" s="127">
        <v>0.24424000000000001</v>
      </c>
      <c r="O28" s="127">
        <v>0.35908000000000001</v>
      </c>
      <c r="P28" s="127">
        <v>2411.8200000000002</v>
      </c>
      <c r="Q28" s="127">
        <v>0.93899999999999995</v>
      </c>
      <c r="R28" s="129" t="s">
        <v>1578</v>
      </c>
      <c r="S28" s="127">
        <v>0.19500000000000001</v>
      </c>
      <c r="T28" s="127">
        <v>0.58199999999999996</v>
      </c>
      <c r="U28" s="129" t="s">
        <v>1578</v>
      </c>
      <c r="V28" s="127">
        <v>261.05200000000002</v>
      </c>
      <c r="W28" s="127">
        <v>9.2999999999999999E-2</v>
      </c>
      <c r="X28" s="127">
        <v>5.0000000000000001E-3</v>
      </c>
      <c r="Y28" s="127">
        <v>56.3</v>
      </c>
      <c r="Z28" s="127">
        <v>0.13600000000000001</v>
      </c>
      <c r="AA28" s="127">
        <v>0.32754</v>
      </c>
      <c r="AB28" s="127">
        <v>0.29171999999999998</v>
      </c>
      <c r="AC28" s="127">
        <v>7.58</v>
      </c>
      <c r="AD28" s="127">
        <v>0.33500000000000002</v>
      </c>
    </row>
    <row r="29" spans="1:30" x14ac:dyDescent="0.3">
      <c r="A29" s="129" t="s">
        <v>825</v>
      </c>
      <c r="B29" s="127">
        <v>2695</v>
      </c>
      <c r="C29" s="127">
        <v>8.65334</v>
      </c>
      <c r="D29" s="127">
        <v>1.282</v>
      </c>
      <c r="E29" s="127">
        <v>0.33700000000000002</v>
      </c>
      <c r="F29" s="127">
        <v>0.124</v>
      </c>
      <c r="G29" s="127">
        <v>3.619E-2</v>
      </c>
      <c r="H29" s="127">
        <v>3875.0790699999998</v>
      </c>
      <c r="I29" s="129" t="s">
        <v>1578</v>
      </c>
      <c r="J29" s="129" t="s">
        <v>1578</v>
      </c>
      <c r="K29" s="127">
        <v>0.29637000000000002</v>
      </c>
      <c r="L29" s="127">
        <v>22.410869999999999</v>
      </c>
      <c r="M29" s="129" t="s">
        <v>1578</v>
      </c>
      <c r="N29" s="127">
        <v>0.26491999999999999</v>
      </c>
      <c r="O29" s="127">
        <v>0.33406999999999998</v>
      </c>
      <c r="P29" s="127">
        <v>2411.73</v>
      </c>
      <c r="Q29" s="127">
        <v>0.92800000000000005</v>
      </c>
      <c r="R29" s="129" t="s">
        <v>1578</v>
      </c>
      <c r="S29" s="127">
        <v>0.20100000000000001</v>
      </c>
      <c r="T29" s="127">
        <v>0.57799999999999996</v>
      </c>
      <c r="U29" s="129" t="s">
        <v>1578</v>
      </c>
      <c r="V29" s="127">
        <v>261.04700000000003</v>
      </c>
      <c r="W29" s="127">
        <v>8.1000000000000003E-2</v>
      </c>
      <c r="X29" s="127">
        <v>6.0000000000000001E-3</v>
      </c>
      <c r="Y29" s="127">
        <v>56.3</v>
      </c>
      <c r="Z29" s="127">
        <v>0.13800000000000001</v>
      </c>
      <c r="AA29" s="127">
        <v>0.29388999999999998</v>
      </c>
      <c r="AB29" s="127">
        <v>0.32507999999999998</v>
      </c>
      <c r="AC29" s="127">
        <v>7.53</v>
      </c>
      <c r="AD29" s="127">
        <v>0.35499999999999998</v>
      </c>
    </row>
    <row r="30" spans="1:30" x14ac:dyDescent="0.3">
      <c r="A30" s="129" t="s">
        <v>826</v>
      </c>
      <c r="B30" s="127">
        <v>2695</v>
      </c>
      <c r="C30" s="127">
        <v>8.65334</v>
      </c>
      <c r="D30" s="127">
        <v>1.282</v>
      </c>
      <c r="E30" s="127">
        <v>0.33700000000000002</v>
      </c>
      <c r="F30" s="127">
        <v>0.124</v>
      </c>
      <c r="G30" s="127">
        <v>3.619E-2</v>
      </c>
      <c r="H30" s="127">
        <v>3875.0790699999998</v>
      </c>
      <c r="I30" s="129" t="s">
        <v>1578</v>
      </c>
      <c r="J30" s="129" t="s">
        <v>1578</v>
      </c>
      <c r="K30" s="127">
        <v>0.29637000000000002</v>
      </c>
      <c r="L30" s="127">
        <v>22.410869999999999</v>
      </c>
      <c r="M30" s="129" t="s">
        <v>1578</v>
      </c>
      <c r="N30" s="127">
        <v>0.26491999999999999</v>
      </c>
      <c r="O30" s="127">
        <v>0.33406999999999998</v>
      </c>
      <c r="P30" s="127">
        <v>2411.73</v>
      </c>
      <c r="Q30" s="127">
        <v>0.92800000000000005</v>
      </c>
      <c r="R30" s="129" t="s">
        <v>1578</v>
      </c>
      <c r="S30" s="127">
        <v>0.20100000000000001</v>
      </c>
      <c r="T30" s="127">
        <v>0.57799999999999996</v>
      </c>
      <c r="U30" s="129" t="s">
        <v>1578</v>
      </c>
      <c r="V30" s="127">
        <v>261.04700000000003</v>
      </c>
      <c r="W30" s="127">
        <v>8.1000000000000003E-2</v>
      </c>
      <c r="X30" s="127">
        <v>6.0000000000000001E-3</v>
      </c>
      <c r="Y30" s="127">
        <v>56.3</v>
      </c>
      <c r="Z30" s="127">
        <v>0.13800000000000001</v>
      </c>
      <c r="AA30" s="127">
        <v>0.29388999999999998</v>
      </c>
      <c r="AB30" s="127">
        <v>0.32507999999999998</v>
      </c>
      <c r="AC30" s="127">
        <v>7.53</v>
      </c>
      <c r="AD30" s="127">
        <v>0.35499999999999998</v>
      </c>
    </row>
    <row r="31" spans="1:30" x14ac:dyDescent="0.3">
      <c r="A31" s="129" t="s">
        <v>827</v>
      </c>
      <c r="B31" s="127">
        <v>2695</v>
      </c>
      <c r="C31" s="127">
        <v>8.8184900000000006</v>
      </c>
      <c r="D31" s="127">
        <v>1.33</v>
      </c>
      <c r="E31" s="127">
        <v>0.314</v>
      </c>
      <c r="F31" s="127">
        <v>0.13</v>
      </c>
      <c r="G31" s="127">
        <v>3.3320000000000002E-2</v>
      </c>
      <c r="H31" s="127">
        <v>3875.0702299999998</v>
      </c>
      <c r="I31" s="129" t="s">
        <v>1578</v>
      </c>
      <c r="J31" s="129" t="s">
        <v>1578</v>
      </c>
      <c r="K31" s="127">
        <v>0.30230000000000001</v>
      </c>
      <c r="L31" s="127">
        <v>22.388470000000002</v>
      </c>
      <c r="M31" s="129" t="s">
        <v>1578</v>
      </c>
      <c r="N31" s="127">
        <v>0.22448000000000001</v>
      </c>
      <c r="O31" s="127">
        <v>0.30356</v>
      </c>
      <c r="P31" s="127">
        <v>2411.61</v>
      </c>
      <c r="Q31" s="127">
        <v>0.91300000000000003</v>
      </c>
      <c r="R31" s="129" t="s">
        <v>1578</v>
      </c>
      <c r="S31" s="127">
        <v>0.189</v>
      </c>
      <c r="T31" s="127">
        <v>0.53400000000000003</v>
      </c>
      <c r="U31" s="129" t="s">
        <v>1578</v>
      </c>
      <c r="V31" s="127">
        <v>261.04300000000001</v>
      </c>
      <c r="W31" s="127">
        <v>7.0999999999999994E-2</v>
      </c>
      <c r="X31" s="127">
        <v>5.0000000000000001E-3</v>
      </c>
      <c r="Y31" s="127">
        <v>56.3</v>
      </c>
      <c r="Z31" s="127">
        <v>0.13900000000000001</v>
      </c>
      <c r="AA31" s="127">
        <v>0.28636</v>
      </c>
      <c r="AB31" s="127">
        <v>0.32507999999999998</v>
      </c>
      <c r="AC31" s="127">
        <v>7.42</v>
      </c>
      <c r="AD31" s="127">
        <v>0.374</v>
      </c>
    </row>
    <row r="32" spans="1:30" x14ac:dyDescent="0.3">
      <c r="A32" s="129" t="s">
        <v>828</v>
      </c>
      <c r="B32" s="127">
        <v>2695</v>
      </c>
      <c r="C32" s="127">
        <v>8.8184900000000006</v>
      </c>
      <c r="D32" s="127">
        <v>1.33</v>
      </c>
      <c r="E32" s="127">
        <v>0.314</v>
      </c>
      <c r="F32" s="127">
        <v>0.13</v>
      </c>
      <c r="G32" s="127">
        <v>3.3320000000000002E-2</v>
      </c>
      <c r="H32" s="127">
        <v>3875.0702299999998</v>
      </c>
      <c r="I32" s="129" t="s">
        <v>1578</v>
      </c>
      <c r="J32" s="129" t="s">
        <v>1578</v>
      </c>
      <c r="K32" s="127">
        <v>0.30230000000000001</v>
      </c>
      <c r="L32" s="127">
        <v>22.388470000000002</v>
      </c>
      <c r="M32" s="129" t="s">
        <v>1578</v>
      </c>
      <c r="N32" s="127">
        <v>0.22448000000000001</v>
      </c>
      <c r="O32" s="127">
        <v>0.30356</v>
      </c>
      <c r="P32" s="127">
        <v>2411.61</v>
      </c>
      <c r="Q32" s="127">
        <v>0.91300000000000003</v>
      </c>
      <c r="R32" s="129" t="s">
        <v>1578</v>
      </c>
      <c r="S32" s="127">
        <v>0.189</v>
      </c>
      <c r="T32" s="127">
        <v>0.53400000000000003</v>
      </c>
      <c r="U32" s="129" t="s">
        <v>1578</v>
      </c>
      <c r="V32" s="127">
        <v>261.04300000000001</v>
      </c>
      <c r="W32" s="127">
        <v>7.0999999999999994E-2</v>
      </c>
      <c r="X32" s="127">
        <v>5.0000000000000001E-3</v>
      </c>
      <c r="Y32" s="127">
        <v>56.3</v>
      </c>
      <c r="Z32" s="127">
        <v>0.13900000000000001</v>
      </c>
      <c r="AA32" s="127">
        <v>0.28636</v>
      </c>
      <c r="AB32" s="127">
        <v>0.32507999999999998</v>
      </c>
      <c r="AC32" s="127">
        <v>7.42</v>
      </c>
      <c r="AD32" s="127">
        <v>0.374</v>
      </c>
    </row>
    <row r="33" spans="1:30" x14ac:dyDescent="0.3">
      <c r="A33" s="129" t="s">
        <v>829</v>
      </c>
      <c r="B33" s="127">
        <v>2695</v>
      </c>
      <c r="C33" s="127">
        <v>8.9795200000000008</v>
      </c>
      <c r="D33" s="127">
        <v>1.234</v>
      </c>
      <c r="E33" s="127">
        <v>0.28699999999999998</v>
      </c>
      <c r="F33" s="127">
        <v>0.14399999999999999</v>
      </c>
      <c r="G33" s="127">
        <v>3.1550000000000002E-2</v>
      </c>
      <c r="H33" s="127">
        <v>3875.0565099999999</v>
      </c>
      <c r="I33" s="129" t="s">
        <v>1578</v>
      </c>
      <c r="J33" s="129" t="s">
        <v>1578</v>
      </c>
      <c r="K33" s="127">
        <v>0.30851000000000001</v>
      </c>
      <c r="L33" s="127">
        <v>22.353719999999999</v>
      </c>
      <c r="M33" s="129" t="s">
        <v>1578</v>
      </c>
      <c r="N33" s="127">
        <v>0.18379000000000001</v>
      </c>
      <c r="O33" s="127">
        <v>0.30356</v>
      </c>
      <c r="P33" s="127">
        <v>2411.4699999999998</v>
      </c>
      <c r="Q33" s="127">
        <v>0.89600000000000002</v>
      </c>
      <c r="R33" s="129" t="s">
        <v>1578</v>
      </c>
      <c r="S33" s="127">
        <v>0.17399999999999999</v>
      </c>
      <c r="T33" s="127">
        <v>0.48099999999999998</v>
      </c>
      <c r="U33" s="129" t="s">
        <v>1578</v>
      </c>
      <c r="V33" s="127">
        <v>261.03800000000001</v>
      </c>
      <c r="W33" s="127">
        <v>6.0999999999999999E-2</v>
      </c>
      <c r="X33" s="127">
        <v>5.0000000000000001E-3</v>
      </c>
      <c r="Y33" s="127">
        <v>56.3</v>
      </c>
      <c r="Z33" s="127">
        <v>0.14000000000000001</v>
      </c>
      <c r="AA33" s="127">
        <v>0.29993999999999998</v>
      </c>
      <c r="AB33" s="127">
        <v>0.30646000000000001</v>
      </c>
      <c r="AC33" s="127">
        <v>7.3</v>
      </c>
      <c r="AD33" s="127">
        <v>0.39400000000000002</v>
      </c>
    </row>
    <row r="34" spans="1:30" x14ac:dyDescent="0.3">
      <c r="A34" s="129" t="s">
        <v>830</v>
      </c>
      <c r="B34" s="127">
        <v>2695</v>
      </c>
      <c r="C34" s="127">
        <v>8.9795200000000008</v>
      </c>
      <c r="D34" s="127">
        <v>1.234</v>
      </c>
      <c r="E34" s="127">
        <v>0.28699999999999998</v>
      </c>
      <c r="F34" s="127">
        <v>0.14399999999999999</v>
      </c>
      <c r="G34" s="127">
        <v>3.1550000000000002E-2</v>
      </c>
      <c r="H34" s="127">
        <v>3875.0565099999999</v>
      </c>
      <c r="I34" s="129" t="s">
        <v>1578</v>
      </c>
      <c r="J34" s="129" t="s">
        <v>1578</v>
      </c>
      <c r="K34" s="127">
        <v>0.30851000000000001</v>
      </c>
      <c r="L34" s="127">
        <v>22.353719999999999</v>
      </c>
      <c r="M34" s="129" t="s">
        <v>1578</v>
      </c>
      <c r="N34" s="127">
        <v>0.18379000000000001</v>
      </c>
      <c r="O34" s="127">
        <v>0.30356</v>
      </c>
      <c r="P34" s="127">
        <v>2411.4699999999998</v>
      </c>
      <c r="Q34" s="127">
        <v>0.89600000000000002</v>
      </c>
      <c r="R34" s="129" t="s">
        <v>1578</v>
      </c>
      <c r="S34" s="127">
        <v>0.17399999999999999</v>
      </c>
      <c r="T34" s="127">
        <v>0.48099999999999998</v>
      </c>
      <c r="U34" s="129" t="s">
        <v>1578</v>
      </c>
      <c r="V34" s="127">
        <v>261.03800000000001</v>
      </c>
      <c r="W34" s="127">
        <v>6.0999999999999999E-2</v>
      </c>
      <c r="X34" s="127">
        <v>5.0000000000000001E-3</v>
      </c>
      <c r="Y34" s="127">
        <v>56.3</v>
      </c>
      <c r="Z34" s="127">
        <v>0.14000000000000001</v>
      </c>
      <c r="AA34" s="127">
        <v>0.29993999999999998</v>
      </c>
      <c r="AB34" s="127">
        <v>0.30646000000000001</v>
      </c>
      <c r="AC34" s="127">
        <v>7.3</v>
      </c>
      <c r="AD34" s="127">
        <v>0.39400000000000002</v>
      </c>
    </row>
    <row r="35" spans="1:30" x14ac:dyDescent="0.3">
      <c r="A35" s="129" t="s">
        <v>831</v>
      </c>
      <c r="B35" s="127">
        <v>2695</v>
      </c>
      <c r="C35" s="127">
        <v>9.1398499999999991</v>
      </c>
      <c r="D35" s="127">
        <v>1.1152</v>
      </c>
      <c r="E35" s="127">
        <v>0.26100000000000001</v>
      </c>
      <c r="F35" s="127">
        <v>0.16300000000000001</v>
      </c>
      <c r="G35" s="127">
        <v>2.8850000000000001E-2</v>
      </c>
      <c r="H35" s="127">
        <v>3875.0397499999999</v>
      </c>
      <c r="I35" s="129" t="s">
        <v>1578</v>
      </c>
      <c r="J35" s="129" t="s">
        <v>1578</v>
      </c>
      <c r="K35" s="127">
        <v>0.31457000000000002</v>
      </c>
      <c r="L35" s="127">
        <v>22.31127</v>
      </c>
      <c r="M35" s="129" t="s">
        <v>1578</v>
      </c>
      <c r="N35" s="127">
        <v>0.15640000000000001</v>
      </c>
      <c r="O35" s="127">
        <v>0.34649999999999997</v>
      </c>
      <c r="P35" s="127">
        <v>2411.34</v>
      </c>
      <c r="Q35" s="127">
        <v>0.88</v>
      </c>
      <c r="R35" s="129" t="s">
        <v>1578</v>
      </c>
      <c r="S35" s="127">
        <v>0.14899999999999999</v>
      </c>
      <c r="T35" s="127">
        <v>0.44</v>
      </c>
      <c r="U35" s="129" t="s">
        <v>1578</v>
      </c>
      <c r="V35" s="127">
        <v>261.03300000000002</v>
      </c>
      <c r="W35" s="127">
        <v>5.1999999999999998E-2</v>
      </c>
      <c r="X35" s="127">
        <v>6.0000000000000001E-3</v>
      </c>
      <c r="Y35" s="127">
        <v>56.3</v>
      </c>
      <c r="Z35" s="127">
        <v>0.14099999999999999</v>
      </c>
      <c r="AA35" s="127">
        <v>0.31674000000000002</v>
      </c>
      <c r="AB35" s="127">
        <v>0.28283999999999998</v>
      </c>
      <c r="AC35" s="127">
        <v>7.11</v>
      </c>
      <c r="AD35" s="127">
        <v>0.41299999999999998</v>
      </c>
    </row>
    <row r="36" spans="1:30" x14ac:dyDescent="0.3">
      <c r="A36" s="129" t="s">
        <v>832</v>
      </c>
      <c r="B36" s="127">
        <v>2695</v>
      </c>
      <c r="C36" s="127">
        <v>9.1398499999999991</v>
      </c>
      <c r="D36" s="127">
        <v>1.1152</v>
      </c>
      <c r="E36" s="127">
        <v>0.26100000000000001</v>
      </c>
      <c r="F36" s="127">
        <v>0.16300000000000001</v>
      </c>
      <c r="G36" s="127">
        <v>2.8850000000000001E-2</v>
      </c>
      <c r="H36" s="127">
        <v>3875.0397499999999</v>
      </c>
      <c r="I36" s="129" t="s">
        <v>1578</v>
      </c>
      <c r="J36" s="129" t="s">
        <v>1578</v>
      </c>
      <c r="K36" s="127">
        <v>0.31457000000000002</v>
      </c>
      <c r="L36" s="127">
        <v>22.31127</v>
      </c>
      <c r="M36" s="129" t="s">
        <v>1578</v>
      </c>
      <c r="N36" s="127">
        <v>0.15640000000000001</v>
      </c>
      <c r="O36" s="127">
        <v>0.34649999999999997</v>
      </c>
      <c r="P36" s="127">
        <v>2411.34</v>
      </c>
      <c r="Q36" s="127">
        <v>0.88</v>
      </c>
      <c r="R36" s="129" t="s">
        <v>1578</v>
      </c>
      <c r="S36" s="127">
        <v>0.14899999999999999</v>
      </c>
      <c r="T36" s="127">
        <v>0.44</v>
      </c>
      <c r="U36" s="129" t="s">
        <v>1578</v>
      </c>
      <c r="V36" s="127">
        <v>261.03300000000002</v>
      </c>
      <c r="W36" s="127">
        <v>5.1999999999999998E-2</v>
      </c>
      <c r="X36" s="127">
        <v>6.0000000000000001E-3</v>
      </c>
      <c r="Y36" s="127">
        <v>56.3</v>
      </c>
      <c r="Z36" s="127">
        <v>0.14099999999999999</v>
      </c>
      <c r="AA36" s="127">
        <v>0.31674000000000002</v>
      </c>
      <c r="AB36" s="127">
        <v>0.28283999999999998</v>
      </c>
      <c r="AC36" s="127">
        <v>7.11</v>
      </c>
      <c r="AD36" s="127">
        <v>0.41299999999999998</v>
      </c>
    </row>
    <row r="37" spans="1:30" x14ac:dyDescent="0.3">
      <c r="A37" s="129" t="s">
        <v>833</v>
      </c>
      <c r="B37" s="127">
        <v>2695</v>
      </c>
      <c r="C37" s="127">
        <v>9.3072400000000002</v>
      </c>
      <c r="D37" s="127">
        <v>1.0018</v>
      </c>
      <c r="E37" s="127">
        <v>0.24</v>
      </c>
      <c r="F37" s="127">
        <v>0.16700000000000001</v>
      </c>
      <c r="G37" s="127">
        <v>3.0329999999999999E-2</v>
      </c>
      <c r="H37" s="127">
        <v>3875.0196299999998</v>
      </c>
      <c r="I37" s="129" t="s">
        <v>1578</v>
      </c>
      <c r="J37" s="129" t="s">
        <v>1578</v>
      </c>
      <c r="K37" s="127">
        <v>0.32066</v>
      </c>
      <c r="L37" s="127">
        <v>22.260359999999999</v>
      </c>
      <c r="M37" s="129" t="s">
        <v>1578</v>
      </c>
      <c r="N37" s="127">
        <v>0.17965</v>
      </c>
      <c r="O37" s="127">
        <v>0.37816</v>
      </c>
      <c r="P37" s="127">
        <v>2411.1999999999998</v>
      </c>
      <c r="Q37" s="127">
        <v>0.86299999999999999</v>
      </c>
      <c r="R37" s="129" t="s">
        <v>1578</v>
      </c>
      <c r="S37" s="127">
        <v>0.13200000000000001</v>
      </c>
      <c r="T37" s="127">
        <v>0.41099999999999998</v>
      </c>
      <c r="U37" s="129" t="s">
        <v>1578</v>
      </c>
      <c r="V37" s="127">
        <v>261.029</v>
      </c>
      <c r="W37" s="127">
        <v>4.2000000000000003E-2</v>
      </c>
      <c r="X37" s="127">
        <v>6.0000000000000001E-3</v>
      </c>
      <c r="Y37" s="127">
        <v>56.3</v>
      </c>
      <c r="Z37" s="127">
        <v>0.14199999999999999</v>
      </c>
      <c r="AA37" s="127">
        <v>0.31828000000000001</v>
      </c>
      <c r="AB37" s="127">
        <v>0.28394000000000003</v>
      </c>
      <c r="AC37" s="127">
        <v>6.93</v>
      </c>
      <c r="AD37" s="127">
        <v>0.433</v>
      </c>
    </row>
    <row r="38" spans="1:30" x14ac:dyDescent="0.3">
      <c r="A38" s="129" t="s">
        <v>834</v>
      </c>
      <c r="B38" s="127">
        <v>2695</v>
      </c>
      <c r="C38" s="127">
        <v>9.3072400000000002</v>
      </c>
      <c r="D38" s="127">
        <v>1.0018</v>
      </c>
      <c r="E38" s="127">
        <v>0.24</v>
      </c>
      <c r="F38" s="127">
        <v>0.16700000000000001</v>
      </c>
      <c r="G38" s="127">
        <v>3.0329999999999999E-2</v>
      </c>
      <c r="H38" s="127">
        <v>3875.0196299999998</v>
      </c>
      <c r="I38" s="129" t="s">
        <v>1578</v>
      </c>
      <c r="J38" s="129" t="s">
        <v>1578</v>
      </c>
      <c r="K38" s="127">
        <v>0.32066</v>
      </c>
      <c r="L38" s="127">
        <v>22.260359999999999</v>
      </c>
      <c r="M38" s="129" t="s">
        <v>1578</v>
      </c>
      <c r="N38" s="127">
        <v>0.17965</v>
      </c>
      <c r="O38" s="127">
        <v>0.37816</v>
      </c>
      <c r="P38" s="127">
        <v>2411.1999999999998</v>
      </c>
      <c r="Q38" s="127">
        <v>0.86299999999999999</v>
      </c>
      <c r="R38" s="129" t="s">
        <v>1578</v>
      </c>
      <c r="S38" s="127">
        <v>0.13200000000000001</v>
      </c>
      <c r="T38" s="127">
        <v>0.41099999999999998</v>
      </c>
      <c r="U38" s="129" t="s">
        <v>1578</v>
      </c>
      <c r="V38" s="127">
        <v>261.029</v>
      </c>
      <c r="W38" s="127">
        <v>4.2000000000000003E-2</v>
      </c>
      <c r="X38" s="127">
        <v>6.0000000000000001E-3</v>
      </c>
      <c r="Y38" s="127">
        <v>56.3</v>
      </c>
      <c r="Z38" s="127">
        <v>0.14199999999999999</v>
      </c>
      <c r="AA38" s="127">
        <v>0.31828000000000001</v>
      </c>
      <c r="AB38" s="127">
        <v>0.28394000000000003</v>
      </c>
      <c r="AC38" s="127">
        <v>6.93</v>
      </c>
      <c r="AD38" s="127">
        <v>0.433</v>
      </c>
    </row>
    <row r="39" spans="1:30" x14ac:dyDescent="0.3">
      <c r="A39" s="129" t="s">
        <v>835</v>
      </c>
      <c r="B39" s="127">
        <v>2695</v>
      </c>
      <c r="C39" s="127">
        <v>9.4582700000000006</v>
      </c>
      <c r="D39" s="127">
        <v>1.0449999999999999</v>
      </c>
      <c r="E39" s="127">
        <v>0.216</v>
      </c>
      <c r="F39" s="127">
        <v>0.17499999999999999</v>
      </c>
      <c r="G39" s="127">
        <v>3.0370000000000001E-2</v>
      </c>
      <c r="H39" s="127">
        <v>3874.9888500000002</v>
      </c>
      <c r="I39" s="129" t="s">
        <v>1578</v>
      </c>
      <c r="J39" s="129" t="s">
        <v>1578</v>
      </c>
      <c r="K39" s="127">
        <v>0.32701000000000002</v>
      </c>
      <c r="L39" s="127">
        <v>22.182500000000001</v>
      </c>
      <c r="M39" s="129" t="s">
        <v>1578</v>
      </c>
      <c r="N39" s="127">
        <v>0.19661000000000001</v>
      </c>
      <c r="O39" s="127">
        <v>0.38457999999999998</v>
      </c>
      <c r="P39" s="127">
        <v>2411.04</v>
      </c>
      <c r="Q39" s="127">
        <v>0.85299999999999998</v>
      </c>
      <c r="R39" s="129" t="s">
        <v>1578</v>
      </c>
      <c r="S39" s="127">
        <v>0.13200000000000001</v>
      </c>
      <c r="T39" s="127">
        <v>0.41199999999999998</v>
      </c>
      <c r="U39" s="129" t="s">
        <v>1578</v>
      </c>
      <c r="V39" s="127">
        <v>261.024</v>
      </c>
      <c r="W39" s="127">
        <v>3.3000000000000002E-2</v>
      </c>
      <c r="X39" s="127">
        <v>6.0000000000000001E-3</v>
      </c>
      <c r="Y39" s="127">
        <v>56.3</v>
      </c>
      <c r="Z39" s="127">
        <v>0.14099999999999999</v>
      </c>
      <c r="AA39" s="127">
        <v>0.29237999999999997</v>
      </c>
      <c r="AB39" s="127">
        <v>0.30417</v>
      </c>
      <c r="AC39" s="127">
        <v>6.94</v>
      </c>
      <c r="AD39" s="127">
        <v>0.45400000000000001</v>
      </c>
    </row>
    <row r="40" spans="1:30" x14ac:dyDescent="0.3">
      <c r="A40" s="129" t="s">
        <v>836</v>
      </c>
      <c r="B40" s="127">
        <v>2695</v>
      </c>
      <c r="C40" s="127">
        <v>9.4582700000000006</v>
      </c>
      <c r="D40" s="127">
        <v>1.0449999999999999</v>
      </c>
      <c r="E40" s="127">
        <v>0.216</v>
      </c>
      <c r="F40" s="127">
        <v>0.17499999999999999</v>
      </c>
      <c r="G40" s="127">
        <v>3.0370000000000001E-2</v>
      </c>
      <c r="H40" s="127">
        <v>3874.9888500000002</v>
      </c>
      <c r="I40" s="129" t="s">
        <v>1578</v>
      </c>
      <c r="J40" s="129" t="s">
        <v>1578</v>
      </c>
      <c r="K40" s="127">
        <v>0.32701000000000002</v>
      </c>
      <c r="L40" s="127">
        <v>22.182500000000001</v>
      </c>
      <c r="M40" s="129" t="s">
        <v>1578</v>
      </c>
      <c r="N40" s="127">
        <v>0.19661000000000001</v>
      </c>
      <c r="O40" s="127">
        <v>0.38457999999999998</v>
      </c>
      <c r="P40" s="127">
        <v>2411.04</v>
      </c>
      <c r="Q40" s="127">
        <v>0.85299999999999998</v>
      </c>
      <c r="R40" s="129" t="s">
        <v>1578</v>
      </c>
      <c r="S40" s="127">
        <v>0.13200000000000001</v>
      </c>
      <c r="T40" s="127">
        <v>0.41199999999999998</v>
      </c>
      <c r="U40" s="129" t="s">
        <v>1578</v>
      </c>
      <c r="V40" s="127">
        <v>261.024</v>
      </c>
      <c r="W40" s="127">
        <v>3.3000000000000002E-2</v>
      </c>
      <c r="X40" s="127">
        <v>6.0000000000000001E-3</v>
      </c>
      <c r="Y40" s="127">
        <v>56.3</v>
      </c>
      <c r="Z40" s="127">
        <v>0.14099999999999999</v>
      </c>
      <c r="AA40" s="127">
        <v>0.29237999999999997</v>
      </c>
      <c r="AB40" s="127">
        <v>0.30417</v>
      </c>
      <c r="AC40" s="127">
        <v>6.94</v>
      </c>
      <c r="AD40" s="127">
        <v>0.45400000000000001</v>
      </c>
    </row>
    <row r="41" spans="1:30" x14ac:dyDescent="0.3">
      <c r="A41" s="129" t="s">
        <v>837</v>
      </c>
      <c r="B41" s="127">
        <v>2695</v>
      </c>
      <c r="C41" s="127">
        <v>9.6109799999999996</v>
      </c>
      <c r="D41" s="127">
        <v>1.1097999999999999</v>
      </c>
      <c r="E41" s="127">
        <v>0.186</v>
      </c>
      <c r="F41" s="127">
        <v>0.17899999999999999</v>
      </c>
      <c r="G41" s="127">
        <v>2.742E-2</v>
      </c>
      <c r="H41" s="127">
        <v>3874.9928100000002</v>
      </c>
      <c r="I41" s="129" t="s">
        <v>1578</v>
      </c>
      <c r="J41" s="129" t="s">
        <v>1578</v>
      </c>
      <c r="K41" s="127">
        <v>0.33378999999999998</v>
      </c>
      <c r="L41" s="127">
        <v>22.192519999999998</v>
      </c>
      <c r="M41" s="129" t="s">
        <v>1578</v>
      </c>
      <c r="N41" s="127">
        <v>0.19206999999999999</v>
      </c>
      <c r="O41" s="127">
        <v>0.35276999999999997</v>
      </c>
      <c r="P41" s="127">
        <v>2410.88</v>
      </c>
      <c r="Q41" s="127">
        <v>0.82399999999999995</v>
      </c>
      <c r="R41" s="129" t="s">
        <v>1578</v>
      </c>
      <c r="S41" s="127">
        <v>0.14099999999999999</v>
      </c>
      <c r="T41" s="127">
        <v>0.41599999999999998</v>
      </c>
      <c r="U41" s="129" t="s">
        <v>1578</v>
      </c>
      <c r="V41" s="127">
        <v>261.01900000000001</v>
      </c>
      <c r="W41" s="127">
        <v>2.4E-2</v>
      </c>
      <c r="X41" s="127">
        <v>5.0000000000000001E-3</v>
      </c>
      <c r="Y41" s="127">
        <v>56.3</v>
      </c>
      <c r="Z41" s="127">
        <v>0.13900000000000001</v>
      </c>
      <c r="AA41" s="127">
        <v>0.24997</v>
      </c>
      <c r="AB41" s="127">
        <v>0.34536</v>
      </c>
      <c r="AC41" s="127">
        <v>6.94</v>
      </c>
      <c r="AD41" s="127">
        <v>0.47599999999999998</v>
      </c>
    </row>
    <row r="42" spans="1:30" x14ac:dyDescent="0.3">
      <c r="A42" s="129" t="s">
        <v>838</v>
      </c>
      <c r="B42" s="127">
        <v>2695</v>
      </c>
      <c r="C42" s="127">
        <v>9.6109799999999996</v>
      </c>
      <c r="D42" s="127">
        <v>1.1097999999999999</v>
      </c>
      <c r="E42" s="127">
        <v>0.186</v>
      </c>
      <c r="F42" s="127">
        <v>0.17899999999999999</v>
      </c>
      <c r="G42" s="127">
        <v>2.742E-2</v>
      </c>
      <c r="H42" s="127">
        <v>3874.9928100000002</v>
      </c>
      <c r="I42" s="129" t="s">
        <v>1578</v>
      </c>
      <c r="J42" s="129" t="s">
        <v>1578</v>
      </c>
      <c r="K42" s="127">
        <v>0.33378999999999998</v>
      </c>
      <c r="L42" s="127">
        <v>22.192519999999998</v>
      </c>
      <c r="M42" s="129" t="s">
        <v>1578</v>
      </c>
      <c r="N42" s="127">
        <v>0.19206999999999999</v>
      </c>
      <c r="O42" s="127">
        <v>0.35276999999999997</v>
      </c>
      <c r="P42" s="127">
        <v>2410.88</v>
      </c>
      <c r="Q42" s="127">
        <v>0.82399999999999995</v>
      </c>
      <c r="R42" s="129" t="s">
        <v>1578</v>
      </c>
      <c r="S42" s="127">
        <v>0.14099999999999999</v>
      </c>
      <c r="T42" s="127">
        <v>0.41599999999999998</v>
      </c>
      <c r="U42" s="129" t="s">
        <v>1578</v>
      </c>
      <c r="V42" s="127">
        <v>261.01900000000001</v>
      </c>
      <c r="W42" s="127">
        <v>2.4E-2</v>
      </c>
      <c r="X42" s="127">
        <v>5.0000000000000001E-3</v>
      </c>
      <c r="Y42" s="127">
        <v>56.3</v>
      </c>
      <c r="Z42" s="127">
        <v>0.13900000000000001</v>
      </c>
      <c r="AA42" s="127">
        <v>0.24997</v>
      </c>
      <c r="AB42" s="127">
        <v>0.34536</v>
      </c>
      <c r="AC42" s="127">
        <v>6.94</v>
      </c>
      <c r="AD42" s="127">
        <v>0.47599999999999998</v>
      </c>
    </row>
    <row r="43" spans="1:30" x14ac:dyDescent="0.3">
      <c r="A43" s="129" t="s">
        <v>839</v>
      </c>
      <c r="B43" s="127">
        <v>2695</v>
      </c>
      <c r="C43" s="127">
        <v>9.4031500000000001</v>
      </c>
      <c r="D43" s="127">
        <v>1.1950000000000001</v>
      </c>
      <c r="E43" s="127">
        <v>0.189</v>
      </c>
      <c r="F43" s="127">
        <v>0.14699999999999999</v>
      </c>
      <c r="G43" s="127">
        <v>2.528E-2</v>
      </c>
      <c r="H43" s="127">
        <v>3875.0111000000002</v>
      </c>
      <c r="I43" s="129" t="s">
        <v>1578</v>
      </c>
      <c r="J43" s="129" t="s">
        <v>1578</v>
      </c>
      <c r="K43" s="127">
        <v>0.34</v>
      </c>
      <c r="L43" s="127">
        <v>22.238769999999999</v>
      </c>
      <c r="M43" s="129" t="s">
        <v>1578</v>
      </c>
      <c r="N43" s="127">
        <v>0.19206999999999999</v>
      </c>
      <c r="O43" s="127">
        <v>0.34027000000000002</v>
      </c>
      <c r="P43" s="127">
        <v>2410.71</v>
      </c>
      <c r="Q43" s="127">
        <v>0.80500000000000005</v>
      </c>
      <c r="R43" s="129" t="s">
        <v>1578</v>
      </c>
      <c r="S43" s="127">
        <v>0.152</v>
      </c>
      <c r="T43" s="127">
        <v>0.439</v>
      </c>
      <c r="U43" s="129" t="s">
        <v>1578</v>
      </c>
      <c r="V43" s="127">
        <v>261.01499999999999</v>
      </c>
      <c r="W43" s="127">
        <v>1.6E-2</v>
      </c>
      <c r="X43" s="127">
        <v>5.0000000000000001E-3</v>
      </c>
      <c r="Y43" s="127">
        <v>56.3</v>
      </c>
      <c r="Z43" s="127">
        <v>0.13300000000000001</v>
      </c>
      <c r="AA43" s="127">
        <v>0.23799000000000001</v>
      </c>
      <c r="AB43" s="127">
        <v>0.35872999999999999</v>
      </c>
      <c r="AC43" s="127">
        <v>6.74</v>
      </c>
      <c r="AD43" s="127">
        <v>0.498</v>
      </c>
    </row>
    <row r="44" spans="1:30" x14ac:dyDescent="0.3">
      <c r="A44" s="129" t="s">
        <v>840</v>
      </c>
      <c r="B44" s="127">
        <v>2695</v>
      </c>
      <c r="C44" s="127">
        <v>9.4031500000000001</v>
      </c>
      <c r="D44" s="127">
        <v>1.1950000000000001</v>
      </c>
      <c r="E44" s="127">
        <v>0.189</v>
      </c>
      <c r="F44" s="127">
        <v>0.14699999999999999</v>
      </c>
      <c r="G44" s="127">
        <v>2.528E-2</v>
      </c>
      <c r="H44" s="127">
        <v>3875.0111000000002</v>
      </c>
      <c r="I44" s="129" t="s">
        <v>1578</v>
      </c>
      <c r="J44" s="129" t="s">
        <v>1578</v>
      </c>
      <c r="K44" s="127">
        <v>0.34</v>
      </c>
      <c r="L44" s="127">
        <v>22.238769999999999</v>
      </c>
      <c r="M44" s="129" t="s">
        <v>1578</v>
      </c>
      <c r="N44" s="127">
        <v>0.19206999999999999</v>
      </c>
      <c r="O44" s="127">
        <v>0.34027000000000002</v>
      </c>
      <c r="P44" s="127">
        <v>2410.71</v>
      </c>
      <c r="Q44" s="127">
        <v>0.80500000000000005</v>
      </c>
      <c r="R44" s="129" t="s">
        <v>1578</v>
      </c>
      <c r="S44" s="127">
        <v>0.152</v>
      </c>
      <c r="T44" s="127">
        <v>0.439</v>
      </c>
      <c r="U44" s="129" t="s">
        <v>1578</v>
      </c>
      <c r="V44" s="127">
        <v>261.01499999999999</v>
      </c>
      <c r="W44" s="127">
        <v>1.6E-2</v>
      </c>
      <c r="X44" s="127">
        <v>5.0000000000000001E-3</v>
      </c>
      <c r="Y44" s="127">
        <v>56.3</v>
      </c>
      <c r="Z44" s="127">
        <v>0.13300000000000001</v>
      </c>
      <c r="AA44" s="127">
        <v>0.23799000000000001</v>
      </c>
      <c r="AB44" s="127">
        <v>0.35872999999999999</v>
      </c>
      <c r="AC44" s="127">
        <v>6.74</v>
      </c>
      <c r="AD44" s="127">
        <v>0.498</v>
      </c>
    </row>
    <row r="45" spans="1:30" x14ac:dyDescent="0.3">
      <c r="A45" s="129" t="s">
        <v>841</v>
      </c>
      <c r="B45" s="127">
        <v>2695</v>
      </c>
      <c r="C45" s="127">
        <v>9.1979100000000003</v>
      </c>
      <c r="D45" s="127">
        <v>1.27</v>
      </c>
      <c r="E45" s="127">
        <v>0.186</v>
      </c>
      <c r="F45" s="127">
        <v>0.113</v>
      </c>
      <c r="G45" s="127">
        <v>2.085E-2</v>
      </c>
      <c r="H45" s="127">
        <v>3875.0065199999999</v>
      </c>
      <c r="I45" s="129" t="s">
        <v>1578</v>
      </c>
      <c r="J45" s="127">
        <v>29.85088</v>
      </c>
      <c r="K45" s="127">
        <v>0.34528999999999999</v>
      </c>
      <c r="L45" s="127">
        <v>22.2272</v>
      </c>
      <c r="M45" s="129" t="s">
        <v>1578</v>
      </c>
      <c r="N45" s="127">
        <v>0.17136000000000001</v>
      </c>
      <c r="O45" s="127">
        <v>0.32790000000000002</v>
      </c>
      <c r="P45" s="127">
        <v>2410.54</v>
      </c>
      <c r="Q45" s="127">
        <v>0.78500000000000003</v>
      </c>
      <c r="R45" s="129" t="s">
        <v>1578</v>
      </c>
      <c r="S45" s="127">
        <v>0.154</v>
      </c>
      <c r="T45" s="127">
        <v>0.47099999999999997</v>
      </c>
      <c r="U45" s="129" t="s">
        <v>1578</v>
      </c>
      <c r="V45" s="127">
        <v>261.01</v>
      </c>
      <c r="W45" s="127">
        <v>1.9E-2</v>
      </c>
      <c r="X45" s="127">
        <v>4.0000000000000001E-3</v>
      </c>
      <c r="Y45" s="127">
        <v>56.3</v>
      </c>
      <c r="Z45" s="127">
        <v>0.124</v>
      </c>
      <c r="AA45" s="127">
        <v>0.25846000000000002</v>
      </c>
      <c r="AB45" s="127">
        <v>0.33576</v>
      </c>
      <c r="AC45" s="127">
        <v>6.52</v>
      </c>
      <c r="AD45" s="127">
        <v>0.52</v>
      </c>
    </row>
    <row r="46" spans="1:30" x14ac:dyDescent="0.3">
      <c r="A46" s="129" t="s">
        <v>842</v>
      </c>
      <c r="B46" s="127">
        <v>2695</v>
      </c>
      <c r="C46" s="127">
        <v>9.1979100000000003</v>
      </c>
      <c r="D46" s="127">
        <v>1.27</v>
      </c>
      <c r="E46" s="127">
        <v>0.186</v>
      </c>
      <c r="F46" s="127">
        <v>0.113</v>
      </c>
      <c r="G46" s="127">
        <v>2.085E-2</v>
      </c>
      <c r="H46" s="127">
        <v>3875.0065199999999</v>
      </c>
      <c r="I46" s="129" t="s">
        <v>1578</v>
      </c>
      <c r="J46" s="127">
        <v>29.85088</v>
      </c>
      <c r="K46" s="127">
        <v>0.34528999999999999</v>
      </c>
      <c r="L46" s="127">
        <v>22.2272</v>
      </c>
      <c r="M46" s="129" t="s">
        <v>1578</v>
      </c>
      <c r="N46" s="127">
        <v>0.17136000000000001</v>
      </c>
      <c r="O46" s="127">
        <v>0.32790000000000002</v>
      </c>
      <c r="P46" s="127">
        <v>2410.54</v>
      </c>
      <c r="Q46" s="127">
        <v>0.78500000000000003</v>
      </c>
      <c r="R46" s="129" t="s">
        <v>1578</v>
      </c>
      <c r="S46" s="127">
        <v>0.154</v>
      </c>
      <c r="T46" s="127">
        <v>0.47099999999999997</v>
      </c>
      <c r="U46" s="129" t="s">
        <v>1578</v>
      </c>
      <c r="V46" s="127">
        <v>261.01</v>
      </c>
      <c r="W46" s="127">
        <v>1.9E-2</v>
      </c>
      <c r="X46" s="127">
        <v>4.0000000000000001E-3</v>
      </c>
      <c r="Y46" s="127">
        <v>56.3</v>
      </c>
      <c r="Z46" s="127">
        <v>0.124</v>
      </c>
      <c r="AA46" s="127">
        <v>0.25846000000000002</v>
      </c>
      <c r="AB46" s="127">
        <v>0.33576</v>
      </c>
      <c r="AC46" s="127">
        <v>6.52</v>
      </c>
      <c r="AD46" s="127">
        <v>0.52</v>
      </c>
    </row>
    <row r="47" spans="1:30" x14ac:dyDescent="0.3">
      <c r="A47" s="129" t="s">
        <v>843</v>
      </c>
      <c r="B47" s="127">
        <v>2695</v>
      </c>
      <c r="C47" s="127">
        <v>9.0039200000000008</v>
      </c>
      <c r="D47" s="127">
        <v>1.1559999999999999</v>
      </c>
      <c r="E47" s="127">
        <v>0.17399999999999999</v>
      </c>
      <c r="F47" s="127">
        <v>0.10199999999999999</v>
      </c>
      <c r="G47" s="127">
        <v>1.8169999999999999E-2</v>
      </c>
      <c r="H47" s="127">
        <v>3875.00378</v>
      </c>
      <c r="I47" s="129" t="s">
        <v>1578</v>
      </c>
      <c r="J47" s="129" t="s">
        <v>1578</v>
      </c>
      <c r="K47" s="127">
        <v>0.35019</v>
      </c>
      <c r="L47" s="127">
        <v>22.22026</v>
      </c>
      <c r="M47" s="127">
        <v>301.78928000000002</v>
      </c>
      <c r="N47" s="127">
        <v>0.17136000000000001</v>
      </c>
      <c r="O47" s="127">
        <v>0.33406999999999998</v>
      </c>
      <c r="P47" s="127">
        <v>2410.36</v>
      </c>
      <c r="Q47" s="127">
        <v>0.76400000000000001</v>
      </c>
      <c r="R47" s="129" t="s">
        <v>1578</v>
      </c>
      <c r="S47" s="127">
        <v>0.154</v>
      </c>
      <c r="T47" s="127">
        <v>0.48399999999999999</v>
      </c>
      <c r="U47" s="127">
        <v>103.94</v>
      </c>
      <c r="V47" s="127">
        <v>261.00599999999997</v>
      </c>
      <c r="W47" s="127">
        <v>3.5000000000000003E-2</v>
      </c>
      <c r="X47" s="127">
        <v>3.0000000000000001E-3</v>
      </c>
      <c r="Y47" s="127">
        <v>56.3</v>
      </c>
      <c r="Z47" s="127">
        <v>0.115</v>
      </c>
      <c r="AA47" s="127">
        <v>0.29087000000000002</v>
      </c>
      <c r="AB47" s="127">
        <v>0.30646000000000001</v>
      </c>
      <c r="AC47" s="127">
        <v>6.29</v>
      </c>
      <c r="AD47" s="127">
        <v>0.53500000000000003</v>
      </c>
    </row>
    <row r="48" spans="1:30" x14ac:dyDescent="0.3">
      <c r="A48" s="129" t="s">
        <v>844</v>
      </c>
      <c r="B48" s="127">
        <v>2695</v>
      </c>
      <c r="C48" s="127">
        <v>9.0039200000000008</v>
      </c>
      <c r="D48" s="127">
        <v>1.1559999999999999</v>
      </c>
      <c r="E48" s="127">
        <v>0.17399999999999999</v>
      </c>
      <c r="F48" s="127">
        <v>0.10199999999999999</v>
      </c>
      <c r="G48" s="127">
        <v>1.8169999999999999E-2</v>
      </c>
      <c r="H48" s="127">
        <v>3875.00378</v>
      </c>
      <c r="I48" s="129" t="s">
        <v>1578</v>
      </c>
      <c r="J48" s="129" t="s">
        <v>1578</v>
      </c>
      <c r="K48" s="127">
        <v>0.35019</v>
      </c>
      <c r="L48" s="127">
        <v>22.22026</v>
      </c>
      <c r="M48" s="127">
        <v>301.78928000000002</v>
      </c>
      <c r="N48" s="127">
        <v>0.17136000000000001</v>
      </c>
      <c r="O48" s="127">
        <v>0.33406999999999998</v>
      </c>
      <c r="P48" s="127">
        <v>2410.36</v>
      </c>
      <c r="Q48" s="127">
        <v>0.76400000000000001</v>
      </c>
      <c r="R48" s="129" t="s">
        <v>1578</v>
      </c>
      <c r="S48" s="127">
        <v>0.154</v>
      </c>
      <c r="T48" s="127">
        <v>0.48399999999999999</v>
      </c>
      <c r="U48" s="127">
        <v>103.94</v>
      </c>
      <c r="V48" s="127">
        <v>261.00599999999997</v>
      </c>
      <c r="W48" s="127">
        <v>3.5000000000000003E-2</v>
      </c>
      <c r="X48" s="127">
        <v>3.0000000000000001E-3</v>
      </c>
      <c r="Y48" s="127">
        <v>56.3</v>
      </c>
      <c r="Z48" s="127">
        <v>0.115</v>
      </c>
      <c r="AA48" s="127">
        <v>0.29087000000000002</v>
      </c>
      <c r="AB48" s="127">
        <v>0.30646000000000001</v>
      </c>
      <c r="AC48" s="127">
        <v>6.29</v>
      </c>
      <c r="AD48" s="127">
        <v>0.53500000000000003</v>
      </c>
    </row>
    <row r="49" spans="1:30" x14ac:dyDescent="0.3">
      <c r="A49" s="129" t="s">
        <v>845</v>
      </c>
      <c r="B49" s="127">
        <v>2695</v>
      </c>
      <c r="C49" s="127">
        <v>8.8350000000000009</v>
      </c>
      <c r="D49" s="127">
        <v>1.0909</v>
      </c>
      <c r="E49" s="127">
        <v>0.191</v>
      </c>
      <c r="F49" s="127">
        <v>9.2999999999999999E-2</v>
      </c>
      <c r="G49" s="127">
        <v>1.9910000000000001E-2</v>
      </c>
      <c r="H49" s="127">
        <v>3874.9955500000001</v>
      </c>
      <c r="I49" s="129" t="s">
        <v>1578</v>
      </c>
      <c r="J49" s="129" t="s">
        <v>1578</v>
      </c>
      <c r="K49" s="127">
        <v>0.36570999999999998</v>
      </c>
      <c r="L49" s="127">
        <v>22.199449999999999</v>
      </c>
      <c r="M49" s="129" t="s">
        <v>1578</v>
      </c>
      <c r="N49" s="127">
        <v>0.18793000000000001</v>
      </c>
      <c r="O49" s="127">
        <v>0.34027000000000002</v>
      </c>
      <c r="P49" s="127">
        <v>2410.16</v>
      </c>
      <c r="Q49" s="127">
        <v>0.74099999999999999</v>
      </c>
      <c r="R49" s="129" t="s">
        <v>1578</v>
      </c>
      <c r="S49" s="127">
        <v>0.154</v>
      </c>
      <c r="T49" s="127">
        <v>0.48399999999999999</v>
      </c>
      <c r="U49" s="129" t="s">
        <v>1578</v>
      </c>
      <c r="V49" s="127">
        <v>261.00099999999998</v>
      </c>
      <c r="W49" s="127">
        <v>3.7999999999999999E-2</v>
      </c>
      <c r="X49" s="127">
        <v>6.0000000000000001E-3</v>
      </c>
      <c r="Y49" s="127">
        <v>56.3</v>
      </c>
      <c r="Z49" s="127">
        <v>0.105</v>
      </c>
      <c r="AA49" s="127">
        <v>0.30602000000000001</v>
      </c>
      <c r="AB49" s="127">
        <v>0.29171999999999998</v>
      </c>
      <c r="AC49" s="127">
        <v>6.11</v>
      </c>
      <c r="AD49" s="127">
        <v>0.53100000000000003</v>
      </c>
    </row>
    <row r="50" spans="1:30" x14ac:dyDescent="0.3">
      <c r="A50" s="129" t="s">
        <v>846</v>
      </c>
      <c r="B50" s="127">
        <v>2695</v>
      </c>
      <c r="C50" s="127">
        <v>8.8350000000000009</v>
      </c>
      <c r="D50" s="127">
        <v>1.0909</v>
      </c>
      <c r="E50" s="127">
        <v>0.191</v>
      </c>
      <c r="F50" s="127">
        <v>9.2999999999999999E-2</v>
      </c>
      <c r="G50" s="127">
        <v>1.9910000000000001E-2</v>
      </c>
      <c r="H50" s="127">
        <v>3874.9955500000001</v>
      </c>
      <c r="I50" s="129" t="s">
        <v>1578</v>
      </c>
      <c r="J50" s="129" t="s">
        <v>1578</v>
      </c>
      <c r="K50" s="127">
        <v>0.36570999999999998</v>
      </c>
      <c r="L50" s="127">
        <v>22.199449999999999</v>
      </c>
      <c r="M50" s="129" t="s">
        <v>1578</v>
      </c>
      <c r="N50" s="127">
        <v>0.18793000000000001</v>
      </c>
      <c r="O50" s="127">
        <v>0.34027000000000002</v>
      </c>
      <c r="P50" s="127">
        <v>2410.16</v>
      </c>
      <c r="Q50" s="127">
        <v>0.74099999999999999</v>
      </c>
      <c r="R50" s="129" t="s">
        <v>1578</v>
      </c>
      <c r="S50" s="127">
        <v>0.154</v>
      </c>
      <c r="T50" s="127">
        <v>0.48399999999999999</v>
      </c>
      <c r="U50" s="129" t="s">
        <v>1578</v>
      </c>
      <c r="V50" s="127">
        <v>261.00099999999998</v>
      </c>
      <c r="W50" s="127">
        <v>3.7999999999999999E-2</v>
      </c>
      <c r="X50" s="127">
        <v>6.0000000000000001E-3</v>
      </c>
      <c r="Y50" s="127">
        <v>56.3</v>
      </c>
      <c r="Z50" s="127">
        <v>0.105</v>
      </c>
      <c r="AA50" s="127">
        <v>0.30602000000000001</v>
      </c>
      <c r="AB50" s="127">
        <v>0.29171999999999998</v>
      </c>
      <c r="AC50" s="127">
        <v>6.11</v>
      </c>
      <c r="AD50" s="127">
        <v>0.53100000000000003</v>
      </c>
    </row>
    <row r="51" spans="1:30" x14ac:dyDescent="0.3">
      <c r="A51" s="129" t="s">
        <v>847</v>
      </c>
      <c r="B51" s="127">
        <v>2695</v>
      </c>
      <c r="C51" s="127">
        <v>8.6298300000000001</v>
      </c>
      <c r="D51" s="127">
        <v>1.0261</v>
      </c>
      <c r="E51" s="127">
        <v>0.191</v>
      </c>
      <c r="F51" s="127">
        <v>9.6000000000000002E-2</v>
      </c>
      <c r="G51" s="127">
        <v>1.771E-2</v>
      </c>
      <c r="H51" s="127">
        <v>3874.9733000000001</v>
      </c>
      <c r="I51" s="129" t="s">
        <v>1578</v>
      </c>
      <c r="J51" s="129" t="s">
        <v>1578</v>
      </c>
      <c r="K51" s="127">
        <v>0.38723000000000002</v>
      </c>
      <c r="L51" s="127">
        <v>22.14321</v>
      </c>
      <c r="M51" s="129" t="s">
        <v>1578</v>
      </c>
      <c r="N51" s="127">
        <v>0.15640000000000001</v>
      </c>
      <c r="O51" s="127">
        <v>0.32790000000000002</v>
      </c>
      <c r="P51" s="127">
        <v>2410.0500000000002</v>
      </c>
      <c r="Q51" s="127">
        <v>0.72799999999999998</v>
      </c>
      <c r="R51" s="129" t="s">
        <v>1578</v>
      </c>
      <c r="S51" s="127">
        <v>0.154</v>
      </c>
      <c r="T51" s="127">
        <v>0.42599999999999999</v>
      </c>
      <c r="U51" s="129" t="s">
        <v>1578</v>
      </c>
      <c r="V51" s="127">
        <v>260.99599999999998</v>
      </c>
      <c r="W51" s="127">
        <v>5.5E-2</v>
      </c>
      <c r="X51" s="127">
        <v>1.0999999999999999E-2</v>
      </c>
      <c r="Y51" s="127">
        <v>56.3</v>
      </c>
      <c r="Z51" s="127">
        <v>9.6000000000000002E-2</v>
      </c>
      <c r="AA51" s="127">
        <v>0.34314</v>
      </c>
      <c r="AB51" s="127">
        <v>0.25398999999999999</v>
      </c>
      <c r="AC51" s="127">
        <v>6.02</v>
      </c>
      <c r="AD51" s="127">
        <v>0.52800000000000002</v>
      </c>
    </row>
    <row r="52" spans="1:30" x14ac:dyDescent="0.3">
      <c r="A52" s="129" t="s">
        <v>848</v>
      </c>
      <c r="B52" s="127">
        <v>2695</v>
      </c>
      <c r="C52" s="127">
        <v>8.6298300000000001</v>
      </c>
      <c r="D52" s="127">
        <v>1.0261</v>
      </c>
      <c r="E52" s="127">
        <v>0.191</v>
      </c>
      <c r="F52" s="127">
        <v>9.6000000000000002E-2</v>
      </c>
      <c r="G52" s="127">
        <v>1.771E-2</v>
      </c>
      <c r="H52" s="127">
        <v>3874.9733000000001</v>
      </c>
      <c r="I52" s="129" t="s">
        <v>1578</v>
      </c>
      <c r="J52" s="129" t="s">
        <v>1578</v>
      </c>
      <c r="K52" s="127">
        <v>0.38723000000000002</v>
      </c>
      <c r="L52" s="127">
        <v>22.14321</v>
      </c>
      <c r="M52" s="129" t="s">
        <v>1578</v>
      </c>
      <c r="N52" s="127">
        <v>0.15640000000000001</v>
      </c>
      <c r="O52" s="127">
        <v>0.32790000000000002</v>
      </c>
      <c r="P52" s="127">
        <v>2410.0500000000002</v>
      </c>
      <c r="Q52" s="127">
        <v>0.72799999999999998</v>
      </c>
      <c r="R52" s="129" t="s">
        <v>1578</v>
      </c>
      <c r="S52" s="127">
        <v>0.154</v>
      </c>
      <c r="T52" s="127">
        <v>0.42599999999999999</v>
      </c>
      <c r="U52" s="129" t="s">
        <v>1578</v>
      </c>
      <c r="V52" s="127">
        <v>260.99599999999998</v>
      </c>
      <c r="W52" s="127">
        <v>5.5E-2</v>
      </c>
      <c r="X52" s="127">
        <v>1.0999999999999999E-2</v>
      </c>
      <c r="Y52" s="127">
        <v>56.3</v>
      </c>
      <c r="Z52" s="127">
        <v>9.6000000000000002E-2</v>
      </c>
      <c r="AA52" s="127">
        <v>0.34314</v>
      </c>
      <c r="AB52" s="127">
        <v>0.25398999999999999</v>
      </c>
      <c r="AC52" s="127">
        <v>6.02</v>
      </c>
      <c r="AD52" s="127">
        <v>0.52800000000000002</v>
      </c>
    </row>
    <row r="53" spans="1:30" x14ac:dyDescent="0.3">
      <c r="A53" s="129" t="s">
        <v>849</v>
      </c>
      <c r="B53" s="127">
        <v>2695</v>
      </c>
      <c r="C53" s="127">
        <v>8.4273199999999999</v>
      </c>
      <c r="D53" s="127">
        <v>0.85799999999999998</v>
      </c>
      <c r="E53" s="127">
        <v>0.184</v>
      </c>
      <c r="F53" s="127">
        <v>0.122</v>
      </c>
      <c r="G53" s="127">
        <v>1.2019999999999999E-2</v>
      </c>
      <c r="H53" s="127">
        <v>3874.9479999999999</v>
      </c>
      <c r="I53" s="129" t="s">
        <v>1578</v>
      </c>
      <c r="J53" s="129" t="s">
        <v>1578</v>
      </c>
      <c r="K53" s="127">
        <v>0.40901999999999999</v>
      </c>
      <c r="L53" s="127">
        <v>22.079319999999999</v>
      </c>
      <c r="M53" s="129" t="s">
        <v>1578</v>
      </c>
      <c r="N53" s="127">
        <v>0.14587</v>
      </c>
      <c r="O53" s="127">
        <v>0.32790000000000002</v>
      </c>
      <c r="P53" s="127">
        <v>2410.06</v>
      </c>
      <c r="Q53" s="127">
        <v>0.72850000000000004</v>
      </c>
      <c r="R53" s="129" t="s">
        <v>1578</v>
      </c>
      <c r="S53" s="127">
        <v>0.16200000000000001</v>
      </c>
      <c r="T53" s="127">
        <v>0.374</v>
      </c>
      <c r="U53" s="129" t="s">
        <v>1578</v>
      </c>
      <c r="V53" s="127">
        <v>260.99200000000002</v>
      </c>
      <c r="W53" s="127">
        <v>8.4000000000000005E-2</v>
      </c>
      <c r="X53" s="127">
        <v>1.4E-2</v>
      </c>
      <c r="Y53" s="127">
        <v>56.3</v>
      </c>
      <c r="Z53" s="127">
        <v>8.5999999999999993E-2</v>
      </c>
      <c r="AA53" s="127">
        <v>0.40734999999999999</v>
      </c>
      <c r="AB53" s="127">
        <v>0.18797</v>
      </c>
      <c r="AC53" s="127">
        <v>5.83</v>
      </c>
      <c r="AD53" s="127">
        <v>0.52400000000000002</v>
      </c>
    </row>
    <row r="54" spans="1:30" x14ac:dyDescent="0.3">
      <c r="A54" s="129" t="s">
        <v>850</v>
      </c>
      <c r="B54" s="127">
        <v>2695</v>
      </c>
      <c r="C54" s="127">
        <v>8.4273199999999999</v>
      </c>
      <c r="D54" s="127">
        <v>0.85799999999999998</v>
      </c>
      <c r="E54" s="127">
        <v>0.184</v>
      </c>
      <c r="F54" s="127">
        <v>0.122</v>
      </c>
      <c r="G54" s="127">
        <v>1.2019999999999999E-2</v>
      </c>
      <c r="H54" s="127">
        <v>3874.9479999999999</v>
      </c>
      <c r="I54" s="129" t="s">
        <v>1578</v>
      </c>
      <c r="J54" s="129" t="s">
        <v>1578</v>
      </c>
      <c r="K54" s="127">
        <v>0.40901999999999999</v>
      </c>
      <c r="L54" s="127">
        <v>22.079319999999999</v>
      </c>
      <c r="M54" s="129" t="s">
        <v>1578</v>
      </c>
      <c r="N54" s="127">
        <v>0.14587</v>
      </c>
      <c r="O54" s="127">
        <v>0.32790000000000002</v>
      </c>
      <c r="P54" s="127">
        <v>2410.06</v>
      </c>
      <c r="Q54" s="127">
        <v>0.72850000000000004</v>
      </c>
      <c r="R54" s="129" t="s">
        <v>1578</v>
      </c>
      <c r="S54" s="127">
        <v>0.16200000000000001</v>
      </c>
      <c r="T54" s="127">
        <v>0.374</v>
      </c>
      <c r="U54" s="129" t="s">
        <v>1578</v>
      </c>
      <c r="V54" s="127">
        <v>260.99200000000002</v>
      </c>
      <c r="W54" s="127">
        <v>8.4000000000000005E-2</v>
      </c>
      <c r="X54" s="127">
        <v>1.4E-2</v>
      </c>
      <c r="Y54" s="127">
        <v>56.3</v>
      </c>
      <c r="Z54" s="127">
        <v>8.5999999999999993E-2</v>
      </c>
      <c r="AA54" s="127">
        <v>0.40734999999999999</v>
      </c>
      <c r="AB54" s="127">
        <v>0.18797</v>
      </c>
      <c r="AC54" s="127">
        <v>5.83</v>
      </c>
      <c r="AD54" s="127">
        <v>0.52400000000000002</v>
      </c>
    </row>
    <row r="55" spans="1:30" x14ac:dyDescent="0.3">
      <c r="A55" s="129" t="s">
        <v>851</v>
      </c>
      <c r="B55" s="127">
        <v>2695</v>
      </c>
      <c r="C55" s="127">
        <v>8.2267700000000001</v>
      </c>
      <c r="D55" s="127">
        <v>0.68799999999999994</v>
      </c>
      <c r="E55" s="127">
        <v>0.17</v>
      </c>
      <c r="F55" s="127">
        <v>0.152</v>
      </c>
      <c r="G55" s="127">
        <v>1.4109999999999999E-2</v>
      </c>
      <c r="H55" s="127">
        <v>3874.9126500000002</v>
      </c>
      <c r="I55" s="129" t="s">
        <v>1578</v>
      </c>
      <c r="J55" s="129" t="s">
        <v>1578</v>
      </c>
      <c r="K55" s="127">
        <v>0.43067</v>
      </c>
      <c r="L55" s="127">
        <v>21.990089999999999</v>
      </c>
      <c r="M55" s="129" t="s">
        <v>1578</v>
      </c>
      <c r="N55" s="127">
        <v>0.13569000000000001</v>
      </c>
      <c r="O55" s="127">
        <v>0.34027000000000002</v>
      </c>
      <c r="P55" s="127">
        <v>2410.06</v>
      </c>
      <c r="Q55" s="127">
        <v>0.72850000000000004</v>
      </c>
      <c r="R55" s="129" t="s">
        <v>1578</v>
      </c>
      <c r="S55" s="127">
        <v>0.16800000000000001</v>
      </c>
      <c r="T55" s="127">
        <v>0.313</v>
      </c>
      <c r="U55" s="129" t="s">
        <v>1578</v>
      </c>
      <c r="V55" s="127">
        <v>260.98700000000002</v>
      </c>
      <c r="W55" s="127">
        <v>0.114</v>
      </c>
      <c r="X55" s="127">
        <v>1.7999999999999999E-2</v>
      </c>
      <c r="Y55" s="127">
        <v>56.3</v>
      </c>
      <c r="Z55" s="127">
        <v>7.6999999999999999E-2</v>
      </c>
      <c r="AA55" s="127">
        <v>0.47538999999999998</v>
      </c>
      <c r="AB55" s="127">
        <v>0.11557000000000001</v>
      </c>
      <c r="AC55" s="127">
        <v>6.11</v>
      </c>
      <c r="AD55" s="127">
        <v>0.52</v>
      </c>
    </row>
    <row r="56" spans="1:30" x14ac:dyDescent="0.3">
      <c r="A56" s="129" t="s">
        <v>852</v>
      </c>
      <c r="B56" s="127">
        <v>2695</v>
      </c>
      <c r="C56" s="127">
        <v>8.2267700000000001</v>
      </c>
      <c r="D56" s="127">
        <v>0.68799999999999994</v>
      </c>
      <c r="E56" s="127">
        <v>0.17</v>
      </c>
      <c r="F56" s="127">
        <v>0.152</v>
      </c>
      <c r="G56" s="127">
        <v>1.4109999999999999E-2</v>
      </c>
      <c r="H56" s="127">
        <v>3874.9126500000002</v>
      </c>
      <c r="I56" s="129" t="s">
        <v>1578</v>
      </c>
      <c r="J56" s="129" t="s">
        <v>1578</v>
      </c>
      <c r="K56" s="127">
        <v>0.43067</v>
      </c>
      <c r="L56" s="127">
        <v>21.990089999999999</v>
      </c>
      <c r="M56" s="129" t="s">
        <v>1578</v>
      </c>
      <c r="N56" s="127">
        <v>0.13569000000000001</v>
      </c>
      <c r="O56" s="127">
        <v>0.34027000000000002</v>
      </c>
      <c r="P56" s="127">
        <v>2410.06</v>
      </c>
      <c r="Q56" s="127">
        <v>0.72850000000000004</v>
      </c>
      <c r="R56" s="129" t="s">
        <v>1578</v>
      </c>
      <c r="S56" s="127">
        <v>0.16800000000000001</v>
      </c>
      <c r="T56" s="127">
        <v>0.313</v>
      </c>
      <c r="U56" s="129" t="s">
        <v>1578</v>
      </c>
      <c r="V56" s="127">
        <v>260.98700000000002</v>
      </c>
      <c r="W56" s="127">
        <v>0.114</v>
      </c>
      <c r="X56" s="127">
        <v>1.7999999999999999E-2</v>
      </c>
      <c r="Y56" s="127">
        <v>56.3</v>
      </c>
      <c r="Z56" s="127">
        <v>7.6999999999999999E-2</v>
      </c>
      <c r="AA56" s="127">
        <v>0.47538999999999998</v>
      </c>
      <c r="AB56" s="127">
        <v>0.11557000000000001</v>
      </c>
      <c r="AC56" s="127">
        <v>6.11</v>
      </c>
      <c r="AD56" s="127">
        <v>0.52</v>
      </c>
    </row>
    <row r="57" spans="1:30" x14ac:dyDescent="0.3">
      <c r="A57" s="129" t="s">
        <v>853</v>
      </c>
      <c r="B57" s="127">
        <v>2695</v>
      </c>
      <c r="C57" s="127">
        <v>8.0198800000000006</v>
      </c>
      <c r="D57" s="129" t="s">
        <v>1578</v>
      </c>
      <c r="E57" s="127">
        <v>0.16500000000000001</v>
      </c>
      <c r="F57" s="127">
        <v>0.17299999999999999</v>
      </c>
      <c r="G57" s="127">
        <v>1.461E-2</v>
      </c>
      <c r="H57" s="127">
        <v>3874.8904000000002</v>
      </c>
      <c r="I57" s="129" t="s">
        <v>1578</v>
      </c>
      <c r="J57" s="129" t="s">
        <v>1578</v>
      </c>
      <c r="K57" s="127">
        <v>0.45269999999999999</v>
      </c>
      <c r="L57" s="127">
        <v>21.921690000000002</v>
      </c>
      <c r="M57" s="129" t="s">
        <v>1578</v>
      </c>
      <c r="N57" s="127">
        <v>0.10238</v>
      </c>
      <c r="O57" s="127">
        <v>0.35276999999999997</v>
      </c>
      <c r="P57" s="127">
        <v>2410.06</v>
      </c>
      <c r="Q57" s="127">
        <v>0.72850000000000004</v>
      </c>
      <c r="R57" s="129" t="s">
        <v>1578</v>
      </c>
      <c r="S57" s="127">
        <v>0.17399999999999999</v>
      </c>
      <c r="T57" s="127">
        <v>0.27</v>
      </c>
      <c r="U57" s="129" t="s">
        <v>1578</v>
      </c>
      <c r="V57" s="127">
        <v>260.98200000000003</v>
      </c>
      <c r="W57" s="127">
        <v>0.13800000000000001</v>
      </c>
      <c r="X57" s="127">
        <v>2.3E-2</v>
      </c>
      <c r="Y57" s="127">
        <v>56.3</v>
      </c>
      <c r="Z57" s="127">
        <v>6.8000000000000005E-2</v>
      </c>
      <c r="AA57" s="127">
        <v>0.50863000000000003</v>
      </c>
      <c r="AB57" s="127">
        <v>8.0729999999999996E-2</v>
      </c>
      <c r="AC57" s="127">
        <v>6.02</v>
      </c>
      <c r="AD57" s="127">
        <v>0.51600000000000001</v>
      </c>
    </row>
    <row r="58" spans="1:30" x14ac:dyDescent="0.3">
      <c r="A58" s="130" t="s">
        <v>854</v>
      </c>
      <c r="B58" s="136">
        <v>2695</v>
      </c>
      <c r="C58" s="136">
        <v>8.0198800000000006</v>
      </c>
      <c r="D58" s="130" t="s">
        <v>1578</v>
      </c>
      <c r="E58" s="136">
        <v>0.16500000000000001</v>
      </c>
      <c r="F58" s="136">
        <v>0.17299999999999999</v>
      </c>
      <c r="G58" s="136">
        <v>1.461E-2</v>
      </c>
      <c r="H58" s="136">
        <v>3874.8904000000002</v>
      </c>
      <c r="I58" s="130" t="s">
        <v>1578</v>
      </c>
      <c r="J58" s="130" t="s">
        <v>1578</v>
      </c>
      <c r="K58" s="136">
        <v>0.45269999999999999</v>
      </c>
      <c r="L58" s="136">
        <v>21.921690000000002</v>
      </c>
      <c r="M58" s="130" t="s">
        <v>1578</v>
      </c>
      <c r="N58" s="136">
        <v>0.10238</v>
      </c>
      <c r="O58" s="136">
        <v>0.35276999999999997</v>
      </c>
      <c r="P58" s="136">
        <v>2410.06</v>
      </c>
      <c r="Q58" s="136">
        <v>0.72850000000000004</v>
      </c>
      <c r="R58" s="130" t="s">
        <v>1578</v>
      </c>
      <c r="S58" s="136">
        <v>0.17399999999999999</v>
      </c>
      <c r="T58" s="136">
        <v>0.27</v>
      </c>
      <c r="U58" s="130" t="s">
        <v>1578</v>
      </c>
      <c r="V58" s="136">
        <v>260.98200000000003</v>
      </c>
      <c r="W58" s="136">
        <v>0.13800000000000001</v>
      </c>
      <c r="X58" s="136">
        <v>2.3E-2</v>
      </c>
      <c r="Y58" s="136">
        <v>56.3</v>
      </c>
      <c r="Z58" s="136">
        <v>6.8000000000000005E-2</v>
      </c>
      <c r="AA58" s="136">
        <v>0.50863000000000003</v>
      </c>
      <c r="AB58" s="136">
        <v>8.0729999999999996E-2</v>
      </c>
      <c r="AC58" s="136">
        <v>6.02</v>
      </c>
      <c r="AD58" s="136">
        <v>0.51600000000000001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63</v>
      </c>
      <c r="C6" s="3" t="s">
        <v>3</v>
      </c>
      <c r="D6" s="3" t="s">
        <v>1611</v>
      </c>
      <c r="E6" s="3" t="s">
        <v>7</v>
      </c>
      <c r="F6" s="3" t="s">
        <v>8</v>
      </c>
      <c r="G6" s="3" t="s">
        <v>1612</v>
      </c>
      <c r="H6" s="3" t="s">
        <v>1613</v>
      </c>
    </row>
    <row r="7" spans="1:8" x14ac:dyDescent="0.3">
      <c r="A7" s="1"/>
      <c r="B7" s="90" t="s">
        <v>67</v>
      </c>
      <c r="C7" s="6" t="s">
        <v>75</v>
      </c>
      <c r="D7" s="6" t="s">
        <v>1614</v>
      </c>
      <c r="E7" s="90" t="s">
        <v>1615</v>
      </c>
      <c r="F7" s="90" t="s">
        <v>1616</v>
      </c>
      <c r="G7" s="150">
        <v>0.2</v>
      </c>
      <c r="H7" s="90"/>
    </row>
    <row r="8" spans="1:8" x14ac:dyDescent="0.3">
      <c r="A8" s="1"/>
      <c r="B8" s="90" t="s">
        <v>67</v>
      </c>
      <c r="C8" s="6" t="s">
        <v>75</v>
      </c>
      <c r="D8" s="6" t="s">
        <v>1617</v>
      </c>
      <c r="E8" s="90" t="s">
        <v>1615</v>
      </c>
      <c r="F8" s="90" t="s">
        <v>1616</v>
      </c>
      <c r="G8" s="150">
        <v>0</v>
      </c>
      <c r="H8" s="90"/>
    </row>
    <row r="9" spans="1:8" x14ac:dyDescent="0.3">
      <c r="A9" s="1"/>
      <c r="B9" s="90" t="s">
        <v>67</v>
      </c>
      <c r="C9" s="6" t="s">
        <v>75</v>
      </c>
      <c r="D9" s="6" t="s">
        <v>1618</v>
      </c>
      <c r="E9" s="90" t="s">
        <v>1615</v>
      </c>
      <c r="F9" s="90" t="s">
        <v>1616</v>
      </c>
      <c r="G9" s="150">
        <v>0</v>
      </c>
      <c r="H9" s="90"/>
    </row>
    <row r="10" spans="1:8" x14ac:dyDescent="0.3">
      <c r="A10" s="1"/>
      <c r="B10" s="90" t="s">
        <v>67</v>
      </c>
      <c r="C10" s="6" t="s">
        <v>75</v>
      </c>
      <c r="D10" s="6" t="s">
        <v>1619</v>
      </c>
      <c r="E10" s="90" t="s">
        <v>1615</v>
      </c>
      <c r="F10" s="90" t="s">
        <v>1616</v>
      </c>
      <c r="G10" s="150">
        <v>5</v>
      </c>
      <c r="H10" s="90"/>
    </row>
    <row r="11" spans="1:8" x14ac:dyDescent="0.3">
      <c r="A11" s="1"/>
      <c r="B11" s="90" t="s">
        <v>67</v>
      </c>
      <c r="C11" s="6" t="s">
        <v>75</v>
      </c>
      <c r="D11" s="6" t="s">
        <v>1620</v>
      </c>
      <c r="E11" s="90" t="s">
        <v>1615</v>
      </c>
      <c r="F11" s="90" t="s">
        <v>1616</v>
      </c>
      <c r="G11" s="150">
        <v>5</v>
      </c>
      <c r="H11" s="90"/>
    </row>
    <row r="12" spans="1:8" x14ac:dyDescent="0.3">
      <c r="A12" s="1"/>
      <c r="B12" s="90" t="s">
        <v>67</v>
      </c>
      <c r="C12" s="6" t="s">
        <v>75</v>
      </c>
      <c r="D12" s="6" t="s">
        <v>1621</v>
      </c>
      <c r="E12" s="90" t="s">
        <v>1615</v>
      </c>
      <c r="F12" s="90" t="s">
        <v>1616</v>
      </c>
      <c r="G12" s="150">
        <v>0</v>
      </c>
      <c r="H12" s="90"/>
    </row>
    <row r="13" spans="1:8" x14ac:dyDescent="0.3">
      <c r="A13" s="1"/>
      <c r="B13" s="90" t="s">
        <v>67</v>
      </c>
      <c r="C13" s="6" t="s">
        <v>75</v>
      </c>
      <c r="D13" s="6" t="s">
        <v>1622</v>
      </c>
      <c r="E13" s="90" t="s">
        <v>1615</v>
      </c>
      <c r="F13" s="90" t="s">
        <v>1616</v>
      </c>
      <c r="G13" s="150">
        <v>0</v>
      </c>
      <c r="H13" s="90"/>
    </row>
    <row r="14" spans="1:8" x14ac:dyDescent="0.3">
      <c r="A14" s="1"/>
      <c r="B14" s="90" t="s">
        <v>67</v>
      </c>
      <c r="C14" s="6" t="s">
        <v>602</v>
      </c>
      <c r="D14" s="6" t="s">
        <v>1599</v>
      </c>
      <c r="E14" s="90" t="s">
        <v>1615</v>
      </c>
      <c r="F14" s="90" t="s">
        <v>1616</v>
      </c>
      <c r="G14" s="150">
        <v>0.25</v>
      </c>
      <c r="H14" s="90"/>
    </row>
    <row r="15" spans="1:8" x14ac:dyDescent="0.3">
      <c r="A15" s="1"/>
      <c r="B15" s="90" t="s">
        <v>67</v>
      </c>
      <c r="C15" s="6" t="s">
        <v>80</v>
      </c>
      <c r="D15" s="6" t="s">
        <v>1623</v>
      </c>
      <c r="E15" s="90" t="s">
        <v>1615</v>
      </c>
      <c r="F15" s="90" t="s">
        <v>1616</v>
      </c>
      <c r="G15" s="150">
        <v>0.21</v>
      </c>
      <c r="H15" s="90"/>
    </row>
    <row r="16" spans="1:8" x14ac:dyDescent="0.3">
      <c r="A16" s="1"/>
      <c r="B16" s="90" t="s">
        <v>67</v>
      </c>
      <c r="C16" s="6" t="s">
        <v>80</v>
      </c>
      <c r="D16" s="6" t="s">
        <v>1624</v>
      </c>
      <c r="E16" s="90" t="s">
        <v>1615</v>
      </c>
      <c r="F16" s="90" t="s">
        <v>1616</v>
      </c>
      <c r="G16" s="150">
        <v>0.13</v>
      </c>
      <c r="H16" s="90"/>
    </row>
    <row r="17" spans="1:8" x14ac:dyDescent="0.3">
      <c r="A17" s="1"/>
      <c r="B17" s="90" t="s">
        <v>67</v>
      </c>
      <c r="C17" s="6" t="s">
        <v>80</v>
      </c>
      <c r="D17" s="6" t="s">
        <v>1625</v>
      </c>
      <c r="E17" s="90" t="s">
        <v>1615</v>
      </c>
      <c r="F17" s="90" t="s">
        <v>1616</v>
      </c>
      <c r="G17" s="150">
        <v>0.2</v>
      </c>
      <c r="H17" s="90"/>
    </row>
    <row r="18" spans="1:8" x14ac:dyDescent="0.3">
      <c r="A18" s="1"/>
      <c r="B18" s="90" t="s">
        <v>67</v>
      </c>
      <c r="C18" s="6" t="s">
        <v>80</v>
      </c>
      <c r="D18" s="6" t="s">
        <v>1626</v>
      </c>
      <c r="E18" s="90" t="s">
        <v>1615</v>
      </c>
      <c r="F18" s="90" t="s">
        <v>1616</v>
      </c>
      <c r="G18" s="150">
        <v>5.15</v>
      </c>
      <c r="H18" s="90"/>
    </row>
    <row r="19" spans="1:8" x14ac:dyDescent="0.3">
      <c r="A19" s="1"/>
      <c r="B19" s="90" t="s">
        <v>67</v>
      </c>
      <c r="C19" s="6" t="s">
        <v>80</v>
      </c>
      <c r="D19" s="6" t="s">
        <v>1627</v>
      </c>
      <c r="E19" s="90" t="s">
        <v>1615</v>
      </c>
      <c r="F19" s="90" t="s">
        <v>1616</v>
      </c>
      <c r="G19" s="150">
        <v>0.1</v>
      </c>
      <c r="H19" s="90"/>
    </row>
    <row r="20" spans="1:8" x14ac:dyDescent="0.3">
      <c r="A20" s="1"/>
      <c r="B20" s="90" t="s">
        <v>67</v>
      </c>
      <c r="C20" s="6" t="s">
        <v>80</v>
      </c>
      <c r="D20" s="6" t="s">
        <v>1628</v>
      </c>
      <c r="E20" s="90" t="s">
        <v>1615</v>
      </c>
      <c r="F20" s="90" t="s">
        <v>1616</v>
      </c>
      <c r="G20" s="150">
        <v>0.08</v>
      </c>
      <c r="H20" s="90"/>
    </row>
    <row r="21" spans="1:8" x14ac:dyDescent="0.3">
      <c r="A21" s="1"/>
      <c r="B21" s="90" t="s">
        <v>67</v>
      </c>
      <c r="C21" s="6" t="s">
        <v>80</v>
      </c>
      <c r="D21" s="6" t="s">
        <v>1629</v>
      </c>
      <c r="E21" s="90" t="s">
        <v>1615</v>
      </c>
      <c r="F21" s="90" t="s">
        <v>1616</v>
      </c>
      <c r="G21" s="150">
        <v>0.08</v>
      </c>
      <c r="H21" s="90"/>
    </row>
    <row r="22" spans="1:8" x14ac:dyDescent="0.3">
      <c r="A22" s="1"/>
      <c r="B22" s="90" t="s">
        <v>67</v>
      </c>
      <c r="C22" s="6" t="s">
        <v>80</v>
      </c>
      <c r="D22" s="6" t="s">
        <v>1630</v>
      </c>
      <c r="E22" s="90" t="s">
        <v>1615</v>
      </c>
      <c r="F22" s="90" t="s">
        <v>1616</v>
      </c>
      <c r="G22" s="150">
        <v>0.18</v>
      </c>
      <c r="H22" s="90"/>
    </row>
    <row r="23" spans="1:8" x14ac:dyDescent="0.3">
      <c r="A23" s="1"/>
      <c r="B23" s="90" t="s">
        <v>67</v>
      </c>
      <c r="C23" s="6" t="s">
        <v>80</v>
      </c>
      <c r="D23" s="6" t="s">
        <v>1631</v>
      </c>
      <c r="E23" s="90" t="s">
        <v>1615</v>
      </c>
      <c r="F23" s="90" t="s">
        <v>1616</v>
      </c>
      <c r="G23" s="150">
        <v>0.13</v>
      </c>
      <c r="H23" s="90"/>
    </row>
    <row r="24" spans="1:8" x14ac:dyDescent="0.3">
      <c r="A24" s="1"/>
      <c r="B24" s="90" t="s">
        <v>67</v>
      </c>
      <c r="C24" s="6" t="s">
        <v>80</v>
      </c>
      <c r="D24" s="6" t="s">
        <v>1632</v>
      </c>
      <c r="E24" s="90" t="s">
        <v>1615</v>
      </c>
      <c r="F24" s="90" t="s">
        <v>1616</v>
      </c>
      <c r="G24" s="150">
        <v>1.78</v>
      </c>
      <c r="H24" s="90"/>
    </row>
    <row r="25" spans="1:8" x14ac:dyDescent="0.3">
      <c r="A25" s="1"/>
      <c r="B25" s="90" t="s">
        <v>67</v>
      </c>
      <c r="C25" s="6" t="s">
        <v>80</v>
      </c>
      <c r="D25" s="6" t="s">
        <v>1633</v>
      </c>
      <c r="E25" s="90" t="s">
        <v>1615</v>
      </c>
      <c r="F25" s="90" t="s">
        <v>1616</v>
      </c>
      <c r="G25" s="150">
        <v>0.84</v>
      </c>
      <c r="H25" s="90"/>
    </row>
    <row r="26" spans="1:8" x14ac:dyDescent="0.3">
      <c r="A26" s="1"/>
      <c r="B26" s="90" t="s">
        <v>67</v>
      </c>
      <c r="C26" s="6" t="s">
        <v>80</v>
      </c>
      <c r="D26" s="6" t="s">
        <v>1634</v>
      </c>
      <c r="E26" s="90" t="s">
        <v>1615</v>
      </c>
      <c r="F26" s="90" t="s">
        <v>1616</v>
      </c>
      <c r="G26" s="150">
        <v>0.03</v>
      </c>
      <c r="H26" s="90"/>
    </row>
    <row r="27" spans="1:8" x14ac:dyDescent="0.3">
      <c r="A27" s="1"/>
      <c r="B27" s="90" t="s">
        <v>67</v>
      </c>
      <c r="C27" s="6" t="s">
        <v>80</v>
      </c>
      <c r="D27" s="6" t="s">
        <v>1635</v>
      </c>
      <c r="E27" s="90" t="s">
        <v>1615</v>
      </c>
      <c r="F27" s="90" t="s">
        <v>1616</v>
      </c>
      <c r="G27" s="150">
        <v>4.3380000000000001</v>
      </c>
      <c r="H27" s="90"/>
    </row>
    <row r="28" spans="1:8" x14ac:dyDescent="0.3">
      <c r="A28" s="1"/>
      <c r="B28" s="90" t="s">
        <v>67</v>
      </c>
      <c r="C28" s="6" t="s">
        <v>80</v>
      </c>
      <c r="D28" s="6" t="s">
        <v>1636</v>
      </c>
      <c r="E28" s="90" t="s">
        <v>1615</v>
      </c>
      <c r="F28" s="90" t="s">
        <v>1616</v>
      </c>
      <c r="G28" s="150">
        <v>0.13</v>
      </c>
      <c r="H28" s="90"/>
    </row>
    <row r="29" spans="1:8" x14ac:dyDescent="0.3">
      <c r="A29" s="1"/>
      <c r="B29" s="90" t="s">
        <v>67</v>
      </c>
      <c r="C29" s="6" t="s">
        <v>80</v>
      </c>
      <c r="D29" s="6" t="s">
        <v>1637</v>
      </c>
      <c r="E29" s="90" t="s">
        <v>1615</v>
      </c>
      <c r="F29" s="90" t="s">
        <v>1616</v>
      </c>
      <c r="G29" s="150">
        <v>0.13</v>
      </c>
      <c r="H29" s="90"/>
    </row>
    <row r="30" spans="1:8" x14ac:dyDescent="0.3">
      <c r="A30" s="1"/>
      <c r="B30" s="90" t="s">
        <v>67</v>
      </c>
      <c r="C30" s="6" t="s">
        <v>80</v>
      </c>
      <c r="D30" s="6" t="s">
        <v>1638</v>
      </c>
      <c r="E30" s="90" t="s">
        <v>1615</v>
      </c>
      <c r="F30" s="90" t="s">
        <v>1616</v>
      </c>
      <c r="G30" s="150">
        <v>0.4</v>
      </c>
      <c r="H30" s="90"/>
    </row>
    <row r="31" spans="1:8" x14ac:dyDescent="0.3">
      <c r="A31" s="1"/>
      <c r="B31" s="90" t="s">
        <v>67</v>
      </c>
      <c r="C31" s="6" t="s">
        <v>80</v>
      </c>
      <c r="D31" s="6" t="s">
        <v>1639</v>
      </c>
      <c r="E31" s="90" t="s">
        <v>1615</v>
      </c>
      <c r="F31" s="90" t="s">
        <v>1616</v>
      </c>
      <c r="G31" s="150">
        <v>0.81</v>
      </c>
      <c r="H31" s="90"/>
    </row>
    <row r="32" spans="1:8" x14ac:dyDescent="0.3">
      <c r="A32" s="1"/>
      <c r="B32" s="90" t="s">
        <v>67</v>
      </c>
      <c r="C32" s="6" t="s">
        <v>80</v>
      </c>
      <c r="D32" s="6" t="s">
        <v>1640</v>
      </c>
      <c r="E32" s="90" t="s">
        <v>1615</v>
      </c>
      <c r="F32" s="90" t="s">
        <v>1616</v>
      </c>
      <c r="G32" s="150">
        <v>0.82</v>
      </c>
      <c r="H32" s="90"/>
    </row>
    <row r="33" spans="1:8" x14ac:dyDescent="0.3">
      <c r="A33" s="1"/>
      <c r="B33" s="90" t="s">
        <v>67</v>
      </c>
      <c r="C33" s="6" t="s">
        <v>80</v>
      </c>
      <c r="D33" s="6" t="s">
        <v>1641</v>
      </c>
      <c r="E33" s="90" t="s">
        <v>1615</v>
      </c>
      <c r="F33" s="90" t="s">
        <v>1616</v>
      </c>
      <c r="G33" s="150">
        <v>0.21</v>
      </c>
      <c r="H33" s="90"/>
    </row>
    <row r="34" spans="1:8" x14ac:dyDescent="0.3">
      <c r="A34" s="1"/>
      <c r="B34" s="90" t="s">
        <v>67</v>
      </c>
      <c r="C34" s="6" t="s">
        <v>80</v>
      </c>
      <c r="D34" s="6" t="s">
        <v>1642</v>
      </c>
      <c r="E34" s="90" t="s">
        <v>1615</v>
      </c>
      <c r="F34" s="90" t="s">
        <v>1616</v>
      </c>
      <c r="G34" s="150">
        <v>0.08</v>
      </c>
      <c r="H34" s="90"/>
    </row>
    <row r="35" spans="1:8" x14ac:dyDescent="0.3">
      <c r="A35" s="1"/>
      <c r="B35" s="90" t="s">
        <v>67</v>
      </c>
      <c r="C35" s="6" t="s">
        <v>80</v>
      </c>
      <c r="D35" s="6" t="s">
        <v>1643</v>
      </c>
      <c r="E35" s="90" t="s">
        <v>1615</v>
      </c>
      <c r="F35" s="90" t="s">
        <v>1616</v>
      </c>
      <c r="G35" s="150">
        <v>1.61</v>
      </c>
      <c r="H35" s="90"/>
    </row>
    <row r="36" spans="1:8" ht="26.4" x14ac:dyDescent="0.3">
      <c r="A36" s="1"/>
      <c r="B36" s="90" t="s">
        <v>67</v>
      </c>
      <c r="C36" s="6" t="s">
        <v>613</v>
      </c>
      <c r="D36" s="6" t="s">
        <v>1644</v>
      </c>
      <c r="E36" s="90" t="s">
        <v>1615</v>
      </c>
      <c r="F36" s="90" t="s">
        <v>1616</v>
      </c>
      <c r="G36" s="150">
        <v>2.7669999999999999</v>
      </c>
      <c r="H36" s="90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63</v>
      </c>
      <c r="C6" s="3" t="s">
        <v>3</v>
      </c>
      <c r="D6" s="3" t="s">
        <v>1611</v>
      </c>
      <c r="E6" s="3" t="s">
        <v>7</v>
      </c>
      <c r="F6" s="3" t="s">
        <v>8</v>
      </c>
      <c r="G6" s="3" t="s">
        <v>1612</v>
      </c>
      <c r="H6" s="3" t="s">
        <v>1613</v>
      </c>
    </row>
    <row r="7" spans="1:8" x14ac:dyDescent="0.3">
      <c r="A7" s="1"/>
      <c r="B7" s="90" t="s">
        <v>67</v>
      </c>
      <c r="C7" s="6" t="s">
        <v>602</v>
      </c>
      <c r="D7" s="6" t="s">
        <v>1599</v>
      </c>
      <c r="E7" s="90" t="s">
        <v>1615</v>
      </c>
      <c r="F7" s="90" t="s">
        <v>1616</v>
      </c>
      <c r="G7" s="150">
        <v>0</v>
      </c>
      <c r="H7" s="90"/>
    </row>
    <row r="8" spans="1:8" x14ac:dyDescent="0.3">
      <c r="A8" s="1"/>
      <c r="B8" s="90" t="s">
        <v>67</v>
      </c>
      <c r="C8" s="6" t="s">
        <v>602</v>
      </c>
      <c r="D8" s="6" t="s">
        <v>1646</v>
      </c>
      <c r="E8" s="90" t="s">
        <v>1615</v>
      </c>
      <c r="F8" s="90" t="s">
        <v>1616</v>
      </c>
      <c r="G8" s="150">
        <v>20.84</v>
      </c>
      <c r="H8" s="90"/>
    </row>
    <row r="9" spans="1:8" x14ac:dyDescent="0.3">
      <c r="A9" s="1"/>
      <c r="B9" s="90" t="s">
        <v>67</v>
      </c>
      <c r="C9" s="6" t="s">
        <v>80</v>
      </c>
      <c r="D9" s="6" t="s">
        <v>1586</v>
      </c>
      <c r="E9" s="90" t="s">
        <v>1615</v>
      </c>
      <c r="F9" s="90" t="s">
        <v>1616</v>
      </c>
      <c r="G9" s="150">
        <v>19.780999999999999</v>
      </c>
      <c r="H9" s="90"/>
    </row>
    <row r="10" spans="1:8" ht="26.4" x14ac:dyDescent="0.3">
      <c r="A10" s="1"/>
      <c r="B10" s="90" t="s">
        <v>67</v>
      </c>
      <c r="C10" s="6" t="s">
        <v>83</v>
      </c>
      <c r="D10" s="6" t="s">
        <v>1587</v>
      </c>
      <c r="E10" s="90" t="s">
        <v>1647</v>
      </c>
      <c r="F10" s="90" t="s">
        <v>1616</v>
      </c>
      <c r="G10" s="150">
        <v>100</v>
      </c>
      <c r="H10" s="90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1648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63</v>
      </c>
      <c r="C6" s="7" t="s">
        <v>3</v>
      </c>
      <c r="D6" s="7" t="s">
        <v>73</v>
      </c>
      <c r="E6" s="7" t="s">
        <v>1649</v>
      </c>
      <c r="F6" s="7" t="s">
        <v>7</v>
      </c>
      <c r="G6" s="7" t="s">
        <v>1650</v>
      </c>
      <c r="H6" s="7" t="s">
        <v>1651</v>
      </c>
      <c r="I6" s="7" t="s">
        <v>1652</v>
      </c>
      <c r="J6" s="7" t="s">
        <v>1653</v>
      </c>
    </row>
    <row r="7" spans="1:10" x14ac:dyDescent="0.3">
      <c r="A7" s="1"/>
      <c r="B7" s="151" t="s">
        <v>67</v>
      </c>
      <c r="C7" s="4" t="s">
        <v>75</v>
      </c>
      <c r="D7" s="4" t="s">
        <v>1165</v>
      </c>
      <c r="E7" s="4" t="s">
        <v>1654</v>
      </c>
      <c r="F7" s="152">
        <v>586.86</v>
      </c>
      <c r="G7" s="152">
        <v>586.86</v>
      </c>
      <c r="H7" s="152">
        <v>0</v>
      </c>
      <c r="I7" s="4" t="s">
        <v>1655</v>
      </c>
      <c r="J7" s="5" t="s">
        <v>965</v>
      </c>
    </row>
    <row r="8" spans="1:10" x14ac:dyDescent="0.3">
      <c r="A8" s="1"/>
      <c r="B8" s="151" t="s">
        <v>67</v>
      </c>
      <c r="C8" s="4" t="s">
        <v>75</v>
      </c>
      <c r="D8" s="4" t="s">
        <v>1165</v>
      </c>
      <c r="E8" s="4" t="s">
        <v>1656</v>
      </c>
      <c r="F8" s="152">
        <v>355.83</v>
      </c>
      <c r="G8" s="152">
        <v>355.83</v>
      </c>
      <c r="H8" s="152">
        <v>0</v>
      </c>
      <c r="I8" s="4" t="s">
        <v>1655</v>
      </c>
      <c r="J8" s="5" t="s">
        <v>965</v>
      </c>
    </row>
    <row r="9" spans="1:10" x14ac:dyDescent="0.3">
      <c r="A9" s="1"/>
      <c r="B9" s="151" t="s">
        <v>67</v>
      </c>
      <c r="C9" s="4" t="s">
        <v>75</v>
      </c>
      <c r="D9" s="4" t="s">
        <v>1167</v>
      </c>
      <c r="E9" s="4" t="s">
        <v>1654</v>
      </c>
      <c r="F9" s="152">
        <v>180.22</v>
      </c>
      <c r="G9" s="152">
        <v>180.22</v>
      </c>
      <c r="H9" s="152">
        <v>0</v>
      </c>
      <c r="I9" s="4" t="s">
        <v>1655</v>
      </c>
      <c r="J9" s="5" t="s">
        <v>965</v>
      </c>
    </row>
    <row r="10" spans="1:10" x14ac:dyDescent="0.3">
      <c r="A10" s="1"/>
      <c r="B10" s="151" t="s">
        <v>67</v>
      </c>
      <c r="C10" s="4" t="s">
        <v>75</v>
      </c>
      <c r="D10" s="4" t="s">
        <v>1167</v>
      </c>
      <c r="E10" s="4" t="s">
        <v>1656</v>
      </c>
      <c r="F10" s="152">
        <v>33.81</v>
      </c>
      <c r="G10" s="152">
        <v>33.81</v>
      </c>
      <c r="H10" s="152">
        <v>0</v>
      </c>
      <c r="I10" s="4" t="s">
        <v>1655</v>
      </c>
      <c r="J10" s="5" t="s">
        <v>965</v>
      </c>
    </row>
    <row r="11" spans="1:10" x14ac:dyDescent="0.3">
      <c r="A11" s="1"/>
      <c r="B11" s="151" t="s">
        <v>67</v>
      </c>
      <c r="C11" s="4" t="s">
        <v>80</v>
      </c>
      <c r="D11" s="4" t="s">
        <v>1171</v>
      </c>
      <c r="E11" s="4" t="s">
        <v>1654</v>
      </c>
      <c r="F11" s="152">
        <v>295.36</v>
      </c>
      <c r="G11" s="152">
        <v>272.01</v>
      </c>
      <c r="H11" s="152">
        <v>0</v>
      </c>
      <c r="I11" s="4" t="s">
        <v>1655</v>
      </c>
      <c r="J11" s="5" t="s">
        <v>965</v>
      </c>
    </row>
    <row r="12" spans="1:10" x14ac:dyDescent="0.3">
      <c r="A12" s="1"/>
      <c r="B12" s="151" t="s">
        <v>67</v>
      </c>
      <c r="C12" s="4" t="s">
        <v>86</v>
      </c>
      <c r="D12" s="4" t="s">
        <v>1174</v>
      </c>
      <c r="E12" s="4" t="s">
        <v>1654</v>
      </c>
      <c r="F12" s="152">
        <v>159.22999999999999</v>
      </c>
      <c r="G12" s="152">
        <v>159.22999999999999</v>
      </c>
      <c r="H12" s="152">
        <v>0</v>
      </c>
      <c r="I12" s="4" t="s">
        <v>1655</v>
      </c>
      <c r="J12" s="5" t="s">
        <v>965</v>
      </c>
    </row>
    <row r="13" spans="1:10" x14ac:dyDescent="0.3">
      <c r="A13" s="1"/>
      <c r="B13" s="151" t="s">
        <v>67</v>
      </c>
      <c r="C13" s="4" t="s">
        <v>86</v>
      </c>
      <c r="D13" s="4" t="s">
        <v>1177</v>
      </c>
      <c r="E13" s="4" t="s">
        <v>1654</v>
      </c>
      <c r="F13" s="152">
        <v>8193.6200000000008</v>
      </c>
      <c r="G13" s="152">
        <v>8182.68</v>
      </c>
      <c r="H13" s="152">
        <v>0</v>
      </c>
      <c r="I13" s="4" t="s">
        <v>1655</v>
      </c>
      <c r="J13" s="5" t="s">
        <v>965</v>
      </c>
    </row>
    <row r="14" spans="1:10" x14ac:dyDescent="0.3">
      <c r="A14" s="1"/>
      <c r="B14" s="151" t="s">
        <v>67</v>
      </c>
      <c r="C14" s="4" t="s">
        <v>93</v>
      </c>
      <c r="D14" s="4" t="s">
        <v>1657</v>
      </c>
      <c r="E14" s="4" t="s">
        <v>1658</v>
      </c>
      <c r="F14" s="152">
        <v>0</v>
      </c>
      <c r="G14" s="152">
        <v>0</v>
      </c>
      <c r="H14" s="152">
        <v>0</v>
      </c>
      <c r="I14" s="4" t="s">
        <v>1659</v>
      </c>
      <c r="J14" s="5" t="s">
        <v>965</v>
      </c>
    </row>
    <row r="15" spans="1:10" x14ac:dyDescent="0.3">
      <c r="A15" s="1"/>
      <c r="B15" s="151" t="s">
        <v>67</v>
      </c>
      <c r="C15" s="4" t="s">
        <v>93</v>
      </c>
      <c r="D15" s="4" t="s">
        <v>1657</v>
      </c>
      <c r="E15" s="4" t="s">
        <v>1654</v>
      </c>
      <c r="F15" s="152">
        <v>0</v>
      </c>
      <c r="G15" s="152">
        <v>0</v>
      </c>
      <c r="H15" s="152">
        <v>0</v>
      </c>
      <c r="I15" s="4" t="s">
        <v>1655</v>
      </c>
      <c r="J15" s="5" t="s">
        <v>965</v>
      </c>
    </row>
    <row r="16" spans="1:10" x14ac:dyDescent="0.3">
      <c r="A16" s="1"/>
      <c r="B16" s="151" t="s">
        <v>67</v>
      </c>
      <c r="C16" s="4" t="s">
        <v>93</v>
      </c>
      <c r="D16" s="4" t="s">
        <v>1189</v>
      </c>
      <c r="E16" s="4" t="s">
        <v>1654</v>
      </c>
      <c r="F16" s="152">
        <v>59590.73</v>
      </c>
      <c r="G16" s="152">
        <v>59590.73</v>
      </c>
      <c r="H16" s="152">
        <v>0</v>
      </c>
      <c r="I16" s="4" t="s">
        <v>1655</v>
      </c>
      <c r="J16" s="5" t="s">
        <v>965</v>
      </c>
    </row>
    <row r="17" spans="1:10" x14ac:dyDescent="0.3">
      <c r="A17" s="1"/>
      <c r="B17" s="151" t="s">
        <v>67</v>
      </c>
      <c r="C17" s="4" t="s">
        <v>93</v>
      </c>
      <c r="D17" s="4" t="s">
        <v>1192</v>
      </c>
      <c r="E17" s="4" t="s">
        <v>1654</v>
      </c>
      <c r="F17" s="152">
        <v>21634.71</v>
      </c>
      <c r="G17" s="152">
        <v>21634.71</v>
      </c>
      <c r="H17" s="152">
        <v>0</v>
      </c>
      <c r="I17" s="4" t="s">
        <v>1655</v>
      </c>
      <c r="J17" s="5" t="s">
        <v>965</v>
      </c>
    </row>
    <row r="18" spans="1:10" x14ac:dyDescent="0.3">
      <c r="A18" s="1"/>
      <c r="B18" s="151" t="s">
        <v>67</v>
      </c>
      <c r="C18" s="4" t="s">
        <v>103</v>
      </c>
      <c r="D18" s="4" t="s">
        <v>104</v>
      </c>
      <c r="E18" s="4" t="s">
        <v>1654</v>
      </c>
      <c r="F18" s="152">
        <v>855.21</v>
      </c>
      <c r="G18" s="152">
        <v>855.21</v>
      </c>
      <c r="H18" s="152">
        <v>0</v>
      </c>
      <c r="I18" s="4" t="s">
        <v>1655</v>
      </c>
      <c r="J18" s="5" t="s">
        <v>965</v>
      </c>
    </row>
    <row r="19" spans="1:10" x14ac:dyDescent="0.3">
      <c r="A19" s="1"/>
      <c r="B19" s="151" t="s">
        <v>67</v>
      </c>
      <c r="C19" s="4" t="s">
        <v>612</v>
      </c>
      <c r="D19" s="4" t="s">
        <v>1203</v>
      </c>
      <c r="E19" s="4" t="s">
        <v>1654</v>
      </c>
      <c r="F19" s="152">
        <v>790.58</v>
      </c>
      <c r="G19" s="152">
        <v>790.58</v>
      </c>
      <c r="H19" s="152">
        <v>0</v>
      </c>
      <c r="I19" s="4" t="s">
        <v>1655</v>
      </c>
      <c r="J19" s="5" t="s">
        <v>965</v>
      </c>
    </row>
    <row r="20" spans="1:10" x14ac:dyDescent="0.3">
      <c r="A20" s="1"/>
      <c r="B20" s="151" t="s">
        <v>67</v>
      </c>
      <c r="C20" s="4" t="s">
        <v>612</v>
      </c>
      <c r="D20" s="4" t="s">
        <v>1204</v>
      </c>
      <c r="E20" s="4" t="s">
        <v>1654</v>
      </c>
      <c r="F20" s="152">
        <v>1029.47</v>
      </c>
      <c r="G20" s="152">
        <v>1029.47</v>
      </c>
      <c r="H20" s="152">
        <v>0</v>
      </c>
      <c r="I20" s="4" t="s">
        <v>1655</v>
      </c>
      <c r="J20" s="5" t="s">
        <v>965</v>
      </c>
    </row>
    <row r="21" spans="1:10" x14ac:dyDescent="0.3">
      <c r="A21" s="1"/>
      <c r="B21" s="151" t="s">
        <v>67</v>
      </c>
      <c r="C21" s="4" t="s">
        <v>377</v>
      </c>
      <c r="D21" s="4" t="s">
        <v>1211</v>
      </c>
      <c r="E21" s="4" t="s">
        <v>1654</v>
      </c>
      <c r="F21" s="152">
        <v>1504.94</v>
      </c>
      <c r="G21" s="152">
        <v>1504.2360000000001</v>
      </c>
      <c r="H21" s="152">
        <v>0</v>
      </c>
      <c r="I21" s="4" t="s">
        <v>1655</v>
      </c>
      <c r="J21" s="5" t="s">
        <v>1660</v>
      </c>
    </row>
    <row r="22" spans="1:10" x14ac:dyDescent="0.3">
      <c r="A22" s="1"/>
      <c r="B22" s="151" t="s">
        <v>67</v>
      </c>
      <c r="C22" s="4" t="s">
        <v>130</v>
      </c>
      <c r="D22" s="4" t="s">
        <v>1214</v>
      </c>
      <c r="E22" s="4" t="s">
        <v>1654</v>
      </c>
      <c r="F22" s="152">
        <v>1830.18</v>
      </c>
      <c r="G22" s="152">
        <v>1830.18</v>
      </c>
      <c r="H22" s="152">
        <v>0</v>
      </c>
      <c r="I22" s="4" t="s">
        <v>1655</v>
      </c>
      <c r="J22" s="5" t="s">
        <v>965</v>
      </c>
    </row>
    <row r="23" spans="1:10" x14ac:dyDescent="0.3">
      <c r="A23" s="1"/>
      <c r="B23" s="151" t="s">
        <v>67</v>
      </c>
      <c r="C23" s="4" t="s">
        <v>130</v>
      </c>
      <c r="D23" s="4" t="s">
        <v>145</v>
      </c>
      <c r="E23" s="4" t="s">
        <v>1654</v>
      </c>
      <c r="F23" s="152">
        <v>2319.87</v>
      </c>
      <c r="G23" s="152">
        <v>2319.87</v>
      </c>
      <c r="H23" s="152">
        <v>0</v>
      </c>
      <c r="I23" s="4" t="s">
        <v>1655</v>
      </c>
      <c r="J23" s="5" t="s">
        <v>965</v>
      </c>
    </row>
    <row r="24" spans="1:10" x14ac:dyDescent="0.3">
      <c r="A24" s="1"/>
      <c r="B24" s="151" t="s">
        <v>67</v>
      </c>
      <c r="C24" s="4" t="s">
        <v>604</v>
      </c>
      <c r="D24" s="4" t="s">
        <v>1222</v>
      </c>
      <c r="E24" s="4" t="s">
        <v>1654</v>
      </c>
      <c r="F24" s="152">
        <v>6771.4</v>
      </c>
      <c r="G24" s="152">
        <v>6809.3050000000003</v>
      </c>
      <c r="H24" s="152">
        <v>252.29893999999999</v>
      </c>
      <c r="I24" s="4" t="s">
        <v>1655</v>
      </c>
      <c r="J24" s="5" t="s">
        <v>1661</v>
      </c>
    </row>
    <row r="25" spans="1:10" x14ac:dyDescent="0.3">
      <c r="A25" s="1"/>
      <c r="B25" s="151" t="s">
        <v>67</v>
      </c>
      <c r="C25" s="4" t="s">
        <v>148</v>
      </c>
      <c r="D25" s="4" t="s">
        <v>149</v>
      </c>
      <c r="E25" s="4" t="s">
        <v>1654</v>
      </c>
      <c r="F25" s="152">
        <v>55839.81</v>
      </c>
      <c r="G25" s="152">
        <v>55839.81</v>
      </c>
      <c r="H25" s="152">
        <v>0</v>
      </c>
      <c r="I25" s="4" t="s">
        <v>1655</v>
      </c>
      <c r="J25" s="5" t="s">
        <v>965</v>
      </c>
    </row>
    <row r="26" spans="1:10" x14ac:dyDescent="0.3">
      <c r="A26" s="1"/>
      <c r="B26" s="151" t="s">
        <v>67</v>
      </c>
      <c r="C26" s="4" t="s">
        <v>601</v>
      </c>
      <c r="D26" s="4" t="s">
        <v>1225</v>
      </c>
      <c r="E26" s="4" t="s">
        <v>1654</v>
      </c>
      <c r="F26" s="152">
        <v>3.32</v>
      </c>
      <c r="G26" s="152">
        <v>3.32</v>
      </c>
      <c r="H26" s="152">
        <v>0</v>
      </c>
      <c r="I26" s="4" t="s">
        <v>1655</v>
      </c>
      <c r="J26" s="5" t="s">
        <v>965</v>
      </c>
    </row>
    <row r="27" spans="1:10" x14ac:dyDescent="0.3">
      <c r="A27" s="1"/>
      <c r="B27" s="151" t="s">
        <v>67</v>
      </c>
      <c r="C27" s="4" t="s">
        <v>601</v>
      </c>
      <c r="D27" s="4" t="s">
        <v>1225</v>
      </c>
      <c r="E27" s="4" t="s">
        <v>1656</v>
      </c>
      <c r="F27" s="152">
        <v>290.69</v>
      </c>
      <c r="G27" s="152">
        <v>290.69</v>
      </c>
      <c r="H27" s="152">
        <v>0</v>
      </c>
      <c r="I27" s="4" t="s">
        <v>1655</v>
      </c>
      <c r="J27" s="5" t="s">
        <v>965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1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1662</v>
      </c>
      <c r="C5" s="1"/>
      <c r="D5" s="1"/>
      <c r="E5" s="1"/>
      <c r="F5" s="1"/>
      <c r="G5" s="1"/>
    </row>
    <row r="6" spans="1:7" ht="27" customHeight="1" x14ac:dyDescent="0.3">
      <c r="A6" s="1"/>
      <c r="B6" s="206" t="s">
        <v>1663</v>
      </c>
      <c r="C6" s="206"/>
      <c r="D6" s="206"/>
      <c r="E6" s="206"/>
      <c r="F6" s="206"/>
      <c r="G6" s="206"/>
    </row>
    <row r="7" spans="1:7" ht="27" customHeight="1" x14ac:dyDescent="0.3">
      <c r="A7" s="1"/>
      <c r="B7" s="3" t="s">
        <v>3</v>
      </c>
      <c r="C7" s="3" t="s">
        <v>73</v>
      </c>
      <c r="D7" s="3" t="s">
        <v>1664</v>
      </c>
      <c r="E7" s="3" t="s">
        <v>1649</v>
      </c>
      <c r="F7" s="3" t="s">
        <v>1152</v>
      </c>
      <c r="G7" s="3" t="s">
        <v>1665</v>
      </c>
    </row>
    <row r="8" spans="1:7" x14ac:dyDescent="0.3">
      <c r="A8" s="1"/>
      <c r="B8" s="90" t="s">
        <v>644</v>
      </c>
      <c r="C8" s="90" t="s">
        <v>1032</v>
      </c>
      <c r="D8" s="90" t="s">
        <v>1666</v>
      </c>
      <c r="E8" s="90" t="s">
        <v>1667</v>
      </c>
      <c r="F8" s="90" t="s">
        <v>1659</v>
      </c>
      <c r="G8" s="153">
        <v>1110.4000000000001</v>
      </c>
    </row>
    <row r="9" spans="1:7" x14ac:dyDescent="0.3">
      <c r="A9" s="1"/>
      <c r="B9" s="90" t="s">
        <v>192</v>
      </c>
      <c r="C9" s="90" t="s">
        <v>1158</v>
      </c>
      <c r="D9" s="90" t="s">
        <v>24</v>
      </c>
      <c r="E9" s="90" t="s">
        <v>1667</v>
      </c>
      <c r="F9" s="90" t="s">
        <v>1659</v>
      </c>
      <c r="G9" s="153">
        <v>0</v>
      </c>
    </row>
    <row r="10" spans="1:7" x14ac:dyDescent="0.3">
      <c r="A10" s="1"/>
      <c r="B10" s="90" t="s">
        <v>645</v>
      </c>
      <c r="C10" s="90" t="s">
        <v>1035</v>
      </c>
      <c r="D10" s="90" t="s">
        <v>1668</v>
      </c>
      <c r="E10" s="90" t="s">
        <v>1667</v>
      </c>
      <c r="F10" s="90" t="s">
        <v>1659</v>
      </c>
      <c r="G10" s="153">
        <v>522.77</v>
      </c>
    </row>
    <row r="11" spans="1:7" x14ac:dyDescent="0.3">
      <c r="A11" s="1"/>
      <c r="B11" s="90" t="s">
        <v>645</v>
      </c>
      <c r="C11" s="90" t="s">
        <v>1035</v>
      </c>
      <c r="D11" s="90" t="s">
        <v>1669</v>
      </c>
      <c r="E11" s="90" t="s">
        <v>1667</v>
      </c>
      <c r="F11" s="90" t="s">
        <v>1659</v>
      </c>
      <c r="G11" s="153">
        <v>723.31</v>
      </c>
    </row>
    <row r="12" spans="1:7" x14ac:dyDescent="0.3">
      <c r="A12" s="1"/>
      <c r="B12" s="90" t="s">
        <v>642</v>
      </c>
      <c r="C12" s="90" t="s">
        <v>1038</v>
      </c>
      <c r="D12" s="90" t="s">
        <v>1670</v>
      </c>
      <c r="E12" s="90" t="s">
        <v>1667</v>
      </c>
      <c r="F12" s="90" t="s">
        <v>1659</v>
      </c>
      <c r="G12" s="153">
        <v>922.37684999999999</v>
      </c>
    </row>
    <row r="13" spans="1:7" x14ac:dyDescent="0.3">
      <c r="A13" s="1"/>
      <c r="B13" s="90" t="s">
        <v>642</v>
      </c>
      <c r="C13" s="90" t="s">
        <v>1038</v>
      </c>
      <c r="D13" s="90" t="s">
        <v>1671</v>
      </c>
      <c r="E13" s="90" t="s">
        <v>1667</v>
      </c>
      <c r="F13" s="90" t="s">
        <v>1659</v>
      </c>
      <c r="G13" s="153">
        <v>70.700779999999995</v>
      </c>
    </row>
    <row r="14" spans="1:7" x14ac:dyDescent="0.3">
      <c r="A14" s="1"/>
      <c r="B14" s="90" t="s">
        <v>233</v>
      </c>
      <c r="C14" s="90" t="s">
        <v>1039</v>
      </c>
      <c r="D14" s="90" t="s">
        <v>1672</v>
      </c>
      <c r="E14" s="90" t="s">
        <v>1667</v>
      </c>
      <c r="F14" s="90" t="s">
        <v>1659</v>
      </c>
      <c r="G14" s="153">
        <v>0</v>
      </c>
    </row>
    <row r="15" spans="1:7" x14ac:dyDescent="0.3">
      <c r="A15" s="1"/>
      <c r="B15" s="90" t="s">
        <v>233</v>
      </c>
      <c r="C15" s="90" t="s">
        <v>1039</v>
      </c>
      <c r="D15" s="90" t="s">
        <v>1673</v>
      </c>
      <c r="E15" s="90" t="s">
        <v>1667</v>
      </c>
      <c r="F15" s="90" t="s">
        <v>1659</v>
      </c>
      <c r="G15" s="153">
        <v>0</v>
      </c>
    </row>
    <row r="16" spans="1:7" x14ac:dyDescent="0.3">
      <c r="A16" s="1"/>
      <c r="B16" s="90" t="s">
        <v>75</v>
      </c>
      <c r="C16" s="90" t="s">
        <v>1165</v>
      </c>
      <c r="D16" s="90" t="s">
        <v>1674</v>
      </c>
      <c r="E16" s="90" t="s">
        <v>1654</v>
      </c>
      <c r="F16" s="90" t="s">
        <v>1655</v>
      </c>
      <c r="G16" s="153">
        <v>0</v>
      </c>
    </row>
    <row r="17" spans="1:7" x14ac:dyDescent="0.3">
      <c r="A17" s="1"/>
      <c r="B17" s="90" t="s">
        <v>75</v>
      </c>
      <c r="C17" s="90" t="s">
        <v>1165</v>
      </c>
      <c r="D17" s="90" t="s">
        <v>1674</v>
      </c>
      <c r="E17" s="90" t="s">
        <v>1656</v>
      </c>
      <c r="F17" s="90" t="s">
        <v>1655</v>
      </c>
      <c r="G17" s="153">
        <v>0</v>
      </c>
    </row>
    <row r="18" spans="1:7" x14ac:dyDescent="0.3">
      <c r="A18" s="1"/>
      <c r="B18" s="90" t="s">
        <v>75</v>
      </c>
      <c r="C18" s="90" t="s">
        <v>1165</v>
      </c>
      <c r="D18" s="90" t="s">
        <v>1675</v>
      </c>
      <c r="E18" s="90" t="s">
        <v>1654</v>
      </c>
      <c r="F18" s="90" t="s">
        <v>1655</v>
      </c>
      <c r="G18" s="153">
        <v>0</v>
      </c>
    </row>
    <row r="19" spans="1:7" x14ac:dyDescent="0.3">
      <c r="A19" s="1"/>
      <c r="B19" s="90" t="s">
        <v>75</v>
      </c>
      <c r="C19" s="90" t="s">
        <v>1165</v>
      </c>
      <c r="D19" s="90" t="s">
        <v>1675</v>
      </c>
      <c r="E19" s="90" t="s">
        <v>1656</v>
      </c>
      <c r="F19" s="90" t="s">
        <v>1655</v>
      </c>
      <c r="G19" s="153">
        <v>0</v>
      </c>
    </row>
    <row r="20" spans="1:7" x14ac:dyDescent="0.3">
      <c r="A20" s="1"/>
      <c r="B20" s="90" t="s">
        <v>75</v>
      </c>
      <c r="C20" s="90" t="s">
        <v>1165</v>
      </c>
      <c r="D20" s="90" t="s">
        <v>1676</v>
      </c>
      <c r="E20" s="90" t="s">
        <v>1654</v>
      </c>
      <c r="F20" s="90" t="s">
        <v>1655</v>
      </c>
      <c r="G20" s="153">
        <v>0</v>
      </c>
    </row>
    <row r="21" spans="1:7" x14ac:dyDescent="0.3">
      <c r="A21" s="1"/>
      <c r="B21" s="90" t="s">
        <v>75</v>
      </c>
      <c r="C21" s="90" t="s">
        <v>1167</v>
      </c>
      <c r="D21" s="90" t="s">
        <v>1677</v>
      </c>
      <c r="E21" s="90" t="s">
        <v>1654</v>
      </c>
      <c r="F21" s="90" t="s">
        <v>1655</v>
      </c>
      <c r="G21" s="153">
        <v>0</v>
      </c>
    </row>
    <row r="22" spans="1:7" x14ac:dyDescent="0.3">
      <c r="A22" s="1"/>
      <c r="B22" s="90" t="s">
        <v>75</v>
      </c>
      <c r="C22" s="90" t="s">
        <v>1167</v>
      </c>
      <c r="D22" s="90" t="s">
        <v>1677</v>
      </c>
      <c r="E22" s="90" t="s">
        <v>1656</v>
      </c>
      <c r="F22" s="90" t="s">
        <v>1655</v>
      </c>
      <c r="G22" s="153">
        <v>0</v>
      </c>
    </row>
    <row r="23" spans="1:7" x14ac:dyDescent="0.3">
      <c r="A23" s="1"/>
      <c r="B23" s="90" t="s">
        <v>75</v>
      </c>
      <c r="C23" s="90" t="s">
        <v>1167</v>
      </c>
      <c r="D23" s="90" t="s">
        <v>1678</v>
      </c>
      <c r="E23" s="90" t="s">
        <v>1654</v>
      </c>
      <c r="F23" s="90" t="s">
        <v>1655</v>
      </c>
      <c r="G23" s="153">
        <v>0</v>
      </c>
    </row>
    <row r="24" spans="1:7" x14ac:dyDescent="0.3">
      <c r="A24" s="1"/>
      <c r="B24" s="90" t="s">
        <v>75</v>
      </c>
      <c r="C24" s="90" t="s">
        <v>1167</v>
      </c>
      <c r="D24" s="90" t="s">
        <v>1678</v>
      </c>
      <c r="E24" s="90" t="s">
        <v>1656</v>
      </c>
      <c r="F24" s="90" t="s">
        <v>1655</v>
      </c>
      <c r="G24" s="153">
        <v>0</v>
      </c>
    </row>
    <row r="25" spans="1:7" x14ac:dyDescent="0.3">
      <c r="A25" s="1"/>
      <c r="B25" s="90" t="s">
        <v>75</v>
      </c>
      <c r="C25" s="90" t="s">
        <v>1167</v>
      </c>
      <c r="D25" s="90" t="s">
        <v>1679</v>
      </c>
      <c r="E25" s="90" t="s">
        <v>1654</v>
      </c>
      <c r="F25" s="90" t="s">
        <v>1655</v>
      </c>
      <c r="G25" s="153">
        <v>0</v>
      </c>
    </row>
    <row r="26" spans="1:7" x14ac:dyDescent="0.3">
      <c r="A26" s="1"/>
      <c r="B26" s="90" t="s">
        <v>75</v>
      </c>
      <c r="C26" s="90" t="s">
        <v>1167</v>
      </c>
      <c r="D26" s="90" t="s">
        <v>1679</v>
      </c>
      <c r="E26" s="90" t="s">
        <v>1656</v>
      </c>
      <c r="F26" s="90" t="s">
        <v>1655</v>
      </c>
      <c r="G26" s="153">
        <v>0</v>
      </c>
    </row>
    <row r="27" spans="1:7" x14ac:dyDescent="0.3">
      <c r="A27" s="1"/>
      <c r="B27" s="90" t="s">
        <v>28</v>
      </c>
      <c r="C27" s="90" t="s">
        <v>1169</v>
      </c>
      <c r="D27" s="90" t="s">
        <v>1680</v>
      </c>
      <c r="E27" s="90" t="s">
        <v>1681</v>
      </c>
      <c r="F27" s="90" t="s">
        <v>1655</v>
      </c>
      <c r="G27" s="153">
        <v>3548.5807199999999</v>
      </c>
    </row>
    <row r="28" spans="1:7" x14ac:dyDescent="0.3">
      <c r="A28" s="1"/>
      <c r="B28" s="90" t="s">
        <v>28</v>
      </c>
      <c r="C28" s="90" t="s">
        <v>1169</v>
      </c>
      <c r="D28" s="90" t="s">
        <v>1682</v>
      </c>
      <c r="E28" s="90" t="s">
        <v>1681</v>
      </c>
      <c r="F28" s="90" t="s">
        <v>1655</v>
      </c>
      <c r="G28" s="153">
        <v>3579.7717600000001</v>
      </c>
    </row>
    <row r="29" spans="1:7" x14ac:dyDescent="0.3">
      <c r="A29" s="1"/>
      <c r="B29" s="90" t="s">
        <v>28</v>
      </c>
      <c r="C29" s="90" t="s">
        <v>1169</v>
      </c>
      <c r="D29" s="90" t="s">
        <v>1683</v>
      </c>
      <c r="E29" s="90" t="s">
        <v>1681</v>
      </c>
      <c r="F29" s="90" t="s">
        <v>1655</v>
      </c>
      <c r="G29" s="153">
        <v>397.78048000000001</v>
      </c>
    </row>
    <row r="30" spans="1:7" x14ac:dyDescent="0.3">
      <c r="A30" s="1"/>
      <c r="B30" s="90" t="s">
        <v>28</v>
      </c>
      <c r="C30" s="90" t="s">
        <v>1169</v>
      </c>
      <c r="D30" s="90" t="s">
        <v>1684</v>
      </c>
      <c r="E30" s="90" t="s">
        <v>1681</v>
      </c>
      <c r="F30" s="90" t="s">
        <v>1655</v>
      </c>
      <c r="G30" s="153">
        <v>3559.5670399999999</v>
      </c>
    </row>
    <row r="31" spans="1:7" x14ac:dyDescent="0.3">
      <c r="A31" s="1"/>
      <c r="B31" s="90" t="s">
        <v>80</v>
      </c>
      <c r="C31" s="90" t="s">
        <v>1171</v>
      </c>
      <c r="D31" s="90" t="s">
        <v>1172</v>
      </c>
      <c r="E31" s="90" t="s">
        <v>1654</v>
      </c>
      <c r="F31" s="90" t="s">
        <v>1655</v>
      </c>
      <c r="G31" s="153">
        <v>11.71</v>
      </c>
    </row>
    <row r="32" spans="1:7" x14ac:dyDescent="0.3">
      <c r="A32" s="1"/>
      <c r="B32" s="90" t="s">
        <v>80</v>
      </c>
      <c r="C32" s="90" t="s">
        <v>1171</v>
      </c>
      <c r="D32" s="90" t="s">
        <v>1173</v>
      </c>
      <c r="E32" s="90" t="s">
        <v>1654</v>
      </c>
      <c r="F32" s="90" t="s">
        <v>1655</v>
      </c>
      <c r="G32" s="153">
        <v>11.64</v>
      </c>
    </row>
    <row r="33" spans="1:7" x14ac:dyDescent="0.3">
      <c r="A33" s="1"/>
      <c r="B33" s="90" t="s">
        <v>86</v>
      </c>
      <c r="C33" s="90" t="s">
        <v>1174</v>
      </c>
      <c r="D33" s="90" t="s">
        <v>1175</v>
      </c>
      <c r="E33" s="90" t="s">
        <v>1654</v>
      </c>
      <c r="F33" s="90" t="s">
        <v>1655</v>
      </c>
      <c r="G33" s="153">
        <v>0</v>
      </c>
    </row>
    <row r="34" spans="1:7" x14ac:dyDescent="0.3">
      <c r="A34" s="1"/>
      <c r="B34" s="90" t="s">
        <v>86</v>
      </c>
      <c r="C34" s="90" t="s">
        <v>1174</v>
      </c>
      <c r="D34" s="90" t="s">
        <v>1175</v>
      </c>
      <c r="E34" s="90" t="s">
        <v>1681</v>
      </c>
      <c r="F34" s="90" t="s">
        <v>1655</v>
      </c>
      <c r="G34" s="153">
        <v>157284.29</v>
      </c>
    </row>
    <row r="35" spans="1:7" x14ac:dyDescent="0.3">
      <c r="A35" s="1"/>
      <c r="B35" s="90" t="s">
        <v>86</v>
      </c>
      <c r="C35" s="90" t="s">
        <v>1176</v>
      </c>
      <c r="D35" s="90" t="s">
        <v>1685</v>
      </c>
      <c r="E35" s="90" t="s">
        <v>1681</v>
      </c>
      <c r="F35" s="90" t="s">
        <v>1655</v>
      </c>
      <c r="G35" s="153">
        <v>121660.14</v>
      </c>
    </row>
    <row r="36" spans="1:7" x14ac:dyDescent="0.3">
      <c r="A36" s="1"/>
      <c r="B36" s="90" t="s">
        <v>86</v>
      </c>
      <c r="C36" s="90" t="s">
        <v>1177</v>
      </c>
      <c r="D36" s="90" t="s">
        <v>1686</v>
      </c>
      <c r="E36" s="90" t="s">
        <v>1654</v>
      </c>
      <c r="F36" s="90" t="s">
        <v>1655</v>
      </c>
      <c r="G36" s="153">
        <v>10.94</v>
      </c>
    </row>
    <row r="37" spans="1:7" x14ac:dyDescent="0.3">
      <c r="A37" s="1"/>
      <c r="B37" s="90" t="s">
        <v>86</v>
      </c>
      <c r="C37" s="90" t="s">
        <v>1177</v>
      </c>
      <c r="D37" s="90" t="s">
        <v>1686</v>
      </c>
      <c r="E37" s="90" t="s">
        <v>1681</v>
      </c>
      <c r="F37" s="90" t="s">
        <v>1655</v>
      </c>
      <c r="G37" s="153">
        <v>0</v>
      </c>
    </row>
    <row r="38" spans="1:7" x14ac:dyDescent="0.3">
      <c r="A38" s="1"/>
      <c r="B38" s="90" t="s">
        <v>93</v>
      </c>
      <c r="C38" s="90" t="s">
        <v>99</v>
      </c>
      <c r="D38" s="90" t="s">
        <v>1687</v>
      </c>
      <c r="E38" s="90" t="s">
        <v>1681</v>
      </c>
      <c r="F38" s="90" t="s">
        <v>1655</v>
      </c>
      <c r="G38" s="153">
        <v>1072042</v>
      </c>
    </row>
    <row r="39" spans="1:7" x14ac:dyDescent="0.3">
      <c r="A39" s="1"/>
      <c r="B39" s="90" t="s">
        <v>93</v>
      </c>
      <c r="C39" s="90" t="s">
        <v>99</v>
      </c>
      <c r="D39" s="90" t="s">
        <v>1688</v>
      </c>
      <c r="E39" s="90" t="s">
        <v>1681</v>
      </c>
      <c r="F39" s="90" t="s">
        <v>1655</v>
      </c>
      <c r="G39" s="153">
        <v>1062118</v>
      </c>
    </row>
    <row r="40" spans="1:7" x14ac:dyDescent="0.3">
      <c r="A40" s="1"/>
      <c r="B40" s="90" t="s">
        <v>93</v>
      </c>
      <c r="C40" s="90" t="s">
        <v>99</v>
      </c>
      <c r="D40" s="90" t="s">
        <v>1689</v>
      </c>
      <c r="E40" s="90" t="s">
        <v>1681</v>
      </c>
      <c r="F40" s="90" t="s">
        <v>1655</v>
      </c>
      <c r="G40" s="153">
        <v>1092698</v>
      </c>
    </row>
    <row r="41" spans="1:7" x14ac:dyDescent="0.3">
      <c r="A41" s="1"/>
      <c r="B41" s="90" t="s">
        <v>93</v>
      </c>
      <c r="C41" s="90" t="s">
        <v>102</v>
      </c>
      <c r="D41" s="90" t="s">
        <v>1690</v>
      </c>
      <c r="E41" s="90" t="s">
        <v>1681</v>
      </c>
      <c r="F41" s="90" t="s">
        <v>1655</v>
      </c>
      <c r="G41" s="153">
        <v>67855</v>
      </c>
    </row>
    <row r="42" spans="1:7" x14ac:dyDescent="0.3">
      <c r="A42" s="1"/>
      <c r="B42" s="90" t="s">
        <v>93</v>
      </c>
      <c r="C42" s="90" t="s">
        <v>1657</v>
      </c>
      <c r="D42" s="90" t="s">
        <v>1691</v>
      </c>
      <c r="E42" s="90" t="s">
        <v>1658</v>
      </c>
      <c r="F42" s="90" t="s">
        <v>1659</v>
      </c>
      <c r="G42" s="153">
        <v>0</v>
      </c>
    </row>
    <row r="43" spans="1:7" x14ac:dyDescent="0.3">
      <c r="A43" s="1"/>
      <c r="B43" s="90" t="s">
        <v>93</v>
      </c>
      <c r="C43" s="90" t="s">
        <v>1657</v>
      </c>
      <c r="D43" s="90" t="s">
        <v>1691</v>
      </c>
      <c r="E43" s="90" t="s">
        <v>1654</v>
      </c>
      <c r="F43" s="90" t="s">
        <v>1655</v>
      </c>
      <c r="G43" s="153">
        <v>0</v>
      </c>
    </row>
    <row r="44" spans="1:7" x14ac:dyDescent="0.3">
      <c r="A44" s="1"/>
      <c r="B44" s="90" t="s">
        <v>93</v>
      </c>
      <c r="C44" s="90" t="s">
        <v>1189</v>
      </c>
      <c r="D44" s="90" t="s">
        <v>1692</v>
      </c>
      <c r="E44" s="90" t="s">
        <v>1654</v>
      </c>
      <c r="F44" s="90" t="s">
        <v>1655</v>
      </c>
      <c r="G44" s="153">
        <v>0</v>
      </c>
    </row>
    <row r="45" spans="1:7" x14ac:dyDescent="0.3">
      <c r="A45" s="1"/>
      <c r="B45" s="90" t="s">
        <v>93</v>
      </c>
      <c r="C45" s="90" t="s">
        <v>1189</v>
      </c>
      <c r="D45" s="90" t="s">
        <v>1693</v>
      </c>
      <c r="E45" s="90" t="s">
        <v>1654</v>
      </c>
      <c r="F45" s="90" t="s">
        <v>1655</v>
      </c>
      <c r="G45" s="153">
        <v>0</v>
      </c>
    </row>
    <row r="46" spans="1:7" x14ac:dyDescent="0.3">
      <c r="A46" s="1"/>
      <c r="B46" s="90" t="s">
        <v>93</v>
      </c>
      <c r="C46" s="90" t="s">
        <v>1189</v>
      </c>
      <c r="D46" s="90" t="s">
        <v>1694</v>
      </c>
      <c r="E46" s="90" t="s">
        <v>1654</v>
      </c>
      <c r="F46" s="90" t="s">
        <v>1655</v>
      </c>
      <c r="G46" s="153">
        <v>0</v>
      </c>
    </row>
    <row r="47" spans="1:7" x14ac:dyDescent="0.3">
      <c r="A47" s="1"/>
      <c r="B47" s="90" t="s">
        <v>93</v>
      </c>
      <c r="C47" s="90" t="s">
        <v>1192</v>
      </c>
      <c r="D47" s="90" t="s">
        <v>1695</v>
      </c>
      <c r="E47" s="90" t="s">
        <v>1654</v>
      </c>
      <c r="F47" s="90" t="s">
        <v>1655</v>
      </c>
      <c r="G47" s="153">
        <v>0</v>
      </c>
    </row>
    <row r="48" spans="1:7" x14ac:dyDescent="0.3">
      <c r="A48" s="1"/>
      <c r="B48" s="90" t="s">
        <v>93</v>
      </c>
      <c r="C48" s="90" t="s">
        <v>1192</v>
      </c>
      <c r="D48" s="90" t="s">
        <v>1696</v>
      </c>
      <c r="E48" s="90" t="s">
        <v>1654</v>
      </c>
      <c r="F48" s="90" t="s">
        <v>1655</v>
      </c>
      <c r="G48" s="153">
        <v>0</v>
      </c>
    </row>
    <row r="49" spans="1:7" x14ac:dyDescent="0.3">
      <c r="A49" s="1"/>
      <c r="B49" s="90" t="s">
        <v>93</v>
      </c>
      <c r="C49" s="90" t="s">
        <v>1192</v>
      </c>
      <c r="D49" s="90" t="s">
        <v>1697</v>
      </c>
      <c r="E49" s="90" t="s">
        <v>1654</v>
      </c>
      <c r="F49" s="90" t="s">
        <v>1655</v>
      </c>
      <c r="G49" s="153">
        <v>0</v>
      </c>
    </row>
    <row r="50" spans="1:7" x14ac:dyDescent="0.3">
      <c r="A50" s="1"/>
      <c r="B50" s="90" t="s">
        <v>103</v>
      </c>
      <c r="C50" s="90" t="s">
        <v>104</v>
      </c>
      <c r="D50" s="90" t="s">
        <v>1698</v>
      </c>
      <c r="E50" s="90" t="s">
        <v>1654</v>
      </c>
      <c r="F50" s="90" t="s">
        <v>1655</v>
      </c>
      <c r="G50" s="153">
        <v>0</v>
      </c>
    </row>
    <row r="51" spans="1:7" x14ac:dyDescent="0.3">
      <c r="A51" s="1"/>
      <c r="B51" s="90" t="s">
        <v>103</v>
      </c>
      <c r="C51" s="90" t="s">
        <v>104</v>
      </c>
      <c r="D51" s="90" t="s">
        <v>1698</v>
      </c>
      <c r="E51" s="90" t="s">
        <v>1681</v>
      </c>
      <c r="F51" s="90" t="s">
        <v>1655</v>
      </c>
      <c r="G51" s="153">
        <v>1143224.77</v>
      </c>
    </row>
    <row r="52" spans="1:7" x14ac:dyDescent="0.3">
      <c r="A52" s="1"/>
      <c r="B52" s="90" t="s">
        <v>103</v>
      </c>
      <c r="C52" s="90" t="s">
        <v>104</v>
      </c>
      <c r="D52" s="90" t="s">
        <v>1699</v>
      </c>
      <c r="E52" s="90" t="s">
        <v>1654</v>
      </c>
      <c r="F52" s="90" t="s">
        <v>1655</v>
      </c>
      <c r="G52" s="153">
        <v>0</v>
      </c>
    </row>
    <row r="53" spans="1:7" x14ac:dyDescent="0.3">
      <c r="A53" s="1"/>
      <c r="B53" s="90" t="s">
        <v>103</v>
      </c>
      <c r="C53" s="90" t="s">
        <v>104</v>
      </c>
      <c r="D53" s="90" t="s">
        <v>1699</v>
      </c>
      <c r="E53" s="90" t="s">
        <v>1681</v>
      </c>
      <c r="F53" s="90" t="s">
        <v>1655</v>
      </c>
      <c r="G53" s="153">
        <v>1146693.28</v>
      </c>
    </row>
    <row r="54" spans="1:7" x14ac:dyDescent="0.3">
      <c r="A54" s="1"/>
      <c r="B54" s="90" t="s">
        <v>643</v>
      </c>
      <c r="C54" s="90" t="s">
        <v>1198</v>
      </c>
      <c r="D54" s="90" t="s">
        <v>1700</v>
      </c>
      <c r="E54" s="90" t="s">
        <v>1701</v>
      </c>
      <c r="F54" s="90" t="s">
        <v>1655</v>
      </c>
      <c r="G54" s="153">
        <v>1084920</v>
      </c>
    </row>
    <row r="55" spans="1:7" x14ac:dyDescent="0.3">
      <c r="A55" s="1"/>
      <c r="B55" s="90" t="s">
        <v>643</v>
      </c>
      <c r="C55" s="90" t="s">
        <v>1198</v>
      </c>
      <c r="D55" s="90" t="s">
        <v>1700</v>
      </c>
      <c r="E55" s="90" t="s">
        <v>1702</v>
      </c>
      <c r="F55" s="90" t="s">
        <v>1655</v>
      </c>
      <c r="G55" s="153">
        <v>595700</v>
      </c>
    </row>
    <row r="56" spans="1:7" x14ac:dyDescent="0.3">
      <c r="A56" s="1"/>
      <c r="B56" s="90" t="s">
        <v>643</v>
      </c>
      <c r="C56" s="90" t="s">
        <v>1198</v>
      </c>
      <c r="D56" s="90" t="s">
        <v>1700</v>
      </c>
      <c r="E56" s="90" t="s">
        <v>1703</v>
      </c>
      <c r="F56" s="90" t="s">
        <v>1655</v>
      </c>
      <c r="G56" s="153">
        <v>0</v>
      </c>
    </row>
    <row r="57" spans="1:7" x14ac:dyDescent="0.3">
      <c r="A57" s="1"/>
      <c r="B57" s="90" t="s">
        <v>643</v>
      </c>
      <c r="C57" s="90" t="s">
        <v>1198</v>
      </c>
      <c r="D57" s="90" t="s">
        <v>1704</v>
      </c>
      <c r="E57" s="90" t="s">
        <v>1701</v>
      </c>
      <c r="F57" s="90" t="s">
        <v>1655</v>
      </c>
      <c r="G57" s="153">
        <v>0</v>
      </c>
    </row>
    <row r="58" spans="1:7" x14ac:dyDescent="0.3">
      <c r="A58" s="1"/>
      <c r="B58" s="90" t="s">
        <v>643</v>
      </c>
      <c r="C58" s="90" t="s">
        <v>1198</v>
      </c>
      <c r="D58" s="90" t="s">
        <v>1704</v>
      </c>
      <c r="E58" s="90" t="s">
        <v>1702</v>
      </c>
      <c r="F58" s="90" t="s">
        <v>1655</v>
      </c>
      <c r="G58" s="153">
        <v>0</v>
      </c>
    </row>
    <row r="59" spans="1:7" x14ac:dyDescent="0.3">
      <c r="A59" s="1"/>
      <c r="B59" s="90" t="s">
        <v>643</v>
      </c>
      <c r="C59" s="90" t="s">
        <v>1198</v>
      </c>
      <c r="D59" s="90" t="s">
        <v>1704</v>
      </c>
      <c r="E59" s="90" t="s">
        <v>1703</v>
      </c>
      <c r="F59" s="90" t="s">
        <v>1655</v>
      </c>
      <c r="G59" s="153">
        <v>0</v>
      </c>
    </row>
    <row r="60" spans="1:7" x14ac:dyDescent="0.3">
      <c r="A60" s="1"/>
      <c r="B60" s="90" t="s">
        <v>612</v>
      </c>
      <c r="C60" s="90" t="s">
        <v>1203</v>
      </c>
      <c r="D60" s="90" t="s">
        <v>1203</v>
      </c>
      <c r="E60" s="90" t="s">
        <v>1654</v>
      </c>
      <c r="F60" s="90" t="s">
        <v>1655</v>
      </c>
      <c r="G60" s="153">
        <v>0</v>
      </c>
    </row>
    <row r="61" spans="1:7" x14ac:dyDescent="0.3">
      <c r="A61" s="1"/>
      <c r="B61" s="90" t="s">
        <v>612</v>
      </c>
      <c r="C61" s="90" t="s">
        <v>1204</v>
      </c>
      <c r="D61" s="90" t="s">
        <v>1204</v>
      </c>
      <c r="E61" s="90" t="s">
        <v>1654</v>
      </c>
      <c r="F61" s="90" t="s">
        <v>1655</v>
      </c>
      <c r="G61" s="153">
        <v>0</v>
      </c>
    </row>
    <row r="62" spans="1:7" x14ac:dyDescent="0.3">
      <c r="A62" s="1"/>
      <c r="B62" s="90" t="s">
        <v>106</v>
      </c>
      <c r="C62" s="90" t="s">
        <v>115</v>
      </c>
      <c r="D62" s="90" t="s">
        <v>1705</v>
      </c>
      <c r="E62" s="90" t="s">
        <v>1681</v>
      </c>
      <c r="F62" s="90" t="s">
        <v>1655</v>
      </c>
      <c r="G62" s="153">
        <v>1126032.9680000001</v>
      </c>
    </row>
    <row r="63" spans="1:7" x14ac:dyDescent="0.3">
      <c r="A63" s="1"/>
      <c r="B63" s="90" t="s">
        <v>106</v>
      </c>
      <c r="C63" s="90" t="s">
        <v>115</v>
      </c>
      <c r="D63" s="90" t="s">
        <v>1706</v>
      </c>
      <c r="E63" s="90" t="s">
        <v>1681</v>
      </c>
      <c r="F63" s="90" t="s">
        <v>1655</v>
      </c>
      <c r="G63" s="153">
        <v>10717.64825</v>
      </c>
    </row>
    <row r="64" spans="1:7" x14ac:dyDescent="0.3">
      <c r="A64" s="1"/>
      <c r="B64" s="90" t="s">
        <v>106</v>
      </c>
      <c r="C64" s="90" t="s">
        <v>115</v>
      </c>
      <c r="D64" s="90" t="s">
        <v>1707</v>
      </c>
      <c r="E64" s="90" t="s">
        <v>1681</v>
      </c>
      <c r="F64" s="90" t="s">
        <v>1655</v>
      </c>
      <c r="G64" s="153">
        <v>1229083.2879999999</v>
      </c>
    </row>
    <row r="65" spans="1:7" x14ac:dyDescent="0.3">
      <c r="A65" s="1"/>
      <c r="B65" s="90" t="s">
        <v>106</v>
      </c>
      <c r="C65" s="90" t="s">
        <v>119</v>
      </c>
      <c r="D65" s="90" t="s">
        <v>1708</v>
      </c>
      <c r="E65" s="90" t="s">
        <v>1681</v>
      </c>
      <c r="F65" s="90" t="s">
        <v>1655</v>
      </c>
      <c r="G65" s="153">
        <v>1335372.2490000001</v>
      </c>
    </row>
    <row r="66" spans="1:7" x14ac:dyDescent="0.3">
      <c r="A66" s="1"/>
      <c r="B66" s="90" t="s">
        <v>377</v>
      </c>
      <c r="C66" s="90" t="s">
        <v>1211</v>
      </c>
      <c r="D66" s="90" t="s">
        <v>1709</v>
      </c>
      <c r="E66" s="90" t="s">
        <v>1654</v>
      </c>
      <c r="F66" s="90" t="s">
        <v>1655</v>
      </c>
      <c r="G66" s="153">
        <v>0</v>
      </c>
    </row>
    <row r="67" spans="1:7" x14ac:dyDescent="0.3">
      <c r="A67" s="1"/>
      <c r="B67" s="90" t="s">
        <v>130</v>
      </c>
      <c r="C67" s="90" t="s">
        <v>1214</v>
      </c>
      <c r="D67" s="90" t="s">
        <v>1710</v>
      </c>
      <c r="E67" s="90" t="s">
        <v>1654</v>
      </c>
      <c r="F67" s="90" t="s">
        <v>1655</v>
      </c>
      <c r="G67" s="153">
        <v>0</v>
      </c>
    </row>
    <row r="68" spans="1:7" x14ac:dyDescent="0.3">
      <c r="A68" s="1"/>
      <c r="B68" s="90" t="s">
        <v>130</v>
      </c>
      <c r="C68" s="90" t="s">
        <v>1214</v>
      </c>
      <c r="D68" s="90" t="s">
        <v>1710</v>
      </c>
      <c r="E68" s="90" t="s">
        <v>1681</v>
      </c>
      <c r="F68" s="90" t="s">
        <v>1655</v>
      </c>
      <c r="G68" s="153">
        <v>23911</v>
      </c>
    </row>
    <row r="69" spans="1:7" x14ac:dyDescent="0.3">
      <c r="A69" s="1"/>
      <c r="B69" s="90" t="s">
        <v>130</v>
      </c>
      <c r="C69" s="90" t="s">
        <v>1214</v>
      </c>
      <c r="D69" s="90" t="s">
        <v>1215</v>
      </c>
      <c r="E69" s="90" t="s">
        <v>1654</v>
      </c>
      <c r="F69" s="90" t="s">
        <v>1655</v>
      </c>
      <c r="G69" s="153">
        <v>0</v>
      </c>
    </row>
    <row r="70" spans="1:7" x14ac:dyDescent="0.3">
      <c r="A70" s="1"/>
      <c r="B70" s="90" t="s">
        <v>130</v>
      </c>
      <c r="C70" s="90" t="s">
        <v>1214</v>
      </c>
      <c r="D70" s="90" t="s">
        <v>1215</v>
      </c>
      <c r="E70" s="90" t="s">
        <v>1681</v>
      </c>
      <c r="F70" s="90" t="s">
        <v>1655</v>
      </c>
      <c r="G70" s="153">
        <v>0</v>
      </c>
    </row>
    <row r="71" spans="1:7" x14ac:dyDescent="0.3">
      <c r="A71" s="1"/>
      <c r="B71" s="90" t="s">
        <v>130</v>
      </c>
      <c r="C71" s="90" t="s">
        <v>1214</v>
      </c>
      <c r="D71" s="90" t="s">
        <v>1711</v>
      </c>
      <c r="E71" s="90" t="s">
        <v>1654</v>
      </c>
      <c r="F71" s="90" t="s">
        <v>1655</v>
      </c>
      <c r="G71" s="153">
        <v>0</v>
      </c>
    </row>
    <row r="72" spans="1:7" x14ac:dyDescent="0.3">
      <c r="A72" s="1"/>
      <c r="B72" s="90" t="s">
        <v>130</v>
      </c>
      <c r="C72" s="90" t="s">
        <v>1214</v>
      </c>
      <c r="D72" s="90" t="s">
        <v>1711</v>
      </c>
      <c r="E72" s="90" t="s">
        <v>1681</v>
      </c>
      <c r="F72" s="90" t="s">
        <v>1655</v>
      </c>
      <c r="G72" s="153">
        <v>0</v>
      </c>
    </row>
    <row r="73" spans="1:7" x14ac:dyDescent="0.3">
      <c r="A73" s="1"/>
      <c r="B73" s="90" t="s">
        <v>130</v>
      </c>
      <c r="C73" s="90" t="s">
        <v>142</v>
      </c>
      <c r="D73" s="90" t="s">
        <v>1712</v>
      </c>
      <c r="E73" s="90" t="s">
        <v>1681</v>
      </c>
      <c r="F73" s="90" t="s">
        <v>1655</v>
      </c>
      <c r="G73" s="153">
        <v>277076</v>
      </c>
    </row>
    <row r="74" spans="1:7" x14ac:dyDescent="0.3">
      <c r="A74" s="1"/>
      <c r="B74" s="90" t="s">
        <v>130</v>
      </c>
      <c r="C74" s="90" t="s">
        <v>145</v>
      </c>
      <c r="D74" s="90" t="s">
        <v>145</v>
      </c>
      <c r="E74" s="90" t="s">
        <v>1681</v>
      </c>
      <c r="F74" s="90" t="s">
        <v>1655</v>
      </c>
      <c r="G74" s="153">
        <v>1925307</v>
      </c>
    </row>
    <row r="75" spans="1:7" x14ac:dyDescent="0.3">
      <c r="A75" s="1"/>
      <c r="B75" s="90" t="s">
        <v>130</v>
      </c>
      <c r="C75" s="90" t="s">
        <v>145</v>
      </c>
      <c r="D75" s="90" t="s">
        <v>1713</v>
      </c>
      <c r="E75" s="90" t="s">
        <v>1654</v>
      </c>
      <c r="F75" s="90" t="s">
        <v>1655</v>
      </c>
      <c r="G75" s="153">
        <v>0</v>
      </c>
    </row>
    <row r="76" spans="1:7" x14ac:dyDescent="0.3">
      <c r="A76" s="1"/>
      <c r="B76" s="90" t="s">
        <v>130</v>
      </c>
      <c r="C76" s="90" t="s">
        <v>145</v>
      </c>
      <c r="D76" s="90" t="s">
        <v>1714</v>
      </c>
      <c r="E76" s="90" t="s">
        <v>1654</v>
      </c>
      <c r="F76" s="90" t="s">
        <v>1655</v>
      </c>
      <c r="G76" s="153">
        <v>0</v>
      </c>
    </row>
    <row r="77" spans="1:7" x14ac:dyDescent="0.3">
      <c r="A77" s="1"/>
      <c r="B77" s="90" t="s">
        <v>402</v>
      </c>
      <c r="C77" s="90" t="s">
        <v>1079</v>
      </c>
      <c r="D77" s="90" t="s">
        <v>1715</v>
      </c>
      <c r="E77" s="90" t="s">
        <v>1716</v>
      </c>
      <c r="F77" s="90" t="s">
        <v>1655</v>
      </c>
      <c r="G77" s="153">
        <v>0</v>
      </c>
    </row>
    <row r="78" spans="1:7" x14ac:dyDescent="0.3">
      <c r="A78" s="1"/>
      <c r="B78" s="90" t="s">
        <v>402</v>
      </c>
      <c r="C78" s="90" t="s">
        <v>1079</v>
      </c>
      <c r="D78" s="90" t="s">
        <v>1717</v>
      </c>
      <c r="E78" s="90" t="s">
        <v>1716</v>
      </c>
      <c r="F78" s="90" t="s">
        <v>1655</v>
      </c>
      <c r="G78" s="153">
        <v>0</v>
      </c>
    </row>
    <row r="79" spans="1:7" x14ac:dyDescent="0.3">
      <c r="A79" s="1"/>
      <c r="B79" s="90" t="s">
        <v>402</v>
      </c>
      <c r="C79" s="90" t="s">
        <v>1079</v>
      </c>
      <c r="D79" s="90" t="s">
        <v>1718</v>
      </c>
      <c r="E79" s="90" t="s">
        <v>1716</v>
      </c>
      <c r="F79" s="90" t="s">
        <v>1655</v>
      </c>
      <c r="G79" s="153">
        <v>0</v>
      </c>
    </row>
    <row r="80" spans="1:7" x14ac:dyDescent="0.3">
      <c r="A80" s="1"/>
      <c r="B80" s="90" t="s">
        <v>402</v>
      </c>
      <c r="C80" s="90" t="s">
        <v>1219</v>
      </c>
      <c r="D80" s="90" t="s">
        <v>1719</v>
      </c>
      <c r="E80" s="90" t="s">
        <v>1716</v>
      </c>
      <c r="F80" s="90" t="s">
        <v>1655</v>
      </c>
      <c r="G80" s="153">
        <v>0</v>
      </c>
    </row>
    <row r="81" spans="1:7" x14ac:dyDescent="0.3">
      <c r="A81" s="1"/>
      <c r="B81" s="90" t="s">
        <v>402</v>
      </c>
      <c r="C81" s="90" t="s">
        <v>1219</v>
      </c>
      <c r="D81" s="90" t="s">
        <v>1720</v>
      </c>
      <c r="E81" s="90" t="s">
        <v>1716</v>
      </c>
      <c r="F81" s="90" t="s">
        <v>1655</v>
      </c>
      <c r="G81" s="153">
        <v>0</v>
      </c>
    </row>
    <row r="82" spans="1:7" x14ac:dyDescent="0.3">
      <c r="A82" s="1"/>
      <c r="B82" s="90" t="s">
        <v>402</v>
      </c>
      <c r="C82" s="90" t="s">
        <v>1220</v>
      </c>
      <c r="D82" s="90" t="s">
        <v>1721</v>
      </c>
      <c r="E82" s="90" t="s">
        <v>1716</v>
      </c>
      <c r="F82" s="90" t="s">
        <v>1655</v>
      </c>
      <c r="G82" s="153">
        <v>0</v>
      </c>
    </row>
    <row r="83" spans="1:7" x14ac:dyDescent="0.3">
      <c r="A83" s="1"/>
      <c r="B83" s="90" t="s">
        <v>402</v>
      </c>
      <c r="C83" s="90" t="s">
        <v>1220</v>
      </c>
      <c r="D83" s="90" t="s">
        <v>1722</v>
      </c>
      <c r="E83" s="90" t="s">
        <v>1716</v>
      </c>
      <c r="F83" s="90" t="s">
        <v>1655</v>
      </c>
      <c r="G83" s="153">
        <v>0</v>
      </c>
    </row>
    <row r="84" spans="1:7" x14ac:dyDescent="0.3">
      <c r="A84" s="1"/>
      <c r="B84" s="90" t="s">
        <v>402</v>
      </c>
      <c r="C84" s="90" t="s">
        <v>1221</v>
      </c>
      <c r="D84" s="90" t="s">
        <v>1723</v>
      </c>
      <c r="E84" s="90" t="s">
        <v>1716</v>
      </c>
      <c r="F84" s="90" t="s">
        <v>1655</v>
      </c>
      <c r="G84" s="153">
        <v>9417.6200000000008</v>
      </c>
    </row>
    <row r="85" spans="1:7" x14ac:dyDescent="0.3">
      <c r="A85" s="1"/>
      <c r="B85" s="90" t="s">
        <v>402</v>
      </c>
      <c r="C85" s="90" t="s">
        <v>1221</v>
      </c>
      <c r="D85" s="90" t="s">
        <v>1724</v>
      </c>
      <c r="E85" s="90" t="s">
        <v>1716</v>
      </c>
      <c r="F85" s="90" t="s">
        <v>1655</v>
      </c>
      <c r="G85" s="153">
        <v>14119.07</v>
      </c>
    </row>
    <row r="86" spans="1:7" ht="26.4" x14ac:dyDescent="0.3">
      <c r="A86" s="1"/>
      <c r="B86" s="90" t="s">
        <v>604</v>
      </c>
      <c r="C86" s="90" t="s">
        <v>1222</v>
      </c>
      <c r="D86" s="90" t="s">
        <v>680</v>
      </c>
      <c r="E86" s="90" t="s">
        <v>1654</v>
      </c>
      <c r="F86" s="90" t="s">
        <v>1655</v>
      </c>
      <c r="G86" s="153">
        <v>209.85149999999999</v>
      </c>
    </row>
    <row r="87" spans="1:7" ht="26.4" x14ac:dyDescent="0.3">
      <c r="A87" s="1"/>
      <c r="B87" s="90" t="s">
        <v>604</v>
      </c>
      <c r="C87" s="90" t="s">
        <v>1222</v>
      </c>
      <c r="D87" s="90" t="s">
        <v>681</v>
      </c>
      <c r="E87" s="90" t="s">
        <v>1654</v>
      </c>
      <c r="F87" s="90" t="s">
        <v>1655</v>
      </c>
      <c r="G87" s="153">
        <v>0</v>
      </c>
    </row>
    <row r="88" spans="1:7" x14ac:dyDescent="0.3">
      <c r="A88" s="1"/>
      <c r="B88" s="90" t="s">
        <v>148</v>
      </c>
      <c r="C88" s="90" t="s">
        <v>149</v>
      </c>
      <c r="D88" s="90" t="s">
        <v>1725</v>
      </c>
      <c r="E88" s="90" t="s">
        <v>1654</v>
      </c>
      <c r="F88" s="90" t="s">
        <v>1655</v>
      </c>
      <c r="G88" s="153">
        <v>0</v>
      </c>
    </row>
    <row r="89" spans="1:7" x14ac:dyDescent="0.3">
      <c r="A89" s="1"/>
      <c r="B89" s="90" t="s">
        <v>148</v>
      </c>
      <c r="C89" s="90" t="s">
        <v>149</v>
      </c>
      <c r="D89" s="90" t="s">
        <v>1726</v>
      </c>
      <c r="E89" s="90" t="s">
        <v>1654</v>
      </c>
      <c r="F89" s="90" t="s">
        <v>1655</v>
      </c>
      <c r="G89" s="153">
        <v>0</v>
      </c>
    </row>
    <row r="90" spans="1:7" x14ac:dyDescent="0.3">
      <c r="A90" s="1"/>
      <c r="B90" s="90" t="s">
        <v>148</v>
      </c>
      <c r="C90" s="90" t="s">
        <v>149</v>
      </c>
      <c r="D90" s="90" t="s">
        <v>1727</v>
      </c>
      <c r="E90" s="90" t="s">
        <v>1654</v>
      </c>
      <c r="F90" s="90" t="s">
        <v>1655</v>
      </c>
      <c r="G90" s="153">
        <v>0</v>
      </c>
    </row>
    <row r="91" spans="1:7" x14ac:dyDescent="0.3">
      <c r="A91" s="1"/>
      <c r="B91" s="90" t="s">
        <v>148</v>
      </c>
      <c r="C91" s="90" t="s">
        <v>149</v>
      </c>
      <c r="D91" s="90" t="s">
        <v>1728</v>
      </c>
      <c r="E91" s="90" t="s">
        <v>1654</v>
      </c>
      <c r="F91" s="90" t="s">
        <v>1655</v>
      </c>
      <c r="G91" s="153">
        <v>0</v>
      </c>
    </row>
    <row r="92" spans="1:7" x14ac:dyDescent="0.3">
      <c r="A92" s="1"/>
      <c r="B92" s="90" t="s">
        <v>601</v>
      </c>
      <c r="C92" s="90" t="s">
        <v>1225</v>
      </c>
      <c r="D92" s="90" t="s">
        <v>1226</v>
      </c>
      <c r="E92" s="90" t="s">
        <v>1654</v>
      </c>
      <c r="F92" s="90" t="s">
        <v>1655</v>
      </c>
      <c r="G92" s="153">
        <v>0</v>
      </c>
    </row>
    <row r="93" spans="1:7" x14ac:dyDescent="0.3">
      <c r="A93" s="1"/>
      <c r="B93" s="90" t="s">
        <v>601</v>
      </c>
      <c r="C93" s="90" t="s">
        <v>1225</v>
      </c>
      <c r="D93" s="90" t="s">
        <v>1729</v>
      </c>
      <c r="E93" s="90" t="s">
        <v>1654</v>
      </c>
      <c r="F93" s="90" t="s">
        <v>1655</v>
      </c>
      <c r="G93" s="153">
        <v>0</v>
      </c>
    </row>
    <row r="94" spans="1:7" x14ac:dyDescent="0.3">
      <c r="A94" s="1"/>
      <c r="B94" s="90" t="s">
        <v>601</v>
      </c>
      <c r="C94" s="90" t="s">
        <v>1225</v>
      </c>
      <c r="D94" s="90" t="s">
        <v>1729</v>
      </c>
      <c r="E94" s="90" t="s">
        <v>1656</v>
      </c>
      <c r="F94" s="90" t="s">
        <v>1655</v>
      </c>
      <c r="G94" s="153">
        <v>0</v>
      </c>
    </row>
    <row r="95" spans="1:7" x14ac:dyDescent="0.3">
      <c r="A95" s="1"/>
      <c r="B95" s="90" t="s">
        <v>601</v>
      </c>
      <c r="C95" s="90" t="s">
        <v>1225</v>
      </c>
      <c r="D95" s="90" t="s">
        <v>1730</v>
      </c>
      <c r="E95" s="90" t="s">
        <v>1654</v>
      </c>
      <c r="F95" s="90" t="s">
        <v>1655</v>
      </c>
      <c r="G95" s="153">
        <v>0</v>
      </c>
    </row>
    <row r="96" spans="1:7" x14ac:dyDescent="0.3">
      <c r="A96" s="1"/>
      <c r="B96" s="90" t="s">
        <v>601</v>
      </c>
      <c r="C96" s="90" t="s">
        <v>1225</v>
      </c>
      <c r="D96" s="90" t="s">
        <v>1730</v>
      </c>
      <c r="E96" s="90" t="s">
        <v>1656</v>
      </c>
      <c r="F96" s="90" t="s">
        <v>1655</v>
      </c>
      <c r="G96" s="153">
        <v>0</v>
      </c>
    </row>
    <row r="97" spans="1:7" x14ac:dyDescent="0.3">
      <c r="A97" s="1"/>
      <c r="B97" s="90" t="s">
        <v>601</v>
      </c>
      <c r="C97" s="90" t="s">
        <v>1225</v>
      </c>
      <c r="D97" s="90" t="s">
        <v>1731</v>
      </c>
      <c r="E97" s="90" t="s">
        <v>1654</v>
      </c>
      <c r="F97" s="90" t="s">
        <v>1655</v>
      </c>
      <c r="G97" s="153">
        <v>0</v>
      </c>
    </row>
    <row r="98" spans="1:7" x14ac:dyDescent="0.3">
      <c r="A98" s="1"/>
      <c r="B98" s="90" t="s">
        <v>601</v>
      </c>
      <c r="C98" s="90" t="s">
        <v>1225</v>
      </c>
      <c r="D98" s="90" t="s">
        <v>1731</v>
      </c>
      <c r="E98" s="90" t="s">
        <v>1656</v>
      </c>
      <c r="F98" s="90" t="s">
        <v>1655</v>
      </c>
      <c r="G98" s="153">
        <v>0</v>
      </c>
    </row>
    <row r="99" spans="1:7" x14ac:dyDescent="0.3">
      <c r="A99" s="1"/>
      <c r="B99" s="90" t="s">
        <v>159</v>
      </c>
      <c r="C99" s="90" t="s">
        <v>1229</v>
      </c>
      <c r="D99" s="90" t="s">
        <v>730</v>
      </c>
      <c r="E99" s="90" t="s">
        <v>1681</v>
      </c>
      <c r="F99" s="90" t="s">
        <v>1655</v>
      </c>
      <c r="G99" s="153">
        <v>1317836</v>
      </c>
    </row>
    <row r="100" spans="1:7" x14ac:dyDescent="0.3">
      <c r="A100" s="1"/>
      <c r="B100" s="90" t="s">
        <v>164</v>
      </c>
      <c r="C100" s="90" t="s">
        <v>1230</v>
      </c>
      <c r="D100" s="90" t="s">
        <v>1732</v>
      </c>
      <c r="E100" s="90" t="s">
        <v>1681</v>
      </c>
      <c r="F100" s="90" t="s">
        <v>1655</v>
      </c>
      <c r="G100" s="153">
        <v>0</v>
      </c>
    </row>
    <row r="101" spans="1:7" x14ac:dyDescent="0.3">
      <c r="A101" s="1"/>
      <c r="B101" s="90" t="s">
        <v>164</v>
      </c>
      <c r="C101" s="90" t="s">
        <v>1230</v>
      </c>
      <c r="D101" s="90" t="s">
        <v>1733</v>
      </c>
      <c r="E101" s="90" t="s">
        <v>1681</v>
      </c>
      <c r="F101" s="90" t="s">
        <v>1655</v>
      </c>
      <c r="G101" s="153">
        <v>263664.29399999999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6" t="s">
        <v>590</v>
      </c>
      <c r="C6" s="206" t="s">
        <v>1734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7" spans="1:16" ht="40.049999999999997" customHeight="1" x14ac:dyDescent="0.3">
      <c r="A7" s="1"/>
      <c r="B7" s="206"/>
      <c r="C7" s="3" t="s">
        <v>28</v>
      </c>
      <c r="D7" s="3" t="s">
        <v>86</v>
      </c>
      <c r="E7" s="3" t="s">
        <v>93</v>
      </c>
      <c r="F7" s="3" t="s">
        <v>93</v>
      </c>
      <c r="G7" s="3" t="s">
        <v>103</v>
      </c>
      <c r="H7" s="3" t="s">
        <v>643</v>
      </c>
      <c r="I7" s="3" t="s">
        <v>106</v>
      </c>
      <c r="J7" s="3" t="s">
        <v>106</v>
      </c>
      <c r="K7" s="3" t="s">
        <v>130</v>
      </c>
      <c r="L7" s="3" t="s">
        <v>130</v>
      </c>
      <c r="M7" s="3" t="s">
        <v>130</v>
      </c>
      <c r="N7" s="3" t="s">
        <v>130</v>
      </c>
      <c r="O7" s="3" t="s">
        <v>159</v>
      </c>
      <c r="P7" s="3" t="s">
        <v>164</v>
      </c>
    </row>
    <row r="8" spans="1:16" ht="40.049999999999997" customHeight="1" x14ac:dyDescent="0.3">
      <c r="A8" s="1"/>
      <c r="B8" s="206"/>
      <c r="C8" s="3" t="s">
        <v>73</v>
      </c>
      <c r="D8" s="3" t="s">
        <v>91</v>
      </c>
      <c r="E8" s="3" t="s">
        <v>1735</v>
      </c>
      <c r="F8" s="3" t="s">
        <v>1736</v>
      </c>
      <c r="G8" s="3" t="s">
        <v>1737</v>
      </c>
      <c r="H8" s="3" t="s">
        <v>1738</v>
      </c>
      <c r="I8" s="3" t="s">
        <v>115</v>
      </c>
      <c r="J8" s="3" t="s">
        <v>119</v>
      </c>
      <c r="K8" s="3" t="s">
        <v>1739</v>
      </c>
      <c r="L8" s="3" t="s">
        <v>1740</v>
      </c>
      <c r="M8" s="3" t="s">
        <v>139</v>
      </c>
      <c r="N8" s="3" t="s">
        <v>1741</v>
      </c>
      <c r="O8" s="3" t="s">
        <v>1193</v>
      </c>
      <c r="P8" s="3" t="s">
        <v>1742</v>
      </c>
    </row>
    <row r="9" spans="1:16" x14ac:dyDescent="0.3">
      <c r="A9" s="1"/>
      <c r="B9" s="154" t="s">
        <v>183</v>
      </c>
      <c r="C9" s="152">
        <v>873.1</v>
      </c>
      <c r="D9" s="152">
        <v>0</v>
      </c>
      <c r="E9" s="152">
        <v>63.59</v>
      </c>
      <c r="F9" s="152">
        <v>63.59</v>
      </c>
      <c r="G9" s="152">
        <v>4474.7</v>
      </c>
      <c r="H9" s="152">
        <v>507</v>
      </c>
      <c r="I9" s="152">
        <v>7704</v>
      </c>
      <c r="J9" s="152">
        <v>23160</v>
      </c>
      <c r="K9" s="152">
        <v>4321.9634999999998</v>
      </c>
      <c r="L9" s="152">
        <v>3958.3923</v>
      </c>
      <c r="M9" s="152">
        <v>4319.1623</v>
      </c>
      <c r="N9" s="152">
        <v>4318.1311999999998</v>
      </c>
      <c r="O9" s="152">
        <v>6375</v>
      </c>
      <c r="P9" s="152">
        <v>6116.8220000000001</v>
      </c>
    </row>
    <row r="10" spans="1:16" x14ac:dyDescent="0.3">
      <c r="A10" s="1"/>
      <c r="B10" s="154" t="s">
        <v>1743</v>
      </c>
      <c r="C10" s="152">
        <v>871.4</v>
      </c>
      <c r="D10" s="152">
        <v>0</v>
      </c>
      <c r="E10" s="152">
        <v>66.5</v>
      </c>
      <c r="F10" s="152">
        <v>66.5</v>
      </c>
      <c r="G10" s="152">
        <v>4481.6000000000004</v>
      </c>
      <c r="H10" s="152">
        <v>506.02</v>
      </c>
      <c r="I10" s="152">
        <v>7984</v>
      </c>
      <c r="J10" s="152">
        <v>23206</v>
      </c>
      <c r="K10" s="152">
        <v>4354.4691999999995</v>
      </c>
      <c r="L10" s="152">
        <v>4030.3526999999999</v>
      </c>
      <c r="M10" s="152">
        <v>4351.3541999999998</v>
      </c>
      <c r="N10" s="152">
        <v>4350.3546999999999</v>
      </c>
      <c r="O10" s="152">
        <v>6608</v>
      </c>
      <c r="P10" s="152">
        <v>6247.4340000000002</v>
      </c>
    </row>
    <row r="11" spans="1:16" x14ac:dyDescent="0.3">
      <c r="A11" s="1"/>
      <c r="B11" s="154" t="s">
        <v>1744</v>
      </c>
      <c r="C11" s="152">
        <v>871.1</v>
      </c>
      <c r="D11" s="152">
        <v>0</v>
      </c>
      <c r="E11" s="152">
        <v>69.25</v>
      </c>
      <c r="F11" s="152">
        <v>69.25</v>
      </c>
      <c r="G11" s="152">
        <v>4474.7</v>
      </c>
      <c r="H11" s="152">
        <v>507.98</v>
      </c>
      <c r="I11" s="152">
        <v>8233</v>
      </c>
      <c r="J11" s="152">
        <v>22990</v>
      </c>
      <c r="K11" s="152">
        <v>4387.2103999999999</v>
      </c>
      <c r="L11" s="152">
        <v>4090.8888999999999</v>
      </c>
      <c r="M11" s="152">
        <v>4384.3311000000003</v>
      </c>
      <c r="N11" s="152">
        <v>4383.0101000000004</v>
      </c>
      <c r="O11" s="152">
        <v>6617</v>
      </c>
      <c r="P11" s="152">
        <v>6369.8639999999996</v>
      </c>
    </row>
    <row r="12" spans="1:16" x14ac:dyDescent="0.3">
      <c r="A12" s="1"/>
      <c r="B12" s="154" t="s">
        <v>1745</v>
      </c>
      <c r="C12" s="152">
        <v>870.9</v>
      </c>
      <c r="D12" s="152">
        <v>0</v>
      </c>
      <c r="E12" s="152">
        <v>72.12</v>
      </c>
      <c r="F12" s="152">
        <v>72.12</v>
      </c>
      <c r="G12" s="152">
        <v>4474.7</v>
      </c>
      <c r="H12" s="152">
        <v>507</v>
      </c>
      <c r="I12" s="152">
        <v>8451</v>
      </c>
      <c r="J12" s="152">
        <v>23157</v>
      </c>
      <c r="K12" s="152">
        <v>4461.0553</v>
      </c>
      <c r="L12" s="152">
        <v>4211.0191000000004</v>
      </c>
      <c r="M12" s="152">
        <v>4458.5291999999999</v>
      </c>
      <c r="N12" s="152">
        <v>4457.7293</v>
      </c>
      <c r="O12" s="152">
        <v>6640</v>
      </c>
      <c r="P12" s="152">
        <v>6492.1689999999999</v>
      </c>
    </row>
    <row r="13" spans="1:16" x14ac:dyDescent="0.3">
      <c r="A13" s="1"/>
      <c r="B13" s="154" t="s">
        <v>1746</v>
      </c>
      <c r="C13" s="152">
        <v>873.2</v>
      </c>
      <c r="D13" s="152">
        <v>0</v>
      </c>
      <c r="E13" s="152">
        <v>74.42</v>
      </c>
      <c r="F13" s="152">
        <v>74.42</v>
      </c>
      <c r="G13" s="152">
        <v>4474.7</v>
      </c>
      <c r="H13" s="152">
        <v>508.97</v>
      </c>
      <c r="I13" s="152">
        <v>8655</v>
      </c>
      <c r="J13" s="152">
        <v>23290</v>
      </c>
      <c r="K13" s="152">
        <v>4459.5245000000004</v>
      </c>
      <c r="L13" s="152">
        <v>4207.7217000000001</v>
      </c>
      <c r="M13" s="152">
        <v>4457.1552000000001</v>
      </c>
      <c r="N13" s="152">
        <v>4456.3239999999996</v>
      </c>
      <c r="O13" s="152">
        <v>6640</v>
      </c>
      <c r="P13" s="152">
        <v>6619.1930000000002</v>
      </c>
    </row>
    <row r="14" spans="1:16" x14ac:dyDescent="0.3">
      <c r="A14" s="1"/>
      <c r="B14" s="154" t="s">
        <v>1747</v>
      </c>
      <c r="C14" s="152">
        <v>871.3</v>
      </c>
      <c r="D14" s="152">
        <v>0</v>
      </c>
      <c r="E14" s="152">
        <v>75.650000000000006</v>
      </c>
      <c r="F14" s="152">
        <v>75.650000000000006</v>
      </c>
      <c r="G14" s="152">
        <v>4474.7</v>
      </c>
      <c r="H14" s="152">
        <v>507.98</v>
      </c>
      <c r="I14" s="152">
        <v>8731</v>
      </c>
      <c r="J14" s="152">
        <v>23206</v>
      </c>
      <c r="K14" s="152">
        <v>4416.7719999999999</v>
      </c>
      <c r="L14" s="152">
        <v>4115.0329000000002</v>
      </c>
      <c r="M14" s="152">
        <v>4414.7563</v>
      </c>
      <c r="N14" s="152">
        <v>4413.6116000000002</v>
      </c>
      <c r="O14" s="152">
        <v>6640</v>
      </c>
      <c r="P14" s="152">
        <v>6743.8180000000002</v>
      </c>
    </row>
    <row r="15" spans="1:16" x14ac:dyDescent="0.3">
      <c r="A15" s="1"/>
      <c r="B15" s="154" t="s">
        <v>340</v>
      </c>
      <c r="C15" s="152">
        <v>870.8</v>
      </c>
      <c r="D15" s="152">
        <v>0</v>
      </c>
      <c r="E15" s="152">
        <v>75.510000000000005</v>
      </c>
      <c r="F15" s="152">
        <v>75.510000000000005</v>
      </c>
      <c r="G15" s="152">
        <v>4474.7</v>
      </c>
      <c r="H15" s="152">
        <v>507</v>
      </c>
      <c r="I15" s="152">
        <v>8708</v>
      </c>
      <c r="J15" s="152">
        <v>23217</v>
      </c>
      <c r="K15" s="152">
        <v>4333.5051999999996</v>
      </c>
      <c r="L15" s="152">
        <v>3946.8505</v>
      </c>
      <c r="M15" s="152">
        <v>4331.9213</v>
      </c>
      <c r="N15" s="152">
        <v>4330.4579999999996</v>
      </c>
      <c r="O15" s="152">
        <v>6641</v>
      </c>
      <c r="P15" s="152">
        <v>6866.1570000000002</v>
      </c>
    </row>
    <row r="16" spans="1:16" x14ac:dyDescent="0.3">
      <c r="A16" s="1"/>
      <c r="B16" s="154" t="s">
        <v>1748</v>
      </c>
      <c r="C16" s="152">
        <v>871.5</v>
      </c>
      <c r="D16" s="152">
        <v>3042.02</v>
      </c>
      <c r="E16" s="152">
        <v>74.48</v>
      </c>
      <c r="F16" s="152">
        <v>74.48</v>
      </c>
      <c r="G16" s="152">
        <v>4474.7</v>
      </c>
      <c r="H16" s="152">
        <v>507.98</v>
      </c>
      <c r="I16" s="152">
        <v>8592</v>
      </c>
      <c r="J16" s="152">
        <v>22709</v>
      </c>
      <c r="K16" s="152">
        <v>4272.1442999999999</v>
      </c>
      <c r="L16" s="152">
        <v>3852.9838</v>
      </c>
      <c r="M16" s="152">
        <v>4270.4822000000004</v>
      </c>
      <c r="N16" s="152">
        <v>4269.2557999999999</v>
      </c>
      <c r="O16" s="152">
        <v>6640</v>
      </c>
      <c r="P16" s="152">
        <v>6988.21</v>
      </c>
    </row>
    <row r="17" spans="1:16" x14ac:dyDescent="0.3">
      <c r="A17" s="1"/>
      <c r="B17" s="154" t="s">
        <v>538</v>
      </c>
      <c r="C17" s="152">
        <v>871.7</v>
      </c>
      <c r="D17" s="152">
        <v>2985.79</v>
      </c>
      <c r="E17" s="152">
        <v>73.77</v>
      </c>
      <c r="F17" s="152">
        <v>73.77</v>
      </c>
      <c r="G17" s="152">
        <v>4474.7</v>
      </c>
      <c r="H17" s="152">
        <v>510.93</v>
      </c>
      <c r="I17" s="152">
        <v>8482</v>
      </c>
      <c r="J17" s="152">
        <v>22704</v>
      </c>
      <c r="K17" s="152">
        <v>4271.5556999999999</v>
      </c>
      <c r="L17" s="152">
        <v>3854.8683000000001</v>
      </c>
      <c r="M17" s="152">
        <v>4269.6971000000003</v>
      </c>
      <c r="N17" s="152">
        <v>4268.3905999999997</v>
      </c>
      <c r="O17" s="152">
        <v>6642</v>
      </c>
      <c r="P17" s="152">
        <v>7048.3450000000003</v>
      </c>
    </row>
    <row r="18" spans="1:16" x14ac:dyDescent="0.3">
      <c r="A18" s="1"/>
      <c r="B18" s="154" t="s">
        <v>415</v>
      </c>
      <c r="C18" s="152">
        <v>870.9</v>
      </c>
      <c r="D18" s="152">
        <v>2984.87</v>
      </c>
      <c r="E18" s="152">
        <v>72.760000000000005</v>
      </c>
      <c r="F18" s="152">
        <v>72.760000000000005</v>
      </c>
      <c r="G18" s="152">
        <v>4474.7</v>
      </c>
      <c r="H18" s="152">
        <v>507.98</v>
      </c>
      <c r="I18" s="152">
        <v>8372</v>
      </c>
      <c r="J18" s="152">
        <v>22770</v>
      </c>
      <c r="K18" s="152">
        <v>4241.9939999999997</v>
      </c>
      <c r="L18" s="152">
        <v>3797.9827</v>
      </c>
      <c r="M18" s="152">
        <v>4239.8608999999997</v>
      </c>
      <c r="N18" s="152">
        <v>4240.1679000000004</v>
      </c>
      <c r="O18" s="152">
        <v>6605</v>
      </c>
      <c r="P18" s="152">
        <v>7090.4369999999999</v>
      </c>
    </row>
    <row r="19" spans="1:16" x14ac:dyDescent="0.3">
      <c r="A19" s="1"/>
      <c r="B19" s="154" t="s">
        <v>1749</v>
      </c>
      <c r="C19" s="152">
        <v>870.1</v>
      </c>
      <c r="D19" s="152">
        <v>2985.11</v>
      </c>
      <c r="E19" s="152">
        <v>71.989999999999995</v>
      </c>
      <c r="F19" s="152">
        <v>71.989999999999995</v>
      </c>
      <c r="G19" s="152">
        <v>4474.7</v>
      </c>
      <c r="H19" s="152">
        <v>509.95</v>
      </c>
      <c r="I19" s="152">
        <v>8261</v>
      </c>
      <c r="J19" s="152">
        <v>22630</v>
      </c>
      <c r="K19" s="152">
        <v>4206.7794000000004</v>
      </c>
      <c r="L19" s="152">
        <v>3750.6374000000001</v>
      </c>
      <c r="M19" s="152">
        <v>4203.9394000000002</v>
      </c>
      <c r="N19" s="152">
        <v>4206.8634000000002</v>
      </c>
      <c r="O19" s="152">
        <v>6606</v>
      </c>
      <c r="P19" s="152">
        <v>7099.317</v>
      </c>
    </row>
    <row r="20" spans="1:16" x14ac:dyDescent="0.3">
      <c r="A20" s="1"/>
      <c r="B20" s="154" t="s">
        <v>1750</v>
      </c>
      <c r="C20" s="152">
        <v>866.3</v>
      </c>
      <c r="D20" s="152">
        <v>2987.43</v>
      </c>
      <c r="E20" s="152">
        <v>71.099999999999994</v>
      </c>
      <c r="F20" s="152">
        <v>71.099999999999994</v>
      </c>
      <c r="G20" s="152">
        <v>4474.7</v>
      </c>
      <c r="H20" s="152">
        <v>510.93</v>
      </c>
      <c r="I20" s="152">
        <v>8151</v>
      </c>
      <c r="J20" s="152">
        <v>22759</v>
      </c>
      <c r="K20" s="152">
        <v>4167.3248000000003</v>
      </c>
      <c r="L20" s="152">
        <v>3688.2166999999999</v>
      </c>
      <c r="M20" s="152">
        <v>4164.2887000000001</v>
      </c>
      <c r="N20" s="152">
        <v>4168.0442000000003</v>
      </c>
      <c r="O20" s="152">
        <v>6607</v>
      </c>
      <c r="P20" s="152">
        <v>7096.9319999999998</v>
      </c>
    </row>
    <row r="21" spans="1:16" x14ac:dyDescent="0.3">
      <c r="A21" s="1"/>
      <c r="B21" s="154" t="s">
        <v>1751</v>
      </c>
      <c r="C21" s="152">
        <v>862</v>
      </c>
      <c r="D21" s="152">
        <v>2986.27</v>
      </c>
      <c r="E21" s="152">
        <v>70.2</v>
      </c>
      <c r="F21" s="152">
        <v>70.2</v>
      </c>
      <c r="G21" s="152">
        <v>4474.7</v>
      </c>
      <c r="H21" s="152">
        <v>508.97</v>
      </c>
      <c r="I21" s="152">
        <v>8088</v>
      </c>
      <c r="J21" s="152">
        <v>22649</v>
      </c>
      <c r="K21" s="152">
        <v>4159.6693999999998</v>
      </c>
      <c r="L21" s="152">
        <v>3658.0664999999999</v>
      </c>
      <c r="M21" s="152">
        <v>4155.6517999999996</v>
      </c>
      <c r="N21" s="152">
        <v>4164.4759999999997</v>
      </c>
      <c r="O21" s="152">
        <v>6607</v>
      </c>
      <c r="P21" s="152">
        <v>7094.45</v>
      </c>
    </row>
    <row r="22" spans="1:16" x14ac:dyDescent="0.3">
      <c r="A22" s="1"/>
      <c r="B22" s="154" t="s">
        <v>1752</v>
      </c>
      <c r="C22" s="152">
        <v>858.9</v>
      </c>
      <c r="D22" s="152">
        <v>2988.1</v>
      </c>
      <c r="E22" s="152">
        <v>69.45</v>
      </c>
      <c r="F22" s="152">
        <v>69.45</v>
      </c>
      <c r="G22" s="152">
        <v>4474.7</v>
      </c>
      <c r="H22" s="152">
        <v>507.98</v>
      </c>
      <c r="I22" s="152">
        <v>8029</v>
      </c>
      <c r="J22" s="152">
        <v>22680</v>
      </c>
      <c r="K22" s="152">
        <v>4182.8711999999996</v>
      </c>
      <c r="L22" s="152">
        <v>3691.0434</v>
      </c>
      <c r="M22" s="152">
        <v>4178.4214000000002</v>
      </c>
      <c r="N22" s="152">
        <v>4189.1296000000002</v>
      </c>
      <c r="O22" s="152">
        <v>6592</v>
      </c>
      <c r="P22" s="152">
        <v>7091.8779999999997</v>
      </c>
    </row>
    <row r="23" spans="1:16" x14ac:dyDescent="0.3">
      <c r="A23" s="1"/>
      <c r="B23" s="154" t="s">
        <v>341</v>
      </c>
      <c r="C23" s="152">
        <v>857.8</v>
      </c>
      <c r="D23" s="152">
        <v>2984.87</v>
      </c>
      <c r="E23" s="152">
        <v>69.010000000000005</v>
      </c>
      <c r="F23" s="152">
        <v>69.010000000000005</v>
      </c>
      <c r="G23" s="152">
        <v>4474.7</v>
      </c>
      <c r="H23" s="152">
        <v>507</v>
      </c>
      <c r="I23" s="152">
        <v>7972</v>
      </c>
      <c r="J23" s="152">
        <v>22666</v>
      </c>
      <c r="K23" s="152">
        <v>4216.9081999999999</v>
      </c>
      <c r="L23" s="152">
        <v>3751.2264</v>
      </c>
      <c r="M23" s="152">
        <v>4212.9687999999996</v>
      </c>
      <c r="N23" s="152">
        <v>4222.9750999999997</v>
      </c>
      <c r="O23" s="152">
        <v>6555</v>
      </c>
      <c r="P23" s="152">
        <v>6933.7910000000002</v>
      </c>
    </row>
    <row r="24" spans="1:16" x14ac:dyDescent="0.3">
      <c r="A24" s="1"/>
      <c r="B24" s="154" t="s">
        <v>428</v>
      </c>
      <c r="C24" s="152">
        <v>857.7</v>
      </c>
      <c r="D24" s="152">
        <v>2988.1</v>
      </c>
      <c r="E24" s="152">
        <v>68.680000000000007</v>
      </c>
      <c r="F24" s="152">
        <v>68.680000000000007</v>
      </c>
      <c r="G24" s="152">
        <v>4474.7</v>
      </c>
      <c r="H24" s="152">
        <v>507.98</v>
      </c>
      <c r="I24" s="152">
        <v>7946</v>
      </c>
      <c r="J24" s="152">
        <v>22691</v>
      </c>
      <c r="K24" s="152">
        <v>4248.5892999999996</v>
      </c>
      <c r="L24" s="152">
        <v>3794.5673999999999</v>
      </c>
      <c r="M24" s="152">
        <v>4244.5716000000002</v>
      </c>
      <c r="N24" s="152">
        <v>4252.2789000000002</v>
      </c>
      <c r="O24" s="152">
        <v>6538</v>
      </c>
      <c r="P24" s="152">
        <v>6743.0190000000002</v>
      </c>
    </row>
    <row r="25" spans="1:16" x14ac:dyDescent="0.3">
      <c r="A25" s="1"/>
      <c r="B25" s="154" t="s">
        <v>1753</v>
      </c>
      <c r="C25" s="152">
        <v>859.4</v>
      </c>
      <c r="D25" s="152">
        <v>2988.34</v>
      </c>
      <c r="E25" s="152">
        <v>68.430000000000007</v>
      </c>
      <c r="F25" s="152">
        <v>68.430000000000007</v>
      </c>
      <c r="G25" s="152">
        <v>4474.7</v>
      </c>
      <c r="H25" s="152">
        <v>509.95</v>
      </c>
      <c r="I25" s="152">
        <v>7920</v>
      </c>
      <c r="J25" s="152">
        <v>22600</v>
      </c>
      <c r="K25" s="152">
        <v>4248.5892999999996</v>
      </c>
      <c r="L25" s="152">
        <v>3824.9533999999999</v>
      </c>
      <c r="M25" s="152">
        <v>4245.7496000000001</v>
      </c>
      <c r="N25" s="152">
        <v>4251.7379000000001</v>
      </c>
      <c r="O25" s="152">
        <v>6394</v>
      </c>
      <c r="P25" s="152">
        <v>6638.2610000000004</v>
      </c>
    </row>
    <row r="26" spans="1:16" x14ac:dyDescent="0.3">
      <c r="A26" s="1"/>
      <c r="B26" s="154" t="s">
        <v>290</v>
      </c>
      <c r="C26" s="152">
        <v>811.3</v>
      </c>
      <c r="D26" s="152">
        <v>2990.42</v>
      </c>
      <c r="E26" s="152">
        <v>66.97</v>
      </c>
      <c r="F26" s="152">
        <v>66.97</v>
      </c>
      <c r="G26" s="152">
        <v>4474.7</v>
      </c>
      <c r="H26" s="152">
        <v>511.91</v>
      </c>
      <c r="I26" s="152">
        <v>7847</v>
      </c>
      <c r="J26" s="152">
        <v>22653</v>
      </c>
      <c r="K26" s="152">
        <v>4112.5595000000003</v>
      </c>
      <c r="L26" s="152">
        <v>3656.4178000000002</v>
      </c>
      <c r="M26" s="152">
        <v>4113.8415999999997</v>
      </c>
      <c r="N26" s="152">
        <v>4116.2489999999998</v>
      </c>
      <c r="O26" s="152">
        <v>6240</v>
      </c>
      <c r="P26" s="152">
        <v>6535.1490000000003</v>
      </c>
    </row>
    <row r="27" spans="1:16" x14ac:dyDescent="0.3">
      <c r="A27" s="1"/>
      <c r="B27" s="154" t="s">
        <v>1754</v>
      </c>
      <c r="C27" s="152">
        <v>811.1</v>
      </c>
      <c r="D27" s="152">
        <v>2989.5</v>
      </c>
      <c r="E27" s="152">
        <v>65.040000000000006</v>
      </c>
      <c r="F27" s="152">
        <v>65.040000000000006</v>
      </c>
      <c r="G27" s="152">
        <v>4474.7</v>
      </c>
      <c r="H27" s="152">
        <v>506.02</v>
      </c>
      <c r="I27" s="152">
        <v>7697</v>
      </c>
      <c r="J27" s="152">
        <v>22673</v>
      </c>
      <c r="K27" s="152">
        <v>4081.8202000000001</v>
      </c>
      <c r="L27" s="152">
        <v>3592.2302</v>
      </c>
      <c r="M27" s="152">
        <v>4083.6127999999999</v>
      </c>
      <c r="N27" s="152">
        <v>4083.8092000000001</v>
      </c>
      <c r="O27" s="152">
        <v>6085</v>
      </c>
      <c r="P27" s="152">
        <v>6432.6170000000002</v>
      </c>
    </row>
    <row r="28" spans="1:16" x14ac:dyDescent="0.3">
      <c r="A28" s="1"/>
      <c r="B28" s="154" t="s">
        <v>1755</v>
      </c>
      <c r="C28" s="152">
        <v>811.3</v>
      </c>
      <c r="D28" s="152">
        <v>2987.19</v>
      </c>
      <c r="E28" s="152">
        <v>63.5</v>
      </c>
      <c r="F28" s="152">
        <v>63.5</v>
      </c>
      <c r="G28" s="152">
        <v>4474.8</v>
      </c>
      <c r="H28" s="152">
        <v>507.98</v>
      </c>
      <c r="I28" s="152">
        <v>7547</v>
      </c>
      <c r="J28" s="152">
        <v>22635</v>
      </c>
      <c r="K28" s="152">
        <v>4111.9705000000004</v>
      </c>
      <c r="L28" s="152">
        <v>3597.0592000000001</v>
      </c>
      <c r="M28" s="152">
        <v>4111.6824999999999</v>
      </c>
      <c r="N28" s="152">
        <v>4112.0315000000001</v>
      </c>
      <c r="O28" s="152">
        <v>6129</v>
      </c>
      <c r="P28" s="152">
        <v>6325.9790000000003</v>
      </c>
    </row>
    <row r="29" spans="1:16" x14ac:dyDescent="0.3">
      <c r="A29" s="1"/>
      <c r="B29" s="154" t="s">
        <v>1756</v>
      </c>
      <c r="C29" s="152">
        <v>870.9</v>
      </c>
      <c r="D29" s="152">
        <v>2986.28</v>
      </c>
      <c r="E29" s="152">
        <v>64.03</v>
      </c>
      <c r="F29" s="152">
        <v>64.03</v>
      </c>
      <c r="G29" s="152">
        <v>4473.6000000000004</v>
      </c>
      <c r="H29" s="152">
        <v>508.97</v>
      </c>
      <c r="I29" s="152">
        <v>7322</v>
      </c>
      <c r="J29" s="152">
        <v>22815</v>
      </c>
      <c r="K29" s="152">
        <v>4144.8298999999997</v>
      </c>
      <c r="L29" s="152">
        <v>3689.2768000000001</v>
      </c>
      <c r="M29" s="152">
        <v>4144.4633000000003</v>
      </c>
      <c r="N29" s="152">
        <v>4144.3634000000002</v>
      </c>
      <c r="O29" s="152">
        <v>6143</v>
      </c>
      <c r="P29" s="152">
        <v>6218.2489999999998</v>
      </c>
    </row>
    <row r="30" spans="1:16" x14ac:dyDescent="0.3">
      <c r="A30" s="1"/>
      <c r="B30" s="154" t="s">
        <v>238</v>
      </c>
      <c r="C30" s="152">
        <v>871.5</v>
      </c>
      <c r="D30" s="152">
        <v>1812.59</v>
      </c>
      <c r="E30" s="152">
        <v>64.150000000000006</v>
      </c>
      <c r="F30" s="152">
        <v>64.150000000000006</v>
      </c>
      <c r="G30" s="152">
        <v>4473.6000000000004</v>
      </c>
      <c r="H30" s="152">
        <v>508.97</v>
      </c>
      <c r="I30" s="152">
        <v>7133</v>
      </c>
      <c r="J30" s="152">
        <v>22734</v>
      </c>
      <c r="K30" s="152">
        <v>4151.4251000000004</v>
      </c>
      <c r="L30" s="152">
        <v>3695.5187999999998</v>
      </c>
      <c r="M30" s="152">
        <v>4151.3332</v>
      </c>
      <c r="N30" s="152">
        <v>4150.9589999999998</v>
      </c>
      <c r="O30" s="152">
        <v>6096</v>
      </c>
      <c r="P30" s="152">
        <v>6104.0720000000001</v>
      </c>
    </row>
    <row r="31" spans="1:16" x14ac:dyDescent="0.3">
      <c r="A31" s="1"/>
      <c r="B31" s="154" t="s">
        <v>1757</v>
      </c>
      <c r="C31" s="152">
        <v>871.1</v>
      </c>
      <c r="D31" s="152">
        <v>1792.83</v>
      </c>
      <c r="E31" s="152">
        <v>63.72</v>
      </c>
      <c r="F31" s="152">
        <v>63.72</v>
      </c>
      <c r="G31" s="152">
        <v>4477.1000000000004</v>
      </c>
      <c r="H31" s="152">
        <v>508.97</v>
      </c>
      <c r="I31" s="152">
        <v>7004</v>
      </c>
      <c r="J31" s="152">
        <v>22836</v>
      </c>
      <c r="K31" s="152">
        <v>4130.6967999999997</v>
      </c>
      <c r="L31" s="152">
        <v>3679.8548999999998</v>
      </c>
      <c r="M31" s="152">
        <v>4132.6858000000002</v>
      </c>
      <c r="N31" s="152">
        <v>4131.9282000000003</v>
      </c>
      <c r="O31" s="152">
        <v>6125</v>
      </c>
      <c r="P31" s="152">
        <v>6058.7039999999997</v>
      </c>
    </row>
    <row r="32" spans="1:16" x14ac:dyDescent="0.3">
      <c r="A32" s="1"/>
      <c r="B32" s="154" t="s">
        <v>1758</v>
      </c>
      <c r="C32" s="152">
        <v>870.8</v>
      </c>
      <c r="D32" s="152">
        <v>1781.8</v>
      </c>
      <c r="E32" s="152">
        <v>64.05</v>
      </c>
      <c r="F32" s="152">
        <v>64.05</v>
      </c>
      <c r="G32" s="152">
        <v>4476.1000000000004</v>
      </c>
      <c r="H32" s="152">
        <v>507.98</v>
      </c>
      <c r="I32" s="152">
        <v>7048</v>
      </c>
      <c r="J32" s="152">
        <v>22788</v>
      </c>
      <c r="K32" s="152">
        <v>4267.1980999999996</v>
      </c>
      <c r="L32" s="152">
        <v>3807.9940000000001</v>
      </c>
      <c r="M32" s="152">
        <v>4265.3784999999998</v>
      </c>
      <c r="N32" s="152">
        <v>4265.0382</v>
      </c>
      <c r="O32" s="152">
        <v>6320</v>
      </c>
      <c r="P32" s="152">
        <v>6082.277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6" t="s">
        <v>590</v>
      </c>
      <c r="C6" s="206" t="s">
        <v>1759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40.049999999999997" customHeight="1" x14ac:dyDescent="0.3">
      <c r="A7" s="1"/>
      <c r="B7" s="206"/>
      <c r="C7" s="3" t="s">
        <v>28</v>
      </c>
      <c r="D7" s="3" t="s">
        <v>86</v>
      </c>
      <c r="E7" s="3" t="s">
        <v>86</v>
      </c>
      <c r="F7" s="3" t="s">
        <v>93</v>
      </c>
      <c r="G7" s="3" t="s">
        <v>93</v>
      </c>
      <c r="H7" s="3" t="s">
        <v>93</v>
      </c>
      <c r="I7" s="3" t="s">
        <v>93</v>
      </c>
      <c r="J7" s="3" t="s">
        <v>103</v>
      </c>
      <c r="K7" s="3" t="s">
        <v>643</v>
      </c>
      <c r="L7" s="3" t="s">
        <v>106</v>
      </c>
      <c r="M7" s="3" t="s">
        <v>106</v>
      </c>
      <c r="N7" s="3" t="s">
        <v>130</v>
      </c>
      <c r="O7" s="3" t="s">
        <v>130</v>
      </c>
      <c r="P7" s="3" t="s">
        <v>159</v>
      </c>
      <c r="Q7" s="3" t="s">
        <v>164</v>
      </c>
    </row>
    <row r="8" spans="1:17" ht="40.049999999999997" customHeight="1" x14ac:dyDescent="0.3">
      <c r="A8" s="1"/>
      <c r="B8" s="206"/>
      <c r="C8" s="3" t="s">
        <v>1169</v>
      </c>
      <c r="D8" s="3" t="s">
        <v>1176</v>
      </c>
      <c r="E8" s="3" t="s">
        <v>1177</v>
      </c>
      <c r="F8" s="3" t="s">
        <v>99</v>
      </c>
      <c r="G8" s="3" t="s">
        <v>102</v>
      </c>
      <c r="H8" s="3" t="s">
        <v>1657</v>
      </c>
      <c r="I8" s="3" t="s">
        <v>1192</v>
      </c>
      <c r="J8" s="3" t="s">
        <v>104</v>
      </c>
      <c r="K8" s="3" t="s">
        <v>1198</v>
      </c>
      <c r="L8" s="3" t="s">
        <v>115</v>
      </c>
      <c r="M8" s="3" t="s">
        <v>119</v>
      </c>
      <c r="N8" s="3" t="s">
        <v>1214</v>
      </c>
      <c r="O8" s="3" t="s">
        <v>145</v>
      </c>
      <c r="P8" s="3" t="s">
        <v>1229</v>
      </c>
      <c r="Q8" s="3" t="s">
        <v>1230</v>
      </c>
    </row>
    <row r="9" spans="1:17" x14ac:dyDescent="0.3">
      <c r="A9" s="1"/>
      <c r="B9" s="154" t="s">
        <v>183</v>
      </c>
      <c r="C9" s="152">
        <v>20</v>
      </c>
      <c r="D9" s="152">
        <v>27.55</v>
      </c>
      <c r="E9" s="152">
        <v>27.55</v>
      </c>
      <c r="F9" s="152">
        <v>22.9</v>
      </c>
      <c r="G9" s="152">
        <v>22.9</v>
      </c>
      <c r="H9" s="152">
        <v>22.9</v>
      </c>
      <c r="I9" s="152">
        <v>22.9</v>
      </c>
      <c r="J9" s="152">
        <v>21.9</v>
      </c>
      <c r="K9" s="152">
        <v>36.19</v>
      </c>
      <c r="L9" s="152">
        <v>22</v>
      </c>
      <c r="M9" s="152">
        <v>22</v>
      </c>
      <c r="N9" s="152">
        <v>23.989899999999999</v>
      </c>
      <c r="O9" s="152">
        <v>22.074999999999999</v>
      </c>
      <c r="P9" s="152">
        <v>22.52</v>
      </c>
      <c r="Q9" s="152">
        <v>24</v>
      </c>
    </row>
    <row r="10" spans="1:17" x14ac:dyDescent="0.3">
      <c r="A10" s="1"/>
      <c r="B10" s="154" t="s">
        <v>1743</v>
      </c>
      <c r="C10" s="152">
        <v>18</v>
      </c>
      <c r="D10" s="152">
        <v>27.82</v>
      </c>
      <c r="E10" s="152">
        <v>27.82</v>
      </c>
      <c r="F10" s="152">
        <v>22.8</v>
      </c>
      <c r="G10" s="152">
        <v>22.8</v>
      </c>
      <c r="H10" s="152">
        <v>22.8</v>
      </c>
      <c r="I10" s="152">
        <v>22.8</v>
      </c>
      <c r="J10" s="152">
        <v>22</v>
      </c>
      <c r="K10" s="152">
        <v>35.68</v>
      </c>
      <c r="L10" s="152">
        <v>21.9</v>
      </c>
      <c r="M10" s="152">
        <v>21.8</v>
      </c>
      <c r="N10" s="152">
        <v>23.5</v>
      </c>
      <c r="O10" s="152">
        <v>22.074999999999999</v>
      </c>
      <c r="P10" s="152">
        <v>21.39</v>
      </c>
      <c r="Q10" s="152">
        <v>23.48</v>
      </c>
    </row>
    <row r="11" spans="1:17" x14ac:dyDescent="0.3">
      <c r="A11" s="1"/>
      <c r="B11" s="154" t="s">
        <v>1744</v>
      </c>
      <c r="C11" s="152">
        <v>18</v>
      </c>
      <c r="D11" s="152">
        <v>27.8</v>
      </c>
      <c r="E11" s="152">
        <v>27.8</v>
      </c>
      <c r="F11" s="152">
        <v>23</v>
      </c>
      <c r="G11" s="152">
        <v>23</v>
      </c>
      <c r="H11" s="152">
        <v>23</v>
      </c>
      <c r="I11" s="152">
        <v>23</v>
      </c>
      <c r="J11" s="152">
        <v>21.7</v>
      </c>
      <c r="K11" s="152">
        <v>35.01</v>
      </c>
      <c r="L11" s="152">
        <v>21.6</v>
      </c>
      <c r="M11" s="152">
        <v>21.6</v>
      </c>
      <c r="N11" s="152">
        <v>24.19</v>
      </c>
      <c r="O11" s="152">
        <v>22.125</v>
      </c>
      <c r="P11" s="152">
        <v>21.44</v>
      </c>
      <c r="Q11" s="152">
        <v>23.15</v>
      </c>
    </row>
    <row r="12" spans="1:17" x14ac:dyDescent="0.3">
      <c r="A12" s="1"/>
      <c r="B12" s="154" t="s">
        <v>1745</v>
      </c>
      <c r="C12" s="152">
        <v>18</v>
      </c>
      <c r="D12" s="152">
        <v>27.64</v>
      </c>
      <c r="E12" s="152">
        <v>27.64</v>
      </c>
      <c r="F12" s="152">
        <v>22.7</v>
      </c>
      <c r="G12" s="152">
        <v>22.7</v>
      </c>
      <c r="H12" s="152">
        <v>22.7</v>
      </c>
      <c r="I12" s="152">
        <v>22.7</v>
      </c>
      <c r="J12" s="152">
        <v>21.7</v>
      </c>
      <c r="K12" s="152">
        <v>34.840000000000003</v>
      </c>
      <c r="L12" s="152">
        <v>21.1</v>
      </c>
      <c r="M12" s="152">
        <v>21.2</v>
      </c>
      <c r="N12" s="152">
        <v>24.329899999999999</v>
      </c>
      <c r="O12" s="152">
        <v>22.074999999999999</v>
      </c>
      <c r="P12" s="152">
        <v>21.18</v>
      </c>
      <c r="Q12" s="152">
        <v>23.31</v>
      </c>
    </row>
    <row r="13" spans="1:17" x14ac:dyDescent="0.3">
      <c r="A13" s="1"/>
      <c r="B13" s="154" t="s">
        <v>1746</v>
      </c>
      <c r="C13" s="152">
        <v>18</v>
      </c>
      <c r="D13" s="152">
        <v>27.46</v>
      </c>
      <c r="E13" s="152">
        <v>27.46</v>
      </c>
      <c r="F13" s="152">
        <v>22.2</v>
      </c>
      <c r="G13" s="152">
        <v>22.2</v>
      </c>
      <c r="H13" s="152">
        <v>22.2</v>
      </c>
      <c r="I13" s="152">
        <v>22.2</v>
      </c>
      <c r="J13" s="152">
        <v>21.7</v>
      </c>
      <c r="K13" s="152">
        <v>34.82</v>
      </c>
      <c r="L13" s="152">
        <v>20.8</v>
      </c>
      <c r="M13" s="152">
        <v>21.3</v>
      </c>
      <c r="N13" s="152">
        <v>24.39</v>
      </c>
      <c r="O13" s="152">
        <v>22.15</v>
      </c>
      <c r="P13" s="152">
        <v>21.26</v>
      </c>
      <c r="Q13" s="152">
        <v>23.14</v>
      </c>
    </row>
    <row r="14" spans="1:17" x14ac:dyDescent="0.3">
      <c r="A14" s="1"/>
      <c r="B14" s="154" t="s">
        <v>1747</v>
      </c>
      <c r="C14" s="152">
        <v>18</v>
      </c>
      <c r="D14" s="152">
        <v>27.31</v>
      </c>
      <c r="E14" s="152">
        <v>27.31</v>
      </c>
      <c r="F14" s="152">
        <v>22.5</v>
      </c>
      <c r="G14" s="152">
        <v>22.5</v>
      </c>
      <c r="H14" s="152">
        <v>22.5</v>
      </c>
      <c r="I14" s="152">
        <v>22.5</v>
      </c>
      <c r="J14" s="152">
        <v>21.4</v>
      </c>
      <c r="K14" s="152">
        <v>34.57</v>
      </c>
      <c r="L14" s="152">
        <v>21</v>
      </c>
      <c r="M14" s="152">
        <v>21</v>
      </c>
      <c r="N14" s="152">
        <v>24.46</v>
      </c>
      <c r="O14" s="152">
        <v>21.75</v>
      </c>
      <c r="P14" s="152">
        <v>21.4</v>
      </c>
      <c r="Q14" s="152">
        <v>23.23</v>
      </c>
    </row>
    <row r="15" spans="1:17" x14ac:dyDescent="0.3">
      <c r="A15" s="1"/>
      <c r="B15" s="154" t="s">
        <v>340</v>
      </c>
      <c r="C15" s="152">
        <v>18</v>
      </c>
      <c r="D15" s="152">
        <v>27.15</v>
      </c>
      <c r="E15" s="152">
        <v>27.15</v>
      </c>
      <c r="F15" s="152">
        <v>22.7</v>
      </c>
      <c r="G15" s="152">
        <v>22.7</v>
      </c>
      <c r="H15" s="152">
        <v>22.7</v>
      </c>
      <c r="I15" s="152">
        <v>22.7</v>
      </c>
      <c r="J15" s="152">
        <v>21.7</v>
      </c>
      <c r="K15" s="152">
        <v>34.26</v>
      </c>
      <c r="L15" s="152">
        <v>20.2</v>
      </c>
      <c r="M15" s="152">
        <v>20</v>
      </c>
      <c r="N15" s="152">
        <v>24.51</v>
      </c>
      <c r="O15" s="152">
        <v>22.05</v>
      </c>
      <c r="P15" s="152">
        <v>21.38</v>
      </c>
      <c r="Q15" s="152">
        <v>23.32</v>
      </c>
    </row>
    <row r="16" spans="1:17" x14ac:dyDescent="0.3">
      <c r="A16" s="1"/>
      <c r="B16" s="154" t="s">
        <v>1748</v>
      </c>
      <c r="C16" s="152">
        <v>19</v>
      </c>
      <c r="D16" s="152">
        <v>27.13</v>
      </c>
      <c r="E16" s="152">
        <v>27.13</v>
      </c>
      <c r="F16" s="152">
        <v>22.8</v>
      </c>
      <c r="G16" s="152">
        <v>22.8</v>
      </c>
      <c r="H16" s="152">
        <v>22.8</v>
      </c>
      <c r="I16" s="152">
        <v>22.8</v>
      </c>
      <c r="J16" s="152">
        <v>22</v>
      </c>
      <c r="K16" s="152">
        <v>35.479999999999997</v>
      </c>
      <c r="L16" s="152">
        <v>20.399999999999999</v>
      </c>
      <c r="M16" s="152">
        <v>20.3</v>
      </c>
      <c r="N16" s="152">
        <v>24.55</v>
      </c>
      <c r="O16" s="152">
        <v>22.175000000000001</v>
      </c>
      <c r="P16" s="152">
        <v>23</v>
      </c>
      <c r="Q16" s="152">
        <v>23.4</v>
      </c>
    </row>
    <row r="17" spans="1:17" x14ac:dyDescent="0.3">
      <c r="A17" s="1"/>
      <c r="B17" s="154" t="s">
        <v>538</v>
      </c>
      <c r="C17" s="152">
        <v>20</v>
      </c>
      <c r="D17" s="152">
        <v>27.01</v>
      </c>
      <c r="E17" s="152">
        <v>27.01</v>
      </c>
      <c r="F17" s="152">
        <v>23.6</v>
      </c>
      <c r="G17" s="152">
        <v>23.6</v>
      </c>
      <c r="H17" s="152">
        <v>23.6</v>
      </c>
      <c r="I17" s="152">
        <v>23.6</v>
      </c>
      <c r="J17" s="152">
        <v>22.5</v>
      </c>
      <c r="K17" s="152">
        <v>37.200000000000003</v>
      </c>
      <c r="L17" s="152">
        <v>21.9</v>
      </c>
      <c r="M17" s="152">
        <v>22.5</v>
      </c>
      <c r="N17" s="152">
        <v>24.79</v>
      </c>
      <c r="O17" s="152">
        <v>22.5</v>
      </c>
      <c r="P17" s="152">
        <v>22.36</v>
      </c>
      <c r="Q17" s="152">
        <v>24.29</v>
      </c>
    </row>
    <row r="18" spans="1:17" x14ac:dyDescent="0.3">
      <c r="A18" s="1"/>
      <c r="B18" s="154" t="s">
        <v>415</v>
      </c>
      <c r="C18" s="152">
        <v>20</v>
      </c>
      <c r="D18" s="152">
        <v>27.64</v>
      </c>
      <c r="E18" s="152">
        <v>27.64</v>
      </c>
      <c r="F18" s="152">
        <v>23.8</v>
      </c>
      <c r="G18" s="152">
        <v>23.8</v>
      </c>
      <c r="H18" s="152">
        <v>23.8</v>
      </c>
      <c r="I18" s="152">
        <v>23.8</v>
      </c>
      <c r="J18" s="152">
        <v>22.6</v>
      </c>
      <c r="K18" s="152">
        <v>38.299999999999997</v>
      </c>
      <c r="L18" s="152">
        <v>24.3</v>
      </c>
      <c r="M18" s="152">
        <v>24.6</v>
      </c>
      <c r="N18" s="152">
        <v>25.15</v>
      </c>
      <c r="O18" s="152">
        <v>22.5</v>
      </c>
      <c r="P18" s="152">
        <v>22.61</v>
      </c>
      <c r="Q18" s="152">
        <v>25.58</v>
      </c>
    </row>
    <row r="19" spans="1:17" x14ac:dyDescent="0.3">
      <c r="A19" s="1"/>
      <c r="B19" s="154" t="s">
        <v>1749</v>
      </c>
      <c r="C19" s="152">
        <v>22</v>
      </c>
      <c r="D19" s="152">
        <v>28.48</v>
      </c>
      <c r="E19" s="152">
        <v>28.48</v>
      </c>
      <c r="F19" s="152">
        <v>23.5</v>
      </c>
      <c r="G19" s="152">
        <v>23.5</v>
      </c>
      <c r="H19" s="152">
        <v>23.5</v>
      </c>
      <c r="I19" s="152">
        <v>23.5</v>
      </c>
      <c r="J19" s="152">
        <v>23</v>
      </c>
      <c r="K19" s="152">
        <v>39.56</v>
      </c>
      <c r="L19" s="152">
        <v>25.1</v>
      </c>
      <c r="M19" s="152">
        <v>26.5</v>
      </c>
      <c r="N19" s="152">
        <v>25.66</v>
      </c>
      <c r="O19" s="152">
        <v>22.524999999999999</v>
      </c>
      <c r="P19" s="152">
        <v>23.43</v>
      </c>
      <c r="Q19" s="152">
        <v>28.09</v>
      </c>
    </row>
    <row r="20" spans="1:17" x14ac:dyDescent="0.3">
      <c r="A20" s="1"/>
      <c r="B20" s="154" t="s">
        <v>1750</v>
      </c>
      <c r="C20" s="152">
        <v>25</v>
      </c>
      <c r="D20" s="152">
        <v>28.7</v>
      </c>
      <c r="E20" s="152">
        <v>28.7</v>
      </c>
      <c r="F20" s="152">
        <v>24.3</v>
      </c>
      <c r="G20" s="152">
        <v>24.3</v>
      </c>
      <c r="H20" s="152">
        <v>24.3</v>
      </c>
      <c r="I20" s="152">
        <v>24.3</v>
      </c>
      <c r="J20" s="152">
        <v>23.3</v>
      </c>
      <c r="K20" s="152">
        <v>40.49</v>
      </c>
      <c r="L20" s="152">
        <v>25</v>
      </c>
      <c r="M20" s="152">
        <v>26.8</v>
      </c>
      <c r="N20" s="152">
        <v>26.05</v>
      </c>
      <c r="O20" s="152">
        <v>22.85</v>
      </c>
      <c r="P20" s="152">
        <v>24.59</v>
      </c>
      <c r="Q20" s="152">
        <v>28.89</v>
      </c>
    </row>
    <row r="21" spans="1:17" x14ac:dyDescent="0.3">
      <c r="A21" s="1"/>
      <c r="B21" s="154" t="s">
        <v>1751</v>
      </c>
      <c r="C21" s="152">
        <v>27</v>
      </c>
      <c r="D21" s="152">
        <v>29.43</v>
      </c>
      <c r="E21" s="152">
        <v>29.43</v>
      </c>
      <c r="F21" s="152">
        <v>24.4</v>
      </c>
      <c r="G21" s="152">
        <v>24.4</v>
      </c>
      <c r="H21" s="152">
        <v>24.4</v>
      </c>
      <c r="I21" s="152">
        <v>24.4</v>
      </c>
      <c r="J21" s="152">
        <v>23.2</v>
      </c>
      <c r="K21" s="152">
        <v>40.130000000000003</v>
      </c>
      <c r="L21" s="152">
        <v>25.3</v>
      </c>
      <c r="M21" s="152">
        <v>27.2</v>
      </c>
      <c r="N21" s="152">
        <v>26.76</v>
      </c>
      <c r="O21" s="152">
        <v>23.074999999999999</v>
      </c>
      <c r="P21" s="152">
        <v>24.56</v>
      </c>
      <c r="Q21" s="152">
        <v>29.3</v>
      </c>
    </row>
    <row r="22" spans="1:17" x14ac:dyDescent="0.3">
      <c r="A22" s="1"/>
      <c r="B22" s="154" t="s">
        <v>1752</v>
      </c>
      <c r="C22" s="152">
        <v>27</v>
      </c>
      <c r="D22" s="152">
        <v>31.12</v>
      </c>
      <c r="E22" s="152">
        <v>31.12</v>
      </c>
      <c r="F22" s="152">
        <v>23.9</v>
      </c>
      <c r="G22" s="152">
        <v>23.9</v>
      </c>
      <c r="H22" s="152">
        <v>23.9</v>
      </c>
      <c r="I22" s="152">
        <v>23.9</v>
      </c>
      <c r="J22" s="152">
        <v>23.5</v>
      </c>
      <c r="K22" s="152">
        <v>38.17</v>
      </c>
      <c r="L22" s="152">
        <v>25.1</v>
      </c>
      <c r="M22" s="152">
        <v>27.4</v>
      </c>
      <c r="N22" s="152">
        <v>27.25</v>
      </c>
      <c r="O22" s="152">
        <v>23.475000000000001</v>
      </c>
      <c r="P22" s="152">
        <v>23.99</v>
      </c>
      <c r="Q22" s="152">
        <v>29.95</v>
      </c>
    </row>
    <row r="23" spans="1:17" x14ac:dyDescent="0.3">
      <c r="A23" s="1"/>
      <c r="B23" s="154" t="s">
        <v>341</v>
      </c>
      <c r="C23" s="152">
        <v>27</v>
      </c>
      <c r="D23" s="152">
        <v>30.49</v>
      </c>
      <c r="E23" s="152">
        <v>30.49</v>
      </c>
      <c r="F23" s="152">
        <v>24.1</v>
      </c>
      <c r="G23" s="152">
        <v>24.1</v>
      </c>
      <c r="H23" s="152">
        <v>24.1</v>
      </c>
      <c r="I23" s="152">
        <v>24.1</v>
      </c>
      <c r="J23" s="152">
        <v>23</v>
      </c>
      <c r="K23" s="152">
        <v>37.5</v>
      </c>
      <c r="L23" s="152">
        <v>25</v>
      </c>
      <c r="M23" s="152">
        <v>27.1</v>
      </c>
      <c r="N23" s="152">
        <v>27.63</v>
      </c>
      <c r="O23" s="152">
        <v>22.75</v>
      </c>
      <c r="P23" s="152">
        <v>22.81</v>
      </c>
      <c r="Q23" s="152">
        <v>28.98</v>
      </c>
    </row>
    <row r="24" spans="1:17" x14ac:dyDescent="0.3">
      <c r="A24" s="1"/>
      <c r="B24" s="154" t="s">
        <v>428</v>
      </c>
      <c r="C24" s="152">
        <v>25</v>
      </c>
      <c r="D24" s="152">
        <v>31.52</v>
      </c>
      <c r="E24" s="152">
        <v>31.52</v>
      </c>
      <c r="F24" s="152">
        <v>23.4</v>
      </c>
      <c r="G24" s="152">
        <v>23.4</v>
      </c>
      <c r="H24" s="152">
        <v>23.4</v>
      </c>
      <c r="I24" s="152">
        <v>23.4</v>
      </c>
      <c r="J24" s="152">
        <v>22.8</v>
      </c>
      <c r="K24" s="152">
        <v>37.31</v>
      </c>
      <c r="L24" s="152">
        <v>25.1</v>
      </c>
      <c r="M24" s="152">
        <v>26.2</v>
      </c>
      <c r="N24" s="152">
        <v>27.79</v>
      </c>
      <c r="O24" s="152">
        <v>23.05</v>
      </c>
      <c r="P24" s="152">
        <v>22.53</v>
      </c>
      <c r="Q24" s="152">
        <v>29.2</v>
      </c>
    </row>
    <row r="25" spans="1:17" x14ac:dyDescent="0.3">
      <c r="A25" s="1"/>
      <c r="B25" s="154" t="s">
        <v>1753</v>
      </c>
      <c r="C25" s="152">
        <v>24</v>
      </c>
      <c r="D25" s="152">
        <v>31.76</v>
      </c>
      <c r="E25" s="152">
        <v>31.76</v>
      </c>
      <c r="F25" s="152">
        <v>22.9</v>
      </c>
      <c r="G25" s="152">
        <v>22.9</v>
      </c>
      <c r="H25" s="152">
        <v>22.9</v>
      </c>
      <c r="I25" s="152">
        <v>22.9</v>
      </c>
      <c r="J25" s="152">
        <v>22.5</v>
      </c>
      <c r="K25" s="152">
        <v>36.71</v>
      </c>
      <c r="L25" s="152">
        <v>24.4</v>
      </c>
      <c r="M25" s="152">
        <v>25</v>
      </c>
      <c r="N25" s="152">
        <v>26.31</v>
      </c>
      <c r="O25" s="152">
        <v>23.274999999999999</v>
      </c>
      <c r="P25" s="152">
        <v>22.35</v>
      </c>
      <c r="Q25" s="152">
        <v>29.11</v>
      </c>
    </row>
    <row r="26" spans="1:17" x14ac:dyDescent="0.3">
      <c r="A26" s="1"/>
      <c r="B26" s="154" t="s">
        <v>290</v>
      </c>
      <c r="C26" s="152">
        <v>24</v>
      </c>
      <c r="D26" s="152">
        <v>31.72</v>
      </c>
      <c r="E26" s="152">
        <v>31.72</v>
      </c>
      <c r="F26" s="152">
        <v>22.7</v>
      </c>
      <c r="G26" s="152">
        <v>22.7</v>
      </c>
      <c r="H26" s="152">
        <v>22.7</v>
      </c>
      <c r="I26" s="152">
        <v>22.7</v>
      </c>
      <c r="J26" s="152">
        <v>22.5</v>
      </c>
      <c r="K26" s="152">
        <v>36.270000000000003</v>
      </c>
      <c r="L26" s="152">
        <v>23.6</v>
      </c>
      <c r="M26" s="152">
        <v>23.4</v>
      </c>
      <c r="N26" s="152">
        <v>23.79</v>
      </c>
      <c r="O26" s="152">
        <v>22.9</v>
      </c>
      <c r="P26" s="152">
        <v>21.91</v>
      </c>
      <c r="Q26" s="152">
        <v>28.88</v>
      </c>
    </row>
    <row r="27" spans="1:17" x14ac:dyDescent="0.3">
      <c r="A27" s="1"/>
      <c r="B27" s="154" t="s">
        <v>1754</v>
      </c>
      <c r="C27" s="152">
        <v>22</v>
      </c>
      <c r="D27" s="152">
        <v>31.67</v>
      </c>
      <c r="E27" s="152">
        <v>31.67</v>
      </c>
      <c r="F27" s="152">
        <v>22.6</v>
      </c>
      <c r="G27" s="152">
        <v>22.6</v>
      </c>
      <c r="H27" s="152">
        <v>22.6</v>
      </c>
      <c r="I27" s="152">
        <v>22.6</v>
      </c>
      <c r="J27" s="152">
        <v>22.5</v>
      </c>
      <c r="K27" s="152">
        <v>35.630000000000003</v>
      </c>
      <c r="L27" s="152">
        <v>22.3</v>
      </c>
      <c r="M27" s="152">
        <v>22.7</v>
      </c>
      <c r="N27" s="152">
        <v>23.329899999999999</v>
      </c>
      <c r="O27" s="152">
        <v>22.7</v>
      </c>
      <c r="P27" s="152">
        <v>21.98</v>
      </c>
      <c r="Q27" s="152">
        <v>26.61</v>
      </c>
    </row>
    <row r="28" spans="1:17" x14ac:dyDescent="0.3">
      <c r="A28" s="1"/>
      <c r="B28" s="154" t="s">
        <v>1755</v>
      </c>
      <c r="C28" s="152">
        <v>23</v>
      </c>
      <c r="D28" s="152">
        <v>31.28</v>
      </c>
      <c r="E28" s="152">
        <v>31.28</v>
      </c>
      <c r="F28" s="152">
        <v>22.8</v>
      </c>
      <c r="G28" s="152">
        <v>22.8</v>
      </c>
      <c r="H28" s="152">
        <v>22.8</v>
      </c>
      <c r="I28" s="152">
        <v>22.8</v>
      </c>
      <c r="J28" s="152">
        <v>22.5</v>
      </c>
      <c r="K28" s="152">
        <v>35.270000000000003</v>
      </c>
      <c r="L28" s="152">
        <v>21.8</v>
      </c>
      <c r="M28" s="152">
        <v>22.5</v>
      </c>
      <c r="N28" s="152">
        <v>23.22</v>
      </c>
      <c r="O28" s="152">
        <v>22.3</v>
      </c>
      <c r="P28" s="152">
        <v>21.99</v>
      </c>
      <c r="Q28" s="152">
        <v>25.18</v>
      </c>
    </row>
    <row r="29" spans="1:17" x14ac:dyDescent="0.3">
      <c r="A29" s="1"/>
      <c r="B29" s="154" t="s">
        <v>1756</v>
      </c>
      <c r="C29" s="152">
        <v>21</v>
      </c>
      <c r="D29" s="152">
        <v>28.67</v>
      </c>
      <c r="E29" s="152">
        <v>28.67</v>
      </c>
      <c r="F29" s="152">
        <v>22.8</v>
      </c>
      <c r="G29" s="152">
        <v>22.8</v>
      </c>
      <c r="H29" s="152">
        <v>22.8</v>
      </c>
      <c r="I29" s="152">
        <v>22.8</v>
      </c>
      <c r="J29" s="152">
        <v>22.2</v>
      </c>
      <c r="K29" s="152">
        <v>35.1</v>
      </c>
      <c r="L29" s="152">
        <v>21.4</v>
      </c>
      <c r="M29" s="152">
        <v>22.4</v>
      </c>
      <c r="N29" s="152">
        <v>22.92</v>
      </c>
      <c r="O29" s="152">
        <v>22.2</v>
      </c>
      <c r="P29" s="152">
        <v>21.73</v>
      </c>
      <c r="Q29" s="152">
        <v>24.68</v>
      </c>
    </row>
    <row r="30" spans="1:17" x14ac:dyDescent="0.3">
      <c r="A30" s="1"/>
      <c r="B30" s="154" t="s">
        <v>238</v>
      </c>
      <c r="C30" s="152">
        <v>19</v>
      </c>
      <c r="D30" s="152">
        <v>25.04</v>
      </c>
      <c r="E30" s="152">
        <v>25.04</v>
      </c>
      <c r="F30" s="152">
        <v>22.8</v>
      </c>
      <c r="G30" s="152">
        <v>22.8</v>
      </c>
      <c r="H30" s="152">
        <v>22.8</v>
      </c>
      <c r="I30" s="152">
        <v>22.8</v>
      </c>
      <c r="J30" s="152">
        <v>22.1</v>
      </c>
      <c r="K30" s="152">
        <v>34.9</v>
      </c>
      <c r="L30" s="152">
        <v>21.5</v>
      </c>
      <c r="M30" s="152">
        <v>22.3</v>
      </c>
      <c r="N30" s="152">
        <v>22.85</v>
      </c>
      <c r="O30" s="152">
        <v>22.25</v>
      </c>
      <c r="P30" s="152">
        <v>21.7</v>
      </c>
      <c r="Q30" s="152">
        <v>24.4</v>
      </c>
    </row>
    <row r="31" spans="1:17" x14ac:dyDescent="0.3">
      <c r="A31" s="1"/>
      <c r="B31" s="154" t="s">
        <v>1757</v>
      </c>
      <c r="C31" s="152">
        <v>18</v>
      </c>
      <c r="D31" s="152">
        <v>25.03</v>
      </c>
      <c r="E31" s="152">
        <v>25.03</v>
      </c>
      <c r="F31" s="152">
        <v>23.2</v>
      </c>
      <c r="G31" s="152">
        <v>23.2</v>
      </c>
      <c r="H31" s="152">
        <v>23.2</v>
      </c>
      <c r="I31" s="152">
        <v>23.2</v>
      </c>
      <c r="J31" s="152">
        <v>21.7</v>
      </c>
      <c r="K31" s="152">
        <v>34.54</v>
      </c>
      <c r="L31" s="152">
        <v>21.3</v>
      </c>
      <c r="M31" s="152">
        <v>22.3</v>
      </c>
      <c r="N31" s="152">
        <v>22.56</v>
      </c>
      <c r="O31" s="152">
        <v>22.2</v>
      </c>
      <c r="P31" s="152">
        <v>21.25</v>
      </c>
      <c r="Q31" s="152">
        <v>24.18</v>
      </c>
    </row>
    <row r="32" spans="1:17" x14ac:dyDescent="0.3">
      <c r="A32" s="1"/>
      <c r="B32" s="154" t="s">
        <v>1758</v>
      </c>
      <c r="C32" s="152">
        <v>18</v>
      </c>
      <c r="D32" s="152">
        <v>25.02</v>
      </c>
      <c r="E32" s="152">
        <v>25.02</v>
      </c>
      <c r="F32" s="152">
        <v>23</v>
      </c>
      <c r="G32" s="152">
        <v>23</v>
      </c>
      <c r="H32" s="152">
        <v>23</v>
      </c>
      <c r="I32" s="152">
        <v>23</v>
      </c>
      <c r="J32" s="152">
        <v>21.9</v>
      </c>
      <c r="K32" s="152">
        <v>34.22</v>
      </c>
      <c r="L32" s="152">
        <v>21.4</v>
      </c>
      <c r="M32" s="152">
        <v>22.3</v>
      </c>
      <c r="N32" s="152">
        <v>23.16</v>
      </c>
      <c r="O32" s="152">
        <v>22.2</v>
      </c>
      <c r="P32" s="152">
        <v>21.24</v>
      </c>
      <c r="Q32" s="152">
        <v>23.53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1760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63</v>
      </c>
      <c r="C7" s="3" t="s">
        <v>3</v>
      </c>
      <c r="D7" s="3" t="s">
        <v>1761</v>
      </c>
      <c r="E7" s="3" t="s">
        <v>1762</v>
      </c>
      <c r="F7" s="3" t="s">
        <v>1763</v>
      </c>
      <c r="G7" s="3" t="s">
        <v>8</v>
      </c>
      <c r="H7" s="3" t="s">
        <v>1653</v>
      </c>
    </row>
    <row r="8" spans="1:8" x14ac:dyDescent="0.3">
      <c r="A8" s="1"/>
      <c r="B8" s="4" t="s">
        <v>67</v>
      </c>
      <c r="C8" s="155" t="s">
        <v>28</v>
      </c>
      <c r="D8" s="155" t="s">
        <v>1764</v>
      </c>
      <c r="E8" s="152">
        <v>130</v>
      </c>
      <c r="F8" s="4" t="s">
        <v>340</v>
      </c>
      <c r="G8" s="4" t="s">
        <v>1765</v>
      </c>
      <c r="H8" s="156"/>
    </row>
    <row r="9" spans="1:8" x14ac:dyDescent="0.3">
      <c r="A9" s="1"/>
      <c r="B9" s="4" t="s">
        <v>67</v>
      </c>
      <c r="C9" s="155" t="s">
        <v>86</v>
      </c>
      <c r="D9" s="155" t="s">
        <v>1766</v>
      </c>
      <c r="E9" s="152">
        <v>339.80200000000002</v>
      </c>
      <c r="F9" s="4" t="s">
        <v>340</v>
      </c>
      <c r="G9" s="4" t="s">
        <v>1765</v>
      </c>
      <c r="H9" s="156"/>
    </row>
    <row r="10" spans="1:8" x14ac:dyDescent="0.3">
      <c r="A10" s="1"/>
      <c r="B10" s="4" t="s">
        <v>67</v>
      </c>
      <c r="C10" s="155" t="s">
        <v>93</v>
      </c>
      <c r="D10" s="155" t="s">
        <v>1767</v>
      </c>
      <c r="E10" s="152">
        <v>3942.3150000000001</v>
      </c>
      <c r="F10" s="4" t="s">
        <v>340</v>
      </c>
      <c r="G10" s="4" t="s">
        <v>1765</v>
      </c>
      <c r="H10" s="156"/>
    </row>
    <row r="11" spans="1:8" x14ac:dyDescent="0.3">
      <c r="A11" s="1"/>
      <c r="B11" s="4" t="s">
        <v>67</v>
      </c>
      <c r="C11" s="155" t="s">
        <v>103</v>
      </c>
      <c r="D11" s="155" t="s">
        <v>1768</v>
      </c>
      <c r="E11" s="152">
        <v>2380</v>
      </c>
      <c r="F11" s="4" t="s">
        <v>340</v>
      </c>
      <c r="G11" s="4" t="s">
        <v>1765</v>
      </c>
      <c r="H11" s="156"/>
    </row>
    <row r="12" spans="1:8" x14ac:dyDescent="0.3">
      <c r="A12" s="1"/>
      <c r="B12" s="4" t="s">
        <v>67</v>
      </c>
      <c r="C12" s="155" t="s">
        <v>106</v>
      </c>
      <c r="D12" s="155" t="s">
        <v>1769</v>
      </c>
      <c r="E12" s="152">
        <v>3737</v>
      </c>
      <c r="F12" s="4" t="s">
        <v>340</v>
      </c>
      <c r="G12" s="4" t="s">
        <v>1765</v>
      </c>
      <c r="H12" s="156"/>
    </row>
    <row r="13" spans="1:8" x14ac:dyDescent="0.3">
      <c r="A13" s="1"/>
      <c r="B13" s="4" t="s">
        <v>67</v>
      </c>
      <c r="C13" s="155" t="s">
        <v>106</v>
      </c>
      <c r="D13" s="155" t="s">
        <v>1770</v>
      </c>
      <c r="E13" s="152">
        <v>1337</v>
      </c>
      <c r="F13" s="4" t="s">
        <v>340</v>
      </c>
      <c r="G13" s="4" t="s">
        <v>1765</v>
      </c>
      <c r="H13" s="156"/>
    </row>
    <row r="14" spans="1:8" x14ac:dyDescent="0.3">
      <c r="A14" s="1"/>
      <c r="B14" s="4" t="s">
        <v>67</v>
      </c>
      <c r="C14" s="155" t="s">
        <v>130</v>
      </c>
      <c r="D14" s="155" t="s">
        <v>1771</v>
      </c>
      <c r="E14" s="152">
        <v>2080</v>
      </c>
      <c r="F14" s="4" t="s">
        <v>340</v>
      </c>
      <c r="G14" s="4" t="s">
        <v>1765</v>
      </c>
      <c r="H14" s="156"/>
    </row>
    <row r="15" spans="1:8" x14ac:dyDescent="0.3">
      <c r="A15" s="1"/>
      <c r="B15" s="4" t="s">
        <v>67</v>
      </c>
      <c r="C15" s="155" t="s">
        <v>159</v>
      </c>
      <c r="D15" s="155" t="s">
        <v>1772</v>
      </c>
      <c r="E15" s="152">
        <v>1462</v>
      </c>
      <c r="F15" s="4" t="s">
        <v>340</v>
      </c>
      <c r="G15" s="4" t="s">
        <v>1765</v>
      </c>
      <c r="H15" s="156"/>
    </row>
    <row r="16" spans="1:8" x14ac:dyDescent="0.3">
      <c r="A16" s="1"/>
      <c r="B16" s="4" t="s">
        <v>67</v>
      </c>
      <c r="C16" s="155" t="s">
        <v>164</v>
      </c>
      <c r="D16" s="155" t="s">
        <v>1773</v>
      </c>
      <c r="E16" s="152">
        <v>382.28</v>
      </c>
      <c r="F16" s="4" t="s">
        <v>340</v>
      </c>
      <c r="G16" s="4" t="s">
        <v>1765</v>
      </c>
      <c r="H16" s="156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8" t="s">
        <v>1774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</row>
    <row r="5" spans="1:48" ht="22.05" hidden="1" customHeight="1" x14ac:dyDescent="0.3">
      <c r="A5" s="206" t="s">
        <v>63</v>
      </c>
      <c r="B5" s="206" t="s">
        <v>590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6"/>
      <c r="B6" s="206"/>
      <c r="C6" s="234" t="s">
        <v>644</v>
      </c>
      <c r="D6" s="234" t="s">
        <v>181</v>
      </c>
      <c r="E6" s="234" t="s">
        <v>192</v>
      </c>
      <c r="F6" s="234" t="s">
        <v>645</v>
      </c>
      <c r="G6" s="234" t="s">
        <v>642</v>
      </c>
      <c r="H6" s="234" t="s">
        <v>233</v>
      </c>
      <c r="I6" s="234" t="s">
        <v>633</v>
      </c>
      <c r="J6" s="234" t="s">
        <v>614</v>
      </c>
      <c r="K6" s="234" t="s">
        <v>635</v>
      </c>
      <c r="L6" s="234"/>
      <c r="M6" s="234" t="s">
        <v>615</v>
      </c>
      <c r="N6" s="234" t="s">
        <v>93</v>
      </c>
      <c r="O6" s="234"/>
      <c r="P6" s="234"/>
      <c r="Q6" s="234"/>
      <c r="R6" s="234"/>
      <c r="S6" s="234"/>
      <c r="T6" s="234" t="s">
        <v>616</v>
      </c>
      <c r="U6" s="234" t="s">
        <v>327</v>
      </c>
      <c r="V6" s="234" t="s">
        <v>331</v>
      </c>
      <c r="W6" s="234" t="s">
        <v>638</v>
      </c>
      <c r="X6" s="234" t="s">
        <v>106</v>
      </c>
      <c r="Y6" s="234"/>
      <c r="Z6" s="234"/>
      <c r="AA6" s="234"/>
      <c r="AB6" s="234" t="s">
        <v>617</v>
      </c>
      <c r="AC6" s="234" t="s">
        <v>639</v>
      </c>
      <c r="AD6" s="234" t="s">
        <v>624</v>
      </c>
      <c r="AE6" s="234" t="s">
        <v>130</v>
      </c>
      <c r="AF6" s="234"/>
      <c r="AG6" s="234"/>
      <c r="AH6" s="234"/>
      <c r="AI6" s="234" t="s">
        <v>625</v>
      </c>
      <c r="AJ6" s="234" t="s">
        <v>626</v>
      </c>
      <c r="AK6" s="234" t="s">
        <v>627</v>
      </c>
      <c r="AL6" s="234" t="s">
        <v>402</v>
      </c>
      <c r="AM6" s="234"/>
      <c r="AN6" s="234"/>
      <c r="AO6" s="234"/>
      <c r="AP6" s="234"/>
      <c r="AQ6" s="234"/>
      <c r="AR6" s="234"/>
      <c r="AS6" s="234"/>
      <c r="AT6" s="234"/>
      <c r="AU6" s="234" t="s">
        <v>640</v>
      </c>
      <c r="AV6" s="234" t="s">
        <v>628</v>
      </c>
    </row>
    <row r="7" spans="1:48" ht="57" customHeight="1" x14ac:dyDescent="0.3">
      <c r="A7" s="206"/>
      <c r="B7" s="206"/>
      <c r="C7" s="9" t="s">
        <v>1775</v>
      </c>
      <c r="D7" s="9" t="s">
        <v>1776</v>
      </c>
      <c r="E7" s="9" t="s">
        <v>1777</v>
      </c>
      <c r="F7" s="9" t="s">
        <v>1778</v>
      </c>
      <c r="G7" s="9" t="s">
        <v>1779</v>
      </c>
      <c r="H7" s="9" t="s">
        <v>1778</v>
      </c>
      <c r="I7" s="9" t="s">
        <v>1780</v>
      </c>
      <c r="J7" s="9" t="s">
        <v>1781</v>
      </c>
      <c r="K7" s="9" t="s">
        <v>1782</v>
      </c>
      <c r="L7" s="9" t="s">
        <v>1783</v>
      </c>
      <c r="M7" s="9" t="s">
        <v>1784</v>
      </c>
      <c r="N7" s="9" t="s">
        <v>1785</v>
      </c>
      <c r="O7" s="9" t="s">
        <v>1786</v>
      </c>
      <c r="P7" s="9" t="s">
        <v>1787</v>
      </c>
      <c r="Q7" s="9" t="s">
        <v>1788</v>
      </c>
      <c r="R7" s="9" t="s">
        <v>1789</v>
      </c>
      <c r="S7" s="9" t="s">
        <v>1790</v>
      </c>
      <c r="T7" s="9" t="s">
        <v>1791</v>
      </c>
      <c r="U7" s="9" t="s">
        <v>1792</v>
      </c>
      <c r="V7" s="9" t="s">
        <v>1793</v>
      </c>
      <c r="W7" s="9" t="s">
        <v>1794</v>
      </c>
      <c r="X7" s="9" t="s">
        <v>1795</v>
      </c>
      <c r="Y7" s="9" t="s">
        <v>1796</v>
      </c>
      <c r="Z7" s="9" t="s">
        <v>1797</v>
      </c>
      <c r="AA7" s="9" t="s">
        <v>1798</v>
      </c>
      <c r="AB7" s="9" t="s">
        <v>1799</v>
      </c>
      <c r="AC7" s="9" t="s">
        <v>1800</v>
      </c>
      <c r="AD7" s="9" t="s">
        <v>1801</v>
      </c>
      <c r="AE7" s="9" t="s">
        <v>1802</v>
      </c>
      <c r="AF7" s="9" t="s">
        <v>1803</v>
      </c>
      <c r="AG7" s="9" t="s">
        <v>1804</v>
      </c>
      <c r="AH7" s="9" t="s">
        <v>1805</v>
      </c>
      <c r="AI7" s="9" t="s">
        <v>1806</v>
      </c>
      <c r="AJ7" s="9" t="s">
        <v>1807</v>
      </c>
      <c r="AK7" s="9" t="s">
        <v>1808</v>
      </c>
      <c r="AL7" s="9" t="s">
        <v>1809</v>
      </c>
      <c r="AM7" s="9" t="s">
        <v>1810</v>
      </c>
      <c r="AN7" s="9" t="s">
        <v>1811</v>
      </c>
      <c r="AO7" s="9" t="s">
        <v>1812</v>
      </c>
      <c r="AP7" s="9" t="s">
        <v>1813</v>
      </c>
      <c r="AQ7" s="9" t="s">
        <v>1814</v>
      </c>
      <c r="AR7" s="9" t="s">
        <v>1815</v>
      </c>
      <c r="AS7" s="9" t="s">
        <v>1816</v>
      </c>
      <c r="AT7" s="9" t="s">
        <v>1817</v>
      </c>
      <c r="AU7" s="9" t="s">
        <v>1818</v>
      </c>
      <c r="AV7" s="9" t="s">
        <v>1819</v>
      </c>
    </row>
    <row r="8" spans="1:48" ht="24" customHeight="1" x14ac:dyDescent="0.3">
      <c r="A8" s="13" t="s">
        <v>67</v>
      </c>
      <c r="B8" s="13" t="s">
        <v>808</v>
      </c>
      <c r="C8" s="72">
        <v>23</v>
      </c>
      <c r="D8" s="72">
        <v>0</v>
      </c>
      <c r="E8" s="72">
        <v>0</v>
      </c>
      <c r="F8" s="72">
        <v>25.91</v>
      </c>
      <c r="G8" s="72">
        <v>20.221920000000001</v>
      </c>
      <c r="H8" s="72">
        <v>0</v>
      </c>
      <c r="I8" s="72"/>
      <c r="J8" s="72"/>
      <c r="K8" s="72">
        <v>6.15</v>
      </c>
      <c r="L8" s="72">
        <v>7.99</v>
      </c>
      <c r="M8" s="72">
        <v>4.28186</v>
      </c>
      <c r="N8" s="72">
        <v>2.86</v>
      </c>
      <c r="O8" s="72">
        <v>2.86</v>
      </c>
      <c r="P8" s="72">
        <v>2.86</v>
      </c>
      <c r="Q8" s="72">
        <v>2.86</v>
      </c>
      <c r="R8" s="72"/>
      <c r="S8" s="72"/>
      <c r="T8" s="72"/>
      <c r="U8" s="72">
        <v>9</v>
      </c>
      <c r="V8" s="72">
        <v>10</v>
      </c>
      <c r="W8" s="72"/>
      <c r="X8" s="72"/>
      <c r="Y8" s="72"/>
      <c r="Z8" s="72"/>
      <c r="AA8" s="72"/>
      <c r="AB8" s="72"/>
      <c r="AC8" s="72"/>
      <c r="AD8" s="72"/>
      <c r="AE8" s="72">
        <v>0.71465999999999996</v>
      </c>
      <c r="AF8" s="72">
        <v>2.3553999999999999</v>
      </c>
      <c r="AG8" s="72"/>
      <c r="AH8" s="72"/>
      <c r="AI8" s="72"/>
      <c r="AJ8" s="72">
        <v>2.7974700000000001</v>
      </c>
      <c r="AK8" s="72">
        <v>3.6061100000000001</v>
      </c>
      <c r="AL8" s="72">
        <v>0</v>
      </c>
      <c r="AM8" s="72">
        <v>0</v>
      </c>
      <c r="AN8" s="72">
        <v>0</v>
      </c>
      <c r="AO8" s="72">
        <v>0</v>
      </c>
      <c r="AP8" s="72">
        <v>0</v>
      </c>
      <c r="AQ8" s="72">
        <v>196.20042000000001</v>
      </c>
      <c r="AR8" s="72">
        <v>286.94312000000002</v>
      </c>
      <c r="AS8" s="72">
        <v>0</v>
      </c>
      <c r="AT8" s="72">
        <v>0</v>
      </c>
      <c r="AU8" s="72"/>
      <c r="AV8" s="72"/>
    </row>
    <row r="9" spans="1:48" ht="24" customHeight="1" x14ac:dyDescent="0.3">
      <c r="A9" s="16" t="s">
        <v>67</v>
      </c>
      <c r="B9" s="16" t="s">
        <v>809</v>
      </c>
      <c r="C9" s="73">
        <v>23</v>
      </c>
      <c r="D9" s="73">
        <v>0</v>
      </c>
      <c r="E9" s="73">
        <v>0</v>
      </c>
      <c r="F9" s="73">
        <v>25.89</v>
      </c>
      <c r="G9" s="73">
        <v>20.221920000000001</v>
      </c>
      <c r="H9" s="73">
        <v>0</v>
      </c>
      <c r="I9" s="73"/>
      <c r="J9" s="73"/>
      <c r="K9" s="73">
        <v>6.23</v>
      </c>
      <c r="L9" s="73">
        <v>7.74</v>
      </c>
      <c r="M9" s="73">
        <v>3.8545400000000001</v>
      </c>
      <c r="N9" s="73">
        <v>3.01</v>
      </c>
      <c r="O9" s="73">
        <v>3.01</v>
      </c>
      <c r="P9" s="73">
        <v>3.01</v>
      </c>
      <c r="Q9" s="73">
        <v>3.01</v>
      </c>
      <c r="R9" s="73"/>
      <c r="S9" s="73"/>
      <c r="T9" s="73"/>
      <c r="U9" s="73">
        <v>10</v>
      </c>
      <c r="V9" s="73">
        <v>10</v>
      </c>
      <c r="W9" s="73"/>
      <c r="X9" s="73"/>
      <c r="Y9" s="73"/>
      <c r="Z9" s="73"/>
      <c r="AA9" s="73"/>
      <c r="AB9" s="73"/>
      <c r="AC9" s="73"/>
      <c r="AD9" s="73"/>
      <c r="AE9" s="73">
        <v>0.55593999999999999</v>
      </c>
      <c r="AF9" s="73">
        <v>2.0027599999999999</v>
      </c>
      <c r="AG9" s="73"/>
      <c r="AH9" s="73"/>
      <c r="AI9" s="73"/>
      <c r="AJ9" s="73">
        <v>2.9066999999999998</v>
      </c>
      <c r="AK9" s="73">
        <v>3.7393700000000001</v>
      </c>
      <c r="AL9" s="73">
        <v>0</v>
      </c>
      <c r="AM9" s="73">
        <v>0</v>
      </c>
      <c r="AN9" s="73">
        <v>0</v>
      </c>
      <c r="AO9" s="73">
        <v>0</v>
      </c>
      <c r="AP9" s="73">
        <v>0</v>
      </c>
      <c r="AQ9" s="73">
        <v>196.20042000000001</v>
      </c>
      <c r="AR9" s="73">
        <v>294.30063999999999</v>
      </c>
      <c r="AS9" s="73">
        <v>0</v>
      </c>
      <c r="AT9" s="73">
        <v>0</v>
      </c>
      <c r="AU9" s="73"/>
      <c r="AV9" s="73"/>
    </row>
    <row r="10" spans="1:48" ht="24" customHeight="1" x14ac:dyDescent="0.3">
      <c r="A10" s="16" t="s">
        <v>67</v>
      </c>
      <c r="B10" s="16" t="s">
        <v>810</v>
      </c>
      <c r="C10" s="73">
        <v>23</v>
      </c>
      <c r="D10" s="73">
        <v>0</v>
      </c>
      <c r="E10" s="73">
        <v>0</v>
      </c>
      <c r="F10" s="73">
        <v>25.3</v>
      </c>
      <c r="G10" s="73">
        <v>20.221920000000001</v>
      </c>
      <c r="H10" s="73">
        <v>0</v>
      </c>
      <c r="I10" s="73"/>
      <c r="J10" s="73"/>
      <c r="K10" s="73">
        <v>5.96</v>
      </c>
      <c r="L10" s="73">
        <v>8.36</v>
      </c>
      <c r="M10" s="73">
        <v>2.9379400000000002</v>
      </c>
      <c r="N10" s="73">
        <v>2.77</v>
      </c>
      <c r="O10" s="73">
        <v>2.77</v>
      </c>
      <c r="P10" s="73">
        <v>2.77</v>
      </c>
      <c r="Q10" s="73">
        <v>2.77</v>
      </c>
      <c r="R10" s="73"/>
      <c r="S10" s="73"/>
      <c r="T10" s="73"/>
      <c r="U10" s="73">
        <v>9</v>
      </c>
      <c r="V10" s="73">
        <v>10</v>
      </c>
      <c r="W10" s="73"/>
      <c r="X10" s="73"/>
      <c r="Y10" s="73"/>
      <c r="Z10" s="73"/>
      <c r="AA10" s="73"/>
      <c r="AB10" s="73"/>
      <c r="AC10" s="73"/>
      <c r="AD10" s="73"/>
      <c r="AE10" s="73">
        <v>0.21626000000000001</v>
      </c>
      <c r="AF10" s="73">
        <v>1.3561399999999999</v>
      </c>
      <c r="AG10" s="73"/>
      <c r="AH10" s="73"/>
      <c r="AI10" s="73"/>
      <c r="AJ10" s="73">
        <v>3.0426899999999999</v>
      </c>
      <c r="AK10" s="73">
        <v>4.3895200000000001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196.20042000000001</v>
      </c>
      <c r="AR10" s="73">
        <v>294.30063999999999</v>
      </c>
      <c r="AS10" s="73">
        <v>0</v>
      </c>
      <c r="AT10" s="73">
        <v>0</v>
      </c>
      <c r="AU10" s="73"/>
      <c r="AV10" s="73"/>
    </row>
    <row r="11" spans="1:48" ht="24" customHeight="1" x14ac:dyDescent="0.3">
      <c r="A11" s="16" t="s">
        <v>67</v>
      </c>
      <c r="B11" s="16" t="s">
        <v>811</v>
      </c>
      <c r="C11" s="73">
        <v>23</v>
      </c>
      <c r="D11" s="73">
        <v>0</v>
      </c>
      <c r="E11" s="73">
        <v>0</v>
      </c>
      <c r="F11" s="73">
        <v>25.3</v>
      </c>
      <c r="G11" s="73">
        <v>20.221920000000001</v>
      </c>
      <c r="H11" s="73">
        <v>0</v>
      </c>
      <c r="I11" s="73"/>
      <c r="J11" s="73"/>
      <c r="K11" s="73">
        <v>5.8</v>
      </c>
      <c r="L11" s="73">
        <v>9.64</v>
      </c>
      <c r="M11" s="73">
        <v>3.1426599999999998</v>
      </c>
      <c r="N11" s="73">
        <v>2.93</v>
      </c>
      <c r="O11" s="73">
        <v>2.93</v>
      </c>
      <c r="P11" s="73">
        <v>2.93</v>
      </c>
      <c r="Q11" s="73">
        <v>2.93</v>
      </c>
      <c r="R11" s="73"/>
      <c r="S11" s="73"/>
      <c r="T11" s="73"/>
      <c r="U11" s="73">
        <v>9</v>
      </c>
      <c r="V11" s="73">
        <v>10</v>
      </c>
      <c r="W11" s="73"/>
      <c r="X11" s="73"/>
      <c r="Y11" s="73"/>
      <c r="Z11" s="73"/>
      <c r="AA11" s="73"/>
      <c r="AB11" s="73"/>
      <c r="AC11" s="73"/>
      <c r="AD11" s="73"/>
      <c r="AE11" s="73">
        <v>1.0971900000000001</v>
      </c>
      <c r="AF11" s="73">
        <v>1.96146</v>
      </c>
      <c r="AG11" s="73"/>
      <c r="AH11" s="73"/>
      <c r="AI11" s="73"/>
      <c r="AJ11" s="73">
        <v>2.5496799999999999</v>
      </c>
      <c r="AK11" s="73">
        <v>3.7089799999999999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196.20042000000001</v>
      </c>
      <c r="AR11" s="73">
        <v>294.30063999999999</v>
      </c>
      <c r="AS11" s="73">
        <v>0</v>
      </c>
      <c r="AT11" s="73">
        <v>0</v>
      </c>
      <c r="AU11" s="73"/>
      <c r="AV11" s="73"/>
    </row>
    <row r="12" spans="1:48" ht="24" customHeight="1" x14ac:dyDescent="0.3">
      <c r="A12" s="16" t="s">
        <v>67</v>
      </c>
      <c r="B12" s="16" t="s">
        <v>812</v>
      </c>
      <c r="C12" s="73">
        <v>23</v>
      </c>
      <c r="D12" s="73">
        <v>0</v>
      </c>
      <c r="E12" s="73">
        <v>0</v>
      </c>
      <c r="F12" s="73">
        <v>26.33</v>
      </c>
      <c r="G12" s="73">
        <v>20.221920000000001</v>
      </c>
      <c r="H12" s="73">
        <v>0</v>
      </c>
      <c r="I12" s="73"/>
      <c r="J12" s="73"/>
      <c r="K12" s="73">
        <v>5.81</v>
      </c>
      <c r="L12" s="73">
        <v>9.86</v>
      </c>
      <c r="M12" s="73">
        <v>3.56976</v>
      </c>
      <c r="N12" s="73">
        <v>1.97</v>
      </c>
      <c r="O12" s="73">
        <v>1.97</v>
      </c>
      <c r="P12" s="73">
        <v>1.97</v>
      </c>
      <c r="Q12" s="73">
        <v>1.97</v>
      </c>
      <c r="R12" s="73"/>
      <c r="S12" s="73"/>
      <c r="T12" s="73"/>
      <c r="U12" s="73">
        <v>8</v>
      </c>
      <c r="V12" s="73">
        <v>9</v>
      </c>
      <c r="W12" s="73"/>
      <c r="X12" s="73"/>
      <c r="Y12" s="73"/>
      <c r="Z12" s="73"/>
      <c r="AA12" s="73"/>
      <c r="AB12" s="73"/>
      <c r="AC12" s="73"/>
      <c r="AD12" s="73"/>
      <c r="AE12" s="73">
        <v>0.91047</v>
      </c>
      <c r="AF12" s="73">
        <v>1.7635400000000001</v>
      </c>
      <c r="AG12" s="73"/>
      <c r="AH12" s="73"/>
      <c r="AI12" s="73"/>
      <c r="AJ12" s="73">
        <v>1.75786</v>
      </c>
      <c r="AK12" s="73">
        <v>1.9176599999999999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196.20042000000001</v>
      </c>
      <c r="AR12" s="73">
        <v>294.30063999999999</v>
      </c>
      <c r="AS12" s="73">
        <v>0</v>
      </c>
      <c r="AT12" s="73">
        <v>0</v>
      </c>
      <c r="AU12" s="73"/>
      <c r="AV12" s="73"/>
    </row>
    <row r="13" spans="1:48" ht="24" customHeight="1" x14ac:dyDescent="0.3">
      <c r="A13" s="16" t="s">
        <v>67</v>
      </c>
      <c r="B13" s="16" t="s">
        <v>813</v>
      </c>
      <c r="C13" s="73">
        <v>23</v>
      </c>
      <c r="D13" s="73">
        <v>0</v>
      </c>
      <c r="E13" s="73">
        <v>0</v>
      </c>
      <c r="F13" s="73">
        <v>26.33</v>
      </c>
      <c r="G13" s="73">
        <v>20.221920000000001</v>
      </c>
      <c r="H13" s="73">
        <v>0</v>
      </c>
      <c r="I13" s="73"/>
      <c r="J13" s="73"/>
      <c r="K13" s="73">
        <v>5.18</v>
      </c>
      <c r="L13" s="73">
        <v>9.49</v>
      </c>
      <c r="M13" s="73">
        <v>3.6001500000000002</v>
      </c>
      <c r="N13" s="73">
        <v>2.91</v>
      </c>
      <c r="O13" s="73">
        <v>2.91</v>
      </c>
      <c r="P13" s="73">
        <v>2.91</v>
      </c>
      <c r="Q13" s="73">
        <v>2.91</v>
      </c>
      <c r="R13" s="73"/>
      <c r="S13" s="73"/>
      <c r="T13" s="73"/>
      <c r="U13" s="73">
        <v>8</v>
      </c>
      <c r="V13" s="73">
        <v>9</v>
      </c>
      <c r="W13" s="73"/>
      <c r="X13" s="73"/>
      <c r="Y13" s="73"/>
      <c r="Z13" s="73"/>
      <c r="AA13" s="73"/>
      <c r="AB13" s="73"/>
      <c r="AC13" s="73"/>
      <c r="AD13" s="73"/>
      <c r="AE13" s="73">
        <v>2.9073500000000001</v>
      </c>
      <c r="AF13" s="73">
        <v>2.0751200000000001</v>
      </c>
      <c r="AG13" s="73"/>
      <c r="AH13" s="73"/>
      <c r="AI13" s="73"/>
      <c r="AJ13" s="73">
        <v>1.98238</v>
      </c>
      <c r="AK13" s="73">
        <v>2.0925799999999999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196.20042000000001</v>
      </c>
      <c r="AR13" s="73">
        <v>294.30063999999999</v>
      </c>
      <c r="AS13" s="73">
        <v>0</v>
      </c>
      <c r="AT13" s="73">
        <v>0</v>
      </c>
      <c r="AU13" s="73"/>
      <c r="AV13" s="73"/>
    </row>
    <row r="14" spans="1:48" ht="24" customHeight="1" x14ac:dyDescent="0.3">
      <c r="A14" s="16" t="s">
        <v>67</v>
      </c>
      <c r="B14" s="16" t="s">
        <v>814</v>
      </c>
      <c r="C14" s="73">
        <v>23</v>
      </c>
      <c r="D14" s="73">
        <v>0</v>
      </c>
      <c r="E14" s="73">
        <v>0</v>
      </c>
      <c r="F14" s="73">
        <v>25.99</v>
      </c>
      <c r="G14" s="73">
        <v>20.221920000000001</v>
      </c>
      <c r="H14" s="73">
        <v>0</v>
      </c>
      <c r="I14" s="73"/>
      <c r="J14" s="73"/>
      <c r="K14" s="73">
        <v>5.56</v>
      </c>
      <c r="L14" s="73">
        <v>8.5500000000000007</v>
      </c>
      <c r="M14" s="73">
        <v>3.5624899999999999</v>
      </c>
      <c r="N14" s="73">
        <v>4.4400000000000004</v>
      </c>
      <c r="O14" s="73">
        <v>4.4400000000000004</v>
      </c>
      <c r="P14" s="73">
        <v>4.4400000000000004</v>
      </c>
      <c r="Q14" s="73">
        <v>4.4400000000000004</v>
      </c>
      <c r="R14" s="73"/>
      <c r="S14" s="73"/>
      <c r="T14" s="73"/>
      <c r="U14" s="73">
        <v>8</v>
      </c>
      <c r="V14" s="73">
        <v>9</v>
      </c>
      <c r="W14" s="73"/>
      <c r="X14" s="73"/>
      <c r="Y14" s="73"/>
      <c r="Z14" s="73"/>
      <c r="AA14" s="73"/>
      <c r="AB14" s="73"/>
      <c r="AC14" s="73"/>
      <c r="AD14" s="73"/>
      <c r="AE14" s="73">
        <v>0.87061999999999995</v>
      </c>
      <c r="AF14" s="73">
        <v>2.5598700000000001</v>
      </c>
      <c r="AG14" s="73"/>
      <c r="AH14" s="73"/>
      <c r="AI14" s="73"/>
      <c r="AJ14" s="73">
        <v>2.2937599999999998</v>
      </c>
      <c r="AK14" s="73">
        <v>1.7427699999999999</v>
      </c>
      <c r="AL14" s="73">
        <v>0</v>
      </c>
      <c r="AM14" s="73">
        <v>0</v>
      </c>
      <c r="AN14" s="73">
        <v>0</v>
      </c>
      <c r="AO14" s="73">
        <v>0</v>
      </c>
      <c r="AP14" s="73">
        <v>0</v>
      </c>
      <c r="AQ14" s="73">
        <v>196.20042000000001</v>
      </c>
      <c r="AR14" s="73">
        <v>294.30063999999999</v>
      </c>
      <c r="AS14" s="73">
        <v>0</v>
      </c>
      <c r="AT14" s="73">
        <v>0</v>
      </c>
      <c r="AU14" s="73"/>
      <c r="AV14" s="73"/>
    </row>
    <row r="15" spans="1:48" ht="24" customHeight="1" x14ac:dyDescent="0.3">
      <c r="A15" s="18" t="s">
        <v>67</v>
      </c>
      <c r="B15" s="18" t="s">
        <v>815</v>
      </c>
      <c r="C15" s="74">
        <v>23</v>
      </c>
      <c r="D15" s="74">
        <v>0</v>
      </c>
      <c r="E15" s="74">
        <v>0</v>
      </c>
      <c r="F15" s="74">
        <v>25.17</v>
      </c>
      <c r="G15" s="74">
        <v>20.221920000000001</v>
      </c>
      <c r="H15" s="74">
        <v>0</v>
      </c>
      <c r="I15" s="74"/>
      <c r="J15" s="74"/>
      <c r="K15" s="74">
        <v>6.38</v>
      </c>
      <c r="L15" s="74">
        <v>8.2100000000000009</v>
      </c>
      <c r="M15" s="74">
        <v>3.9098799999999998</v>
      </c>
      <c r="N15" s="74">
        <v>3.05</v>
      </c>
      <c r="O15" s="74">
        <v>3.05</v>
      </c>
      <c r="P15" s="74">
        <v>3.05</v>
      </c>
      <c r="Q15" s="74">
        <v>3.05</v>
      </c>
      <c r="R15" s="74"/>
      <c r="S15" s="74"/>
      <c r="T15" s="74"/>
      <c r="U15" s="74">
        <v>8</v>
      </c>
      <c r="V15" s="74">
        <v>9</v>
      </c>
      <c r="W15" s="74"/>
      <c r="X15" s="74"/>
      <c r="Y15" s="74"/>
      <c r="Z15" s="74"/>
      <c r="AA15" s="74"/>
      <c r="AB15" s="74"/>
      <c r="AC15" s="74"/>
      <c r="AD15" s="74"/>
      <c r="AE15" s="74">
        <v>2.68988</v>
      </c>
      <c r="AF15" s="74">
        <v>2.4629699999999999</v>
      </c>
      <c r="AG15" s="74"/>
      <c r="AH15" s="74"/>
      <c r="AI15" s="74"/>
      <c r="AJ15" s="74">
        <v>2.3761000000000001</v>
      </c>
      <c r="AK15" s="74">
        <v>1.7772399999999999</v>
      </c>
      <c r="AL15" s="74">
        <v>0</v>
      </c>
      <c r="AM15" s="74">
        <v>0</v>
      </c>
      <c r="AN15" s="74">
        <v>0</v>
      </c>
      <c r="AO15" s="74">
        <v>0</v>
      </c>
      <c r="AP15" s="74">
        <v>0</v>
      </c>
      <c r="AQ15" s="74">
        <v>196.20042000000001</v>
      </c>
      <c r="AR15" s="74">
        <v>294.30063999999999</v>
      </c>
      <c r="AS15" s="74">
        <v>0</v>
      </c>
      <c r="AT15" s="74">
        <v>0</v>
      </c>
      <c r="AU15" s="74"/>
      <c r="AV15" s="74"/>
    </row>
    <row r="16" spans="1:48" ht="24" customHeight="1" x14ac:dyDescent="0.3">
      <c r="A16" s="13" t="s">
        <v>67</v>
      </c>
      <c r="B16" s="13" t="s">
        <v>816</v>
      </c>
      <c r="C16" s="72">
        <v>23</v>
      </c>
      <c r="D16" s="72">
        <v>0</v>
      </c>
      <c r="E16" s="72">
        <v>0</v>
      </c>
      <c r="F16" s="72">
        <v>25.87</v>
      </c>
      <c r="G16" s="72">
        <v>20.221920000000001</v>
      </c>
      <c r="H16" s="72">
        <v>0</v>
      </c>
      <c r="I16" s="72"/>
      <c r="J16" s="72"/>
      <c r="K16" s="72">
        <v>6.76</v>
      </c>
      <c r="L16" s="72">
        <v>7.78</v>
      </c>
      <c r="M16" s="72">
        <v>3.9714800000000001</v>
      </c>
      <c r="N16" s="72">
        <v>4.05</v>
      </c>
      <c r="O16" s="72">
        <v>4.05</v>
      </c>
      <c r="P16" s="72">
        <v>4.05</v>
      </c>
      <c r="Q16" s="72">
        <v>4.05</v>
      </c>
      <c r="R16" s="72"/>
      <c r="S16" s="72"/>
      <c r="T16" s="72"/>
      <c r="U16" s="72">
        <v>8</v>
      </c>
      <c r="V16" s="72">
        <v>9</v>
      </c>
      <c r="W16" s="72"/>
      <c r="X16" s="72"/>
      <c r="Y16" s="72"/>
      <c r="Z16" s="72"/>
      <c r="AA16" s="72"/>
      <c r="AB16" s="72"/>
      <c r="AC16" s="72"/>
      <c r="AD16" s="72"/>
      <c r="AE16" s="72">
        <v>1.6190100000000001</v>
      </c>
      <c r="AF16" s="72">
        <v>1.85111</v>
      </c>
      <c r="AG16" s="72"/>
      <c r="AH16" s="72"/>
      <c r="AI16" s="72"/>
      <c r="AJ16" s="72">
        <v>2.79236</v>
      </c>
      <c r="AK16" s="72">
        <v>1.76464</v>
      </c>
      <c r="AL16" s="72">
        <v>0</v>
      </c>
      <c r="AM16" s="72">
        <v>0</v>
      </c>
      <c r="AN16" s="72">
        <v>0</v>
      </c>
      <c r="AO16" s="72">
        <v>0</v>
      </c>
      <c r="AP16" s="72">
        <v>0</v>
      </c>
      <c r="AQ16" s="72">
        <v>196.20042000000001</v>
      </c>
      <c r="AR16" s="72">
        <v>294.30063999999999</v>
      </c>
      <c r="AS16" s="72">
        <v>0</v>
      </c>
      <c r="AT16" s="72">
        <v>0</v>
      </c>
      <c r="AU16" s="72"/>
      <c r="AV16" s="72"/>
    </row>
    <row r="17" spans="1:48" ht="24" customHeight="1" x14ac:dyDescent="0.3">
      <c r="A17" s="16" t="s">
        <v>67</v>
      </c>
      <c r="B17" s="16" t="s">
        <v>817</v>
      </c>
      <c r="C17" s="73">
        <v>23</v>
      </c>
      <c r="D17" s="73">
        <v>0</v>
      </c>
      <c r="E17" s="73">
        <v>0</v>
      </c>
      <c r="F17" s="73">
        <v>25.87</v>
      </c>
      <c r="G17" s="73">
        <v>20.221920000000001</v>
      </c>
      <c r="H17" s="73">
        <v>0</v>
      </c>
      <c r="I17" s="73"/>
      <c r="J17" s="73">
        <v>0</v>
      </c>
      <c r="K17" s="73">
        <v>7.31</v>
      </c>
      <c r="L17" s="73">
        <v>8.75</v>
      </c>
      <c r="M17" s="73">
        <v>3.9375100000000001</v>
      </c>
      <c r="N17" s="73">
        <v>3.96</v>
      </c>
      <c r="O17" s="73">
        <v>3.96</v>
      </c>
      <c r="P17" s="73">
        <v>3.96</v>
      </c>
      <c r="Q17" s="73">
        <v>3.96</v>
      </c>
      <c r="R17" s="73">
        <v>0</v>
      </c>
      <c r="S17" s="73">
        <v>0</v>
      </c>
      <c r="T17" s="73">
        <v>0</v>
      </c>
      <c r="U17" s="73">
        <v>9</v>
      </c>
      <c r="V17" s="73">
        <v>10</v>
      </c>
      <c r="W17" s="73">
        <v>0.64144000000000001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1.5737699999999999</v>
      </c>
      <c r="AF17" s="73">
        <v>1.21855</v>
      </c>
      <c r="AG17" s="73">
        <v>0</v>
      </c>
      <c r="AH17" s="73">
        <v>0</v>
      </c>
      <c r="AI17" s="73">
        <v>0</v>
      </c>
      <c r="AJ17" s="73">
        <v>2.9426199999999998</v>
      </c>
      <c r="AK17" s="73">
        <v>1.92344</v>
      </c>
      <c r="AL17" s="73">
        <v>0</v>
      </c>
      <c r="AM17" s="73">
        <v>0</v>
      </c>
      <c r="AN17" s="73">
        <v>0</v>
      </c>
      <c r="AO17" s="73">
        <v>0</v>
      </c>
      <c r="AP17" s="73">
        <v>0</v>
      </c>
      <c r="AQ17" s="73">
        <v>196.20042000000001</v>
      </c>
      <c r="AR17" s="73">
        <v>294.30063999999999</v>
      </c>
      <c r="AS17" s="73">
        <v>0</v>
      </c>
      <c r="AT17" s="73">
        <v>0</v>
      </c>
      <c r="AU17" s="73">
        <v>0</v>
      </c>
      <c r="AV17" s="73">
        <v>1.2E-2</v>
      </c>
    </row>
    <row r="18" spans="1:48" ht="24" customHeight="1" x14ac:dyDescent="0.3">
      <c r="A18" s="16" t="s">
        <v>67</v>
      </c>
      <c r="B18" s="16" t="s">
        <v>818</v>
      </c>
      <c r="C18" s="73">
        <v>23</v>
      </c>
      <c r="D18" s="73">
        <v>0</v>
      </c>
      <c r="E18" s="73">
        <v>0</v>
      </c>
      <c r="F18" s="73">
        <v>26.13</v>
      </c>
      <c r="G18" s="73">
        <v>20.221920000000001</v>
      </c>
      <c r="H18" s="73">
        <v>0</v>
      </c>
      <c r="I18" s="73"/>
      <c r="J18" s="73">
        <v>0</v>
      </c>
      <c r="K18" s="73">
        <v>7.5</v>
      </c>
      <c r="L18" s="73">
        <v>8.7200000000000006</v>
      </c>
      <c r="M18" s="73">
        <v>4.9496599999999997</v>
      </c>
      <c r="N18" s="73">
        <v>4.13</v>
      </c>
      <c r="O18" s="73">
        <v>4.13</v>
      </c>
      <c r="P18" s="73">
        <v>4.13</v>
      </c>
      <c r="Q18" s="73">
        <v>4.13</v>
      </c>
      <c r="R18" s="73">
        <v>0</v>
      </c>
      <c r="S18" s="73">
        <v>0</v>
      </c>
      <c r="T18" s="73">
        <v>0</v>
      </c>
      <c r="U18" s="73">
        <v>9</v>
      </c>
      <c r="V18" s="73">
        <v>9</v>
      </c>
      <c r="W18" s="73">
        <v>1.2538499999999999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7.0000000000000007E-2</v>
      </c>
      <c r="AE18" s="73">
        <v>1.8294999999999999</v>
      </c>
      <c r="AF18" s="73">
        <v>1.3260700000000001</v>
      </c>
      <c r="AG18" s="73">
        <v>0</v>
      </c>
      <c r="AH18" s="73">
        <v>0</v>
      </c>
      <c r="AI18" s="73">
        <v>0</v>
      </c>
      <c r="AJ18" s="73">
        <v>3.61469</v>
      </c>
      <c r="AK18" s="73">
        <v>2.7879299999999998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196.20042000000001</v>
      </c>
      <c r="AR18" s="73">
        <v>294.30063999999999</v>
      </c>
      <c r="AS18" s="73">
        <v>0</v>
      </c>
      <c r="AT18" s="73">
        <v>0</v>
      </c>
      <c r="AU18" s="73">
        <v>0</v>
      </c>
      <c r="AV18" s="73">
        <v>0.16350000000000001</v>
      </c>
    </row>
    <row r="19" spans="1:48" ht="24" customHeight="1" x14ac:dyDescent="0.3">
      <c r="A19" s="16" t="s">
        <v>67</v>
      </c>
      <c r="B19" s="16" t="s">
        <v>819</v>
      </c>
      <c r="C19" s="73">
        <v>23</v>
      </c>
      <c r="D19" s="73">
        <v>0</v>
      </c>
      <c r="E19" s="73">
        <v>0</v>
      </c>
      <c r="F19" s="73">
        <v>26.15</v>
      </c>
      <c r="G19" s="73">
        <v>20.221920000000001</v>
      </c>
      <c r="H19" s="73">
        <v>0</v>
      </c>
      <c r="I19" s="73"/>
      <c r="J19" s="73">
        <v>0.12</v>
      </c>
      <c r="K19" s="73">
        <v>7.64</v>
      </c>
      <c r="L19" s="73">
        <v>8.75</v>
      </c>
      <c r="M19" s="73">
        <v>4.8698399999999999</v>
      </c>
      <c r="N19" s="73">
        <v>2.72</v>
      </c>
      <c r="O19" s="73">
        <v>2.72</v>
      </c>
      <c r="P19" s="73">
        <v>2.72</v>
      </c>
      <c r="Q19" s="73">
        <v>2.72</v>
      </c>
      <c r="R19" s="73">
        <v>0</v>
      </c>
      <c r="S19" s="73">
        <v>0</v>
      </c>
      <c r="T19" s="73">
        <v>0</v>
      </c>
      <c r="U19" s="73">
        <v>10</v>
      </c>
      <c r="V19" s="73">
        <v>9</v>
      </c>
      <c r="W19" s="73">
        <v>10.896330000000001</v>
      </c>
      <c r="X19" s="73">
        <v>15.03</v>
      </c>
      <c r="Y19" s="73">
        <v>15.03</v>
      </c>
      <c r="Z19" s="73">
        <v>15.03</v>
      </c>
      <c r="AA19" s="73">
        <v>15.03</v>
      </c>
      <c r="AB19" s="73">
        <v>0</v>
      </c>
      <c r="AC19" s="73">
        <v>0</v>
      </c>
      <c r="AD19" s="73">
        <v>0.14000000000000001</v>
      </c>
      <c r="AE19" s="73">
        <v>1.9073599999999999</v>
      </c>
      <c r="AF19" s="73">
        <v>2.1771699999999998</v>
      </c>
      <c r="AG19" s="73">
        <v>0</v>
      </c>
      <c r="AH19" s="73">
        <v>0</v>
      </c>
      <c r="AI19" s="73">
        <v>2.0614400000000002</v>
      </c>
      <c r="AJ19" s="73">
        <v>3.6507700000000001</v>
      </c>
      <c r="AK19" s="73">
        <v>2.7443399999999998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196.20042000000001</v>
      </c>
      <c r="AR19" s="73">
        <v>294.30063999999999</v>
      </c>
      <c r="AS19" s="73">
        <v>0</v>
      </c>
      <c r="AT19" s="73">
        <v>0</v>
      </c>
      <c r="AU19" s="73">
        <v>0.35399999999999998</v>
      </c>
      <c r="AV19" s="73">
        <v>3.0859999999999999</v>
      </c>
    </row>
    <row r="20" spans="1:48" ht="24" customHeight="1" x14ac:dyDescent="0.3">
      <c r="A20" s="16" t="s">
        <v>67</v>
      </c>
      <c r="B20" s="16" t="s">
        <v>820</v>
      </c>
      <c r="C20" s="73">
        <v>22</v>
      </c>
      <c r="D20" s="73">
        <v>0</v>
      </c>
      <c r="E20" s="73">
        <v>0</v>
      </c>
      <c r="F20" s="73">
        <v>26.13</v>
      </c>
      <c r="G20" s="73">
        <v>20.221920000000001</v>
      </c>
      <c r="H20" s="73">
        <v>0</v>
      </c>
      <c r="I20" s="73">
        <v>4.18</v>
      </c>
      <c r="J20" s="73">
        <v>6.86</v>
      </c>
      <c r="K20" s="73">
        <v>7.58</v>
      </c>
      <c r="L20" s="73">
        <v>9.66</v>
      </c>
      <c r="M20" s="73">
        <v>5.58141</v>
      </c>
      <c r="N20" s="73">
        <v>2.63</v>
      </c>
      <c r="O20" s="73">
        <v>2.63</v>
      </c>
      <c r="P20" s="73">
        <v>2.63</v>
      </c>
      <c r="Q20" s="73">
        <v>2.63</v>
      </c>
      <c r="R20" s="73">
        <v>0</v>
      </c>
      <c r="S20" s="73">
        <v>0</v>
      </c>
      <c r="T20" s="73">
        <v>44.8</v>
      </c>
      <c r="U20" s="73">
        <v>10</v>
      </c>
      <c r="V20" s="73">
        <v>9</v>
      </c>
      <c r="W20" s="73">
        <v>128.53173000000001</v>
      </c>
      <c r="X20" s="73">
        <v>213.874</v>
      </c>
      <c r="Y20" s="73">
        <v>213.874</v>
      </c>
      <c r="Z20" s="73">
        <v>213.874</v>
      </c>
      <c r="AA20" s="73">
        <v>213.874</v>
      </c>
      <c r="AB20" s="73">
        <v>2.8546</v>
      </c>
      <c r="AC20" s="73">
        <v>66.739999999999995</v>
      </c>
      <c r="AD20" s="73">
        <v>5.34</v>
      </c>
      <c r="AE20" s="73">
        <v>2.48752</v>
      </c>
      <c r="AF20" s="73">
        <v>2.0959500000000002</v>
      </c>
      <c r="AG20" s="73">
        <v>37.07846</v>
      </c>
      <c r="AH20" s="73">
        <v>15.14066</v>
      </c>
      <c r="AI20" s="73">
        <v>26.78941</v>
      </c>
      <c r="AJ20" s="73">
        <v>4.2623600000000001</v>
      </c>
      <c r="AK20" s="73">
        <v>3.4832700000000001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196.20042000000001</v>
      </c>
      <c r="AR20" s="73">
        <v>294.30063999999999</v>
      </c>
      <c r="AS20" s="73">
        <v>0</v>
      </c>
      <c r="AT20" s="73">
        <v>0</v>
      </c>
      <c r="AU20" s="73">
        <v>93.744</v>
      </c>
      <c r="AV20" s="73">
        <v>16.802</v>
      </c>
    </row>
    <row r="21" spans="1:48" ht="24" customHeight="1" x14ac:dyDescent="0.3">
      <c r="A21" s="16" t="s">
        <v>67</v>
      </c>
      <c r="B21" s="16" t="s">
        <v>821</v>
      </c>
      <c r="C21" s="73">
        <v>22</v>
      </c>
      <c r="D21" s="73">
        <v>0</v>
      </c>
      <c r="E21" s="73">
        <v>0</v>
      </c>
      <c r="F21" s="73">
        <v>25.44</v>
      </c>
      <c r="G21" s="73">
        <v>20.221920000000001</v>
      </c>
      <c r="H21" s="73">
        <v>0</v>
      </c>
      <c r="I21" s="73">
        <v>32.950000000000003</v>
      </c>
      <c r="J21" s="73">
        <v>18.45</v>
      </c>
      <c r="K21" s="73">
        <v>7.22</v>
      </c>
      <c r="L21" s="73">
        <v>8.94</v>
      </c>
      <c r="M21" s="73">
        <v>5.60731</v>
      </c>
      <c r="N21" s="73">
        <v>2.61</v>
      </c>
      <c r="O21" s="73">
        <v>2.61</v>
      </c>
      <c r="P21" s="73">
        <v>2.61</v>
      </c>
      <c r="Q21" s="73">
        <v>2.61</v>
      </c>
      <c r="R21" s="73">
        <v>16.332999999999998</v>
      </c>
      <c r="S21" s="73">
        <v>16.332999999999998</v>
      </c>
      <c r="T21" s="73">
        <v>276.5</v>
      </c>
      <c r="U21" s="73">
        <v>9</v>
      </c>
      <c r="V21" s="73">
        <v>9</v>
      </c>
      <c r="W21" s="73">
        <v>389.78408000000002</v>
      </c>
      <c r="X21" s="73">
        <v>496.49400000000003</v>
      </c>
      <c r="Y21" s="73">
        <v>496.49400000000003</v>
      </c>
      <c r="Z21" s="73">
        <v>496.49400000000003</v>
      </c>
      <c r="AA21" s="73">
        <v>496.49400000000003</v>
      </c>
      <c r="AB21" s="73">
        <v>19.037890000000001</v>
      </c>
      <c r="AC21" s="73">
        <v>191.56800000000001</v>
      </c>
      <c r="AD21" s="73">
        <v>43.89</v>
      </c>
      <c r="AE21" s="73">
        <v>3.9244599999999998</v>
      </c>
      <c r="AF21" s="73">
        <v>2.3922500000000002</v>
      </c>
      <c r="AG21" s="73">
        <v>186.96395999999999</v>
      </c>
      <c r="AH21" s="73">
        <v>151.06888000000001</v>
      </c>
      <c r="AI21" s="73">
        <v>64.649500000000003</v>
      </c>
      <c r="AJ21" s="73">
        <v>4.4232899999999997</v>
      </c>
      <c r="AK21" s="73">
        <v>3.75197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196.20042000000001</v>
      </c>
      <c r="AR21" s="73">
        <v>294.30063999999999</v>
      </c>
      <c r="AS21" s="73">
        <v>0</v>
      </c>
      <c r="AT21" s="73">
        <v>0</v>
      </c>
      <c r="AU21" s="73">
        <v>232.393</v>
      </c>
      <c r="AV21" s="73">
        <v>30.027999999999999</v>
      </c>
    </row>
    <row r="22" spans="1:48" ht="24" customHeight="1" x14ac:dyDescent="0.3">
      <c r="A22" s="16" t="s">
        <v>67</v>
      </c>
      <c r="B22" s="16" t="s">
        <v>822</v>
      </c>
      <c r="C22" s="73">
        <v>23</v>
      </c>
      <c r="D22" s="73">
        <v>0</v>
      </c>
      <c r="E22" s="73">
        <v>0</v>
      </c>
      <c r="F22" s="73">
        <v>26.14</v>
      </c>
      <c r="G22" s="73">
        <v>20.221920000000001</v>
      </c>
      <c r="H22" s="73">
        <v>0</v>
      </c>
      <c r="I22" s="73">
        <v>87.64</v>
      </c>
      <c r="J22" s="73">
        <v>37.29</v>
      </c>
      <c r="K22" s="73">
        <v>5.99</v>
      </c>
      <c r="L22" s="73">
        <v>9.02</v>
      </c>
      <c r="M22" s="73">
        <v>5.6066799999999999</v>
      </c>
      <c r="N22" s="73">
        <v>3.45</v>
      </c>
      <c r="O22" s="73">
        <v>3.45</v>
      </c>
      <c r="P22" s="73">
        <v>3.45</v>
      </c>
      <c r="Q22" s="73">
        <v>3.45</v>
      </c>
      <c r="R22" s="73">
        <v>251.28800000000001</v>
      </c>
      <c r="S22" s="73">
        <v>251.28800000000001</v>
      </c>
      <c r="T22" s="73">
        <v>521.85</v>
      </c>
      <c r="U22" s="73">
        <v>9</v>
      </c>
      <c r="V22" s="73">
        <v>9</v>
      </c>
      <c r="W22" s="73">
        <v>697.54647999999997</v>
      </c>
      <c r="X22" s="73">
        <v>741.89499999999998</v>
      </c>
      <c r="Y22" s="73">
        <v>741.89499999999998</v>
      </c>
      <c r="Z22" s="73">
        <v>741.89499999999998</v>
      </c>
      <c r="AA22" s="73">
        <v>741.89499999999998</v>
      </c>
      <c r="AB22" s="73">
        <v>49.74944</v>
      </c>
      <c r="AC22" s="73">
        <v>334.47699999999998</v>
      </c>
      <c r="AD22" s="73">
        <v>88.9</v>
      </c>
      <c r="AE22" s="73">
        <v>4.8041499999999999</v>
      </c>
      <c r="AF22" s="73">
        <v>3.3491499999999998</v>
      </c>
      <c r="AG22" s="73">
        <v>250.14169999999999</v>
      </c>
      <c r="AH22" s="73">
        <v>403.47474999999997</v>
      </c>
      <c r="AI22" s="73">
        <v>128.09763000000001</v>
      </c>
      <c r="AJ22" s="73">
        <v>4.9702200000000003</v>
      </c>
      <c r="AK22" s="73">
        <v>4.66791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196.20042000000001</v>
      </c>
      <c r="AR22" s="73">
        <v>294.30063999999999</v>
      </c>
      <c r="AS22" s="73">
        <v>0</v>
      </c>
      <c r="AT22" s="73">
        <v>0</v>
      </c>
      <c r="AU22" s="73">
        <v>369.17399999999998</v>
      </c>
      <c r="AV22" s="73">
        <v>48.099499999999999</v>
      </c>
    </row>
    <row r="23" spans="1:48" ht="24" customHeight="1" x14ac:dyDescent="0.3">
      <c r="A23" s="18" t="s">
        <v>67</v>
      </c>
      <c r="B23" s="18" t="s">
        <v>823</v>
      </c>
      <c r="C23" s="74">
        <v>23</v>
      </c>
      <c r="D23" s="74">
        <v>0</v>
      </c>
      <c r="E23" s="74">
        <v>0</v>
      </c>
      <c r="F23" s="74">
        <v>26.14</v>
      </c>
      <c r="G23" s="74">
        <v>20.221920000000001</v>
      </c>
      <c r="H23" s="74">
        <v>0</v>
      </c>
      <c r="I23" s="74">
        <v>145.59</v>
      </c>
      <c r="J23" s="74">
        <v>49.28</v>
      </c>
      <c r="K23" s="74">
        <v>6.08</v>
      </c>
      <c r="L23" s="74">
        <v>9.24</v>
      </c>
      <c r="M23" s="74">
        <v>5.5842999999999998</v>
      </c>
      <c r="N23" s="74">
        <v>2.2799999999999998</v>
      </c>
      <c r="O23" s="74">
        <v>2.2799999999999998</v>
      </c>
      <c r="P23" s="74">
        <v>2.2799999999999998</v>
      </c>
      <c r="Q23" s="74">
        <v>2.2799999999999998</v>
      </c>
      <c r="R23" s="74">
        <v>490.31</v>
      </c>
      <c r="S23" s="74">
        <v>490.31</v>
      </c>
      <c r="T23" s="74">
        <v>748</v>
      </c>
      <c r="U23" s="74">
        <v>10</v>
      </c>
      <c r="V23" s="74">
        <v>9</v>
      </c>
      <c r="W23" s="74">
        <v>822.29183999999998</v>
      </c>
      <c r="X23" s="74">
        <v>787.98699999999997</v>
      </c>
      <c r="Y23" s="74">
        <v>787.98699999999997</v>
      </c>
      <c r="Z23" s="74">
        <v>787.98699999999997</v>
      </c>
      <c r="AA23" s="74">
        <v>787.98699999999997</v>
      </c>
      <c r="AB23" s="74">
        <v>126.4627</v>
      </c>
      <c r="AC23" s="74">
        <v>463.20699999999999</v>
      </c>
      <c r="AD23" s="74">
        <v>152.75</v>
      </c>
      <c r="AE23" s="74">
        <v>4.2938700000000001</v>
      </c>
      <c r="AF23" s="74">
        <v>4.18607</v>
      </c>
      <c r="AG23" s="74">
        <v>206.03568999999999</v>
      </c>
      <c r="AH23" s="74">
        <v>691.84982000000002</v>
      </c>
      <c r="AI23" s="74">
        <v>197.17974000000001</v>
      </c>
      <c r="AJ23" s="74">
        <v>4.6915399999999998</v>
      </c>
      <c r="AK23" s="74">
        <v>4.3159299999999998</v>
      </c>
      <c r="AL23" s="74">
        <v>0</v>
      </c>
      <c r="AM23" s="74">
        <v>0</v>
      </c>
      <c r="AN23" s="74">
        <v>0</v>
      </c>
      <c r="AO23" s="74">
        <v>0</v>
      </c>
      <c r="AP23" s="74">
        <v>0</v>
      </c>
      <c r="AQ23" s="74">
        <v>196.20042000000001</v>
      </c>
      <c r="AR23" s="74">
        <v>294.30063999999999</v>
      </c>
      <c r="AS23" s="74">
        <v>0</v>
      </c>
      <c r="AT23" s="74">
        <v>0</v>
      </c>
      <c r="AU23" s="74">
        <v>470.221</v>
      </c>
      <c r="AV23" s="74">
        <v>73.272999999999996</v>
      </c>
    </row>
    <row r="24" spans="1:48" ht="24" customHeight="1" x14ac:dyDescent="0.3">
      <c r="A24" s="13" t="s">
        <v>67</v>
      </c>
      <c r="B24" s="13" t="s">
        <v>824</v>
      </c>
      <c r="C24" s="72">
        <v>23</v>
      </c>
      <c r="D24" s="72">
        <v>0</v>
      </c>
      <c r="E24" s="72">
        <v>0</v>
      </c>
      <c r="F24" s="72">
        <v>26.07</v>
      </c>
      <c r="G24" s="72">
        <v>23.380089999999999</v>
      </c>
      <c r="H24" s="72">
        <v>0</v>
      </c>
      <c r="I24" s="72">
        <v>329.73</v>
      </c>
      <c r="J24" s="72">
        <v>479.01</v>
      </c>
      <c r="K24" s="72">
        <v>5.58</v>
      </c>
      <c r="L24" s="72">
        <v>9.6300000000000008</v>
      </c>
      <c r="M24" s="72">
        <v>5.7318899999999999</v>
      </c>
      <c r="N24" s="72">
        <v>4.93</v>
      </c>
      <c r="O24" s="72">
        <v>4.93</v>
      </c>
      <c r="P24" s="72">
        <v>4.93</v>
      </c>
      <c r="Q24" s="72">
        <v>4.93</v>
      </c>
      <c r="R24" s="72">
        <v>720.11400000000003</v>
      </c>
      <c r="S24" s="72">
        <v>720.11400000000003</v>
      </c>
      <c r="T24" s="72">
        <v>805.21</v>
      </c>
      <c r="U24" s="72">
        <v>10</v>
      </c>
      <c r="V24" s="72">
        <v>9</v>
      </c>
      <c r="W24" s="72">
        <v>860.56353000000001</v>
      </c>
      <c r="X24" s="72">
        <v>820.29100000000005</v>
      </c>
      <c r="Y24" s="72">
        <v>820.29100000000005</v>
      </c>
      <c r="Z24" s="72">
        <v>820.29100000000005</v>
      </c>
      <c r="AA24" s="72">
        <v>820.29100000000005</v>
      </c>
      <c r="AB24" s="72">
        <v>203.9948</v>
      </c>
      <c r="AC24" s="72">
        <v>585.16800000000001</v>
      </c>
      <c r="AD24" s="72">
        <v>208.75</v>
      </c>
      <c r="AE24" s="72">
        <v>4.87033</v>
      </c>
      <c r="AF24" s="72">
        <v>3.8209300000000002</v>
      </c>
      <c r="AG24" s="72">
        <v>2.4321000000000002</v>
      </c>
      <c r="AH24" s="72">
        <v>793.88091999999995</v>
      </c>
      <c r="AI24" s="72">
        <v>298.3997</v>
      </c>
      <c r="AJ24" s="72">
        <v>4.2918200000000004</v>
      </c>
      <c r="AK24" s="72">
        <v>3.8705699999999998</v>
      </c>
      <c r="AL24" s="72">
        <v>0</v>
      </c>
      <c r="AM24" s="72">
        <v>0</v>
      </c>
      <c r="AN24" s="72">
        <v>0</v>
      </c>
      <c r="AO24" s="72">
        <v>0</v>
      </c>
      <c r="AP24" s="72">
        <v>0</v>
      </c>
      <c r="AQ24" s="72">
        <v>196.20042000000001</v>
      </c>
      <c r="AR24" s="72">
        <v>294.30063999999999</v>
      </c>
      <c r="AS24" s="72">
        <v>0</v>
      </c>
      <c r="AT24" s="72">
        <v>0</v>
      </c>
      <c r="AU24" s="72">
        <v>579.226</v>
      </c>
      <c r="AV24" s="72">
        <v>122.101</v>
      </c>
    </row>
    <row r="25" spans="1:48" ht="24" customHeight="1" x14ac:dyDescent="0.3">
      <c r="A25" s="16" t="s">
        <v>67</v>
      </c>
      <c r="B25" s="16" t="s">
        <v>825</v>
      </c>
      <c r="C25" s="73">
        <v>23</v>
      </c>
      <c r="D25" s="73">
        <v>0</v>
      </c>
      <c r="E25" s="73">
        <v>0</v>
      </c>
      <c r="F25" s="73">
        <v>26.19</v>
      </c>
      <c r="G25" s="73">
        <v>23.380089999999999</v>
      </c>
      <c r="H25" s="73">
        <v>0</v>
      </c>
      <c r="I25" s="73">
        <v>465.29</v>
      </c>
      <c r="J25" s="73">
        <v>590.54999999999995</v>
      </c>
      <c r="K25" s="73">
        <v>5.85</v>
      </c>
      <c r="L25" s="73">
        <v>9.2899999999999991</v>
      </c>
      <c r="M25" s="73">
        <v>5.6190800000000003</v>
      </c>
      <c r="N25" s="73">
        <v>4.8899999999999997</v>
      </c>
      <c r="O25" s="73">
        <v>4.8899999999999997</v>
      </c>
      <c r="P25" s="73">
        <v>4.8899999999999997</v>
      </c>
      <c r="Q25" s="73">
        <v>4.8899999999999997</v>
      </c>
      <c r="R25" s="73">
        <v>803.46400000000006</v>
      </c>
      <c r="S25" s="73">
        <v>803.46400000000006</v>
      </c>
      <c r="T25" s="73">
        <v>825.36</v>
      </c>
      <c r="U25" s="73">
        <v>11</v>
      </c>
      <c r="V25" s="73">
        <v>10</v>
      </c>
      <c r="W25" s="73">
        <v>867.86186999999995</v>
      </c>
      <c r="X25" s="73">
        <v>834.64499999999998</v>
      </c>
      <c r="Y25" s="73">
        <v>834.64499999999998</v>
      </c>
      <c r="Z25" s="73">
        <v>834.64499999999998</v>
      </c>
      <c r="AA25" s="73">
        <v>834.64499999999998</v>
      </c>
      <c r="AB25" s="73">
        <v>348.11297999999999</v>
      </c>
      <c r="AC25" s="73">
        <v>696.31299999999999</v>
      </c>
      <c r="AD25" s="73">
        <v>361.4</v>
      </c>
      <c r="AE25" s="73">
        <v>4.1244500000000004</v>
      </c>
      <c r="AF25" s="73">
        <v>1.4317599999999999</v>
      </c>
      <c r="AG25" s="73">
        <v>218.78583</v>
      </c>
      <c r="AH25" s="73">
        <v>806.21407999999997</v>
      </c>
      <c r="AI25" s="73">
        <v>780.81106999999997</v>
      </c>
      <c r="AJ25" s="73">
        <v>3.94489</v>
      </c>
      <c r="AK25" s="73">
        <v>3.64717</v>
      </c>
      <c r="AL25" s="73">
        <v>0</v>
      </c>
      <c r="AM25" s="73">
        <v>0</v>
      </c>
      <c r="AN25" s="73">
        <v>0</v>
      </c>
      <c r="AO25" s="73">
        <v>0</v>
      </c>
      <c r="AP25" s="73">
        <v>0</v>
      </c>
      <c r="AQ25" s="73">
        <v>196.20042000000001</v>
      </c>
      <c r="AR25" s="73">
        <v>294.30063999999999</v>
      </c>
      <c r="AS25" s="73">
        <v>0</v>
      </c>
      <c r="AT25" s="73">
        <v>0</v>
      </c>
      <c r="AU25" s="73">
        <v>678.93899999999996</v>
      </c>
      <c r="AV25" s="73">
        <v>183.18700000000001</v>
      </c>
    </row>
    <row r="26" spans="1:48" ht="24" customHeight="1" x14ac:dyDescent="0.3">
      <c r="A26" s="16" t="s">
        <v>67</v>
      </c>
      <c r="B26" s="16" t="s">
        <v>826</v>
      </c>
      <c r="C26" s="73">
        <v>23</v>
      </c>
      <c r="D26" s="73">
        <v>0</v>
      </c>
      <c r="E26" s="73">
        <v>0</v>
      </c>
      <c r="F26" s="73">
        <v>26.47</v>
      </c>
      <c r="G26" s="73">
        <v>23.380089999999999</v>
      </c>
      <c r="H26" s="73">
        <v>0</v>
      </c>
      <c r="I26" s="73">
        <v>579.16</v>
      </c>
      <c r="J26" s="73">
        <v>700.33</v>
      </c>
      <c r="K26" s="73">
        <v>6.54</v>
      </c>
      <c r="L26" s="73">
        <v>9.2100000000000009</v>
      </c>
      <c r="M26" s="73">
        <v>5.7140500000000003</v>
      </c>
      <c r="N26" s="73">
        <v>6.86</v>
      </c>
      <c r="O26" s="73">
        <v>6.86</v>
      </c>
      <c r="P26" s="73">
        <v>6.86</v>
      </c>
      <c r="Q26" s="73">
        <v>6.86</v>
      </c>
      <c r="R26" s="73">
        <v>812.28800000000001</v>
      </c>
      <c r="S26" s="73">
        <v>812.28800000000001</v>
      </c>
      <c r="T26" s="73">
        <v>828.93</v>
      </c>
      <c r="U26" s="73">
        <v>11</v>
      </c>
      <c r="V26" s="73">
        <v>9</v>
      </c>
      <c r="W26" s="73">
        <v>872.35920999999996</v>
      </c>
      <c r="X26" s="73">
        <v>838.8</v>
      </c>
      <c r="Y26" s="73">
        <v>838.8</v>
      </c>
      <c r="Z26" s="73">
        <v>838.8</v>
      </c>
      <c r="AA26" s="73">
        <v>838.8</v>
      </c>
      <c r="AB26" s="73">
        <v>494.85225000000003</v>
      </c>
      <c r="AC26" s="73">
        <v>785.68799999999999</v>
      </c>
      <c r="AD26" s="73">
        <v>766.65</v>
      </c>
      <c r="AE26" s="73">
        <v>4.4279400000000004</v>
      </c>
      <c r="AF26" s="73">
        <v>3.7311899999999998</v>
      </c>
      <c r="AG26" s="73">
        <v>40.739809999999999</v>
      </c>
      <c r="AH26" s="73">
        <v>810.17236000000003</v>
      </c>
      <c r="AI26" s="73">
        <v>846.58621000000005</v>
      </c>
      <c r="AJ26" s="73">
        <v>4.2859499999999997</v>
      </c>
      <c r="AK26" s="73">
        <v>3.91716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196.20042000000001</v>
      </c>
      <c r="AR26" s="73">
        <v>294.30063999999999</v>
      </c>
      <c r="AS26" s="73">
        <v>0</v>
      </c>
      <c r="AT26" s="73">
        <v>0</v>
      </c>
      <c r="AU26" s="73">
        <v>768.38599999999997</v>
      </c>
      <c r="AV26" s="73">
        <v>597.00350000000003</v>
      </c>
    </row>
    <row r="27" spans="1:48" ht="24" customHeight="1" x14ac:dyDescent="0.3">
      <c r="A27" s="16" t="s">
        <v>67</v>
      </c>
      <c r="B27" s="16" t="s">
        <v>827</v>
      </c>
      <c r="C27" s="73">
        <v>23</v>
      </c>
      <c r="D27" s="73">
        <v>0</v>
      </c>
      <c r="E27" s="73">
        <v>0</v>
      </c>
      <c r="F27" s="73">
        <v>26.44</v>
      </c>
      <c r="G27" s="73">
        <v>23.380089999999999</v>
      </c>
      <c r="H27" s="73">
        <v>0</v>
      </c>
      <c r="I27" s="73">
        <v>681.77</v>
      </c>
      <c r="J27" s="73">
        <v>779.84</v>
      </c>
      <c r="K27" s="73">
        <v>6.78</v>
      </c>
      <c r="L27" s="73">
        <v>8.74</v>
      </c>
      <c r="M27" s="73">
        <v>5.7892599999999996</v>
      </c>
      <c r="N27" s="73">
        <v>6.1</v>
      </c>
      <c r="O27" s="73">
        <v>6.1</v>
      </c>
      <c r="P27" s="73">
        <v>6.1</v>
      </c>
      <c r="Q27" s="73">
        <v>6.1</v>
      </c>
      <c r="R27" s="73">
        <v>809.65599999999995</v>
      </c>
      <c r="S27" s="73">
        <v>809.65599999999995</v>
      </c>
      <c r="T27" s="73">
        <v>835.36</v>
      </c>
      <c r="U27" s="73">
        <v>11</v>
      </c>
      <c r="V27" s="73">
        <v>9</v>
      </c>
      <c r="W27" s="73">
        <v>871.33430999999996</v>
      </c>
      <c r="X27" s="73">
        <v>834.774</v>
      </c>
      <c r="Y27" s="73">
        <v>834.774</v>
      </c>
      <c r="Z27" s="73">
        <v>834.774</v>
      </c>
      <c r="AA27" s="73">
        <v>834.774</v>
      </c>
      <c r="AB27" s="73">
        <v>622.80525</v>
      </c>
      <c r="AC27" s="73">
        <v>863.95100000000002</v>
      </c>
      <c r="AD27" s="73">
        <v>838.5</v>
      </c>
      <c r="AE27" s="73">
        <v>3.1125099999999999</v>
      </c>
      <c r="AF27" s="73">
        <v>3.4286699999999999</v>
      </c>
      <c r="AG27" s="73">
        <v>8.82897</v>
      </c>
      <c r="AH27" s="73">
        <v>803.61587999999995</v>
      </c>
      <c r="AI27" s="73">
        <v>846.57190000000003</v>
      </c>
      <c r="AJ27" s="73">
        <v>4.6320600000000001</v>
      </c>
      <c r="AK27" s="73">
        <v>4.2201599999999999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196.20042000000001</v>
      </c>
      <c r="AR27" s="73">
        <v>294.30063999999999</v>
      </c>
      <c r="AS27" s="73">
        <v>0</v>
      </c>
      <c r="AT27" s="73">
        <v>0</v>
      </c>
      <c r="AU27" s="73">
        <v>843.10900000000004</v>
      </c>
      <c r="AV27" s="73">
        <v>808.56799999999998</v>
      </c>
    </row>
    <row r="28" spans="1:48" ht="24" customHeight="1" x14ac:dyDescent="0.3">
      <c r="A28" s="16" t="s">
        <v>67</v>
      </c>
      <c r="B28" s="16" t="s">
        <v>828</v>
      </c>
      <c r="C28" s="73">
        <v>23</v>
      </c>
      <c r="D28" s="73">
        <v>0</v>
      </c>
      <c r="E28" s="73">
        <v>0</v>
      </c>
      <c r="F28" s="73">
        <v>26.78</v>
      </c>
      <c r="G28" s="73">
        <v>23.380089999999999</v>
      </c>
      <c r="H28" s="73">
        <v>0</v>
      </c>
      <c r="I28" s="73">
        <v>713.27</v>
      </c>
      <c r="J28" s="73">
        <v>845.86</v>
      </c>
      <c r="K28" s="73">
        <v>7.27</v>
      </c>
      <c r="L28" s="73">
        <v>8.48</v>
      </c>
      <c r="M28" s="73">
        <v>6.5231899999999996</v>
      </c>
      <c r="N28" s="73">
        <v>7.42</v>
      </c>
      <c r="O28" s="73">
        <v>7.42</v>
      </c>
      <c r="P28" s="73">
        <v>7.42</v>
      </c>
      <c r="Q28" s="73">
        <v>7.42</v>
      </c>
      <c r="R28" s="73">
        <v>808.61099999999999</v>
      </c>
      <c r="S28" s="73">
        <v>808.61099999999999</v>
      </c>
      <c r="T28" s="73">
        <v>833.43</v>
      </c>
      <c r="U28" s="73">
        <v>11</v>
      </c>
      <c r="V28" s="73">
        <v>10</v>
      </c>
      <c r="W28" s="73">
        <v>865.48837000000003</v>
      </c>
      <c r="X28" s="73">
        <v>828.20699999999999</v>
      </c>
      <c r="Y28" s="73">
        <v>828.20699999999999</v>
      </c>
      <c r="Z28" s="73">
        <v>828.20699999999999</v>
      </c>
      <c r="AA28" s="73">
        <v>828.20699999999999</v>
      </c>
      <c r="AB28" s="73">
        <v>652.46703000000002</v>
      </c>
      <c r="AC28" s="73">
        <v>926.55799999999999</v>
      </c>
      <c r="AD28" s="73">
        <v>845</v>
      </c>
      <c r="AE28" s="73">
        <v>2.2477</v>
      </c>
      <c r="AF28" s="73">
        <v>2.8898100000000002</v>
      </c>
      <c r="AG28" s="73">
        <v>17.1647</v>
      </c>
      <c r="AH28" s="73">
        <v>807.18277</v>
      </c>
      <c r="AI28" s="73">
        <v>840.40102999999999</v>
      </c>
      <c r="AJ28" s="73">
        <v>6.7410500000000004</v>
      </c>
      <c r="AK28" s="73">
        <v>5.3506499999999999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196.20042000000001</v>
      </c>
      <c r="AR28" s="73">
        <v>294.30063999999999</v>
      </c>
      <c r="AS28" s="73">
        <v>0</v>
      </c>
      <c r="AT28" s="73">
        <v>0</v>
      </c>
      <c r="AU28" s="73">
        <v>958.33299999999997</v>
      </c>
      <c r="AV28" s="73">
        <v>803.18</v>
      </c>
    </row>
    <row r="29" spans="1:48" ht="24" customHeight="1" x14ac:dyDescent="0.3">
      <c r="A29" s="16" t="s">
        <v>67</v>
      </c>
      <c r="B29" s="16" t="s">
        <v>829</v>
      </c>
      <c r="C29" s="73">
        <v>23</v>
      </c>
      <c r="D29" s="73">
        <v>0</v>
      </c>
      <c r="E29" s="73">
        <v>0</v>
      </c>
      <c r="F29" s="73">
        <v>26.64</v>
      </c>
      <c r="G29" s="73">
        <v>23.380089999999999</v>
      </c>
      <c r="H29" s="73">
        <v>0</v>
      </c>
      <c r="I29" s="73">
        <v>788.92</v>
      </c>
      <c r="J29" s="73">
        <v>894.5</v>
      </c>
      <c r="K29" s="73">
        <v>6.76</v>
      </c>
      <c r="L29" s="73">
        <v>8.67</v>
      </c>
      <c r="M29" s="73">
        <v>6.74383</v>
      </c>
      <c r="N29" s="73">
        <v>7.15</v>
      </c>
      <c r="O29" s="73">
        <v>7.15</v>
      </c>
      <c r="P29" s="73">
        <v>7.15</v>
      </c>
      <c r="Q29" s="73">
        <v>7.15</v>
      </c>
      <c r="R29" s="73">
        <v>805.68600000000004</v>
      </c>
      <c r="S29" s="73">
        <v>805.68600000000004</v>
      </c>
      <c r="T29" s="73">
        <v>834.86</v>
      </c>
      <c r="U29" s="73">
        <v>11</v>
      </c>
      <c r="V29" s="73">
        <v>10</v>
      </c>
      <c r="W29" s="73">
        <v>861.81399999999996</v>
      </c>
      <c r="X29" s="73">
        <v>825.61599999999999</v>
      </c>
      <c r="Y29" s="73">
        <v>825.61599999999999</v>
      </c>
      <c r="Z29" s="73">
        <v>825.61599999999999</v>
      </c>
      <c r="AA29" s="73">
        <v>825.61599999999999</v>
      </c>
      <c r="AB29" s="73">
        <v>757.68442000000005</v>
      </c>
      <c r="AC29" s="73">
        <v>968.30200000000002</v>
      </c>
      <c r="AD29" s="73">
        <v>836.5</v>
      </c>
      <c r="AE29" s="73">
        <v>4.3716400000000002</v>
      </c>
      <c r="AF29" s="73">
        <v>1.8429599999999999</v>
      </c>
      <c r="AG29" s="73">
        <v>0</v>
      </c>
      <c r="AH29" s="73">
        <v>800.51990000000001</v>
      </c>
      <c r="AI29" s="73">
        <v>831.63131999999996</v>
      </c>
      <c r="AJ29" s="73">
        <v>6.51485</v>
      </c>
      <c r="AK29" s="73">
        <v>5.59781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196.20042000000001</v>
      </c>
      <c r="AR29" s="73">
        <v>294.30063999999999</v>
      </c>
      <c r="AS29" s="73">
        <v>0</v>
      </c>
      <c r="AT29" s="73">
        <v>0</v>
      </c>
      <c r="AU29" s="73">
        <v>1006.179</v>
      </c>
      <c r="AV29" s="73">
        <v>800.65300000000002</v>
      </c>
    </row>
    <row r="30" spans="1:48" ht="24" customHeight="1" x14ac:dyDescent="0.3">
      <c r="A30" s="16" t="s">
        <v>67</v>
      </c>
      <c r="B30" s="16" t="s">
        <v>830</v>
      </c>
      <c r="C30" s="73">
        <v>23</v>
      </c>
      <c r="D30" s="73">
        <v>0</v>
      </c>
      <c r="E30" s="73">
        <v>0</v>
      </c>
      <c r="F30" s="73">
        <v>25.7</v>
      </c>
      <c r="G30" s="73">
        <v>23.380089999999999</v>
      </c>
      <c r="H30" s="73">
        <v>0</v>
      </c>
      <c r="I30" s="73">
        <v>824.74</v>
      </c>
      <c r="J30" s="73">
        <v>912.54</v>
      </c>
      <c r="K30" s="73">
        <v>6.96</v>
      </c>
      <c r="L30" s="73">
        <v>8.08</v>
      </c>
      <c r="M30" s="73">
        <v>7.2092799999999997</v>
      </c>
      <c r="N30" s="73">
        <v>7.08</v>
      </c>
      <c r="O30" s="73">
        <v>7.08</v>
      </c>
      <c r="P30" s="73">
        <v>7.08</v>
      </c>
      <c r="Q30" s="73">
        <v>7.08</v>
      </c>
      <c r="R30" s="73">
        <v>801.01300000000003</v>
      </c>
      <c r="S30" s="73">
        <v>801.01300000000003</v>
      </c>
      <c r="T30" s="73">
        <v>835.36</v>
      </c>
      <c r="U30" s="73">
        <v>11</v>
      </c>
      <c r="V30" s="73">
        <v>9</v>
      </c>
      <c r="W30" s="73">
        <v>863.19330000000002</v>
      </c>
      <c r="X30" s="73">
        <v>828.875</v>
      </c>
      <c r="Y30" s="73">
        <v>828.875</v>
      </c>
      <c r="Z30" s="73">
        <v>828.875</v>
      </c>
      <c r="AA30" s="73">
        <v>828.875</v>
      </c>
      <c r="AB30" s="73">
        <v>856.08637999999996</v>
      </c>
      <c r="AC30" s="73">
        <v>986.22799999999995</v>
      </c>
      <c r="AD30" s="73">
        <v>829.5</v>
      </c>
      <c r="AE30" s="73">
        <v>4.4309700000000003</v>
      </c>
      <c r="AF30" s="73">
        <v>3.3873500000000001</v>
      </c>
      <c r="AG30" s="73">
        <v>18.35089</v>
      </c>
      <c r="AH30" s="73">
        <v>800.53698999999995</v>
      </c>
      <c r="AI30" s="73">
        <v>829.27797999999996</v>
      </c>
      <c r="AJ30" s="73">
        <v>6.5789999999999997</v>
      </c>
      <c r="AK30" s="73">
        <v>6.94984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196.20042000000001</v>
      </c>
      <c r="AR30" s="73">
        <v>294.30063999999999</v>
      </c>
      <c r="AS30" s="73">
        <v>0</v>
      </c>
      <c r="AT30" s="73">
        <v>0</v>
      </c>
      <c r="AU30" s="73">
        <v>1030.626</v>
      </c>
      <c r="AV30" s="73">
        <v>798.25450000000001</v>
      </c>
    </row>
    <row r="31" spans="1:48" ht="24" customHeight="1" x14ac:dyDescent="0.3">
      <c r="A31" s="18" t="s">
        <v>67</v>
      </c>
      <c r="B31" s="18" t="s">
        <v>831</v>
      </c>
      <c r="C31" s="74">
        <v>23</v>
      </c>
      <c r="D31" s="74">
        <v>0</v>
      </c>
      <c r="E31" s="74">
        <v>0</v>
      </c>
      <c r="F31" s="74">
        <v>25.69</v>
      </c>
      <c r="G31" s="74">
        <v>23.380089999999999</v>
      </c>
      <c r="H31" s="74">
        <v>0</v>
      </c>
      <c r="I31" s="74">
        <v>867.54</v>
      </c>
      <c r="J31" s="74">
        <v>920.25</v>
      </c>
      <c r="K31" s="74">
        <v>6.68</v>
      </c>
      <c r="L31" s="74">
        <v>7.73</v>
      </c>
      <c r="M31" s="74">
        <v>7.15761</v>
      </c>
      <c r="N31" s="74">
        <v>6.95</v>
      </c>
      <c r="O31" s="74">
        <v>6.95</v>
      </c>
      <c r="P31" s="74">
        <v>6.95</v>
      </c>
      <c r="Q31" s="74">
        <v>6.95</v>
      </c>
      <c r="R31" s="74">
        <v>801.77499999999998</v>
      </c>
      <c r="S31" s="74">
        <v>801.77499999999998</v>
      </c>
      <c r="T31" s="74">
        <v>837.29</v>
      </c>
      <c r="U31" s="74">
        <v>11</v>
      </c>
      <c r="V31" s="74">
        <v>9</v>
      </c>
      <c r="W31" s="74">
        <v>869.24570000000006</v>
      </c>
      <c r="X31" s="74">
        <v>824.26300000000003</v>
      </c>
      <c r="Y31" s="74">
        <v>824.26300000000003</v>
      </c>
      <c r="Z31" s="74">
        <v>824.26300000000003</v>
      </c>
      <c r="AA31" s="74">
        <v>824.26300000000003</v>
      </c>
      <c r="AB31" s="74">
        <v>869.48653000000002</v>
      </c>
      <c r="AC31" s="74">
        <v>990.17100000000005</v>
      </c>
      <c r="AD31" s="74">
        <v>825</v>
      </c>
      <c r="AE31" s="74">
        <v>7.49709</v>
      </c>
      <c r="AF31" s="74">
        <v>3.9326400000000001</v>
      </c>
      <c r="AG31" s="74">
        <v>9.5327500000000001</v>
      </c>
      <c r="AH31" s="74">
        <v>795.02688999999998</v>
      </c>
      <c r="AI31" s="74">
        <v>831.06237999999996</v>
      </c>
      <c r="AJ31" s="74">
        <v>6.7935800000000004</v>
      </c>
      <c r="AK31" s="74">
        <v>7.0869799999999996</v>
      </c>
      <c r="AL31" s="74">
        <v>0</v>
      </c>
      <c r="AM31" s="74">
        <v>0</v>
      </c>
      <c r="AN31" s="74">
        <v>0</v>
      </c>
      <c r="AO31" s="74">
        <v>0</v>
      </c>
      <c r="AP31" s="74">
        <v>0</v>
      </c>
      <c r="AQ31" s="74">
        <v>196.20042000000001</v>
      </c>
      <c r="AR31" s="74">
        <v>294.30063999999999</v>
      </c>
      <c r="AS31" s="74">
        <v>0</v>
      </c>
      <c r="AT31" s="74">
        <v>0</v>
      </c>
      <c r="AU31" s="74">
        <v>1031.73</v>
      </c>
      <c r="AV31" s="74">
        <v>799.50900000000001</v>
      </c>
    </row>
    <row r="32" spans="1:48" ht="24" customHeight="1" x14ac:dyDescent="0.3">
      <c r="A32" s="13" t="s">
        <v>67</v>
      </c>
      <c r="B32" s="13" t="s">
        <v>832</v>
      </c>
      <c r="C32" s="72">
        <v>23</v>
      </c>
      <c r="D32" s="72">
        <v>0</v>
      </c>
      <c r="E32" s="72">
        <v>0</v>
      </c>
      <c r="F32" s="72">
        <v>26.48</v>
      </c>
      <c r="G32" s="72">
        <v>23.380089999999999</v>
      </c>
      <c r="H32" s="72">
        <v>0</v>
      </c>
      <c r="I32" s="72">
        <v>908.5</v>
      </c>
      <c r="J32" s="72">
        <v>930.73</v>
      </c>
      <c r="K32" s="72">
        <v>6.45</v>
      </c>
      <c r="L32" s="72">
        <v>7.04</v>
      </c>
      <c r="M32" s="72">
        <v>8.1158999999999999</v>
      </c>
      <c r="N32" s="72">
        <v>6.85</v>
      </c>
      <c r="O32" s="72">
        <v>6.85</v>
      </c>
      <c r="P32" s="72">
        <v>6.85</v>
      </c>
      <c r="Q32" s="72">
        <v>6.85</v>
      </c>
      <c r="R32" s="72">
        <v>823.36699999999996</v>
      </c>
      <c r="S32" s="72">
        <v>823.36699999999996</v>
      </c>
      <c r="T32" s="72">
        <v>842.64</v>
      </c>
      <c r="U32" s="72">
        <v>11</v>
      </c>
      <c r="V32" s="72">
        <v>10</v>
      </c>
      <c r="W32" s="72">
        <v>874.77783999999997</v>
      </c>
      <c r="X32" s="72">
        <v>832.73500000000001</v>
      </c>
      <c r="Y32" s="72">
        <v>832.73500000000001</v>
      </c>
      <c r="Z32" s="72">
        <v>832.73500000000001</v>
      </c>
      <c r="AA32" s="72">
        <v>832.73500000000001</v>
      </c>
      <c r="AB32" s="72">
        <v>902.76715000000002</v>
      </c>
      <c r="AC32" s="72">
        <v>967.13499999999999</v>
      </c>
      <c r="AD32" s="72">
        <v>824</v>
      </c>
      <c r="AE32" s="72">
        <v>9.9065600000000007</v>
      </c>
      <c r="AF32" s="72">
        <v>4.7790800000000004</v>
      </c>
      <c r="AG32" s="72">
        <v>51.33108</v>
      </c>
      <c r="AH32" s="72">
        <v>799.15561000000002</v>
      </c>
      <c r="AI32" s="72">
        <v>834.89993000000004</v>
      </c>
      <c r="AJ32" s="72">
        <v>7.9826199999999998</v>
      </c>
      <c r="AK32" s="72">
        <v>7.7053399999999996</v>
      </c>
      <c r="AL32" s="72">
        <v>0</v>
      </c>
      <c r="AM32" s="72">
        <v>0</v>
      </c>
      <c r="AN32" s="72">
        <v>0</v>
      </c>
      <c r="AO32" s="72">
        <v>0</v>
      </c>
      <c r="AP32" s="72">
        <v>0</v>
      </c>
      <c r="AQ32" s="72">
        <v>196.20042000000001</v>
      </c>
      <c r="AR32" s="72">
        <v>294.30063999999999</v>
      </c>
      <c r="AS32" s="72">
        <v>0</v>
      </c>
      <c r="AT32" s="72">
        <v>0</v>
      </c>
      <c r="AU32" s="72">
        <v>1009.547</v>
      </c>
      <c r="AV32" s="72">
        <v>802.79899999999998</v>
      </c>
    </row>
    <row r="33" spans="1:48" ht="24" customHeight="1" x14ac:dyDescent="0.3">
      <c r="A33" s="16" t="s">
        <v>67</v>
      </c>
      <c r="B33" s="16" t="s">
        <v>833</v>
      </c>
      <c r="C33" s="73">
        <v>23</v>
      </c>
      <c r="D33" s="73">
        <v>0</v>
      </c>
      <c r="E33" s="73">
        <v>0</v>
      </c>
      <c r="F33" s="73">
        <v>26.59</v>
      </c>
      <c r="G33" s="73">
        <v>23.380089999999999</v>
      </c>
      <c r="H33" s="73">
        <v>0</v>
      </c>
      <c r="I33" s="73">
        <v>926.55</v>
      </c>
      <c r="J33" s="73">
        <v>894.96</v>
      </c>
      <c r="K33" s="73">
        <v>6.47</v>
      </c>
      <c r="L33" s="73">
        <v>6.91</v>
      </c>
      <c r="M33" s="73">
        <v>8.2195300000000007</v>
      </c>
      <c r="N33" s="73">
        <v>7.72</v>
      </c>
      <c r="O33" s="73">
        <v>7.72</v>
      </c>
      <c r="P33" s="73">
        <v>7.72</v>
      </c>
      <c r="Q33" s="73">
        <v>7.72</v>
      </c>
      <c r="R33" s="73">
        <v>805.64200000000005</v>
      </c>
      <c r="S33" s="73">
        <v>805.64200000000005</v>
      </c>
      <c r="T33" s="73">
        <v>848.93</v>
      </c>
      <c r="U33" s="73">
        <v>10</v>
      </c>
      <c r="V33" s="73">
        <v>10</v>
      </c>
      <c r="W33" s="73">
        <v>881.04580999999996</v>
      </c>
      <c r="X33" s="73">
        <v>852.41</v>
      </c>
      <c r="Y33" s="73">
        <v>852.41</v>
      </c>
      <c r="Z33" s="73">
        <v>852.41</v>
      </c>
      <c r="AA33" s="73">
        <v>852.41</v>
      </c>
      <c r="AB33" s="73">
        <v>834.25957000000005</v>
      </c>
      <c r="AC33" s="73">
        <v>919.87099999999998</v>
      </c>
      <c r="AD33" s="73">
        <v>830</v>
      </c>
      <c r="AE33" s="73">
        <v>9.3932000000000002</v>
      </c>
      <c r="AF33" s="73">
        <v>6.9614700000000003</v>
      </c>
      <c r="AG33" s="73">
        <v>31.03632</v>
      </c>
      <c r="AH33" s="73">
        <v>779.15186000000006</v>
      </c>
      <c r="AI33" s="73">
        <v>844.09464000000003</v>
      </c>
      <c r="AJ33" s="73">
        <v>8.0044699999999995</v>
      </c>
      <c r="AK33" s="73">
        <v>7.6813799999999999</v>
      </c>
      <c r="AL33" s="73">
        <v>0</v>
      </c>
      <c r="AM33" s="73">
        <v>0</v>
      </c>
      <c r="AN33" s="73">
        <v>0</v>
      </c>
      <c r="AO33" s="73">
        <v>0</v>
      </c>
      <c r="AP33" s="73">
        <v>0</v>
      </c>
      <c r="AQ33" s="73">
        <v>196.20042000000001</v>
      </c>
      <c r="AR33" s="73">
        <v>294.30063999999999</v>
      </c>
      <c r="AS33" s="73">
        <v>0</v>
      </c>
      <c r="AT33" s="73">
        <v>0</v>
      </c>
      <c r="AU33" s="73">
        <v>951.64099999999996</v>
      </c>
      <c r="AV33" s="73">
        <v>804.06550000000004</v>
      </c>
    </row>
    <row r="34" spans="1:48" ht="24" customHeight="1" x14ac:dyDescent="0.3">
      <c r="A34" s="16" t="s">
        <v>67</v>
      </c>
      <c r="B34" s="16" t="s">
        <v>834</v>
      </c>
      <c r="C34" s="73">
        <v>23</v>
      </c>
      <c r="D34" s="73">
        <v>0</v>
      </c>
      <c r="E34" s="73">
        <v>0</v>
      </c>
      <c r="F34" s="73">
        <v>25.96</v>
      </c>
      <c r="G34" s="73">
        <v>23.380089999999999</v>
      </c>
      <c r="H34" s="73">
        <v>0</v>
      </c>
      <c r="I34" s="73">
        <v>909.91</v>
      </c>
      <c r="J34" s="73">
        <v>651.01</v>
      </c>
      <c r="K34" s="73">
        <v>5.97</v>
      </c>
      <c r="L34" s="73">
        <v>6.26</v>
      </c>
      <c r="M34" s="73">
        <v>9.0159400000000005</v>
      </c>
      <c r="N34" s="73">
        <v>7.64</v>
      </c>
      <c r="O34" s="73">
        <v>7.64</v>
      </c>
      <c r="P34" s="73">
        <v>7.64</v>
      </c>
      <c r="Q34" s="73">
        <v>7.64</v>
      </c>
      <c r="R34" s="73">
        <v>814.09400000000005</v>
      </c>
      <c r="S34" s="73">
        <v>814.09400000000005</v>
      </c>
      <c r="T34" s="73">
        <v>856.29</v>
      </c>
      <c r="U34" s="73">
        <v>11</v>
      </c>
      <c r="V34" s="73">
        <v>10</v>
      </c>
      <c r="W34" s="73">
        <v>888.61703999999997</v>
      </c>
      <c r="X34" s="73">
        <v>858.947</v>
      </c>
      <c r="Y34" s="73">
        <v>858.947</v>
      </c>
      <c r="Z34" s="73">
        <v>858.947</v>
      </c>
      <c r="AA34" s="73">
        <v>858.947</v>
      </c>
      <c r="AB34" s="73">
        <v>864.62138000000004</v>
      </c>
      <c r="AC34" s="73">
        <v>866.45399999999995</v>
      </c>
      <c r="AD34" s="73">
        <v>843</v>
      </c>
      <c r="AE34" s="73">
        <v>9.05288</v>
      </c>
      <c r="AF34" s="73">
        <v>7.7258500000000003</v>
      </c>
      <c r="AG34" s="73">
        <v>11.012079999999999</v>
      </c>
      <c r="AH34" s="73">
        <v>778.3537</v>
      </c>
      <c r="AI34" s="73">
        <v>851.50372000000004</v>
      </c>
      <c r="AJ34" s="73">
        <v>8.6939499999999992</v>
      </c>
      <c r="AK34" s="73">
        <v>8.4414300000000004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196.20042000000001</v>
      </c>
      <c r="AR34" s="73">
        <v>294.30063999999999</v>
      </c>
      <c r="AS34" s="73">
        <v>0</v>
      </c>
      <c r="AT34" s="73">
        <v>0</v>
      </c>
      <c r="AU34" s="73">
        <v>907.93399999999997</v>
      </c>
      <c r="AV34" s="73">
        <v>805.91200000000003</v>
      </c>
    </row>
    <row r="35" spans="1:48" ht="24" customHeight="1" x14ac:dyDescent="0.3">
      <c r="A35" s="16" t="s">
        <v>67</v>
      </c>
      <c r="B35" s="16" t="s">
        <v>835</v>
      </c>
      <c r="C35" s="73">
        <v>23</v>
      </c>
      <c r="D35" s="73">
        <v>0</v>
      </c>
      <c r="E35" s="73">
        <v>0</v>
      </c>
      <c r="F35" s="73">
        <v>25.77</v>
      </c>
      <c r="G35" s="73">
        <v>23.380089999999999</v>
      </c>
      <c r="H35" s="73">
        <v>0</v>
      </c>
      <c r="I35" s="73">
        <v>852.68</v>
      </c>
      <c r="J35" s="73">
        <v>799.26</v>
      </c>
      <c r="K35" s="73">
        <v>6.61</v>
      </c>
      <c r="L35" s="73">
        <v>7.82</v>
      </c>
      <c r="M35" s="73">
        <v>8.8794400000000007</v>
      </c>
      <c r="N35" s="73">
        <v>7.68</v>
      </c>
      <c r="O35" s="73">
        <v>7.68</v>
      </c>
      <c r="P35" s="73">
        <v>7.68</v>
      </c>
      <c r="Q35" s="73">
        <v>7.68</v>
      </c>
      <c r="R35" s="73">
        <v>822.13699999999994</v>
      </c>
      <c r="S35" s="73">
        <v>822.13699999999994</v>
      </c>
      <c r="T35" s="73">
        <v>859.36</v>
      </c>
      <c r="U35" s="73">
        <v>11</v>
      </c>
      <c r="V35" s="73">
        <v>10</v>
      </c>
      <c r="W35" s="73">
        <v>891.97394999999995</v>
      </c>
      <c r="X35" s="73">
        <v>858.87400000000002</v>
      </c>
      <c r="Y35" s="73">
        <v>858.87400000000002</v>
      </c>
      <c r="Z35" s="73">
        <v>858.87400000000002</v>
      </c>
      <c r="AA35" s="73">
        <v>858.87400000000002</v>
      </c>
      <c r="AB35" s="73">
        <v>814.05538000000001</v>
      </c>
      <c r="AC35" s="73">
        <v>802.79300000000001</v>
      </c>
      <c r="AD35" s="73">
        <v>847.5</v>
      </c>
      <c r="AE35" s="73">
        <v>8.30307</v>
      </c>
      <c r="AF35" s="73">
        <v>7.7195400000000003</v>
      </c>
      <c r="AG35" s="73">
        <v>33.98563</v>
      </c>
      <c r="AH35" s="73">
        <v>819.48914000000002</v>
      </c>
      <c r="AI35" s="73">
        <v>851.27437999999995</v>
      </c>
      <c r="AJ35" s="73">
        <v>8.4359999999999999</v>
      </c>
      <c r="AK35" s="73">
        <v>8.3545800000000003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196.20042000000001</v>
      </c>
      <c r="AR35" s="73">
        <v>294.30063999999999</v>
      </c>
      <c r="AS35" s="73">
        <v>0</v>
      </c>
      <c r="AT35" s="73">
        <v>0</v>
      </c>
      <c r="AU35" s="73">
        <v>825.30399999999997</v>
      </c>
      <c r="AV35" s="73">
        <v>799.23500000000001</v>
      </c>
    </row>
    <row r="36" spans="1:48" ht="24" customHeight="1" x14ac:dyDescent="0.3">
      <c r="A36" s="16" t="s">
        <v>67</v>
      </c>
      <c r="B36" s="16" t="s">
        <v>836</v>
      </c>
      <c r="C36" s="73">
        <v>23</v>
      </c>
      <c r="D36" s="73">
        <v>0</v>
      </c>
      <c r="E36" s="73">
        <v>0</v>
      </c>
      <c r="F36" s="73">
        <v>25.91</v>
      </c>
      <c r="G36" s="73">
        <v>23.380089999999999</v>
      </c>
      <c r="H36" s="73">
        <v>0</v>
      </c>
      <c r="I36" s="73">
        <v>799.11</v>
      </c>
      <c r="J36" s="73">
        <v>699.3</v>
      </c>
      <c r="K36" s="73">
        <v>6.76</v>
      </c>
      <c r="L36" s="73">
        <v>8.1199999999999992</v>
      </c>
      <c r="M36" s="73">
        <v>8.1552199999999999</v>
      </c>
      <c r="N36" s="73">
        <v>7.6</v>
      </c>
      <c r="O36" s="73">
        <v>7.6</v>
      </c>
      <c r="P36" s="73">
        <v>7.6</v>
      </c>
      <c r="Q36" s="73">
        <v>7.6</v>
      </c>
      <c r="R36" s="73">
        <v>819.79</v>
      </c>
      <c r="S36" s="73">
        <v>819.79</v>
      </c>
      <c r="T36" s="73">
        <v>855</v>
      </c>
      <c r="U36" s="73">
        <v>11</v>
      </c>
      <c r="V36" s="73">
        <v>10</v>
      </c>
      <c r="W36" s="73">
        <v>875.76391000000001</v>
      </c>
      <c r="X36" s="73">
        <v>841.91099999999994</v>
      </c>
      <c r="Y36" s="73">
        <v>841.91099999999994</v>
      </c>
      <c r="Z36" s="73">
        <v>841.91099999999994</v>
      </c>
      <c r="AA36" s="73">
        <v>841.91099999999994</v>
      </c>
      <c r="AB36" s="73">
        <v>677.11766999999998</v>
      </c>
      <c r="AC36" s="73">
        <v>729.18700000000001</v>
      </c>
      <c r="AD36" s="73">
        <v>845.5</v>
      </c>
      <c r="AE36" s="73">
        <v>8.3743200000000009</v>
      </c>
      <c r="AF36" s="73">
        <v>8.1517599999999995</v>
      </c>
      <c r="AG36" s="73">
        <v>31.691500000000001</v>
      </c>
      <c r="AH36" s="73">
        <v>818.68906000000004</v>
      </c>
      <c r="AI36" s="73">
        <v>841.97136999999998</v>
      </c>
      <c r="AJ36" s="73">
        <v>8.1017100000000006</v>
      </c>
      <c r="AK36" s="73">
        <v>8.1821300000000008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196.20042000000001</v>
      </c>
      <c r="AR36" s="73">
        <v>294.30063999999999</v>
      </c>
      <c r="AS36" s="73">
        <v>0</v>
      </c>
      <c r="AT36" s="73">
        <v>0</v>
      </c>
      <c r="AU36" s="73">
        <v>728.35500000000002</v>
      </c>
      <c r="AV36" s="73">
        <v>782.14850000000001</v>
      </c>
    </row>
    <row r="37" spans="1:48" ht="24" customHeight="1" x14ac:dyDescent="0.3">
      <c r="A37" s="16" t="s">
        <v>67</v>
      </c>
      <c r="B37" s="16" t="s">
        <v>837</v>
      </c>
      <c r="C37" s="73">
        <v>23</v>
      </c>
      <c r="D37" s="73">
        <v>0</v>
      </c>
      <c r="E37" s="73">
        <v>0</v>
      </c>
      <c r="F37" s="73">
        <v>25.91</v>
      </c>
      <c r="G37" s="73">
        <v>23.380089999999999</v>
      </c>
      <c r="H37" s="73">
        <v>0</v>
      </c>
      <c r="I37" s="73">
        <v>729.84</v>
      </c>
      <c r="J37" s="73">
        <v>602.14</v>
      </c>
      <c r="K37" s="73">
        <v>6.33</v>
      </c>
      <c r="L37" s="73">
        <v>7.33</v>
      </c>
      <c r="M37" s="73">
        <v>8.5255399999999995</v>
      </c>
      <c r="N37" s="73">
        <v>8.0299999999999994</v>
      </c>
      <c r="O37" s="73">
        <v>8.0299999999999994</v>
      </c>
      <c r="P37" s="73">
        <v>8.0299999999999994</v>
      </c>
      <c r="Q37" s="73">
        <v>8.0299999999999994</v>
      </c>
      <c r="R37" s="73">
        <v>823.11</v>
      </c>
      <c r="S37" s="73">
        <v>823.11</v>
      </c>
      <c r="T37" s="73">
        <v>835.93</v>
      </c>
      <c r="U37" s="73">
        <v>11</v>
      </c>
      <c r="V37" s="73">
        <v>10</v>
      </c>
      <c r="W37" s="73">
        <v>841.31338000000005</v>
      </c>
      <c r="X37" s="73">
        <v>802.90499999999997</v>
      </c>
      <c r="Y37" s="73">
        <v>802.90499999999997</v>
      </c>
      <c r="Z37" s="73">
        <v>802.90499999999997</v>
      </c>
      <c r="AA37" s="73">
        <v>802.90499999999997</v>
      </c>
      <c r="AB37" s="73">
        <v>656.81278999999995</v>
      </c>
      <c r="AC37" s="73">
        <v>625.88699999999994</v>
      </c>
      <c r="AD37" s="73">
        <v>837</v>
      </c>
      <c r="AE37" s="73">
        <v>8.5618400000000001</v>
      </c>
      <c r="AF37" s="73">
        <v>8.2985399999999991</v>
      </c>
      <c r="AG37" s="73">
        <v>3.1968100000000002</v>
      </c>
      <c r="AH37" s="73">
        <v>813.06906000000004</v>
      </c>
      <c r="AI37" s="73">
        <v>815.47353999999996</v>
      </c>
      <c r="AJ37" s="73">
        <v>8.1007400000000001</v>
      </c>
      <c r="AK37" s="73">
        <v>8.2318800000000003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196.20042000000001</v>
      </c>
      <c r="AR37" s="73">
        <v>294.30063999999999</v>
      </c>
      <c r="AS37" s="73">
        <v>0</v>
      </c>
      <c r="AT37" s="73">
        <v>0</v>
      </c>
      <c r="AU37" s="73">
        <v>616.14</v>
      </c>
      <c r="AV37" s="73">
        <v>735.00699999999995</v>
      </c>
    </row>
    <row r="38" spans="1:48" ht="24" customHeight="1" x14ac:dyDescent="0.3">
      <c r="A38" s="16" t="s">
        <v>67</v>
      </c>
      <c r="B38" s="16" t="s">
        <v>838</v>
      </c>
      <c r="C38" s="73">
        <v>23</v>
      </c>
      <c r="D38" s="73">
        <v>0</v>
      </c>
      <c r="E38" s="73">
        <v>0</v>
      </c>
      <c r="F38" s="73">
        <v>25.35</v>
      </c>
      <c r="G38" s="73">
        <v>23.380089999999999</v>
      </c>
      <c r="H38" s="73">
        <v>0</v>
      </c>
      <c r="I38" s="73">
        <v>616.33000000000004</v>
      </c>
      <c r="J38" s="73">
        <v>476.06</v>
      </c>
      <c r="K38" s="73">
        <v>5.96</v>
      </c>
      <c r="L38" s="73">
        <v>6.64</v>
      </c>
      <c r="M38" s="73">
        <v>8.9299099999999996</v>
      </c>
      <c r="N38" s="73">
        <v>7.5</v>
      </c>
      <c r="O38" s="73">
        <v>7.5</v>
      </c>
      <c r="P38" s="73">
        <v>7.5</v>
      </c>
      <c r="Q38" s="73">
        <v>7.5</v>
      </c>
      <c r="R38" s="73">
        <v>805.2</v>
      </c>
      <c r="S38" s="73">
        <v>805.2</v>
      </c>
      <c r="T38" s="73">
        <v>785.43</v>
      </c>
      <c r="U38" s="73">
        <v>11</v>
      </c>
      <c r="V38" s="73">
        <v>10</v>
      </c>
      <c r="W38" s="73">
        <v>770.70258000000001</v>
      </c>
      <c r="X38" s="73">
        <v>732.02700000000004</v>
      </c>
      <c r="Y38" s="73">
        <v>732.02700000000004</v>
      </c>
      <c r="Z38" s="73">
        <v>732.02700000000004</v>
      </c>
      <c r="AA38" s="73">
        <v>732.02700000000004</v>
      </c>
      <c r="AB38" s="73">
        <v>574.15931</v>
      </c>
      <c r="AC38" s="73">
        <v>514.59699999999998</v>
      </c>
      <c r="AD38" s="73">
        <v>806</v>
      </c>
      <c r="AE38" s="73">
        <v>8.2239599999999999</v>
      </c>
      <c r="AF38" s="73">
        <v>8.5281900000000004</v>
      </c>
      <c r="AG38" s="73">
        <v>9.6292899999999992</v>
      </c>
      <c r="AH38" s="73">
        <v>792.32547</v>
      </c>
      <c r="AI38" s="73">
        <v>759.40088000000003</v>
      </c>
      <c r="AJ38" s="73">
        <v>8.7810500000000005</v>
      </c>
      <c r="AK38" s="73">
        <v>9.0935799999999993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196.20042000000001</v>
      </c>
      <c r="AR38" s="73">
        <v>294.30063999999999</v>
      </c>
      <c r="AS38" s="73">
        <v>0</v>
      </c>
      <c r="AT38" s="73">
        <v>0</v>
      </c>
      <c r="AU38" s="73">
        <v>484.86200000000002</v>
      </c>
      <c r="AV38" s="73">
        <v>636.23299999999995</v>
      </c>
    </row>
    <row r="39" spans="1:48" ht="24" customHeight="1" x14ac:dyDescent="0.3">
      <c r="A39" s="18" t="s">
        <v>67</v>
      </c>
      <c r="B39" s="18" t="s">
        <v>839</v>
      </c>
      <c r="C39" s="74">
        <v>23</v>
      </c>
      <c r="D39" s="74">
        <v>0</v>
      </c>
      <c r="E39" s="74">
        <v>0</v>
      </c>
      <c r="F39" s="74">
        <v>24.63</v>
      </c>
      <c r="G39" s="74">
        <v>23.380089999999999</v>
      </c>
      <c r="H39" s="74">
        <v>0</v>
      </c>
      <c r="I39" s="74">
        <v>496.41</v>
      </c>
      <c r="J39" s="74">
        <v>377.29</v>
      </c>
      <c r="K39" s="74">
        <v>6.06</v>
      </c>
      <c r="L39" s="74">
        <v>6.64</v>
      </c>
      <c r="M39" s="74">
        <v>8.8097799999999999</v>
      </c>
      <c r="N39" s="74">
        <v>8.1199999999999992</v>
      </c>
      <c r="O39" s="74">
        <v>8.1199999999999992</v>
      </c>
      <c r="P39" s="74">
        <v>8.1199999999999992</v>
      </c>
      <c r="Q39" s="74">
        <v>8.1199999999999992</v>
      </c>
      <c r="R39" s="74">
        <v>752.94</v>
      </c>
      <c r="S39" s="74">
        <v>752.94</v>
      </c>
      <c r="T39" s="74">
        <v>588.86</v>
      </c>
      <c r="U39" s="74">
        <v>11</v>
      </c>
      <c r="V39" s="74">
        <v>10</v>
      </c>
      <c r="W39" s="74">
        <v>554.82119</v>
      </c>
      <c r="X39" s="74">
        <v>508.39299999999997</v>
      </c>
      <c r="Y39" s="74">
        <v>508.39299999999997</v>
      </c>
      <c r="Z39" s="74">
        <v>508.39299999999997</v>
      </c>
      <c r="AA39" s="74">
        <v>508.39299999999997</v>
      </c>
      <c r="AB39" s="74">
        <v>446.36176</v>
      </c>
      <c r="AC39" s="74">
        <v>388.00599999999997</v>
      </c>
      <c r="AD39" s="74">
        <v>738.95</v>
      </c>
      <c r="AE39" s="74">
        <v>10.277100000000001</v>
      </c>
      <c r="AF39" s="74">
        <v>2.0515699999999999</v>
      </c>
      <c r="AG39" s="74">
        <v>2.8407200000000001</v>
      </c>
      <c r="AH39" s="74">
        <v>636.86001999999996</v>
      </c>
      <c r="AI39" s="74">
        <v>648.56682999999998</v>
      </c>
      <c r="AJ39" s="74">
        <v>8.5456199999999995</v>
      </c>
      <c r="AK39" s="74">
        <v>8.8798300000000001</v>
      </c>
      <c r="AL39" s="74">
        <v>0</v>
      </c>
      <c r="AM39" s="74">
        <v>0</v>
      </c>
      <c r="AN39" s="74">
        <v>0</v>
      </c>
      <c r="AO39" s="74">
        <v>0</v>
      </c>
      <c r="AP39" s="74">
        <v>0</v>
      </c>
      <c r="AQ39" s="74">
        <v>196.20042000000001</v>
      </c>
      <c r="AR39" s="74">
        <v>294.30063999999999</v>
      </c>
      <c r="AS39" s="74">
        <v>0</v>
      </c>
      <c r="AT39" s="74">
        <v>0</v>
      </c>
      <c r="AU39" s="74">
        <v>344.91800000000001</v>
      </c>
      <c r="AV39" s="74">
        <v>432.97800000000001</v>
      </c>
    </row>
    <row r="40" spans="1:48" ht="24" customHeight="1" x14ac:dyDescent="0.3">
      <c r="A40" s="13" t="s">
        <v>67</v>
      </c>
      <c r="B40" s="13" t="s">
        <v>840</v>
      </c>
      <c r="C40" s="72">
        <v>22</v>
      </c>
      <c r="D40" s="72">
        <v>0</v>
      </c>
      <c r="E40" s="72">
        <v>0</v>
      </c>
      <c r="F40" s="72">
        <v>26.12</v>
      </c>
      <c r="G40" s="72">
        <v>18.465340000000001</v>
      </c>
      <c r="H40" s="72">
        <v>0</v>
      </c>
      <c r="I40" s="72">
        <v>369.49</v>
      </c>
      <c r="J40" s="72">
        <v>242.19</v>
      </c>
      <c r="K40" s="72">
        <v>5.86</v>
      </c>
      <c r="L40" s="72">
        <v>6.59</v>
      </c>
      <c r="M40" s="72">
        <v>8.5642499999999995</v>
      </c>
      <c r="N40" s="72">
        <v>8.16</v>
      </c>
      <c r="O40" s="72">
        <v>8.16</v>
      </c>
      <c r="P40" s="72">
        <v>8.16</v>
      </c>
      <c r="Q40" s="72">
        <v>8.16</v>
      </c>
      <c r="R40" s="72">
        <v>510.67</v>
      </c>
      <c r="S40" s="72">
        <v>510.67</v>
      </c>
      <c r="T40" s="72">
        <v>331.29</v>
      </c>
      <c r="U40" s="72">
        <v>11</v>
      </c>
      <c r="V40" s="72">
        <v>10</v>
      </c>
      <c r="W40" s="72">
        <v>201.49812</v>
      </c>
      <c r="X40" s="72">
        <v>144.34200000000001</v>
      </c>
      <c r="Y40" s="72">
        <v>144.34200000000001</v>
      </c>
      <c r="Z40" s="72">
        <v>144.34200000000001</v>
      </c>
      <c r="AA40" s="72">
        <v>144.34200000000001</v>
      </c>
      <c r="AB40" s="72">
        <v>259.58393000000001</v>
      </c>
      <c r="AC40" s="72">
        <v>199.453</v>
      </c>
      <c r="AD40" s="72">
        <v>609.25</v>
      </c>
      <c r="AE40" s="72">
        <v>9.8875100000000007</v>
      </c>
      <c r="AF40" s="72">
        <v>1.95221</v>
      </c>
      <c r="AG40" s="72">
        <v>32.087800000000001</v>
      </c>
      <c r="AH40" s="72">
        <v>375.15839999999997</v>
      </c>
      <c r="AI40" s="72">
        <v>324.24446</v>
      </c>
      <c r="AJ40" s="72">
        <v>8.7092799999999997</v>
      </c>
      <c r="AK40" s="72">
        <v>9.3443699999999996</v>
      </c>
      <c r="AL40" s="72">
        <v>0</v>
      </c>
      <c r="AM40" s="72">
        <v>0</v>
      </c>
      <c r="AN40" s="72">
        <v>0</v>
      </c>
      <c r="AO40" s="72">
        <v>0</v>
      </c>
      <c r="AP40" s="72">
        <v>0</v>
      </c>
      <c r="AQ40" s="72">
        <v>196.20042000000001</v>
      </c>
      <c r="AR40" s="72">
        <v>294.30063999999999</v>
      </c>
      <c r="AS40" s="72">
        <v>0</v>
      </c>
      <c r="AT40" s="72">
        <v>0</v>
      </c>
      <c r="AU40" s="72">
        <v>125.988</v>
      </c>
      <c r="AV40" s="72">
        <v>135.37450000000001</v>
      </c>
    </row>
    <row r="41" spans="1:48" ht="24" customHeight="1" x14ac:dyDescent="0.3">
      <c r="A41" s="16" t="s">
        <v>67</v>
      </c>
      <c r="B41" s="16" t="s">
        <v>841</v>
      </c>
      <c r="C41" s="73">
        <v>22</v>
      </c>
      <c r="D41" s="73">
        <v>0</v>
      </c>
      <c r="E41" s="73">
        <v>0</v>
      </c>
      <c r="F41" s="73">
        <v>26.2</v>
      </c>
      <c r="G41" s="73">
        <v>18.465340000000001</v>
      </c>
      <c r="H41" s="73">
        <v>0</v>
      </c>
      <c r="I41" s="73">
        <v>183.18</v>
      </c>
      <c r="J41" s="73">
        <v>37.590000000000003</v>
      </c>
      <c r="K41" s="73">
        <v>5.41</v>
      </c>
      <c r="L41" s="73">
        <v>7.14</v>
      </c>
      <c r="M41" s="73">
        <v>8.1950500000000002</v>
      </c>
      <c r="N41" s="73">
        <v>8.01</v>
      </c>
      <c r="O41" s="73">
        <v>8.01</v>
      </c>
      <c r="P41" s="73">
        <v>8.01</v>
      </c>
      <c r="Q41" s="73">
        <v>8.01</v>
      </c>
      <c r="R41" s="73">
        <v>252.71</v>
      </c>
      <c r="S41" s="73">
        <v>252.71</v>
      </c>
      <c r="T41" s="73">
        <v>87.83</v>
      </c>
      <c r="U41" s="73">
        <v>11</v>
      </c>
      <c r="V41" s="73">
        <v>10</v>
      </c>
      <c r="W41" s="73">
        <v>20.977979999999999</v>
      </c>
      <c r="X41" s="73">
        <v>12.388</v>
      </c>
      <c r="Y41" s="73">
        <v>12.388</v>
      </c>
      <c r="Z41" s="73">
        <v>12.388</v>
      </c>
      <c r="AA41" s="73">
        <v>12.388</v>
      </c>
      <c r="AB41" s="73">
        <v>155.77181999999999</v>
      </c>
      <c r="AC41" s="73">
        <v>91.813999999999993</v>
      </c>
      <c r="AD41" s="73">
        <v>252.1</v>
      </c>
      <c r="AE41" s="73">
        <v>9.2730999999999995</v>
      </c>
      <c r="AF41" s="73">
        <v>9.3842800000000004</v>
      </c>
      <c r="AG41" s="73">
        <v>40.04618</v>
      </c>
      <c r="AH41" s="73">
        <v>128.29724999999999</v>
      </c>
      <c r="AI41" s="73">
        <v>29.98359</v>
      </c>
      <c r="AJ41" s="73">
        <v>8.4624799999999993</v>
      </c>
      <c r="AK41" s="73">
        <v>9.2477199999999993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196.20042000000001</v>
      </c>
      <c r="AR41" s="73">
        <v>294.30063999999999</v>
      </c>
      <c r="AS41" s="73">
        <v>0</v>
      </c>
      <c r="AT41" s="73">
        <v>0</v>
      </c>
      <c r="AU41" s="73">
        <v>51.39</v>
      </c>
      <c r="AV41" s="73">
        <v>3.7469999999999999</v>
      </c>
    </row>
    <row r="42" spans="1:48" ht="24" customHeight="1" x14ac:dyDescent="0.3">
      <c r="A42" s="16" t="s">
        <v>67</v>
      </c>
      <c r="B42" s="16" t="s">
        <v>842</v>
      </c>
      <c r="C42" s="73">
        <v>23</v>
      </c>
      <c r="D42" s="73">
        <v>0</v>
      </c>
      <c r="E42" s="73">
        <v>0</v>
      </c>
      <c r="F42" s="73">
        <v>25.9</v>
      </c>
      <c r="G42" s="73">
        <v>18.465340000000001</v>
      </c>
      <c r="H42" s="73">
        <v>0</v>
      </c>
      <c r="I42" s="73">
        <v>50.8</v>
      </c>
      <c r="J42" s="73">
        <v>16.260000000000002</v>
      </c>
      <c r="K42" s="73">
        <v>5.15</v>
      </c>
      <c r="L42" s="73">
        <v>7.06</v>
      </c>
      <c r="M42" s="73">
        <v>8.3127899999999997</v>
      </c>
      <c r="N42" s="73">
        <v>8.17</v>
      </c>
      <c r="O42" s="73">
        <v>8.17</v>
      </c>
      <c r="P42" s="73">
        <v>8.17</v>
      </c>
      <c r="Q42" s="73">
        <v>8.17</v>
      </c>
      <c r="R42" s="73">
        <v>50.6</v>
      </c>
      <c r="S42" s="73">
        <v>50.6</v>
      </c>
      <c r="T42" s="73">
        <v>0</v>
      </c>
      <c r="U42" s="73">
        <v>11</v>
      </c>
      <c r="V42" s="73">
        <v>10</v>
      </c>
      <c r="W42" s="73">
        <v>0.11733</v>
      </c>
      <c r="X42" s="73">
        <v>0</v>
      </c>
      <c r="Y42" s="73">
        <v>0</v>
      </c>
      <c r="Z42" s="73">
        <v>0</v>
      </c>
      <c r="AA42" s="73">
        <v>0</v>
      </c>
      <c r="AB42" s="73">
        <v>64.4101</v>
      </c>
      <c r="AC42" s="73">
        <v>0</v>
      </c>
      <c r="AD42" s="73">
        <v>4.74</v>
      </c>
      <c r="AE42" s="73">
        <v>12.781319999999999</v>
      </c>
      <c r="AF42" s="73">
        <v>10.598879999999999</v>
      </c>
      <c r="AG42" s="73">
        <v>4.7743000000000002</v>
      </c>
      <c r="AH42" s="73">
        <v>2.8897300000000001</v>
      </c>
      <c r="AI42" s="73">
        <v>0</v>
      </c>
      <c r="AJ42" s="73">
        <v>8.3805700000000005</v>
      </c>
      <c r="AK42" s="73">
        <v>9.1198800000000002</v>
      </c>
      <c r="AL42" s="73">
        <v>0</v>
      </c>
      <c r="AM42" s="73">
        <v>0</v>
      </c>
      <c r="AN42" s="73">
        <v>0</v>
      </c>
      <c r="AO42" s="73">
        <v>0</v>
      </c>
      <c r="AP42" s="73">
        <v>0</v>
      </c>
      <c r="AQ42" s="73">
        <v>196.20042000000001</v>
      </c>
      <c r="AR42" s="73">
        <v>294.30063999999999</v>
      </c>
      <c r="AS42" s="73">
        <v>0</v>
      </c>
      <c r="AT42" s="73">
        <v>0</v>
      </c>
      <c r="AU42" s="73">
        <v>0</v>
      </c>
      <c r="AV42" s="73">
        <v>2.75E-2</v>
      </c>
    </row>
    <row r="43" spans="1:48" ht="24" customHeight="1" x14ac:dyDescent="0.3">
      <c r="A43" s="16" t="s">
        <v>67</v>
      </c>
      <c r="B43" s="16" t="s">
        <v>843</v>
      </c>
      <c r="C43" s="73">
        <v>23</v>
      </c>
      <c r="D43" s="73">
        <v>0</v>
      </c>
      <c r="E43" s="73">
        <v>0</v>
      </c>
      <c r="F43" s="73">
        <v>25.84</v>
      </c>
      <c r="G43" s="73">
        <v>18.465340000000001</v>
      </c>
      <c r="H43" s="73">
        <v>0</v>
      </c>
      <c r="I43" s="73">
        <v>0.57999999999999996</v>
      </c>
      <c r="J43" s="73">
        <v>1.03</v>
      </c>
      <c r="K43" s="73">
        <v>4.96</v>
      </c>
      <c r="L43" s="73">
        <v>6.91</v>
      </c>
      <c r="M43" s="73">
        <v>8.5304699999999993</v>
      </c>
      <c r="N43" s="73">
        <v>7.96</v>
      </c>
      <c r="O43" s="73">
        <v>7.96</v>
      </c>
      <c r="P43" s="73">
        <v>7.96</v>
      </c>
      <c r="Q43" s="73">
        <v>7.96</v>
      </c>
      <c r="R43" s="73">
        <v>0</v>
      </c>
      <c r="S43" s="73">
        <v>0</v>
      </c>
      <c r="T43" s="73">
        <v>0</v>
      </c>
      <c r="U43" s="73">
        <v>10</v>
      </c>
      <c r="V43" s="73">
        <v>10</v>
      </c>
      <c r="W43" s="73">
        <v>2.1126200000000002</v>
      </c>
      <c r="X43" s="73">
        <v>0</v>
      </c>
      <c r="Y43" s="73">
        <v>0</v>
      </c>
      <c r="Z43" s="73">
        <v>0</v>
      </c>
      <c r="AA43" s="73">
        <v>0</v>
      </c>
      <c r="AB43" s="73">
        <v>20.610330000000001</v>
      </c>
      <c r="AC43" s="73">
        <v>0</v>
      </c>
      <c r="AD43" s="73">
        <v>0</v>
      </c>
      <c r="AE43" s="73">
        <v>10.78936</v>
      </c>
      <c r="AF43" s="73">
        <v>0.77507999999999999</v>
      </c>
      <c r="AG43" s="73">
        <v>0</v>
      </c>
      <c r="AH43" s="73">
        <v>0</v>
      </c>
      <c r="AI43" s="73">
        <v>0</v>
      </c>
      <c r="AJ43" s="73">
        <v>8.5734499999999993</v>
      </c>
      <c r="AK43" s="73">
        <v>9.1705199999999998</v>
      </c>
      <c r="AL43" s="73">
        <v>0</v>
      </c>
      <c r="AM43" s="73">
        <v>0</v>
      </c>
      <c r="AN43" s="73">
        <v>0</v>
      </c>
      <c r="AO43" s="73">
        <v>0</v>
      </c>
      <c r="AP43" s="73">
        <v>0</v>
      </c>
      <c r="AQ43" s="73">
        <v>196.20042000000001</v>
      </c>
      <c r="AR43" s="73">
        <v>294.30063999999999</v>
      </c>
      <c r="AS43" s="73">
        <v>0</v>
      </c>
      <c r="AT43" s="73">
        <v>0</v>
      </c>
      <c r="AU43" s="73">
        <v>0</v>
      </c>
      <c r="AV43" s="73">
        <v>0.13450000000000001</v>
      </c>
    </row>
    <row r="44" spans="1:48" ht="24" customHeight="1" x14ac:dyDescent="0.3">
      <c r="A44" s="16" t="s">
        <v>67</v>
      </c>
      <c r="B44" s="16" t="s">
        <v>844</v>
      </c>
      <c r="C44" s="73">
        <v>23</v>
      </c>
      <c r="D44" s="73">
        <v>0</v>
      </c>
      <c r="E44" s="73">
        <v>0</v>
      </c>
      <c r="F44" s="73">
        <v>25.3</v>
      </c>
      <c r="G44" s="73">
        <v>18.465340000000001</v>
      </c>
      <c r="H44" s="73">
        <v>0</v>
      </c>
      <c r="I44" s="73"/>
      <c r="J44" s="73">
        <v>0.16</v>
      </c>
      <c r="K44" s="73">
        <v>4.8499999999999996</v>
      </c>
      <c r="L44" s="73">
        <v>6.16</v>
      </c>
      <c r="M44" s="73">
        <v>8.7225300000000008</v>
      </c>
      <c r="N44" s="73">
        <v>8.1300000000000008</v>
      </c>
      <c r="O44" s="73">
        <v>8.1300000000000008</v>
      </c>
      <c r="P44" s="73">
        <v>8.1300000000000008</v>
      </c>
      <c r="Q44" s="73">
        <v>8.1300000000000008</v>
      </c>
      <c r="R44" s="73">
        <v>0</v>
      </c>
      <c r="S44" s="73">
        <v>0</v>
      </c>
      <c r="T44" s="73">
        <v>0</v>
      </c>
      <c r="U44" s="73">
        <v>11</v>
      </c>
      <c r="V44" s="73">
        <v>9</v>
      </c>
      <c r="W44" s="73">
        <v>0.18053</v>
      </c>
      <c r="X44" s="73">
        <v>0</v>
      </c>
      <c r="Y44" s="73">
        <v>0</v>
      </c>
      <c r="Z44" s="73">
        <v>0</v>
      </c>
      <c r="AA44" s="73">
        <v>0</v>
      </c>
      <c r="AB44" s="73">
        <v>2.5228100000000002</v>
      </c>
      <c r="AC44" s="73">
        <v>0</v>
      </c>
      <c r="AD44" s="73">
        <v>0</v>
      </c>
      <c r="AE44" s="73">
        <v>11.64883</v>
      </c>
      <c r="AF44" s="73">
        <v>12.471</v>
      </c>
      <c r="AG44" s="73">
        <v>0</v>
      </c>
      <c r="AH44" s="73">
        <v>0</v>
      </c>
      <c r="AI44" s="73">
        <v>0</v>
      </c>
      <c r="AJ44" s="73">
        <v>9.2583900000000003</v>
      </c>
      <c r="AK44" s="73">
        <v>9.5448699999999995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196.20042000000001</v>
      </c>
      <c r="AR44" s="73">
        <v>294.30063999999999</v>
      </c>
      <c r="AS44" s="73">
        <v>0</v>
      </c>
      <c r="AT44" s="73">
        <v>0</v>
      </c>
      <c r="AU44" s="73">
        <v>0</v>
      </c>
      <c r="AV44" s="73">
        <v>8.5999999999999993E-2</v>
      </c>
    </row>
    <row r="45" spans="1:48" ht="24" customHeight="1" x14ac:dyDescent="0.3">
      <c r="A45" s="16" t="s">
        <v>67</v>
      </c>
      <c r="B45" s="16" t="s">
        <v>845</v>
      </c>
      <c r="C45" s="73">
        <v>23</v>
      </c>
      <c r="D45" s="73">
        <v>0</v>
      </c>
      <c r="E45" s="73">
        <v>0</v>
      </c>
      <c r="F45" s="73">
        <v>26.31</v>
      </c>
      <c r="G45" s="73">
        <v>18.465340000000001</v>
      </c>
      <c r="H45" s="73">
        <v>0</v>
      </c>
      <c r="I45" s="73"/>
      <c r="J45" s="73">
        <v>0</v>
      </c>
      <c r="K45" s="73">
        <v>5.28</v>
      </c>
      <c r="L45" s="73">
        <v>4.79</v>
      </c>
      <c r="M45" s="73">
        <v>8.8526000000000007</v>
      </c>
      <c r="N45" s="73">
        <v>8.1999999999999993</v>
      </c>
      <c r="O45" s="73">
        <v>8.1999999999999993</v>
      </c>
      <c r="P45" s="73">
        <v>8.1999999999999993</v>
      </c>
      <c r="Q45" s="73">
        <v>8.1999999999999993</v>
      </c>
      <c r="R45" s="73">
        <v>0</v>
      </c>
      <c r="S45" s="73">
        <v>0</v>
      </c>
      <c r="T45" s="73">
        <v>0</v>
      </c>
      <c r="U45" s="73">
        <v>10</v>
      </c>
      <c r="V45" s="73">
        <v>9</v>
      </c>
      <c r="W45" s="73">
        <v>1.0190699999999999</v>
      </c>
      <c r="X45" s="73">
        <v>0</v>
      </c>
      <c r="Y45" s="73">
        <v>0</v>
      </c>
      <c r="Z45" s="73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9.7840399999999992</v>
      </c>
      <c r="AF45" s="73">
        <v>11.08638</v>
      </c>
      <c r="AG45" s="73">
        <v>0</v>
      </c>
      <c r="AH45" s="73">
        <v>0</v>
      </c>
      <c r="AI45" s="73">
        <v>0</v>
      </c>
      <c r="AJ45" s="73">
        <v>9.1922099999999993</v>
      </c>
      <c r="AK45" s="73">
        <v>9.6453799999999994</v>
      </c>
      <c r="AL45" s="73">
        <v>0</v>
      </c>
      <c r="AM45" s="73">
        <v>0</v>
      </c>
      <c r="AN45" s="73">
        <v>0</v>
      </c>
      <c r="AO45" s="73">
        <v>0</v>
      </c>
      <c r="AP45" s="73">
        <v>0</v>
      </c>
      <c r="AQ45" s="73">
        <v>196.20042000000001</v>
      </c>
      <c r="AR45" s="73">
        <v>294.30063999999999</v>
      </c>
      <c r="AS45" s="73">
        <v>0</v>
      </c>
      <c r="AT45" s="73">
        <v>0</v>
      </c>
      <c r="AU45" s="73">
        <v>0</v>
      </c>
      <c r="AV45" s="73">
        <v>5.2999999999999999E-2</v>
      </c>
    </row>
    <row r="46" spans="1:48" ht="24" customHeight="1" x14ac:dyDescent="0.3">
      <c r="A46" s="16" t="s">
        <v>67</v>
      </c>
      <c r="B46" s="16" t="s">
        <v>846</v>
      </c>
      <c r="C46" s="73">
        <v>23</v>
      </c>
      <c r="D46" s="73">
        <v>0</v>
      </c>
      <c r="E46" s="73">
        <v>0</v>
      </c>
      <c r="F46" s="73">
        <v>25.65</v>
      </c>
      <c r="G46" s="73">
        <v>18.465340000000001</v>
      </c>
      <c r="H46" s="73">
        <v>0</v>
      </c>
      <c r="I46" s="73"/>
      <c r="J46" s="73">
        <v>0</v>
      </c>
      <c r="K46" s="73">
        <v>5.66</v>
      </c>
      <c r="L46" s="73">
        <v>5.28</v>
      </c>
      <c r="M46" s="73">
        <v>8.8004999999999995</v>
      </c>
      <c r="N46" s="73">
        <v>9.18</v>
      </c>
      <c r="O46" s="73">
        <v>9.18</v>
      </c>
      <c r="P46" s="73">
        <v>9.18</v>
      </c>
      <c r="Q46" s="73">
        <v>9.18</v>
      </c>
      <c r="R46" s="73">
        <v>0</v>
      </c>
      <c r="S46" s="73">
        <v>0</v>
      </c>
      <c r="T46" s="73">
        <v>0</v>
      </c>
      <c r="U46" s="73">
        <v>10</v>
      </c>
      <c r="V46" s="73">
        <v>9</v>
      </c>
      <c r="W46" s="73">
        <v>4.913E-2</v>
      </c>
      <c r="X46" s="73">
        <v>0</v>
      </c>
      <c r="Y46" s="73">
        <v>0</v>
      </c>
      <c r="Z46" s="73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7.3230700000000004</v>
      </c>
      <c r="AF46" s="73">
        <v>11.43915</v>
      </c>
      <c r="AG46" s="73">
        <v>0</v>
      </c>
      <c r="AH46" s="73">
        <v>0</v>
      </c>
      <c r="AI46" s="73">
        <v>0</v>
      </c>
      <c r="AJ46" s="73">
        <v>9.0333000000000006</v>
      </c>
      <c r="AK46" s="73">
        <v>9.5855599999999992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196.20042000000001</v>
      </c>
      <c r="AR46" s="73">
        <v>294.30063999999999</v>
      </c>
      <c r="AS46" s="73">
        <v>0</v>
      </c>
      <c r="AT46" s="73">
        <v>0</v>
      </c>
      <c r="AU46" s="73">
        <v>0</v>
      </c>
      <c r="AV46" s="73">
        <v>6.25E-2</v>
      </c>
    </row>
    <row r="47" spans="1:48" ht="24" customHeight="1" x14ac:dyDescent="0.3">
      <c r="A47" s="18" t="s">
        <v>67</v>
      </c>
      <c r="B47" s="18" t="s">
        <v>847</v>
      </c>
      <c r="C47" s="74">
        <v>23</v>
      </c>
      <c r="D47" s="74">
        <v>0</v>
      </c>
      <c r="E47" s="74">
        <v>0</v>
      </c>
      <c r="F47" s="74">
        <v>25.68</v>
      </c>
      <c r="G47" s="74">
        <v>18.465340000000001</v>
      </c>
      <c r="H47" s="74">
        <v>0</v>
      </c>
      <c r="I47" s="74"/>
      <c r="J47" s="74"/>
      <c r="K47" s="74">
        <v>6.19</v>
      </c>
      <c r="L47" s="74">
        <v>5.54</v>
      </c>
      <c r="M47" s="74">
        <v>8.8304200000000002</v>
      </c>
      <c r="N47" s="74">
        <v>9.4600000000000009</v>
      </c>
      <c r="O47" s="74">
        <v>9.4600000000000009</v>
      </c>
      <c r="P47" s="74">
        <v>9.4600000000000009</v>
      </c>
      <c r="Q47" s="74">
        <v>9.4600000000000009</v>
      </c>
      <c r="R47" s="74"/>
      <c r="S47" s="74"/>
      <c r="T47" s="74"/>
      <c r="U47" s="74">
        <v>9</v>
      </c>
      <c r="V47" s="74">
        <v>8</v>
      </c>
      <c r="W47" s="74"/>
      <c r="X47" s="74"/>
      <c r="Y47" s="74"/>
      <c r="Z47" s="74"/>
      <c r="AA47" s="74"/>
      <c r="AB47" s="74"/>
      <c r="AC47" s="74"/>
      <c r="AD47" s="74"/>
      <c r="AE47" s="74">
        <v>7.0513899999999996</v>
      </c>
      <c r="AF47" s="74">
        <v>8.3398400000000006</v>
      </c>
      <c r="AG47" s="74"/>
      <c r="AH47" s="74"/>
      <c r="AI47" s="74"/>
      <c r="AJ47" s="74">
        <v>9.0710700000000006</v>
      </c>
      <c r="AK47" s="74">
        <v>9.6838300000000004</v>
      </c>
      <c r="AL47" s="74">
        <v>0</v>
      </c>
      <c r="AM47" s="74">
        <v>0</v>
      </c>
      <c r="AN47" s="74">
        <v>0</v>
      </c>
      <c r="AO47" s="74">
        <v>0</v>
      </c>
      <c r="AP47" s="74">
        <v>0</v>
      </c>
      <c r="AQ47" s="74">
        <v>196.20042000000001</v>
      </c>
      <c r="AR47" s="74">
        <v>294.30063999999999</v>
      </c>
      <c r="AS47" s="74">
        <v>0</v>
      </c>
      <c r="AT47" s="74">
        <v>0</v>
      </c>
      <c r="AU47" s="74"/>
      <c r="AV47" s="74"/>
    </row>
    <row r="48" spans="1:48" ht="24" customHeight="1" x14ac:dyDescent="0.3">
      <c r="A48" s="13" t="s">
        <v>67</v>
      </c>
      <c r="B48" s="13" t="s">
        <v>848</v>
      </c>
      <c r="C48" s="72">
        <v>23</v>
      </c>
      <c r="D48" s="72">
        <v>0</v>
      </c>
      <c r="E48" s="72">
        <v>0</v>
      </c>
      <c r="F48" s="72">
        <v>25.99</v>
      </c>
      <c r="G48" s="72">
        <v>18.465340000000001</v>
      </c>
      <c r="H48" s="72">
        <v>0</v>
      </c>
      <c r="I48" s="72"/>
      <c r="J48" s="72"/>
      <c r="K48" s="72">
        <v>6.81</v>
      </c>
      <c r="L48" s="72">
        <v>6.32</v>
      </c>
      <c r="M48" s="72">
        <v>8.8847299999999994</v>
      </c>
      <c r="N48" s="72">
        <v>11.64</v>
      </c>
      <c r="O48" s="72">
        <v>11.64</v>
      </c>
      <c r="P48" s="72">
        <v>11.64</v>
      </c>
      <c r="Q48" s="72">
        <v>11.64</v>
      </c>
      <c r="R48" s="72"/>
      <c r="S48" s="72"/>
      <c r="T48" s="72"/>
      <c r="U48" s="72">
        <v>9</v>
      </c>
      <c r="V48" s="72">
        <v>10</v>
      </c>
      <c r="W48" s="72"/>
      <c r="X48" s="72"/>
      <c r="Y48" s="72"/>
      <c r="Z48" s="72"/>
      <c r="AA48" s="72"/>
      <c r="AB48" s="72"/>
      <c r="AC48" s="72"/>
      <c r="AD48" s="72"/>
      <c r="AE48" s="72">
        <v>6.1553899999999997</v>
      </c>
      <c r="AF48" s="72">
        <v>8.8762600000000003</v>
      </c>
      <c r="AG48" s="72"/>
      <c r="AH48" s="72"/>
      <c r="AI48" s="72"/>
      <c r="AJ48" s="72">
        <v>9.4906400000000009</v>
      </c>
      <c r="AK48" s="72">
        <v>9.9459199999999992</v>
      </c>
      <c r="AL48" s="72">
        <v>0</v>
      </c>
      <c r="AM48" s="72">
        <v>0</v>
      </c>
      <c r="AN48" s="72">
        <v>0</v>
      </c>
      <c r="AO48" s="72">
        <v>0</v>
      </c>
      <c r="AP48" s="72">
        <v>0</v>
      </c>
      <c r="AQ48" s="72">
        <v>196.20042000000001</v>
      </c>
      <c r="AR48" s="72">
        <v>294.30063999999999</v>
      </c>
      <c r="AS48" s="72">
        <v>0</v>
      </c>
      <c r="AT48" s="72">
        <v>0</v>
      </c>
      <c r="AU48" s="72"/>
      <c r="AV48" s="72"/>
    </row>
    <row r="49" spans="1:48" ht="24" customHeight="1" x14ac:dyDescent="0.3">
      <c r="A49" s="16" t="s">
        <v>67</v>
      </c>
      <c r="B49" s="16" t="s">
        <v>849</v>
      </c>
      <c r="C49" s="73">
        <v>23</v>
      </c>
      <c r="D49" s="73">
        <v>0</v>
      </c>
      <c r="E49" s="73">
        <v>0</v>
      </c>
      <c r="F49" s="73">
        <v>27.28</v>
      </c>
      <c r="G49" s="73">
        <v>18.465340000000001</v>
      </c>
      <c r="H49" s="73">
        <v>0</v>
      </c>
      <c r="I49" s="73"/>
      <c r="J49" s="73"/>
      <c r="K49" s="73">
        <v>7.03</v>
      </c>
      <c r="L49" s="73">
        <v>6.63</v>
      </c>
      <c r="M49" s="73">
        <v>8.9898799999999994</v>
      </c>
      <c r="N49" s="73">
        <v>9.19</v>
      </c>
      <c r="O49" s="73">
        <v>9.19</v>
      </c>
      <c r="P49" s="73">
        <v>9.19</v>
      </c>
      <c r="Q49" s="73">
        <v>9.19</v>
      </c>
      <c r="R49" s="73"/>
      <c r="S49" s="73"/>
      <c r="T49" s="73"/>
      <c r="U49" s="73">
        <v>8</v>
      </c>
      <c r="V49" s="73">
        <v>9</v>
      </c>
      <c r="W49" s="73"/>
      <c r="X49" s="73"/>
      <c r="Y49" s="73"/>
      <c r="Z49" s="73"/>
      <c r="AA49" s="73"/>
      <c r="AB49" s="73"/>
      <c r="AC49" s="73"/>
      <c r="AD49" s="73"/>
      <c r="AE49" s="73">
        <v>5.5502099999999999</v>
      </c>
      <c r="AF49" s="73">
        <v>6.4217300000000002</v>
      </c>
      <c r="AG49" s="73"/>
      <c r="AH49" s="73"/>
      <c r="AI49" s="73"/>
      <c r="AJ49" s="73">
        <v>9.4106900000000007</v>
      </c>
      <c r="AK49" s="73">
        <v>9.9173399999999994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196.20042000000001</v>
      </c>
      <c r="AR49" s="73">
        <v>294.30063999999999</v>
      </c>
      <c r="AS49" s="73">
        <v>0</v>
      </c>
      <c r="AT49" s="73">
        <v>0</v>
      </c>
      <c r="AU49" s="73"/>
      <c r="AV49" s="73"/>
    </row>
    <row r="50" spans="1:48" ht="24" customHeight="1" x14ac:dyDescent="0.3">
      <c r="A50" s="16" t="s">
        <v>67</v>
      </c>
      <c r="B50" s="16" t="s">
        <v>850</v>
      </c>
      <c r="C50" s="73">
        <v>24</v>
      </c>
      <c r="D50" s="73">
        <v>0</v>
      </c>
      <c r="E50" s="73">
        <v>0</v>
      </c>
      <c r="F50" s="73">
        <v>26.09</v>
      </c>
      <c r="G50" s="73">
        <v>18.465340000000001</v>
      </c>
      <c r="H50" s="73">
        <v>0</v>
      </c>
      <c r="I50" s="73"/>
      <c r="J50" s="73"/>
      <c r="K50" s="73">
        <v>6.37</v>
      </c>
      <c r="L50" s="73">
        <v>6.52</v>
      </c>
      <c r="M50" s="73">
        <v>8.1723800000000004</v>
      </c>
      <c r="N50" s="73">
        <v>8.67</v>
      </c>
      <c r="O50" s="73">
        <v>8.67</v>
      </c>
      <c r="P50" s="73">
        <v>8.67</v>
      </c>
      <c r="Q50" s="73">
        <v>8.67</v>
      </c>
      <c r="R50" s="73"/>
      <c r="S50" s="73"/>
      <c r="T50" s="73"/>
      <c r="U50" s="73">
        <v>11</v>
      </c>
      <c r="V50" s="73">
        <v>10</v>
      </c>
      <c r="W50" s="73"/>
      <c r="X50" s="73"/>
      <c r="Y50" s="73"/>
      <c r="Z50" s="73"/>
      <c r="AA50" s="73"/>
      <c r="AB50" s="73"/>
      <c r="AC50" s="73"/>
      <c r="AD50" s="73"/>
      <c r="AE50" s="73">
        <v>2.5083600000000001</v>
      </c>
      <c r="AF50" s="73">
        <v>5.81569</v>
      </c>
      <c r="AG50" s="73"/>
      <c r="AH50" s="73"/>
      <c r="AI50" s="73"/>
      <c r="AJ50" s="73">
        <v>9.1577699999999993</v>
      </c>
      <c r="AK50" s="73">
        <v>9.1926000000000005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196.20042000000001</v>
      </c>
      <c r="AR50" s="73">
        <v>294.30063999999999</v>
      </c>
      <c r="AS50" s="73">
        <v>0</v>
      </c>
      <c r="AT50" s="73">
        <v>0</v>
      </c>
      <c r="AU50" s="73"/>
      <c r="AV50" s="73"/>
    </row>
    <row r="51" spans="1:48" ht="24" customHeight="1" x14ac:dyDescent="0.3">
      <c r="A51" s="16" t="s">
        <v>67</v>
      </c>
      <c r="B51" s="16" t="s">
        <v>851</v>
      </c>
      <c r="C51" s="73">
        <v>24</v>
      </c>
      <c r="D51" s="73">
        <v>0</v>
      </c>
      <c r="E51" s="73">
        <v>0</v>
      </c>
      <c r="F51" s="73">
        <v>26.21</v>
      </c>
      <c r="G51" s="73">
        <v>18.465340000000001</v>
      </c>
      <c r="H51" s="73">
        <v>0</v>
      </c>
      <c r="I51" s="73"/>
      <c r="J51" s="73"/>
      <c r="K51" s="73">
        <v>6.22</v>
      </c>
      <c r="L51" s="73">
        <v>4.4800000000000004</v>
      </c>
      <c r="M51" s="73">
        <v>8.0010100000000008</v>
      </c>
      <c r="N51" s="73">
        <v>8.77</v>
      </c>
      <c r="O51" s="73">
        <v>8.77</v>
      </c>
      <c r="P51" s="73">
        <v>8.77</v>
      </c>
      <c r="Q51" s="73">
        <v>8.77</v>
      </c>
      <c r="R51" s="73"/>
      <c r="S51" s="73"/>
      <c r="T51" s="73"/>
      <c r="U51" s="73">
        <v>11</v>
      </c>
      <c r="V51" s="73">
        <v>10</v>
      </c>
      <c r="W51" s="73"/>
      <c r="X51" s="73"/>
      <c r="Y51" s="73"/>
      <c r="Z51" s="73"/>
      <c r="AA51" s="73"/>
      <c r="AB51" s="73"/>
      <c r="AC51" s="73"/>
      <c r="AD51" s="73"/>
      <c r="AE51" s="73">
        <v>1.6251100000000001</v>
      </c>
      <c r="AF51" s="73">
        <v>5.1185299999999998</v>
      </c>
      <c r="AG51" s="73"/>
      <c r="AH51" s="73"/>
      <c r="AI51" s="73"/>
      <c r="AJ51" s="73">
        <v>8.8191900000000008</v>
      </c>
      <c r="AK51" s="73">
        <v>9.0442499999999999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196.20042000000001</v>
      </c>
      <c r="AR51" s="73">
        <v>294.30063999999999</v>
      </c>
      <c r="AS51" s="73">
        <v>0</v>
      </c>
      <c r="AT51" s="73">
        <v>0</v>
      </c>
      <c r="AU51" s="73"/>
      <c r="AV51" s="73"/>
    </row>
    <row r="52" spans="1:48" ht="24" customHeight="1" x14ac:dyDescent="0.3">
      <c r="A52" s="16" t="s">
        <v>67</v>
      </c>
      <c r="B52" s="16" t="s">
        <v>852</v>
      </c>
      <c r="C52" s="73">
        <v>24</v>
      </c>
      <c r="D52" s="73">
        <v>0</v>
      </c>
      <c r="E52" s="73">
        <v>0</v>
      </c>
      <c r="F52" s="73">
        <v>26.16</v>
      </c>
      <c r="G52" s="73">
        <v>18.465340000000001</v>
      </c>
      <c r="H52" s="73">
        <v>0</v>
      </c>
      <c r="I52" s="73"/>
      <c r="J52" s="73"/>
      <c r="K52" s="73">
        <v>5.99</v>
      </c>
      <c r="L52" s="73">
        <v>4.68</v>
      </c>
      <c r="M52" s="73">
        <v>6.9416799999999999</v>
      </c>
      <c r="N52" s="73">
        <v>8.34</v>
      </c>
      <c r="O52" s="73">
        <v>8.34</v>
      </c>
      <c r="P52" s="73">
        <v>8.34</v>
      </c>
      <c r="Q52" s="73">
        <v>8.34</v>
      </c>
      <c r="R52" s="73"/>
      <c r="S52" s="73"/>
      <c r="T52" s="73"/>
      <c r="U52" s="73">
        <v>10</v>
      </c>
      <c r="V52" s="73">
        <v>10</v>
      </c>
      <c r="W52" s="73"/>
      <c r="X52" s="73"/>
      <c r="Y52" s="73"/>
      <c r="Z52" s="73"/>
      <c r="AA52" s="73"/>
      <c r="AB52" s="73"/>
      <c r="AC52" s="73"/>
      <c r="AD52" s="73"/>
      <c r="AE52" s="73">
        <v>3.7808700000000002</v>
      </c>
      <c r="AF52" s="73">
        <v>4.5040800000000001</v>
      </c>
      <c r="AG52" s="73"/>
      <c r="AH52" s="73"/>
      <c r="AI52" s="73"/>
      <c r="AJ52" s="73">
        <v>7.8583999999999996</v>
      </c>
      <c r="AK52" s="73">
        <v>7.5753599999999999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196.20042000000001</v>
      </c>
      <c r="AR52" s="73">
        <v>294.30063999999999</v>
      </c>
      <c r="AS52" s="73">
        <v>0</v>
      </c>
      <c r="AT52" s="73">
        <v>0</v>
      </c>
      <c r="AU52" s="73"/>
      <c r="AV52" s="73"/>
    </row>
    <row r="53" spans="1:48" ht="24" customHeight="1" x14ac:dyDescent="0.3">
      <c r="A53" s="16" t="s">
        <v>67</v>
      </c>
      <c r="B53" s="16" t="s">
        <v>853</v>
      </c>
      <c r="C53" s="73">
        <v>24</v>
      </c>
      <c r="D53" s="73">
        <v>0</v>
      </c>
      <c r="E53" s="73">
        <v>0</v>
      </c>
      <c r="F53" s="73">
        <v>26.11</v>
      </c>
      <c r="G53" s="73">
        <v>18.465340000000001</v>
      </c>
      <c r="H53" s="73">
        <v>0</v>
      </c>
      <c r="I53" s="73"/>
      <c r="J53" s="73"/>
      <c r="K53" s="73">
        <v>6.27</v>
      </c>
      <c r="L53" s="73">
        <v>4.72</v>
      </c>
      <c r="M53" s="73">
        <v>6.7536100000000001</v>
      </c>
      <c r="N53" s="73">
        <v>8.5399999999999991</v>
      </c>
      <c r="O53" s="73">
        <v>8.5399999999999991</v>
      </c>
      <c r="P53" s="73">
        <v>8.5399999999999991</v>
      </c>
      <c r="Q53" s="73">
        <v>8.5399999999999991</v>
      </c>
      <c r="R53" s="73"/>
      <c r="S53" s="73"/>
      <c r="T53" s="73"/>
      <c r="U53" s="73">
        <v>10</v>
      </c>
      <c r="V53" s="73">
        <v>10</v>
      </c>
      <c r="W53" s="73"/>
      <c r="X53" s="73"/>
      <c r="Y53" s="73"/>
      <c r="Z53" s="73"/>
      <c r="AA53" s="73"/>
      <c r="AB53" s="73"/>
      <c r="AC53" s="73"/>
      <c r="AD53" s="73"/>
      <c r="AE53" s="73">
        <v>1.7766299999999999</v>
      </c>
      <c r="AF53" s="73">
        <v>3.9525000000000001</v>
      </c>
      <c r="AG53" s="73"/>
      <c r="AH53" s="73"/>
      <c r="AI53" s="73"/>
      <c r="AJ53" s="73">
        <v>7.4498800000000003</v>
      </c>
      <c r="AK53" s="73">
        <v>7.0719700000000003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196.20042000000001</v>
      </c>
      <c r="AR53" s="73">
        <v>294.30063999999999</v>
      </c>
      <c r="AS53" s="73">
        <v>0</v>
      </c>
      <c r="AT53" s="73">
        <v>0</v>
      </c>
      <c r="AU53" s="73"/>
      <c r="AV53" s="73"/>
    </row>
    <row r="54" spans="1:48" ht="24" customHeight="1" x14ac:dyDescent="0.3">
      <c r="A54" s="16" t="s">
        <v>67</v>
      </c>
      <c r="B54" s="16" t="s">
        <v>854</v>
      </c>
      <c r="C54" s="73">
        <v>24</v>
      </c>
      <c r="D54" s="73">
        <v>0</v>
      </c>
      <c r="E54" s="73">
        <v>0</v>
      </c>
      <c r="F54" s="73">
        <v>25.45</v>
      </c>
      <c r="G54" s="73">
        <v>18.465340000000001</v>
      </c>
      <c r="H54" s="73">
        <v>0</v>
      </c>
      <c r="I54" s="73"/>
      <c r="J54" s="73"/>
      <c r="K54" s="73">
        <v>6.57</v>
      </c>
      <c r="L54" s="73">
        <v>5.26</v>
      </c>
      <c r="M54" s="73">
        <v>6.5086500000000003</v>
      </c>
      <c r="N54" s="73">
        <v>8.23</v>
      </c>
      <c r="O54" s="73">
        <v>8.23</v>
      </c>
      <c r="P54" s="73">
        <v>8.23</v>
      </c>
      <c r="Q54" s="73">
        <v>8.23</v>
      </c>
      <c r="R54" s="73"/>
      <c r="S54" s="73"/>
      <c r="T54" s="73"/>
      <c r="U54" s="73">
        <v>11</v>
      </c>
      <c r="V54" s="73">
        <v>10</v>
      </c>
      <c r="W54" s="73"/>
      <c r="X54" s="73"/>
      <c r="Y54" s="73"/>
      <c r="Z54" s="73"/>
      <c r="AA54" s="73"/>
      <c r="AB54" s="73"/>
      <c r="AC54" s="73"/>
      <c r="AD54" s="73"/>
      <c r="AE54" s="73">
        <v>1.1140000000000001</v>
      </c>
      <c r="AF54" s="73">
        <v>2.5415000000000001</v>
      </c>
      <c r="AG54" s="73"/>
      <c r="AH54" s="73"/>
      <c r="AI54" s="73"/>
      <c r="AJ54" s="73">
        <v>6.3107199999999999</v>
      </c>
      <c r="AK54" s="73">
        <v>5.7510399999999997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196.20042000000001</v>
      </c>
      <c r="AR54" s="73">
        <v>294.30063999999999</v>
      </c>
      <c r="AS54" s="73">
        <v>0</v>
      </c>
      <c r="AT54" s="73">
        <v>0</v>
      </c>
      <c r="AU54" s="73"/>
      <c r="AV54" s="73"/>
    </row>
    <row r="55" spans="1:48" ht="24" customHeight="1" x14ac:dyDescent="0.3">
      <c r="A55" s="18" t="s">
        <v>855</v>
      </c>
      <c r="B55" s="18" t="s">
        <v>68</v>
      </c>
      <c r="C55" s="74">
        <v>24</v>
      </c>
      <c r="D55" s="74">
        <v>0</v>
      </c>
      <c r="E55" s="74">
        <v>0</v>
      </c>
      <c r="F55" s="74">
        <v>25.49</v>
      </c>
      <c r="G55" s="74">
        <v>18.465340000000001</v>
      </c>
      <c r="H55" s="74">
        <v>0</v>
      </c>
      <c r="I55" s="74"/>
      <c r="J55" s="74"/>
      <c r="K55" s="74">
        <v>6.23</v>
      </c>
      <c r="L55" s="74">
        <v>5.59</v>
      </c>
      <c r="M55" s="74">
        <v>6.3564299999999996</v>
      </c>
      <c r="N55" s="74">
        <v>8.06</v>
      </c>
      <c r="O55" s="74">
        <v>8.06</v>
      </c>
      <c r="P55" s="74">
        <v>8.06</v>
      </c>
      <c r="Q55" s="74">
        <v>8.06</v>
      </c>
      <c r="R55" s="74"/>
      <c r="S55" s="74"/>
      <c r="T55" s="74"/>
      <c r="U55" s="74">
        <v>11</v>
      </c>
      <c r="V55" s="74">
        <v>10</v>
      </c>
      <c r="W55" s="74"/>
      <c r="X55" s="74"/>
      <c r="Y55" s="74"/>
      <c r="Z55" s="74"/>
      <c r="AA55" s="74"/>
      <c r="AB55" s="74"/>
      <c r="AC55" s="74"/>
      <c r="AD55" s="74"/>
      <c r="AE55" s="74">
        <v>0.98958999999999997</v>
      </c>
      <c r="AF55" s="74">
        <v>2.83114</v>
      </c>
      <c r="AG55" s="74"/>
      <c r="AH55" s="74"/>
      <c r="AI55" s="74"/>
      <c r="AJ55" s="74">
        <v>6.7834700000000003</v>
      </c>
      <c r="AK55" s="74">
        <v>5.8715099999999998</v>
      </c>
      <c r="AL55" s="74">
        <v>0</v>
      </c>
      <c r="AM55" s="74">
        <v>0</v>
      </c>
      <c r="AN55" s="74">
        <v>0</v>
      </c>
      <c r="AO55" s="74">
        <v>0</v>
      </c>
      <c r="AP55" s="74">
        <v>0</v>
      </c>
      <c r="AQ55" s="74">
        <v>196.20042000000001</v>
      </c>
      <c r="AR55" s="74">
        <v>294.30063999999999</v>
      </c>
      <c r="AS55" s="74">
        <v>0</v>
      </c>
      <c r="AT55" s="74">
        <v>0</v>
      </c>
      <c r="AU55" s="74"/>
      <c r="AV55" s="74"/>
    </row>
    <row r="56" spans="1:48" x14ac:dyDescent="0.3">
      <c r="A56" s="1"/>
      <c r="B56" s="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</row>
  </sheetData>
  <mergeCells count="30">
    <mergeCell ref="A3:F3"/>
    <mergeCell ref="A5:A7"/>
    <mergeCell ref="B5:B7"/>
    <mergeCell ref="C6"/>
    <mergeCell ref="D6"/>
    <mergeCell ref="E6"/>
    <mergeCell ref="F6"/>
    <mergeCell ref="U6"/>
    <mergeCell ref="V6"/>
    <mergeCell ref="G6"/>
    <mergeCell ref="H6"/>
    <mergeCell ref="I6"/>
    <mergeCell ref="J6"/>
    <mergeCell ref="K6:L6"/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</row>
    <row r="4" spans="1:10" ht="30" customHeight="1" x14ac:dyDescent="0.3">
      <c r="A4" s="218" t="s">
        <v>1820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2.05" hidden="1" customHeight="1" x14ac:dyDescent="0.3">
      <c r="A5" s="206" t="s">
        <v>63</v>
      </c>
      <c r="B5" s="206" t="s">
        <v>590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1821</v>
      </c>
    </row>
    <row r="6" spans="1:10" ht="40.049999999999997" customHeight="1" x14ac:dyDescent="0.3">
      <c r="A6" s="206"/>
      <c r="B6" s="206"/>
      <c r="C6" s="234" t="s">
        <v>644</v>
      </c>
      <c r="D6" s="234" t="s">
        <v>181</v>
      </c>
      <c r="E6" s="234" t="s">
        <v>192</v>
      </c>
      <c r="F6" s="234" t="s">
        <v>645</v>
      </c>
      <c r="G6" s="234" t="s">
        <v>642</v>
      </c>
      <c r="H6" s="234" t="s">
        <v>233</v>
      </c>
      <c r="I6" s="234" t="s">
        <v>643</v>
      </c>
      <c r="J6" s="206"/>
    </row>
    <row r="7" spans="1:10" ht="57" customHeight="1" x14ac:dyDescent="0.3">
      <c r="A7" s="206"/>
      <c r="B7" s="206"/>
      <c r="C7" s="9" t="s">
        <v>1822</v>
      </c>
      <c r="D7" s="9" t="s">
        <v>1823</v>
      </c>
      <c r="E7" s="9" t="s">
        <v>1824</v>
      </c>
      <c r="F7" s="9" t="s">
        <v>1825</v>
      </c>
      <c r="G7" s="9" t="s">
        <v>1826</v>
      </c>
      <c r="H7" s="9" t="s">
        <v>1827</v>
      </c>
      <c r="I7" s="9" t="s">
        <v>1828</v>
      </c>
      <c r="J7" s="206" t="s">
        <v>799</v>
      </c>
    </row>
    <row r="8" spans="1:10" ht="24" customHeight="1" x14ac:dyDescent="0.3">
      <c r="A8" s="13" t="s">
        <v>67</v>
      </c>
      <c r="B8" s="13" t="s">
        <v>808</v>
      </c>
      <c r="C8" s="72">
        <v>27</v>
      </c>
      <c r="D8" s="72">
        <v>0</v>
      </c>
      <c r="E8" s="72">
        <v>0</v>
      </c>
      <c r="F8" s="72">
        <v>71.38</v>
      </c>
      <c r="G8" s="72">
        <v>56.02937</v>
      </c>
      <c r="H8" s="72">
        <v>0</v>
      </c>
      <c r="I8" s="72">
        <v>266.61</v>
      </c>
      <c r="J8" s="72">
        <v>421.01936999999998</v>
      </c>
    </row>
    <row r="9" spans="1:10" ht="24" customHeight="1" x14ac:dyDescent="0.3">
      <c r="A9" s="16" t="s">
        <v>67</v>
      </c>
      <c r="B9" s="16" t="s">
        <v>809</v>
      </c>
      <c r="C9" s="73">
        <v>27</v>
      </c>
      <c r="D9" s="73">
        <v>0</v>
      </c>
      <c r="E9" s="73">
        <v>0</v>
      </c>
      <c r="F9" s="73">
        <v>71.31</v>
      </c>
      <c r="G9" s="73">
        <v>56.02937</v>
      </c>
      <c r="H9" s="73">
        <v>0</v>
      </c>
      <c r="I9" s="73">
        <v>269.20999999999998</v>
      </c>
      <c r="J9" s="73">
        <v>423.54937000000001</v>
      </c>
    </row>
    <row r="10" spans="1:10" ht="24" customHeight="1" x14ac:dyDescent="0.3">
      <c r="A10" s="16" t="s">
        <v>67</v>
      </c>
      <c r="B10" s="16" t="s">
        <v>810</v>
      </c>
      <c r="C10" s="73">
        <v>26</v>
      </c>
      <c r="D10" s="73">
        <v>0</v>
      </c>
      <c r="E10" s="73">
        <v>0</v>
      </c>
      <c r="F10" s="73">
        <v>70.17</v>
      </c>
      <c r="G10" s="73">
        <v>56.02937</v>
      </c>
      <c r="H10" s="73">
        <v>0</v>
      </c>
      <c r="I10" s="73">
        <v>273.19</v>
      </c>
      <c r="J10" s="73">
        <v>425.38936999999999</v>
      </c>
    </row>
    <row r="11" spans="1:10" ht="24" customHeight="1" x14ac:dyDescent="0.3">
      <c r="A11" s="16" t="s">
        <v>67</v>
      </c>
      <c r="B11" s="16" t="s">
        <v>811</v>
      </c>
      <c r="C11" s="73">
        <v>26</v>
      </c>
      <c r="D11" s="73">
        <v>0</v>
      </c>
      <c r="E11" s="73">
        <v>0</v>
      </c>
      <c r="F11" s="73">
        <v>70.17</v>
      </c>
      <c r="G11" s="73">
        <v>56.02937</v>
      </c>
      <c r="H11" s="73">
        <v>0</v>
      </c>
      <c r="I11" s="73">
        <v>257.58</v>
      </c>
      <c r="J11" s="73">
        <v>409.77936999999997</v>
      </c>
    </row>
    <row r="12" spans="1:10" ht="24" customHeight="1" x14ac:dyDescent="0.3">
      <c r="A12" s="16" t="s">
        <v>67</v>
      </c>
      <c r="B12" s="16" t="s">
        <v>812</v>
      </c>
      <c r="C12" s="73">
        <v>27</v>
      </c>
      <c r="D12" s="73">
        <v>0</v>
      </c>
      <c r="E12" s="73">
        <v>0</v>
      </c>
      <c r="F12" s="73">
        <v>69.260000000000005</v>
      </c>
      <c r="G12" s="73">
        <v>56.02937</v>
      </c>
      <c r="H12" s="73">
        <v>0</v>
      </c>
      <c r="I12" s="73">
        <v>270.67</v>
      </c>
      <c r="J12" s="73">
        <v>422.95936999999998</v>
      </c>
    </row>
    <row r="13" spans="1:10" ht="24" customHeight="1" x14ac:dyDescent="0.3">
      <c r="A13" s="16" t="s">
        <v>67</v>
      </c>
      <c r="B13" s="16" t="s">
        <v>813</v>
      </c>
      <c r="C13" s="73">
        <v>27</v>
      </c>
      <c r="D13" s="73">
        <v>0</v>
      </c>
      <c r="E13" s="73">
        <v>0</v>
      </c>
      <c r="F13" s="73">
        <v>69.260000000000005</v>
      </c>
      <c r="G13" s="73">
        <v>56.02937</v>
      </c>
      <c r="H13" s="73">
        <v>0</v>
      </c>
      <c r="I13" s="73">
        <v>269.67</v>
      </c>
      <c r="J13" s="73">
        <v>421.95936999999998</v>
      </c>
    </row>
    <row r="14" spans="1:10" ht="24" customHeight="1" x14ac:dyDescent="0.3">
      <c r="A14" s="16" t="s">
        <v>67</v>
      </c>
      <c r="B14" s="16" t="s">
        <v>814</v>
      </c>
      <c r="C14" s="73">
        <v>26</v>
      </c>
      <c r="D14" s="73">
        <v>0</v>
      </c>
      <c r="E14" s="73">
        <v>0</v>
      </c>
      <c r="F14" s="73">
        <v>70.34</v>
      </c>
      <c r="G14" s="73">
        <v>56.02937</v>
      </c>
      <c r="H14" s="73">
        <v>0</v>
      </c>
      <c r="I14" s="73">
        <v>275.31</v>
      </c>
      <c r="J14" s="73">
        <v>427.67937000000001</v>
      </c>
    </row>
    <row r="15" spans="1:10" ht="24" customHeight="1" x14ac:dyDescent="0.3">
      <c r="A15" s="18" t="s">
        <v>67</v>
      </c>
      <c r="B15" s="18" t="s">
        <v>815</v>
      </c>
      <c r="C15" s="74">
        <v>26</v>
      </c>
      <c r="D15" s="74">
        <v>0</v>
      </c>
      <c r="E15" s="74">
        <v>0</v>
      </c>
      <c r="F15" s="74">
        <v>68.2</v>
      </c>
      <c r="G15" s="74">
        <v>56.02937</v>
      </c>
      <c r="H15" s="74">
        <v>0</v>
      </c>
      <c r="I15" s="74">
        <v>273.95999999999998</v>
      </c>
      <c r="J15" s="74">
        <v>424.18937</v>
      </c>
    </row>
    <row r="16" spans="1:10" ht="24" customHeight="1" x14ac:dyDescent="0.3">
      <c r="A16" s="13" t="s">
        <v>67</v>
      </c>
      <c r="B16" s="13" t="s">
        <v>816</v>
      </c>
      <c r="C16" s="72">
        <v>26</v>
      </c>
      <c r="D16" s="72">
        <v>0</v>
      </c>
      <c r="E16" s="72">
        <v>0</v>
      </c>
      <c r="F16" s="72">
        <v>69.989999999999995</v>
      </c>
      <c r="G16" s="72">
        <v>56.02937</v>
      </c>
      <c r="H16" s="72">
        <v>0</v>
      </c>
      <c r="I16" s="72">
        <v>273.23</v>
      </c>
      <c r="J16" s="72">
        <v>425.24937</v>
      </c>
    </row>
    <row r="17" spans="1:10" ht="24" customHeight="1" x14ac:dyDescent="0.3">
      <c r="A17" s="16" t="s">
        <v>67</v>
      </c>
      <c r="B17" s="16" t="s">
        <v>817</v>
      </c>
      <c r="C17" s="73">
        <v>26</v>
      </c>
      <c r="D17" s="73">
        <v>0</v>
      </c>
      <c r="E17" s="73">
        <v>0</v>
      </c>
      <c r="F17" s="73">
        <v>69.989999999999995</v>
      </c>
      <c r="G17" s="73">
        <v>56.02937</v>
      </c>
      <c r="H17" s="73">
        <v>0</v>
      </c>
      <c r="I17" s="73">
        <v>270.10000000000002</v>
      </c>
      <c r="J17" s="73">
        <v>422.11937</v>
      </c>
    </row>
    <row r="18" spans="1:10" ht="24" customHeight="1" x14ac:dyDescent="0.3">
      <c r="A18" s="16" t="s">
        <v>67</v>
      </c>
      <c r="B18" s="16" t="s">
        <v>818</v>
      </c>
      <c r="C18" s="73">
        <v>27</v>
      </c>
      <c r="D18" s="73">
        <v>0</v>
      </c>
      <c r="E18" s="73">
        <v>0</v>
      </c>
      <c r="F18" s="73">
        <v>69.92</v>
      </c>
      <c r="G18" s="73">
        <v>56.02937</v>
      </c>
      <c r="H18" s="73">
        <v>0</v>
      </c>
      <c r="I18" s="73">
        <v>275.56</v>
      </c>
      <c r="J18" s="73">
        <v>428.50936999999999</v>
      </c>
    </row>
    <row r="19" spans="1:10" ht="24" customHeight="1" x14ac:dyDescent="0.3">
      <c r="A19" s="16" t="s">
        <v>67</v>
      </c>
      <c r="B19" s="16" t="s">
        <v>819</v>
      </c>
      <c r="C19" s="73">
        <v>27</v>
      </c>
      <c r="D19" s="73">
        <v>0</v>
      </c>
      <c r="E19" s="73">
        <v>0</v>
      </c>
      <c r="F19" s="73">
        <v>69.97</v>
      </c>
      <c r="G19" s="73">
        <v>56.02937</v>
      </c>
      <c r="H19" s="73">
        <v>0</v>
      </c>
      <c r="I19" s="73">
        <v>269.8</v>
      </c>
      <c r="J19" s="73">
        <v>422.79937000000001</v>
      </c>
    </row>
    <row r="20" spans="1:10" ht="24" customHeight="1" x14ac:dyDescent="0.3">
      <c r="A20" s="16" t="s">
        <v>67</v>
      </c>
      <c r="B20" s="16" t="s">
        <v>820</v>
      </c>
      <c r="C20" s="73">
        <v>28</v>
      </c>
      <c r="D20" s="73">
        <v>0</v>
      </c>
      <c r="E20" s="73">
        <v>0</v>
      </c>
      <c r="F20" s="73">
        <v>70.040000000000006</v>
      </c>
      <c r="G20" s="73">
        <v>56.02937</v>
      </c>
      <c r="H20" s="73">
        <v>0</v>
      </c>
      <c r="I20" s="73">
        <v>272.38</v>
      </c>
      <c r="J20" s="73">
        <v>426.44936999999999</v>
      </c>
    </row>
    <row r="21" spans="1:10" ht="24" customHeight="1" x14ac:dyDescent="0.3">
      <c r="A21" s="16" t="s">
        <v>67</v>
      </c>
      <c r="B21" s="16" t="s">
        <v>821</v>
      </c>
      <c r="C21" s="73">
        <v>28</v>
      </c>
      <c r="D21" s="73">
        <v>0</v>
      </c>
      <c r="E21" s="73">
        <v>0</v>
      </c>
      <c r="F21" s="73">
        <v>68.11</v>
      </c>
      <c r="G21" s="73">
        <v>56.02937</v>
      </c>
      <c r="H21" s="73">
        <v>0</v>
      </c>
      <c r="I21" s="73">
        <v>270.05</v>
      </c>
      <c r="J21" s="73">
        <v>422.18937</v>
      </c>
    </row>
    <row r="22" spans="1:10" ht="24" customHeight="1" x14ac:dyDescent="0.3">
      <c r="A22" s="16" t="s">
        <v>67</v>
      </c>
      <c r="B22" s="16" t="s">
        <v>822</v>
      </c>
      <c r="C22" s="73">
        <v>28</v>
      </c>
      <c r="D22" s="73">
        <v>0</v>
      </c>
      <c r="E22" s="73">
        <v>0</v>
      </c>
      <c r="F22" s="73">
        <v>69.209999999999994</v>
      </c>
      <c r="G22" s="73">
        <v>56.02937</v>
      </c>
      <c r="H22" s="73">
        <v>0</v>
      </c>
      <c r="I22" s="73">
        <v>273.47000000000003</v>
      </c>
      <c r="J22" s="73">
        <v>426.70936999999998</v>
      </c>
    </row>
    <row r="23" spans="1:10" ht="24" customHeight="1" x14ac:dyDescent="0.3">
      <c r="A23" s="18" t="s">
        <v>67</v>
      </c>
      <c r="B23" s="18" t="s">
        <v>823</v>
      </c>
      <c r="C23" s="74">
        <v>28</v>
      </c>
      <c r="D23" s="74">
        <v>0</v>
      </c>
      <c r="E23" s="74">
        <v>0</v>
      </c>
      <c r="F23" s="74">
        <v>69.2</v>
      </c>
      <c r="G23" s="74">
        <v>56.02937</v>
      </c>
      <c r="H23" s="74">
        <v>0</v>
      </c>
      <c r="I23" s="74">
        <v>272.95</v>
      </c>
      <c r="J23" s="74">
        <v>426.17937000000001</v>
      </c>
    </row>
    <row r="24" spans="1:10" ht="24" customHeight="1" x14ac:dyDescent="0.3">
      <c r="A24" s="13" t="s">
        <v>67</v>
      </c>
      <c r="B24" s="13" t="s">
        <v>824</v>
      </c>
      <c r="C24" s="72">
        <v>28</v>
      </c>
      <c r="D24" s="72">
        <v>0</v>
      </c>
      <c r="E24" s="72">
        <v>0</v>
      </c>
      <c r="F24" s="72">
        <v>69.349999999999994</v>
      </c>
      <c r="G24" s="72">
        <v>57.402389999999997</v>
      </c>
      <c r="H24" s="72">
        <v>0</v>
      </c>
      <c r="I24" s="72">
        <v>271.95999999999998</v>
      </c>
      <c r="J24" s="72">
        <v>426.71239000000003</v>
      </c>
    </row>
    <row r="25" spans="1:10" ht="24" customHeight="1" x14ac:dyDescent="0.3">
      <c r="A25" s="16" t="s">
        <v>67</v>
      </c>
      <c r="B25" s="16" t="s">
        <v>825</v>
      </c>
      <c r="C25" s="73">
        <v>28</v>
      </c>
      <c r="D25" s="73">
        <v>0</v>
      </c>
      <c r="E25" s="73">
        <v>0</v>
      </c>
      <c r="F25" s="73">
        <v>69.69</v>
      </c>
      <c r="G25" s="73">
        <v>57.402389999999997</v>
      </c>
      <c r="H25" s="73">
        <v>0</v>
      </c>
      <c r="I25" s="73">
        <v>272.52</v>
      </c>
      <c r="J25" s="73">
        <v>427.61239</v>
      </c>
    </row>
    <row r="26" spans="1:10" ht="24" customHeight="1" x14ac:dyDescent="0.3">
      <c r="A26" s="16" t="s">
        <v>67</v>
      </c>
      <c r="B26" s="16" t="s">
        <v>826</v>
      </c>
      <c r="C26" s="73">
        <v>28</v>
      </c>
      <c r="D26" s="73">
        <v>0</v>
      </c>
      <c r="E26" s="73">
        <v>0</v>
      </c>
      <c r="F26" s="73">
        <v>68.510000000000005</v>
      </c>
      <c r="G26" s="73">
        <v>57.402389999999997</v>
      </c>
      <c r="H26" s="73">
        <v>0</v>
      </c>
      <c r="I26" s="73">
        <v>267.56</v>
      </c>
      <c r="J26" s="73">
        <v>421.47239000000002</v>
      </c>
    </row>
    <row r="27" spans="1:10" ht="24" customHeight="1" x14ac:dyDescent="0.3">
      <c r="A27" s="16" t="s">
        <v>67</v>
      </c>
      <c r="B27" s="16" t="s">
        <v>827</v>
      </c>
      <c r="C27" s="73">
        <v>28</v>
      </c>
      <c r="D27" s="73">
        <v>0</v>
      </c>
      <c r="E27" s="73">
        <v>0</v>
      </c>
      <c r="F27" s="73">
        <v>68.45</v>
      </c>
      <c r="G27" s="73">
        <v>57.402389999999997</v>
      </c>
      <c r="H27" s="73">
        <v>0</v>
      </c>
      <c r="I27" s="73">
        <v>268.83999999999997</v>
      </c>
      <c r="J27" s="73">
        <v>422.69238999999999</v>
      </c>
    </row>
    <row r="28" spans="1:10" ht="24" customHeight="1" x14ac:dyDescent="0.3">
      <c r="A28" s="16" t="s">
        <v>67</v>
      </c>
      <c r="B28" s="16" t="s">
        <v>828</v>
      </c>
      <c r="C28" s="73">
        <v>28</v>
      </c>
      <c r="D28" s="73">
        <v>0</v>
      </c>
      <c r="E28" s="73">
        <v>0</v>
      </c>
      <c r="F28" s="73">
        <v>71.63</v>
      </c>
      <c r="G28" s="73">
        <v>57.402389999999997</v>
      </c>
      <c r="H28" s="73">
        <v>0</v>
      </c>
      <c r="I28" s="73">
        <v>274.3</v>
      </c>
      <c r="J28" s="73">
        <v>431.33238999999998</v>
      </c>
    </row>
    <row r="29" spans="1:10" ht="24" customHeight="1" x14ac:dyDescent="0.3">
      <c r="A29" s="16" t="s">
        <v>67</v>
      </c>
      <c r="B29" s="16" t="s">
        <v>829</v>
      </c>
      <c r="C29" s="73">
        <v>28</v>
      </c>
      <c r="D29" s="73">
        <v>0</v>
      </c>
      <c r="E29" s="73">
        <v>0</v>
      </c>
      <c r="F29" s="73">
        <v>71.31</v>
      </c>
      <c r="G29" s="73">
        <v>57.402389999999997</v>
      </c>
      <c r="H29" s="73">
        <v>0</v>
      </c>
      <c r="I29" s="73">
        <v>266.08</v>
      </c>
      <c r="J29" s="73">
        <v>422.79239000000001</v>
      </c>
    </row>
    <row r="30" spans="1:10" ht="24" customHeight="1" x14ac:dyDescent="0.3">
      <c r="A30" s="16" t="s">
        <v>67</v>
      </c>
      <c r="B30" s="16" t="s">
        <v>830</v>
      </c>
      <c r="C30" s="73">
        <v>24</v>
      </c>
      <c r="D30" s="73">
        <v>0</v>
      </c>
      <c r="E30" s="73">
        <v>0</v>
      </c>
      <c r="F30" s="73">
        <v>69.77</v>
      </c>
      <c r="G30" s="73">
        <v>57.402389999999997</v>
      </c>
      <c r="H30" s="73">
        <v>0</v>
      </c>
      <c r="I30" s="73">
        <v>266.55</v>
      </c>
      <c r="J30" s="73">
        <v>417.72239000000002</v>
      </c>
    </row>
    <row r="31" spans="1:10" ht="24" customHeight="1" x14ac:dyDescent="0.3">
      <c r="A31" s="18" t="s">
        <v>67</v>
      </c>
      <c r="B31" s="18" t="s">
        <v>831</v>
      </c>
      <c r="C31" s="74">
        <v>24</v>
      </c>
      <c r="D31" s="74">
        <v>0</v>
      </c>
      <c r="E31" s="74">
        <v>0</v>
      </c>
      <c r="F31" s="74">
        <v>69.760000000000005</v>
      </c>
      <c r="G31" s="74">
        <v>57.402389999999997</v>
      </c>
      <c r="H31" s="74">
        <v>0</v>
      </c>
      <c r="I31" s="74">
        <v>263.52999999999997</v>
      </c>
      <c r="J31" s="74">
        <v>414.69238999999999</v>
      </c>
    </row>
    <row r="32" spans="1:10" ht="24" customHeight="1" x14ac:dyDescent="0.3">
      <c r="A32" s="13" t="s">
        <v>67</v>
      </c>
      <c r="B32" s="13" t="s">
        <v>832</v>
      </c>
      <c r="C32" s="72">
        <v>26</v>
      </c>
      <c r="D32" s="72">
        <v>0</v>
      </c>
      <c r="E32" s="72">
        <v>0</v>
      </c>
      <c r="F32" s="72">
        <v>69.56</v>
      </c>
      <c r="G32" s="72">
        <v>57.402389999999997</v>
      </c>
      <c r="H32" s="72">
        <v>0</v>
      </c>
      <c r="I32" s="72">
        <v>243.95</v>
      </c>
      <c r="J32" s="72">
        <v>396.91239000000002</v>
      </c>
    </row>
    <row r="33" spans="1:10" ht="24" customHeight="1" x14ac:dyDescent="0.3">
      <c r="A33" s="16" t="s">
        <v>67</v>
      </c>
      <c r="B33" s="16" t="s">
        <v>833</v>
      </c>
      <c r="C33" s="73">
        <v>26</v>
      </c>
      <c r="D33" s="73">
        <v>0</v>
      </c>
      <c r="E33" s="73">
        <v>0</v>
      </c>
      <c r="F33" s="73">
        <v>69.87</v>
      </c>
      <c r="G33" s="73">
        <v>57.402389999999997</v>
      </c>
      <c r="H33" s="73">
        <v>0</v>
      </c>
      <c r="I33" s="73">
        <v>240.17</v>
      </c>
      <c r="J33" s="73">
        <v>393.44238999999999</v>
      </c>
    </row>
    <row r="34" spans="1:10" ht="24" customHeight="1" x14ac:dyDescent="0.3">
      <c r="A34" s="16" t="s">
        <v>67</v>
      </c>
      <c r="B34" s="16" t="s">
        <v>834</v>
      </c>
      <c r="C34" s="73">
        <v>29</v>
      </c>
      <c r="D34" s="73">
        <v>0</v>
      </c>
      <c r="E34" s="73">
        <v>0</v>
      </c>
      <c r="F34" s="73">
        <v>70.27</v>
      </c>
      <c r="G34" s="73">
        <v>57.402389999999997</v>
      </c>
      <c r="H34" s="73">
        <v>0</v>
      </c>
      <c r="I34" s="73">
        <v>240.51</v>
      </c>
      <c r="J34" s="73">
        <v>397.18239</v>
      </c>
    </row>
    <row r="35" spans="1:10" ht="24" customHeight="1" x14ac:dyDescent="0.3">
      <c r="A35" s="16" t="s">
        <v>67</v>
      </c>
      <c r="B35" s="16" t="s">
        <v>835</v>
      </c>
      <c r="C35" s="73">
        <v>29</v>
      </c>
      <c r="D35" s="73">
        <v>0</v>
      </c>
      <c r="E35" s="73">
        <v>0</v>
      </c>
      <c r="F35" s="73">
        <v>69.75</v>
      </c>
      <c r="G35" s="73">
        <v>57.402389999999997</v>
      </c>
      <c r="H35" s="73">
        <v>0</v>
      </c>
      <c r="I35" s="73">
        <v>236.33</v>
      </c>
      <c r="J35" s="73">
        <v>392.48239000000001</v>
      </c>
    </row>
    <row r="36" spans="1:10" ht="24" customHeight="1" x14ac:dyDescent="0.3">
      <c r="A36" s="16" t="s">
        <v>67</v>
      </c>
      <c r="B36" s="16" t="s">
        <v>836</v>
      </c>
      <c r="C36" s="73">
        <v>27</v>
      </c>
      <c r="D36" s="73">
        <v>0</v>
      </c>
      <c r="E36" s="73">
        <v>0</v>
      </c>
      <c r="F36" s="73">
        <v>71.540000000000006</v>
      </c>
      <c r="G36" s="73">
        <v>57.402389999999997</v>
      </c>
      <c r="H36" s="73">
        <v>0</v>
      </c>
      <c r="I36" s="73">
        <v>271.17</v>
      </c>
      <c r="J36" s="73">
        <v>427.11239</v>
      </c>
    </row>
    <row r="37" spans="1:10" ht="24" customHeight="1" x14ac:dyDescent="0.3">
      <c r="A37" s="16" t="s">
        <v>67</v>
      </c>
      <c r="B37" s="16" t="s">
        <v>837</v>
      </c>
      <c r="C37" s="73">
        <v>27</v>
      </c>
      <c r="D37" s="73">
        <v>0</v>
      </c>
      <c r="E37" s="73">
        <v>0</v>
      </c>
      <c r="F37" s="73">
        <v>71.53</v>
      </c>
      <c r="G37" s="73">
        <v>57.402389999999997</v>
      </c>
      <c r="H37" s="73">
        <v>0</v>
      </c>
      <c r="I37" s="73">
        <v>268.74</v>
      </c>
      <c r="J37" s="73">
        <v>424.67239000000001</v>
      </c>
    </row>
    <row r="38" spans="1:10" ht="24" customHeight="1" x14ac:dyDescent="0.3">
      <c r="A38" s="16" t="s">
        <v>67</v>
      </c>
      <c r="B38" s="16" t="s">
        <v>838</v>
      </c>
      <c r="C38" s="73">
        <v>27</v>
      </c>
      <c r="D38" s="73">
        <v>0</v>
      </c>
      <c r="E38" s="73">
        <v>0</v>
      </c>
      <c r="F38" s="73">
        <v>72.599999999999994</v>
      </c>
      <c r="G38" s="73">
        <v>57.402389999999997</v>
      </c>
      <c r="H38" s="73">
        <v>0</v>
      </c>
      <c r="I38" s="73">
        <v>265.25</v>
      </c>
      <c r="J38" s="73">
        <v>422.25238999999999</v>
      </c>
    </row>
    <row r="39" spans="1:10" ht="24" customHeight="1" x14ac:dyDescent="0.3">
      <c r="A39" s="18" t="s">
        <v>67</v>
      </c>
      <c r="B39" s="18" t="s">
        <v>839</v>
      </c>
      <c r="C39" s="74">
        <v>27</v>
      </c>
      <c r="D39" s="74">
        <v>0</v>
      </c>
      <c r="E39" s="74">
        <v>0</v>
      </c>
      <c r="F39" s="74">
        <v>70.5</v>
      </c>
      <c r="G39" s="74">
        <v>57.402389999999997</v>
      </c>
      <c r="H39" s="74">
        <v>0</v>
      </c>
      <c r="I39" s="74">
        <v>267.5</v>
      </c>
      <c r="J39" s="74">
        <v>422.40239000000003</v>
      </c>
    </row>
    <row r="40" spans="1:10" ht="24" customHeight="1" x14ac:dyDescent="0.3">
      <c r="A40" s="13" t="s">
        <v>67</v>
      </c>
      <c r="B40" s="13" t="s">
        <v>840</v>
      </c>
      <c r="C40" s="72">
        <v>26</v>
      </c>
      <c r="D40" s="72">
        <v>0</v>
      </c>
      <c r="E40" s="72">
        <v>0</v>
      </c>
      <c r="F40" s="72">
        <v>72.83</v>
      </c>
      <c r="G40" s="72">
        <v>48.774819999999998</v>
      </c>
      <c r="H40" s="72">
        <v>0</v>
      </c>
      <c r="I40" s="72">
        <v>270.47000000000003</v>
      </c>
      <c r="J40" s="72">
        <v>418.07481999999999</v>
      </c>
    </row>
    <row r="41" spans="1:10" ht="24" customHeight="1" x14ac:dyDescent="0.3">
      <c r="A41" s="16" t="s">
        <v>67</v>
      </c>
      <c r="B41" s="16" t="s">
        <v>841</v>
      </c>
      <c r="C41" s="73">
        <v>26</v>
      </c>
      <c r="D41" s="73">
        <v>0</v>
      </c>
      <c r="E41" s="73">
        <v>0</v>
      </c>
      <c r="F41" s="73">
        <v>73.06</v>
      </c>
      <c r="G41" s="73">
        <v>48.774819999999998</v>
      </c>
      <c r="H41" s="73">
        <v>0</v>
      </c>
      <c r="I41" s="73">
        <v>272.08</v>
      </c>
      <c r="J41" s="73">
        <v>419.91482000000002</v>
      </c>
    </row>
    <row r="42" spans="1:10" ht="24" customHeight="1" x14ac:dyDescent="0.3">
      <c r="A42" s="16" t="s">
        <v>67</v>
      </c>
      <c r="B42" s="16" t="s">
        <v>842</v>
      </c>
      <c r="C42" s="73">
        <v>29</v>
      </c>
      <c r="D42" s="73">
        <v>0</v>
      </c>
      <c r="E42" s="73">
        <v>0</v>
      </c>
      <c r="F42" s="73">
        <v>71.34</v>
      </c>
      <c r="G42" s="73">
        <v>48.774819999999998</v>
      </c>
      <c r="H42" s="73">
        <v>0</v>
      </c>
      <c r="I42" s="73">
        <v>247.83</v>
      </c>
      <c r="J42" s="73">
        <v>396.94481999999999</v>
      </c>
    </row>
    <row r="43" spans="1:10" ht="24" customHeight="1" x14ac:dyDescent="0.3">
      <c r="A43" s="16" t="s">
        <v>67</v>
      </c>
      <c r="B43" s="16" t="s">
        <v>843</v>
      </c>
      <c r="C43" s="73">
        <v>29</v>
      </c>
      <c r="D43" s="73">
        <v>0</v>
      </c>
      <c r="E43" s="73">
        <v>0</v>
      </c>
      <c r="F43" s="73">
        <v>71.19</v>
      </c>
      <c r="G43" s="73">
        <v>48.774819999999998</v>
      </c>
      <c r="H43" s="73">
        <v>0</v>
      </c>
      <c r="I43" s="73">
        <v>240.69</v>
      </c>
      <c r="J43" s="73">
        <v>389.65481999999997</v>
      </c>
    </row>
    <row r="44" spans="1:10" ht="24" customHeight="1" x14ac:dyDescent="0.3">
      <c r="A44" s="16" t="s">
        <v>67</v>
      </c>
      <c r="B44" s="16" t="s">
        <v>844</v>
      </c>
      <c r="C44" s="73">
        <v>26</v>
      </c>
      <c r="D44" s="73">
        <v>0</v>
      </c>
      <c r="E44" s="73">
        <v>0</v>
      </c>
      <c r="F44" s="73">
        <v>69.900000000000006</v>
      </c>
      <c r="G44" s="73">
        <v>48.774819999999998</v>
      </c>
      <c r="H44" s="73">
        <v>0</v>
      </c>
      <c r="I44" s="73">
        <v>232.84</v>
      </c>
      <c r="J44" s="73">
        <v>377.51481999999999</v>
      </c>
    </row>
    <row r="45" spans="1:10" ht="24" customHeight="1" x14ac:dyDescent="0.3">
      <c r="A45" s="16" t="s">
        <v>67</v>
      </c>
      <c r="B45" s="16" t="s">
        <v>845</v>
      </c>
      <c r="C45" s="73">
        <v>26</v>
      </c>
      <c r="D45" s="73">
        <v>0</v>
      </c>
      <c r="E45" s="73">
        <v>0</v>
      </c>
      <c r="F45" s="73">
        <v>72.59</v>
      </c>
      <c r="G45" s="73">
        <v>48.774819999999998</v>
      </c>
      <c r="H45" s="73">
        <v>0</v>
      </c>
      <c r="I45" s="73">
        <v>231.71</v>
      </c>
      <c r="J45" s="73">
        <v>379.07481999999999</v>
      </c>
    </row>
    <row r="46" spans="1:10" ht="24" customHeight="1" x14ac:dyDescent="0.3">
      <c r="A46" s="16" t="s">
        <v>67</v>
      </c>
      <c r="B46" s="16" t="s">
        <v>846</v>
      </c>
      <c r="C46" s="73">
        <v>27</v>
      </c>
      <c r="D46" s="73">
        <v>0</v>
      </c>
      <c r="E46" s="73">
        <v>0</v>
      </c>
      <c r="F46" s="73">
        <v>71.47</v>
      </c>
      <c r="G46" s="73">
        <v>48.774819999999998</v>
      </c>
      <c r="H46" s="73">
        <v>0</v>
      </c>
      <c r="I46" s="73">
        <v>231.72</v>
      </c>
      <c r="J46" s="73">
        <v>378.96481999999997</v>
      </c>
    </row>
    <row r="47" spans="1:10" ht="24" customHeight="1" x14ac:dyDescent="0.3">
      <c r="A47" s="18" t="s">
        <v>67</v>
      </c>
      <c r="B47" s="18" t="s">
        <v>847</v>
      </c>
      <c r="C47" s="74">
        <v>27</v>
      </c>
      <c r="D47" s="74">
        <v>0</v>
      </c>
      <c r="E47" s="74">
        <v>0</v>
      </c>
      <c r="F47" s="74">
        <v>71.53</v>
      </c>
      <c r="G47" s="74">
        <v>48.774819999999998</v>
      </c>
      <c r="H47" s="74">
        <v>0</v>
      </c>
      <c r="I47" s="74">
        <v>243.34</v>
      </c>
      <c r="J47" s="74">
        <v>390.64481999999998</v>
      </c>
    </row>
    <row r="48" spans="1:10" ht="24" customHeight="1" x14ac:dyDescent="0.3">
      <c r="A48" s="13" t="s">
        <v>67</v>
      </c>
      <c r="B48" s="13" t="s">
        <v>848</v>
      </c>
      <c r="C48" s="72">
        <v>27</v>
      </c>
      <c r="D48" s="72">
        <v>0</v>
      </c>
      <c r="E48" s="72">
        <v>0</v>
      </c>
      <c r="F48" s="72">
        <v>68.22</v>
      </c>
      <c r="G48" s="72">
        <v>48.774819999999998</v>
      </c>
      <c r="H48" s="72">
        <v>0</v>
      </c>
      <c r="I48" s="72">
        <v>257.18</v>
      </c>
      <c r="J48" s="72">
        <v>401.17482000000001</v>
      </c>
    </row>
    <row r="49" spans="1:10" ht="24" customHeight="1" x14ac:dyDescent="0.3">
      <c r="A49" s="16" t="s">
        <v>67</v>
      </c>
      <c r="B49" s="16" t="s">
        <v>849</v>
      </c>
      <c r="C49" s="73">
        <v>27</v>
      </c>
      <c r="D49" s="73">
        <v>0</v>
      </c>
      <c r="E49" s="73">
        <v>0</v>
      </c>
      <c r="F49" s="73">
        <v>71.69</v>
      </c>
      <c r="G49" s="73">
        <v>48.774819999999998</v>
      </c>
      <c r="H49" s="73">
        <v>0</v>
      </c>
      <c r="I49" s="73">
        <v>262.55</v>
      </c>
      <c r="J49" s="73">
        <v>410.01481999999999</v>
      </c>
    </row>
    <row r="50" spans="1:10" ht="24" customHeight="1" x14ac:dyDescent="0.3">
      <c r="A50" s="16" t="s">
        <v>67</v>
      </c>
      <c r="B50" s="16" t="s">
        <v>850</v>
      </c>
      <c r="C50" s="73">
        <v>29</v>
      </c>
      <c r="D50" s="73">
        <v>0</v>
      </c>
      <c r="E50" s="73">
        <v>0</v>
      </c>
      <c r="F50" s="73">
        <v>69.86</v>
      </c>
      <c r="G50" s="73">
        <v>48.774819999999998</v>
      </c>
      <c r="H50" s="73">
        <v>0</v>
      </c>
      <c r="I50" s="73">
        <v>229.93</v>
      </c>
      <c r="J50" s="73">
        <v>377.56482</v>
      </c>
    </row>
    <row r="51" spans="1:10" ht="24" customHeight="1" x14ac:dyDescent="0.3">
      <c r="A51" s="16" t="s">
        <v>67</v>
      </c>
      <c r="B51" s="16" t="s">
        <v>851</v>
      </c>
      <c r="C51" s="73">
        <v>29</v>
      </c>
      <c r="D51" s="73">
        <v>0</v>
      </c>
      <c r="E51" s="73">
        <v>0</v>
      </c>
      <c r="F51" s="73">
        <v>70.23</v>
      </c>
      <c r="G51" s="73">
        <v>48.774819999999998</v>
      </c>
      <c r="H51" s="73">
        <v>0</v>
      </c>
      <c r="I51" s="73">
        <v>232.46</v>
      </c>
      <c r="J51" s="73">
        <v>380.46481999999997</v>
      </c>
    </row>
    <row r="52" spans="1:10" ht="24" customHeight="1" x14ac:dyDescent="0.3">
      <c r="A52" s="16" t="s">
        <v>67</v>
      </c>
      <c r="B52" s="16" t="s">
        <v>852</v>
      </c>
      <c r="C52" s="73">
        <v>29</v>
      </c>
      <c r="D52" s="73">
        <v>0</v>
      </c>
      <c r="E52" s="73">
        <v>0</v>
      </c>
      <c r="F52" s="73">
        <v>70</v>
      </c>
      <c r="G52" s="73">
        <v>48.774819999999998</v>
      </c>
      <c r="H52" s="73">
        <v>0</v>
      </c>
      <c r="I52" s="73">
        <v>245.33</v>
      </c>
      <c r="J52" s="73">
        <v>393.10482000000002</v>
      </c>
    </row>
    <row r="53" spans="1:10" ht="24" customHeight="1" x14ac:dyDescent="0.3">
      <c r="A53" s="16" t="s">
        <v>67</v>
      </c>
      <c r="B53" s="16" t="s">
        <v>853</v>
      </c>
      <c r="C53" s="73">
        <v>29</v>
      </c>
      <c r="D53" s="73">
        <v>0</v>
      </c>
      <c r="E53" s="73">
        <v>0</v>
      </c>
      <c r="F53" s="73">
        <v>69.849999999999994</v>
      </c>
      <c r="G53" s="73">
        <v>48.774819999999998</v>
      </c>
      <c r="H53" s="73">
        <v>0</v>
      </c>
      <c r="I53" s="73">
        <v>234.71</v>
      </c>
      <c r="J53" s="73">
        <v>382.33481999999998</v>
      </c>
    </row>
    <row r="54" spans="1:10" ht="24" customHeight="1" x14ac:dyDescent="0.3">
      <c r="A54" s="16" t="s">
        <v>67</v>
      </c>
      <c r="B54" s="16" t="s">
        <v>854</v>
      </c>
      <c r="C54" s="73">
        <v>28</v>
      </c>
      <c r="D54" s="73">
        <v>0</v>
      </c>
      <c r="E54" s="73">
        <v>0</v>
      </c>
      <c r="F54" s="73">
        <v>70.52</v>
      </c>
      <c r="G54" s="73">
        <v>48.774819999999998</v>
      </c>
      <c r="H54" s="73">
        <v>0</v>
      </c>
      <c r="I54" s="73">
        <v>230.69</v>
      </c>
      <c r="J54" s="73">
        <v>377.98482000000001</v>
      </c>
    </row>
    <row r="55" spans="1:10" ht="24" customHeight="1" x14ac:dyDescent="0.3">
      <c r="A55" s="18" t="s">
        <v>855</v>
      </c>
      <c r="B55" s="18" t="s">
        <v>68</v>
      </c>
      <c r="C55" s="74">
        <v>28</v>
      </c>
      <c r="D55" s="74">
        <v>0</v>
      </c>
      <c r="E55" s="74">
        <v>0</v>
      </c>
      <c r="F55" s="74">
        <v>70.64</v>
      </c>
      <c r="G55" s="74">
        <v>48.774819999999998</v>
      </c>
      <c r="H55" s="74">
        <v>0</v>
      </c>
      <c r="I55" s="74">
        <v>232.5</v>
      </c>
      <c r="J55" s="74">
        <v>379.91482000000002</v>
      </c>
    </row>
    <row r="56" spans="1:10" ht="15.6" x14ac:dyDescent="0.3">
      <c r="A56" s="204" t="s">
        <v>1107</v>
      </c>
      <c r="B56" s="205"/>
      <c r="C56" s="157">
        <v>653</v>
      </c>
      <c r="D56" s="157">
        <v>0</v>
      </c>
      <c r="E56" s="157">
        <v>0</v>
      </c>
      <c r="F56" s="157">
        <v>1687.7650000000001</v>
      </c>
      <c r="G56" s="157">
        <v>1297.65264</v>
      </c>
      <c r="H56" s="157">
        <v>0</v>
      </c>
      <c r="I56" s="157">
        <v>6207.3649999999998</v>
      </c>
      <c r="J56" s="157">
        <v>9845.7826399999994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7" t="s">
        <v>1829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8"/>
      <c r="CL4" s="238"/>
      <c r="CM4" s="238"/>
      <c r="CN4" s="238"/>
      <c r="CO4" s="238"/>
      <c r="CP4" s="238"/>
      <c r="CQ4" s="238"/>
      <c r="CR4" s="238"/>
      <c r="CS4" s="238"/>
      <c r="CT4" s="238"/>
      <c r="CU4" s="238"/>
      <c r="CV4" s="238"/>
      <c r="CW4" s="238"/>
      <c r="CX4" s="238"/>
      <c r="CY4" s="238"/>
      <c r="CZ4" s="238"/>
      <c r="DA4" s="238"/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8"/>
      <c r="DO4" s="238"/>
      <c r="DP4" s="238"/>
      <c r="DQ4" s="238"/>
      <c r="DR4" s="238"/>
      <c r="DS4" s="238"/>
      <c r="DT4" s="238"/>
      <c r="DU4" s="238"/>
      <c r="DV4" s="238"/>
      <c r="DW4" s="238"/>
      <c r="DX4" s="238"/>
      <c r="DY4" s="238"/>
      <c r="DZ4" s="238"/>
      <c r="EA4" s="238"/>
      <c r="EB4" s="238"/>
      <c r="EC4" s="238"/>
      <c r="ED4" s="238"/>
      <c r="EE4" s="238"/>
      <c r="EF4" s="238"/>
      <c r="EG4" s="238"/>
      <c r="EH4" s="238"/>
      <c r="EI4" s="238"/>
      <c r="EJ4" s="238"/>
      <c r="EK4" s="238"/>
      <c r="EL4" s="238"/>
      <c r="EM4" s="238"/>
      <c r="EN4" s="238"/>
      <c r="EO4" s="238"/>
      <c r="EP4" s="238"/>
      <c r="EQ4" s="238"/>
      <c r="ER4" s="238"/>
      <c r="ES4" s="238"/>
      <c r="ET4" s="238"/>
      <c r="EU4" s="238"/>
      <c r="EV4" s="238"/>
      <c r="EW4" s="238"/>
      <c r="EX4" s="238"/>
      <c r="EY4" s="238"/>
      <c r="EZ4" s="238"/>
      <c r="FA4" s="238"/>
      <c r="FB4" s="238"/>
      <c r="FC4" s="238"/>
      <c r="FD4" s="238"/>
      <c r="FE4" s="238"/>
      <c r="FF4" s="238"/>
      <c r="FG4" s="238"/>
      <c r="FH4" s="238"/>
      <c r="FI4" s="238"/>
      <c r="FJ4" s="238"/>
      <c r="FK4" s="238"/>
      <c r="FL4" s="238"/>
      <c r="FM4" s="238"/>
      <c r="FN4" s="238"/>
      <c r="FO4" s="238"/>
      <c r="FP4" s="238"/>
      <c r="FQ4" s="238"/>
      <c r="FR4" s="238"/>
      <c r="FS4" s="238"/>
      <c r="FT4" s="238"/>
      <c r="FU4" s="238"/>
      <c r="FV4" s="238"/>
      <c r="FW4" s="238"/>
      <c r="FX4" s="238"/>
      <c r="FY4" s="238"/>
      <c r="FZ4" s="238"/>
      <c r="GA4" s="238"/>
      <c r="GB4" s="238"/>
      <c r="GC4" s="238"/>
      <c r="GD4" s="238"/>
      <c r="GE4" s="238"/>
      <c r="GF4" s="238"/>
      <c r="GG4" s="238"/>
      <c r="GH4" s="238"/>
      <c r="GI4" s="238"/>
      <c r="GJ4" s="238"/>
      <c r="GK4" s="238"/>
      <c r="GL4" s="238"/>
      <c r="GM4" s="238"/>
      <c r="GN4" s="238"/>
      <c r="GO4" s="238"/>
      <c r="GP4" s="238"/>
      <c r="GQ4" s="238"/>
      <c r="GR4" s="238"/>
      <c r="GS4" s="238"/>
      <c r="GT4" s="238"/>
      <c r="GU4" s="238"/>
      <c r="GV4" s="238"/>
      <c r="GW4" s="238"/>
      <c r="GX4" s="238"/>
      <c r="GY4" s="238"/>
      <c r="GZ4" s="238"/>
      <c r="HA4" s="238"/>
      <c r="HB4" s="238"/>
      <c r="HC4" s="238"/>
      <c r="HD4" s="238"/>
      <c r="HE4" s="238"/>
      <c r="HF4" s="238"/>
      <c r="HG4" s="238"/>
      <c r="HH4" s="238"/>
      <c r="HI4" s="238"/>
      <c r="HJ4" s="238"/>
      <c r="HK4" s="238"/>
      <c r="HL4" s="238"/>
      <c r="HM4" s="238"/>
      <c r="HN4" s="238"/>
      <c r="HO4" s="238"/>
      <c r="HP4" s="238"/>
      <c r="HQ4" s="238"/>
      <c r="HR4" s="238"/>
      <c r="HS4" s="238"/>
      <c r="HT4" s="238"/>
      <c r="HU4" s="238"/>
      <c r="HV4" s="238"/>
      <c r="HW4" s="238"/>
      <c r="HX4" s="238"/>
      <c r="HY4" s="238"/>
      <c r="HZ4" s="238"/>
      <c r="IA4" s="238"/>
      <c r="IB4" s="238"/>
      <c r="IC4" s="238"/>
      <c r="ID4" s="238"/>
      <c r="IE4" s="238"/>
      <c r="IF4" s="238"/>
      <c r="IG4" s="238"/>
      <c r="IH4" s="238"/>
      <c r="II4" s="238"/>
      <c r="IJ4" s="238"/>
      <c r="IK4" s="238"/>
      <c r="IL4" s="238"/>
      <c r="IM4" s="238"/>
      <c r="IN4" s="238"/>
      <c r="IO4" s="238"/>
      <c r="IP4" s="238"/>
      <c r="IQ4" s="238"/>
      <c r="IR4" s="238"/>
      <c r="IS4" s="238"/>
      <c r="IT4" s="238"/>
      <c r="IU4" s="238"/>
      <c r="IV4" s="238"/>
      <c r="IW4" s="238"/>
      <c r="IX4" s="238"/>
      <c r="IY4" s="238"/>
      <c r="IZ4" s="238"/>
      <c r="JA4" s="238"/>
      <c r="JB4" s="238"/>
      <c r="JC4" s="238"/>
      <c r="JD4" s="238"/>
      <c r="JE4" s="238"/>
      <c r="JF4" s="238"/>
      <c r="JG4" s="238"/>
      <c r="JH4" s="238"/>
      <c r="JI4" s="238"/>
      <c r="JJ4" s="238"/>
      <c r="JK4" s="238"/>
      <c r="JL4" s="238"/>
      <c r="JM4" s="238"/>
      <c r="JN4" s="238"/>
      <c r="JO4" s="238"/>
      <c r="JP4" s="238"/>
      <c r="JQ4" s="238"/>
      <c r="JR4" s="238"/>
      <c r="JS4" s="238"/>
      <c r="JT4" s="238"/>
      <c r="JU4" s="238"/>
      <c r="JV4" s="238"/>
      <c r="JW4" s="238"/>
      <c r="JX4" s="238"/>
      <c r="JY4" s="238"/>
      <c r="JZ4" s="238"/>
      <c r="KA4" s="238"/>
      <c r="KB4" s="238"/>
      <c r="KC4" s="238"/>
      <c r="KD4" s="238"/>
      <c r="KE4" s="238"/>
      <c r="KF4" s="238"/>
      <c r="KG4" s="238"/>
      <c r="KH4" s="238"/>
      <c r="KI4" s="238"/>
      <c r="KJ4" s="238"/>
    </row>
    <row r="5" spans="1:296" ht="19.95" hidden="1" customHeight="1" x14ac:dyDescent="0.3">
      <c r="A5" s="236" t="s">
        <v>1830</v>
      </c>
      <c r="B5" s="236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36" t="s">
        <v>1831</v>
      </c>
      <c r="B6" s="236"/>
      <c r="C6" s="159" t="s">
        <v>1832</v>
      </c>
      <c r="D6" s="159" t="s">
        <v>1833</v>
      </c>
      <c r="E6" s="159" t="s">
        <v>1834</v>
      </c>
      <c r="F6" s="159" t="s">
        <v>1835</v>
      </c>
      <c r="G6" s="159" t="s">
        <v>1836</v>
      </c>
      <c r="H6" s="159" t="s">
        <v>1837</v>
      </c>
      <c r="I6" s="159" t="s">
        <v>1838</v>
      </c>
      <c r="J6" s="159" t="s">
        <v>1839</v>
      </c>
      <c r="K6" s="159" t="s">
        <v>1840</v>
      </c>
      <c r="L6" s="159" t="s">
        <v>1841</v>
      </c>
      <c r="M6" s="159" t="s">
        <v>1842</v>
      </c>
      <c r="N6" s="159" t="s">
        <v>1843</v>
      </c>
      <c r="O6" s="159" t="s">
        <v>1844</v>
      </c>
      <c r="P6" s="159" t="s">
        <v>1845</v>
      </c>
      <c r="Q6" s="159" t="s">
        <v>1846</v>
      </c>
      <c r="R6" s="159" t="s">
        <v>1847</v>
      </c>
      <c r="S6" s="159" t="s">
        <v>1848</v>
      </c>
      <c r="T6" s="159" t="s">
        <v>1849</v>
      </c>
      <c r="U6" s="159" t="s">
        <v>1850</v>
      </c>
      <c r="V6" s="159" t="s">
        <v>1851</v>
      </c>
      <c r="W6" s="159" t="s">
        <v>1852</v>
      </c>
      <c r="X6" s="159" t="s">
        <v>1853</v>
      </c>
      <c r="Y6" s="159" t="s">
        <v>1854</v>
      </c>
      <c r="Z6" s="159" t="s">
        <v>1855</v>
      </c>
      <c r="AA6" s="159" t="s">
        <v>1856</v>
      </c>
      <c r="AB6" s="159" t="s">
        <v>1857</v>
      </c>
      <c r="AC6" s="159" t="s">
        <v>1858</v>
      </c>
      <c r="AD6" s="159" t="s">
        <v>1859</v>
      </c>
      <c r="AE6" s="159" t="s">
        <v>1860</v>
      </c>
      <c r="AF6" s="159" t="s">
        <v>1861</v>
      </c>
      <c r="AG6" s="159" t="s">
        <v>1862</v>
      </c>
      <c r="AH6" s="159" t="s">
        <v>1863</v>
      </c>
      <c r="AI6" s="159" t="s">
        <v>1864</v>
      </c>
      <c r="AJ6" s="159" t="s">
        <v>1865</v>
      </c>
      <c r="AK6" s="159" t="s">
        <v>1866</v>
      </c>
      <c r="AL6" s="159" t="s">
        <v>1867</v>
      </c>
      <c r="AM6" s="159" t="s">
        <v>1868</v>
      </c>
      <c r="AN6" s="159" t="s">
        <v>1869</v>
      </c>
      <c r="AO6" s="159" t="s">
        <v>1870</v>
      </c>
      <c r="AP6" s="159" t="s">
        <v>1871</v>
      </c>
      <c r="AQ6" s="159" t="s">
        <v>1872</v>
      </c>
      <c r="AR6" s="159" t="s">
        <v>1873</v>
      </c>
      <c r="AS6" s="159" t="s">
        <v>1874</v>
      </c>
      <c r="AT6" s="159" t="s">
        <v>1875</v>
      </c>
      <c r="AU6" s="159" t="s">
        <v>1876</v>
      </c>
      <c r="AV6" s="159" t="s">
        <v>1877</v>
      </c>
      <c r="AW6" s="159" t="s">
        <v>1878</v>
      </c>
      <c r="AX6" s="159" t="s">
        <v>1879</v>
      </c>
      <c r="AY6" s="159" t="s">
        <v>1880</v>
      </c>
      <c r="AZ6" s="159" t="s">
        <v>1881</v>
      </c>
      <c r="BA6" s="159" t="s">
        <v>1882</v>
      </c>
      <c r="BB6" s="159" t="s">
        <v>1883</v>
      </c>
      <c r="BC6" s="159" t="s">
        <v>1884</v>
      </c>
      <c r="BD6" s="159" t="s">
        <v>1885</v>
      </c>
      <c r="BE6" s="159" t="s">
        <v>1886</v>
      </c>
      <c r="BF6" s="159" t="s">
        <v>1887</v>
      </c>
      <c r="BG6" s="159" t="s">
        <v>1888</v>
      </c>
      <c r="BH6" s="159" t="s">
        <v>1889</v>
      </c>
      <c r="BI6" s="159" t="s">
        <v>1890</v>
      </c>
      <c r="BJ6" s="159" t="s">
        <v>1891</v>
      </c>
      <c r="BK6" s="159" t="s">
        <v>1892</v>
      </c>
      <c r="BL6" s="159" t="s">
        <v>1893</v>
      </c>
      <c r="BM6" s="159" t="s">
        <v>1894</v>
      </c>
      <c r="BN6" s="159" t="s">
        <v>1895</v>
      </c>
      <c r="BO6" s="159" t="s">
        <v>1896</v>
      </c>
      <c r="BP6" s="159" t="s">
        <v>1897</v>
      </c>
      <c r="BQ6" s="159" t="s">
        <v>1898</v>
      </c>
      <c r="BR6" s="159" t="s">
        <v>1899</v>
      </c>
      <c r="BS6" s="159" t="s">
        <v>1900</v>
      </c>
      <c r="BT6" s="159" t="s">
        <v>1901</v>
      </c>
      <c r="BU6" s="159" t="s">
        <v>1902</v>
      </c>
      <c r="BV6" s="159" t="s">
        <v>1903</v>
      </c>
      <c r="BW6" s="159" t="s">
        <v>1904</v>
      </c>
      <c r="BX6" s="159" t="s">
        <v>1905</v>
      </c>
      <c r="BY6" s="159" t="s">
        <v>1906</v>
      </c>
      <c r="BZ6" s="159" t="s">
        <v>1907</v>
      </c>
      <c r="CA6" s="159" t="s">
        <v>1908</v>
      </c>
      <c r="CB6" s="159" t="s">
        <v>1909</v>
      </c>
      <c r="CC6" s="159" t="s">
        <v>1910</v>
      </c>
      <c r="CD6" s="159" t="s">
        <v>1911</v>
      </c>
      <c r="CE6" s="159" t="s">
        <v>1912</v>
      </c>
      <c r="CF6" s="159" t="s">
        <v>1913</v>
      </c>
      <c r="CG6" s="159" t="s">
        <v>1914</v>
      </c>
      <c r="CH6" s="159" t="s">
        <v>1915</v>
      </c>
      <c r="CI6" s="159" t="s">
        <v>1916</v>
      </c>
      <c r="CJ6" s="159" t="s">
        <v>1917</v>
      </c>
      <c r="CK6" s="159" t="s">
        <v>1918</v>
      </c>
      <c r="CL6" s="159" t="s">
        <v>1919</v>
      </c>
      <c r="CM6" s="159" t="s">
        <v>1920</v>
      </c>
      <c r="CN6" s="159" t="s">
        <v>1921</v>
      </c>
      <c r="CO6" s="159" t="s">
        <v>1922</v>
      </c>
      <c r="CP6" s="159" t="s">
        <v>1923</v>
      </c>
      <c r="CQ6" s="159" t="s">
        <v>1924</v>
      </c>
      <c r="CR6" s="159" t="s">
        <v>1925</v>
      </c>
      <c r="CS6" s="159" t="s">
        <v>1926</v>
      </c>
      <c r="CT6" s="159" t="s">
        <v>1927</v>
      </c>
      <c r="CU6" s="159" t="s">
        <v>1928</v>
      </c>
      <c r="CV6" s="159" t="s">
        <v>1929</v>
      </c>
      <c r="CW6" s="159" t="s">
        <v>1930</v>
      </c>
      <c r="CX6" s="159" t="s">
        <v>1931</v>
      </c>
      <c r="CY6" s="159" t="s">
        <v>1932</v>
      </c>
      <c r="CZ6" s="159" t="s">
        <v>1933</v>
      </c>
      <c r="DA6" s="159" t="s">
        <v>1934</v>
      </c>
      <c r="DB6" s="159" t="s">
        <v>1935</v>
      </c>
      <c r="DC6" s="159" t="s">
        <v>1936</v>
      </c>
      <c r="DD6" s="159" t="s">
        <v>1937</v>
      </c>
      <c r="DE6" s="159" t="s">
        <v>1938</v>
      </c>
      <c r="DF6" s="159" t="s">
        <v>1939</v>
      </c>
      <c r="DG6" s="159" t="s">
        <v>1940</v>
      </c>
      <c r="DH6" s="159" t="s">
        <v>1941</v>
      </c>
      <c r="DI6" s="159" t="s">
        <v>1942</v>
      </c>
      <c r="DJ6" s="159" t="s">
        <v>1943</v>
      </c>
      <c r="DK6" s="159" t="s">
        <v>1944</v>
      </c>
      <c r="DL6" s="159" t="s">
        <v>1945</v>
      </c>
      <c r="DM6" s="159" t="s">
        <v>1946</v>
      </c>
      <c r="DN6" s="159" t="s">
        <v>1947</v>
      </c>
      <c r="DO6" s="159" t="s">
        <v>1948</v>
      </c>
      <c r="DP6" s="159" t="s">
        <v>1949</v>
      </c>
      <c r="DQ6" s="159" t="s">
        <v>1950</v>
      </c>
      <c r="DR6" s="159" t="s">
        <v>1951</v>
      </c>
      <c r="DS6" s="159" t="s">
        <v>1952</v>
      </c>
      <c r="DT6" s="159" t="s">
        <v>1953</v>
      </c>
      <c r="DU6" s="159" t="s">
        <v>1954</v>
      </c>
      <c r="DV6" s="159" t="s">
        <v>1955</v>
      </c>
      <c r="DW6" s="159" t="s">
        <v>1956</v>
      </c>
      <c r="DX6" s="159" t="s">
        <v>1957</v>
      </c>
      <c r="DY6" s="159" t="s">
        <v>1958</v>
      </c>
      <c r="DZ6" s="159" t="s">
        <v>1959</v>
      </c>
      <c r="EA6" s="159" t="s">
        <v>1960</v>
      </c>
      <c r="EB6" s="159" t="s">
        <v>1961</v>
      </c>
      <c r="EC6" s="159" t="s">
        <v>1962</v>
      </c>
      <c r="ED6" s="159" t="s">
        <v>1963</v>
      </c>
      <c r="EE6" s="159" t="s">
        <v>1964</v>
      </c>
      <c r="EF6" s="159" t="s">
        <v>1965</v>
      </c>
      <c r="EG6" s="159" t="s">
        <v>1966</v>
      </c>
      <c r="EH6" s="159" t="s">
        <v>1967</v>
      </c>
      <c r="EI6" s="159" t="s">
        <v>1968</v>
      </c>
      <c r="EJ6" s="159" t="s">
        <v>1969</v>
      </c>
      <c r="EK6" s="159" t="s">
        <v>1970</v>
      </c>
      <c r="EL6" s="159" t="s">
        <v>1971</v>
      </c>
      <c r="EM6" s="159" t="s">
        <v>1972</v>
      </c>
      <c r="EN6" s="159" t="s">
        <v>1973</v>
      </c>
      <c r="EO6" s="159" t="s">
        <v>1974</v>
      </c>
      <c r="EP6" s="159" t="s">
        <v>1975</v>
      </c>
      <c r="EQ6" s="159" t="s">
        <v>1976</v>
      </c>
      <c r="ER6" s="159" t="s">
        <v>1977</v>
      </c>
      <c r="ES6" s="159" t="s">
        <v>1978</v>
      </c>
      <c r="ET6" s="159" t="s">
        <v>1979</v>
      </c>
      <c r="EU6" s="159" t="s">
        <v>1980</v>
      </c>
      <c r="EV6" s="159" t="s">
        <v>1981</v>
      </c>
      <c r="EW6" s="159" t="s">
        <v>1982</v>
      </c>
      <c r="EX6" s="159" t="s">
        <v>1983</v>
      </c>
      <c r="EY6" s="159" t="s">
        <v>1984</v>
      </c>
      <c r="EZ6" s="159" t="s">
        <v>1985</v>
      </c>
      <c r="FA6" s="159" t="s">
        <v>1986</v>
      </c>
      <c r="FB6" s="159" t="s">
        <v>1987</v>
      </c>
      <c r="FC6" s="159" t="s">
        <v>1988</v>
      </c>
      <c r="FD6" s="159" t="s">
        <v>1989</v>
      </c>
      <c r="FE6" s="159" t="s">
        <v>1990</v>
      </c>
      <c r="FF6" s="159" t="s">
        <v>1991</v>
      </c>
      <c r="FG6" s="159" t="s">
        <v>1992</v>
      </c>
      <c r="FH6" s="159" t="s">
        <v>1993</v>
      </c>
      <c r="FI6" s="159" t="s">
        <v>1994</v>
      </c>
      <c r="FJ6" s="159" t="s">
        <v>1995</v>
      </c>
      <c r="FK6" s="159" t="s">
        <v>1996</v>
      </c>
      <c r="FL6" s="159" t="s">
        <v>1997</v>
      </c>
      <c r="FM6" s="159" t="s">
        <v>1998</v>
      </c>
      <c r="FN6" s="159" t="s">
        <v>1999</v>
      </c>
      <c r="FO6" s="159" t="s">
        <v>2000</v>
      </c>
      <c r="FP6" s="159" t="s">
        <v>2001</v>
      </c>
      <c r="FQ6" s="159" t="s">
        <v>2002</v>
      </c>
      <c r="FR6" s="159" t="s">
        <v>2003</v>
      </c>
      <c r="FS6" s="159" t="s">
        <v>2004</v>
      </c>
      <c r="FT6" s="159" t="s">
        <v>2005</v>
      </c>
      <c r="FU6" s="159" t="s">
        <v>2006</v>
      </c>
      <c r="FV6" s="159" t="s">
        <v>2007</v>
      </c>
      <c r="FW6" s="159" t="s">
        <v>2008</v>
      </c>
      <c r="FX6" s="159" t="s">
        <v>2009</v>
      </c>
      <c r="FY6" s="159" t="s">
        <v>2010</v>
      </c>
      <c r="FZ6" s="159" t="s">
        <v>2011</v>
      </c>
      <c r="GA6" s="159" t="s">
        <v>2012</v>
      </c>
      <c r="GB6" s="159" t="s">
        <v>2013</v>
      </c>
      <c r="GC6" s="159" t="s">
        <v>2014</v>
      </c>
      <c r="GD6" s="159" t="s">
        <v>2015</v>
      </c>
      <c r="GE6" s="159" t="s">
        <v>2016</v>
      </c>
      <c r="GF6" s="159" t="s">
        <v>2017</v>
      </c>
      <c r="GG6" s="159" t="s">
        <v>2018</v>
      </c>
      <c r="GH6" s="159" t="s">
        <v>2019</v>
      </c>
      <c r="GI6" s="159" t="s">
        <v>2020</v>
      </c>
      <c r="GJ6" s="159" t="s">
        <v>2021</v>
      </c>
      <c r="GK6" s="159" t="s">
        <v>2022</v>
      </c>
      <c r="GL6" s="159" t="s">
        <v>2023</v>
      </c>
      <c r="GM6" s="159" t="s">
        <v>2024</v>
      </c>
      <c r="GN6" s="159" t="s">
        <v>2025</v>
      </c>
      <c r="GO6" s="159" t="s">
        <v>2026</v>
      </c>
      <c r="GP6" s="159" t="s">
        <v>2027</v>
      </c>
      <c r="GQ6" s="159" t="s">
        <v>2028</v>
      </c>
      <c r="GR6" s="159" t="s">
        <v>2029</v>
      </c>
      <c r="GS6" s="159" t="s">
        <v>2030</v>
      </c>
      <c r="GT6" s="159" t="s">
        <v>2031</v>
      </c>
      <c r="GU6" s="159" t="s">
        <v>2032</v>
      </c>
      <c r="GV6" s="159" t="s">
        <v>2033</v>
      </c>
      <c r="GW6" s="159" t="s">
        <v>2034</v>
      </c>
      <c r="GX6" s="159" t="s">
        <v>2035</v>
      </c>
      <c r="GY6" s="159" t="s">
        <v>2036</v>
      </c>
      <c r="GZ6" s="159" t="s">
        <v>2037</v>
      </c>
      <c r="HA6" s="159" t="s">
        <v>2038</v>
      </c>
      <c r="HB6" s="159" t="s">
        <v>2039</v>
      </c>
      <c r="HC6" s="159" t="s">
        <v>2040</v>
      </c>
      <c r="HD6" s="159" t="s">
        <v>2041</v>
      </c>
      <c r="HE6" s="159" t="s">
        <v>2042</v>
      </c>
      <c r="HF6" s="159" t="s">
        <v>2043</v>
      </c>
      <c r="HG6" s="159" t="s">
        <v>2044</v>
      </c>
      <c r="HH6" s="159" t="s">
        <v>2045</v>
      </c>
      <c r="HI6" s="159" t="s">
        <v>2046</v>
      </c>
      <c r="HJ6" s="159" t="s">
        <v>2047</v>
      </c>
      <c r="HK6" s="159" t="s">
        <v>2048</v>
      </c>
      <c r="HL6" s="159" t="s">
        <v>2049</v>
      </c>
      <c r="HM6" s="159" t="s">
        <v>2050</v>
      </c>
      <c r="HN6" s="159" t="s">
        <v>2051</v>
      </c>
      <c r="HO6" s="159" t="s">
        <v>2052</v>
      </c>
      <c r="HP6" s="159" t="s">
        <v>2053</v>
      </c>
      <c r="HQ6" s="159" t="s">
        <v>2054</v>
      </c>
      <c r="HR6" s="159" t="s">
        <v>2055</v>
      </c>
      <c r="HS6" s="159" t="s">
        <v>2056</v>
      </c>
      <c r="HT6" s="159" t="s">
        <v>2057</v>
      </c>
      <c r="HU6" s="159" t="s">
        <v>2058</v>
      </c>
      <c r="HV6" s="159" t="s">
        <v>2059</v>
      </c>
      <c r="HW6" s="159" t="s">
        <v>2060</v>
      </c>
      <c r="HX6" s="159" t="s">
        <v>2061</v>
      </c>
      <c r="HY6" s="159" t="s">
        <v>2062</v>
      </c>
      <c r="HZ6" s="159" t="s">
        <v>2063</v>
      </c>
      <c r="IA6" s="159" t="s">
        <v>2064</v>
      </c>
      <c r="IB6" s="159" t="s">
        <v>2065</v>
      </c>
      <c r="IC6" s="159" t="s">
        <v>2066</v>
      </c>
      <c r="ID6" s="159" t="s">
        <v>2067</v>
      </c>
      <c r="IE6" s="159" t="s">
        <v>2068</v>
      </c>
      <c r="IF6" s="159" t="s">
        <v>2069</v>
      </c>
      <c r="IG6" s="159" t="s">
        <v>2070</v>
      </c>
      <c r="IH6" s="159" t="s">
        <v>2071</v>
      </c>
      <c r="II6" s="159" t="s">
        <v>2072</v>
      </c>
      <c r="IJ6" s="159" t="s">
        <v>2073</v>
      </c>
      <c r="IK6" s="159" t="s">
        <v>2074</v>
      </c>
      <c r="IL6" s="159" t="s">
        <v>2075</v>
      </c>
      <c r="IM6" s="159" t="s">
        <v>2076</v>
      </c>
      <c r="IN6" s="159" t="s">
        <v>2077</v>
      </c>
      <c r="IO6" s="159" t="s">
        <v>2078</v>
      </c>
      <c r="IP6" s="159" t="s">
        <v>2079</v>
      </c>
      <c r="IQ6" s="159" t="s">
        <v>2080</v>
      </c>
      <c r="IR6" s="159" t="s">
        <v>2081</v>
      </c>
      <c r="IS6" s="159" t="s">
        <v>2082</v>
      </c>
      <c r="IT6" s="159" t="s">
        <v>2083</v>
      </c>
      <c r="IU6" s="159" t="s">
        <v>2084</v>
      </c>
      <c r="IV6" s="159" t="s">
        <v>2085</v>
      </c>
      <c r="IW6" s="159" t="s">
        <v>2086</v>
      </c>
      <c r="IX6" s="159" t="s">
        <v>2087</v>
      </c>
      <c r="IY6" s="159" t="s">
        <v>2088</v>
      </c>
      <c r="IZ6" s="159" t="s">
        <v>2089</v>
      </c>
      <c r="JA6" s="159" t="s">
        <v>2090</v>
      </c>
      <c r="JB6" s="159" t="s">
        <v>2091</v>
      </c>
      <c r="JC6" s="159" t="s">
        <v>2092</v>
      </c>
      <c r="JD6" s="159" t="s">
        <v>2093</v>
      </c>
      <c r="JE6" s="159" t="s">
        <v>2094</v>
      </c>
      <c r="JF6" s="159" t="s">
        <v>2095</v>
      </c>
      <c r="JG6" s="159" t="s">
        <v>2096</v>
      </c>
      <c r="JH6" s="159" t="s">
        <v>2097</v>
      </c>
      <c r="JI6" s="159" t="s">
        <v>2098</v>
      </c>
      <c r="JJ6" s="159" t="s">
        <v>2099</v>
      </c>
      <c r="JK6" s="159" t="s">
        <v>2100</v>
      </c>
      <c r="JL6" s="159" t="s">
        <v>2101</v>
      </c>
      <c r="JM6" s="159" t="s">
        <v>2102</v>
      </c>
      <c r="JN6" s="159" t="s">
        <v>2103</v>
      </c>
      <c r="JO6" s="159" t="s">
        <v>2104</v>
      </c>
      <c r="JP6" s="159" t="s">
        <v>2105</v>
      </c>
      <c r="JQ6" s="159" t="s">
        <v>2106</v>
      </c>
      <c r="JR6" s="159" t="s">
        <v>2107</v>
      </c>
      <c r="JS6" s="159" t="s">
        <v>2108</v>
      </c>
      <c r="JT6" s="159" t="s">
        <v>2109</v>
      </c>
      <c r="JU6" s="159" t="s">
        <v>2110</v>
      </c>
      <c r="JV6" s="159" t="s">
        <v>2111</v>
      </c>
      <c r="JW6" s="159" t="s">
        <v>2112</v>
      </c>
      <c r="JX6" s="159" t="s">
        <v>2113</v>
      </c>
      <c r="JY6" s="159" t="s">
        <v>2114</v>
      </c>
      <c r="JZ6" s="159" t="s">
        <v>2115</v>
      </c>
      <c r="KA6" s="159" t="s">
        <v>2116</v>
      </c>
      <c r="KB6" s="159" t="s">
        <v>2117</v>
      </c>
      <c r="KC6" s="159" t="s">
        <v>2118</v>
      </c>
      <c r="KD6" s="159" t="s">
        <v>2119</v>
      </c>
      <c r="KE6" s="159" t="s">
        <v>2120</v>
      </c>
      <c r="KF6" s="159" t="s">
        <v>2121</v>
      </c>
      <c r="KG6" s="159" t="s">
        <v>2122</v>
      </c>
      <c r="KH6" s="159" t="s">
        <v>2123</v>
      </c>
      <c r="KI6" s="159" t="s">
        <v>2124</v>
      </c>
      <c r="KJ6" s="159" t="s">
        <v>2125</v>
      </c>
    </row>
    <row r="7" spans="1:296" ht="27" customHeight="1" x14ac:dyDescent="0.3">
      <c r="A7" s="236" t="s">
        <v>271</v>
      </c>
      <c r="B7" s="236"/>
      <c r="C7" s="235" t="s">
        <v>2126</v>
      </c>
      <c r="D7" s="235" t="s">
        <v>2127</v>
      </c>
      <c r="E7" s="235"/>
      <c r="F7" s="235"/>
      <c r="G7" s="235" t="s">
        <v>2128</v>
      </c>
      <c r="H7" s="235" t="s">
        <v>2129</v>
      </c>
      <c r="I7" s="235"/>
      <c r="J7" s="235"/>
      <c r="K7" s="235"/>
      <c r="L7" s="235" t="s">
        <v>2130</v>
      </c>
      <c r="M7" s="235"/>
      <c r="N7" s="235"/>
      <c r="O7" s="235" t="s">
        <v>2131</v>
      </c>
      <c r="P7" s="235" t="s">
        <v>2132</v>
      </c>
      <c r="Q7" s="235"/>
      <c r="R7" s="235" t="s">
        <v>2133</v>
      </c>
      <c r="S7" s="235"/>
      <c r="T7" s="235" t="s">
        <v>2134</v>
      </c>
      <c r="U7" s="235"/>
      <c r="V7" s="235" t="s">
        <v>2135</v>
      </c>
      <c r="W7" s="235"/>
      <c r="X7" s="235"/>
      <c r="Y7" s="235" t="s">
        <v>2136</v>
      </c>
      <c r="Z7" s="235"/>
      <c r="AA7" s="235"/>
      <c r="AB7" s="235" t="s">
        <v>2137</v>
      </c>
      <c r="AC7" s="235"/>
      <c r="AD7" s="235"/>
      <c r="AE7" s="235"/>
      <c r="AF7" s="235"/>
      <c r="AG7" s="235"/>
      <c r="AH7" s="235"/>
      <c r="AI7" s="235"/>
      <c r="AJ7" s="235"/>
      <c r="AK7" s="235" t="s">
        <v>2138</v>
      </c>
      <c r="AL7" s="235"/>
      <c r="AM7" s="235"/>
      <c r="AN7" s="235" t="s">
        <v>2139</v>
      </c>
      <c r="AO7" s="235"/>
      <c r="AP7" s="235" t="s">
        <v>2140</v>
      </c>
      <c r="AQ7" s="235"/>
      <c r="AR7" s="235" t="s">
        <v>2141</v>
      </c>
      <c r="AS7" s="235"/>
      <c r="AT7" s="235"/>
      <c r="AU7" s="235" t="s">
        <v>2142</v>
      </c>
      <c r="AV7" s="235"/>
      <c r="AW7" s="235" t="s">
        <v>2143</v>
      </c>
      <c r="AX7" s="235"/>
      <c r="AY7" s="235" t="s">
        <v>2142</v>
      </c>
      <c r="AZ7" s="235"/>
      <c r="BA7" s="235"/>
      <c r="BB7" s="235" t="s">
        <v>2144</v>
      </c>
      <c r="BC7" s="235" t="s">
        <v>2145</v>
      </c>
      <c r="BD7" s="235" t="s">
        <v>2146</v>
      </c>
      <c r="BE7" s="235"/>
      <c r="BF7" s="235"/>
      <c r="BG7" s="235" t="s">
        <v>2147</v>
      </c>
      <c r="BH7" s="235"/>
      <c r="BI7" s="235"/>
      <c r="BJ7" s="235"/>
      <c r="BK7" s="235"/>
      <c r="BL7" s="235" t="s">
        <v>2148</v>
      </c>
      <c r="BM7" s="235" t="s">
        <v>2149</v>
      </c>
      <c r="BN7" s="235"/>
      <c r="BO7" s="235" t="s">
        <v>2150</v>
      </c>
      <c r="BP7" s="235"/>
      <c r="BQ7" s="235"/>
      <c r="BR7" s="235" t="s">
        <v>2151</v>
      </c>
      <c r="BS7" s="235"/>
      <c r="BT7" s="235"/>
      <c r="BU7" s="235"/>
      <c r="BV7" s="235" t="s">
        <v>2152</v>
      </c>
      <c r="BW7" s="235" t="s">
        <v>2153</v>
      </c>
      <c r="BX7" s="235" t="s">
        <v>2154</v>
      </c>
      <c r="BY7" s="235"/>
      <c r="BZ7" s="235"/>
      <c r="CA7" s="235"/>
      <c r="CB7" s="235" t="s">
        <v>2155</v>
      </c>
      <c r="CC7" s="235"/>
      <c r="CD7" s="235"/>
      <c r="CE7" s="235"/>
      <c r="CF7" s="235"/>
      <c r="CG7" s="235" t="s">
        <v>2156</v>
      </c>
      <c r="CH7" s="235"/>
      <c r="CI7" s="235"/>
      <c r="CJ7" s="235"/>
      <c r="CK7" s="235" t="s">
        <v>2157</v>
      </c>
      <c r="CL7" s="235"/>
      <c r="CM7" s="235" t="s">
        <v>2158</v>
      </c>
      <c r="CN7" s="235"/>
      <c r="CO7" s="235" t="s">
        <v>2159</v>
      </c>
      <c r="CP7" s="235" t="s">
        <v>2160</v>
      </c>
      <c r="CQ7" s="235"/>
      <c r="CR7" s="235"/>
      <c r="CS7" s="235" t="s">
        <v>2161</v>
      </c>
      <c r="CT7" s="235"/>
      <c r="CU7" s="235"/>
      <c r="CV7" s="235"/>
      <c r="CW7" s="235"/>
      <c r="CX7" s="235" t="s">
        <v>2162</v>
      </c>
      <c r="CY7" s="235" t="s">
        <v>2163</v>
      </c>
      <c r="CZ7" s="235"/>
      <c r="DA7" s="235"/>
      <c r="DB7" s="235"/>
      <c r="DC7" s="235"/>
      <c r="DD7" s="235"/>
      <c r="DE7" s="235" t="s">
        <v>2164</v>
      </c>
      <c r="DF7" s="235"/>
      <c r="DG7" s="235"/>
      <c r="DH7" s="235" t="s">
        <v>2165</v>
      </c>
      <c r="DI7" s="235"/>
      <c r="DJ7" s="235" t="s">
        <v>2166</v>
      </c>
      <c r="DK7" s="235"/>
      <c r="DL7" s="235" t="s">
        <v>2167</v>
      </c>
      <c r="DM7" s="235" t="s">
        <v>2168</v>
      </c>
      <c r="DN7" s="235"/>
      <c r="DO7" s="235"/>
      <c r="DP7" s="235"/>
      <c r="DQ7" s="235"/>
      <c r="DR7" s="235" t="s">
        <v>2169</v>
      </c>
      <c r="DS7" s="235" t="s">
        <v>2170</v>
      </c>
      <c r="DT7" s="235" t="s">
        <v>2171</v>
      </c>
      <c r="DU7" s="235"/>
      <c r="DV7" s="235"/>
      <c r="DW7" s="235"/>
      <c r="DX7" s="235"/>
      <c r="DY7" s="235"/>
      <c r="DZ7" s="235"/>
      <c r="EA7" s="235"/>
      <c r="EB7" s="235" t="s">
        <v>2172</v>
      </c>
      <c r="EC7" s="235" t="s">
        <v>2173</v>
      </c>
      <c r="ED7" s="235"/>
      <c r="EE7" s="235"/>
      <c r="EF7" s="235" t="s">
        <v>2172</v>
      </c>
      <c r="EG7" s="235"/>
      <c r="EH7" s="235" t="s">
        <v>2174</v>
      </c>
      <c r="EI7" s="235" t="s">
        <v>2175</v>
      </c>
      <c r="EJ7" s="235"/>
      <c r="EK7" s="235" t="s">
        <v>2176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2177</v>
      </c>
      <c r="EV7" s="235" t="s">
        <v>2178</v>
      </c>
      <c r="EW7" s="235" t="s">
        <v>2179</v>
      </c>
      <c r="EX7" s="235" t="s">
        <v>2180</v>
      </c>
      <c r="EY7" s="235" t="s">
        <v>2181</v>
      </c>
      <c r="EZ7" s="235" t="s">
        <v>2182</v>
      </c>
      <c r="FA7" s="235" t="s">
        <v>2183</v>
      </c>
      <c r="FB7" s="235"/>
      <c r="FC7" s="235" t="s">
        <v>2184</v>
      </c>
      <c r="FD7" s="235"/>
      <c r="FE7" s="235" t="s">
        <v>2185</v>
      </c>
      <c r="FF7" s="235"/>
      <c r="FG7" s="235"/>
      <c r="FH7" s="235" t="s">
        <v>2186</v>
      </c>
      <c r="FI7" s="235"/>
      <c r="FJ7" s="235"/>
      <c r="FK7" s="235" t="s">
        <v>2187</v>
      </c>
      <c r="FL7" s="235"/>
      <c r="FM7" s="235"/>
      <c r="FN7" s="235" t="s">
        <v>2188</v>
      </c>
      <c r="FO7" s="235"/>
      <c r="FP7" s="235"/>
      <c r="FQ7" s="235" t="s">
        <v>2189</v>
      </c>
      <c r="FR7" s="235"/>
      <c r="FS7" s="235"/>
      <c r="FT7" s="235" t="s">
        <v>2190</v>
      </c>
      <c r="FU7" s="235" t="s">
        <v>2189</v>
      </c>
      <c r="FV7" s="235"/>
      <c r="FW7" s="235"/>
      <c r="FX7" s="235"/>
      <c r="FY7" s="235" t="s">
        <v>2191</v>
      </c>
      <c r="FZ7" s="235" t="s">
        <v>2192</v>
      </c>
      <c r="GA7" s="235" t="s">
        <v>2193</v>
      </c>
      <c r="GB7" s="235" t="s">
        <v>2194</v>
      </c>
      <c r="GC7" s="235" t="s">
        <v>2195</v>
      </c>
      <c r="GD7" s="235" t="s">
        <v>2196</v>
      </c>
      <c r="GE7" s="235"/>
      <c r="GF7" s="235" t="s">
        <v>2197</v>
      </c>
      <c r="GG7" s="235" t="s">
        <v>2198</v>
      </c>
      <c r="GH7" s="235" t="s">
        <v>2199</v>
      </c>
      <c r="GI7" s="235" t="s">
        <v>2200</v>
      </c>
      <c r="GJ7" s="235" t="s">
        <v>2201</v>
      </c>
      <c r="GK7" s="235"/>
      <c r="GL7" s="235" t="s">
        <v>2200</v>
      </c>
      <c r="GM7" s="235" t="s">
        <v>2202</v>
      </c>
      <c r="GN7" s="235"/>
      <c r="GO7" s="235" t="s">
        <v>2203</v>
      </c>
      <c r="GP7" s="235" t="s">
        <v>2204</v>
      </c>
      <c r="GQ7" s="235" t="s">
        <v>2199</v>
      </c>
      <c r="GR7" s="235"/>
      <c r="GS7" s="235" t="s">
        <v>2205</v>
      </c>
      <c r="GT7" s="235"/>
      <c r="GU7" s="235"/>
      <c r="GV7" s="235" t="s">
        <v>2206</v>
      </c>
      <c r="GW7" s="235" t="s">
        <v>2201</v>
      </c>
      <c r="GX7" s="235"/>
      <c r="GY7" s="235" t="s">
        <v>2207</v>
      </c>
      <c r="GZ7" s="235" t="s">
        <v>2208</v>
      </c>
      <c r="HA7" s="235"/>
      <c r="HB7" s="235" t="s">
        <v>2207</v>
      </c>
      <c r="HC7" s="235" t="s">
        <v>2209</v>
      </c>
      <c r="HD7" s="235"/>
      <c r="HE7" s="235" t="s">
        <v>2210</v>
      </c>
      <c r="HF7" s="235" t="s">
        <v>2211</v>
      </c>
      <c r="HG7" s="235" t="s">
        <v>2212</v>
      </c>
      <c r="HH7" s="235" t="s">
        <v>2213</v>
      </c>
      <c r="HI7" s="235" t="s">
        <v>2211</v>
      </c>
      <c r="HJ7" s="235" t="s">
        <v>2214</v>
      </c>
      <c r="HK7" s="235"/>
      <c r="HL7" s="235"/>
      <c r="HM7" s="235"/>
      <c r="HN7" s="235"/>
      <c r="HO7" s="235"/>
      <c r="HP7" s="235" t="s">
        <v>2215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2216</v>
      </c>
      <c r="IA7" s="235"/>
      <c r="IB7" s="235" t="s">
        <v>2217</v>
      </c>
      <c r="IC7" s="235"/>
      <c r="ID7" s="235"/>
      <c r="IE7" s="235"/>
      <c r="IF7" s="235"/>
      <c r="IG7" s="235"/>
      <c r="IH7" s="235"/>
      <c r="II7" s="235"/>
      <c r="IJ7" s="235"/>
      <c r="IK7" s="235" t="s">
        <v>2218</v>
      </c>
      <c r="IL7" s="235"/>
      <c r="IM7" s="235"/>
      <c r="IN7" s="235"/>
      <c r="IO7" s="235"/>
      <c r="IP7" s="235" t="s">
        <v>2219</v>
      </c>
      <c r="IQ7" s="235"/>
      <c r="IR7" s="235" t="s">
        <v>2220</v>
      </c>
      <c r="IS7" s="235"/>
      <c r="IT7" s="235" t="s">
        <v>2221</v>
      </c>
      <c r="IU7" s="235"/>
      <c r="IV7" s="235"/>
      <c r="IW7" s="235"/>
      <c r="IX7" s="235" t="s">
        <v>2222</v>
      </c>
      <c r="IY7" s="235"/>
      <c r="IZ7" s="235" t="s">
        <v>2223</v>
      </c>
      <c r="JA7" s="235" t="s">
        <v>2224</v>
      </c>
      <c r="JB7" s="235" t="s">
        <v>2225</v>
      </c>
      <c r="JC7" s="235" t="s">
        <v>2226</v>
      </c>
      <c r="JD7" s="235"/>
      <c r="JE7" s="235" t="s">
        <v>2227</v>
      </c>
      <c r="JF7" s="235"/>
      <c r="JG7" s="235" t="s">
        <v>2228</v>
      </c>
      <c r="JH7" s="235"/>
      <c r="JI7" s="235"/>
      <c r="JJ7" s="235" t="s">
        <v>2229</v>
      </c>
      <c r="JK7" s="235"/>
      <c r="JL7" s="235"/>
      <c r="JM7" s="235"/>
      <c r="JN7" s="235"/>
      <c r="JO7" s="235"/>
      <c r="JP7" s="235" t="s">
        <v>2230</v>
      </c>
      <c r="JQ7" s="235"/>
      <c r="JR7" s="235" t="s">
        <v>2231</v>
      </c>
      <c r="JS7" s="235"/>
      <c r="JT7" s="235"/>
      <c r="JU7" s="235" t="s">
        <v>2232</v>
      </c>
      <c r="JV7" s="235" t="s">
        <v>2233</v>
      </c>
      <c r="JW7" s="235" t="s">
        <v>2234</v>
      </c>
      <c r="JX7" s="235" t="s">
        <v>2217</v>
      </c>
      <c r="JY7" s="235" t="s">
        <v>2235</v>
      </c>
      <c r="JZ7" s="235" t="s">
        <v>2236</v>
      </c>
      <c r="KA7" s="235" t="s">
        <v>2237</v>
      </c>
      <c r="KB7" s="235"/>
      <c r="KC7" s="235"/>
      <c r="KD7" s="235" t="s">
        <v>2238</v>
      </c>
      <c r="KE7" s="235"/>
      <c r="KF7" s="235"/>
      <c r="KG7" s="235" t="s">
        <v>2233</v>
      </c>
      <c r="KH7" s="235" t="s">
        <v>2239</v>
      </c>
      <c r="KI7" s="235" t="s">
        <v>2240</v>
      </c>
      <c r="KJ7" s="235"/>
    </row>
    <row r="8" spans="1:296" ht="27" customHeight="1" x14ac:dyDescent="0.3">
      <c r="A8" s="158" t="s">
        <v>63</v>
      </c>
      <c r="B8" s="158" t="s">
        <v>590</v>
      </c>
      <c r="C8" s="160" t="s">
        <v>2241</v>
      </c>
      <c r="D8" s="159" t="s">
        <v>419</v>
      </c>
      <c r="E8" s="159" t="s">
        <v>2242</v>
      </c>
      <c r="F8" s="159" t="s">
        <v>2243</v>
      </c>
      <c r="G8" s="159" t="s">
        <v>2244</v>
      </c>
      <c r="H8" s="159" t="s">
        <v>2245</v>
      </c>
      <c r="I8" s="159" t="s">
        <v>508</v>
      </c>
      <c r="J8" s="159" t="s">
        <v>2246</v>
      </c>
      <c r="K8" s="159" t="s">
        <v>2247</v>
      </c>
      <c r="L8" s="159" t="s">
        <v>2248</v>
      </c>
      <c r="M8" s="159" t="s">
        <v>2249</v>
      </c>
      <c r="N8" s="159" t="s">
        <v>436</v>
      </c>
      <c r="O8" s="159" t="s">
        <v>2250</v>
      </c>
      <c r="P8" s="161" t="s">
        <v>2251</v>
      </c>
      <c r="Q8" s="159" t="s">
        <v>2252</v>
      </c>
      <c r="R8" s="159" t="s">
        <v>2253</v>
      </c>
      <c r="S8" s="159" t="s">
        <v>2252</v>
      </c>
      <c r="T8" s="159" t="s">
        <v>2254</v>
      </c>
      <c r="U8" s="159" t="s">
        <v>2247</v>
      </c>
      <c r="V8" s="159" t="s">
        <v>2255</v>
      </c>
      <c r="W8" s="159" t="s">
        <v>2256</v>
      </c>
      <c r="X8" s="159" t="s">
        <v>2257</v>
      </c>
      <c r="Y8" s="159" t="s">
        <v>2258</v>
      </c>
      <c r="Z8" s="159" t="s">
        <v>2259</v>
      </c>
      <c r="AA8" s="159" t="s">
        <v>2260</v>
      </c>
      <c r="AB8" s="159" t="s">
        <v>2261</v>
      </c>
      <c r="AC8" s="159" t="s">
        <v>2262</v>
      </c>
      <c r="AD8" s="159" t="s">
        <v>2263</v>
      </c>
      <c r="AE8" s="159" t="s">
        <v>2264</v>
      </c>
      <c r="AF8" s="159" t="s">
        <v>2265</v>
      </c>
      <c r="AG8" s="159" t="s">
        <v>2250</v>
      </c>
      <c r="AH8" s="160" t="s">
        <v>2251</v>
      </c>
      <c r="AI8" s="159" t="s">
        <v>2266</v>
      </c>
      <c r="AJ8" s="159" t="s">
        <v>2267</v>
      </c>
      <c r="AK8" s="161" t="s">
        <v>2268</v>
      </c>
      <c r="AL8" s="161" t="s">
        <v>2269</v>
      </c>
      <c r="AM8" s="159" t="s">
        <v>2270</v>
      </c>
      <c r="AN8" s="160" t="s">
        <v>2268</v>
      </c>
      <c r="AO8" s="161" t="s">
        <v>2269</v>
      </c>
      <c r="AP8" s="159" t="s">
        <v>2271</v>
      </c>
      <c r="AQ8" s="159" t="s">
        <v>2272</v>
      </c>
      <c r="AR8" s="159" t="s">
        <v>2273</v>
      </c>
      <c r="AS8" s="159" t="s">
        <v>2274</v>
      </c>
      <c r="AT8" s="159" t="s">
        <v>2275</v>
      </c>
      <c r="AU8" s="161" t="s">
        <v>2276</v>
      </c>
      <c r="AV8" s="161" t="s">
        <v>2277</v>
      </c>
      <c r="AW8" s="159" t="s">
        <v>2278</v>
      </c>
      <c r="AX8" s="159" t="s">
        <v>2279</v>
      </c>
      <c r="AY8" s="159" t="s">
        <v>2280</v>
      </c>
      <c r="AZ8" s="159" t="s">
        <v>2281</v>
      </c>
      <c r="BA8" s="159" t="s">
        <v>2282</v>
      </c>
      <c r="BB8" s="159" t="s">
        <v>2283</v>
      </c>
      <c r="BC8" s="161" t="s">
        <v>51</v>
      </c>
      <c r="BD8" s="159" t="s">
        <v>371</v>
      </c>
      <c r="BE8" s="159" t="s">
        <v>2284</v>
      </c>
      <c r="BF8" s="159" t="s">
        <v>2285</v>
      </c>
      <c r="BG8" s="161" t="s">
        <v>2276</v>
      </c>
      <c r="BH8" s="161" t="s">
        <v>2277</v>
      </c>
      <c r="BI8" s="159" t="s">
        <v>2286</v>
      </c>
      <c r="BJ8" s="159" t="s">
        <v>2287</v>
      </c>
      <c r="BK8" s="159" t="s">
        <v>2288</v>
      </c>
      <c r="BL8" s="159" t="s">
        <v>2289</v>
      </c>
      <c r="BM8" s="159" t="s">
        <v>2290</v>
      </c>
      <c r="BN8" s="159" t="s">
        <v>2291</v>
      </c>
      <c r="BO8" s="161" t="s">
        <v>51</v>
      </c>
      <c r="BP8" s="159" t="s">
        <v>2292</v>
      </c>
      <c r="BQ8" s="159" t="s">
        <v>2293</v>
      </c>
      <c r="BR8" s="159" t="s">
        <v>2294</v>
      </c>
      <c r="BS8" s="159" t="s">
        <v>2295</v>
      </c>
      <c r="BT8" s="159" t="s">
        <v>2296</v>
      </c>
      <c r="BU8" s="159" t="s">
        <v>2297</v>
      </c>
      <c r="BV8" s="159" t="s">
        <v>2297</v>
      </c>
      <c r="BW8" s="159" t="s">
        <v>2298</v>
      </c>
      <c r="BX8" s="159" t="s">
        <v>2299</v>
      </c>
      <c r="BY8" s="159" t="s">
        <v>2300</v>
      </c>
      <c r="BZ8" s="159" t="s">
        <v>2301</v>
      </c>
      <c r="CA8" s="159" t="s">
        <v>2302</v>
      </c>
      <c r="CB8" s="159" t="s">
        <v>2303</v>
      </c>
      <c r="CC8" s="159" t="s">
        <v>2304</v>
      </c>
      <c r="CD8" s="159" t="s">
        <v>2305</v>
      </c>
      <c r="CE8" s="159" t="s">
        <v>2306</v>
      </c>
      <c r="CF8" s="159" t="s">
        <v>2307</v>
      </c>
      <c r="CG8" s="159" t="s">
        <v>2308</v>
      </c>
      <c r="CH8" s="159" t="s">
        <v>2309</v>
      </c>
      <c r="CI8" s="159" t="s">
        <v>2310</v>
      </c>
      <c r="CJ8" s="159" t="s">
        <v>2311</v>
      </c>
      <c r="CK8" s="159" t="s">
        <v>2312</v>
      </c>
      <c r="CL8" s="159" t="s">
        <v>2313</v>
      </c>
      <c r="CM8" s="159" t="s">
        <v>2314</v>
      </c>
      <c r="CN8" s="159" t="s">
        <v>2315</v>
      </c>
      <c r="CO8" s="159" t="s">
        <v>2316</v>
      </c>
      <c r="CP8" s="159" t="s">
        <v>2317</v>
      </c>
      <c r="CQ8" s="159" t="s">
        <v>2318</v>
      </c>
      <c r="CR8" s="159" t="s">
        <v>2319</v>
      </c>
      <c r="CS8" s="159" t="s">
        <v>2320</v>
      </c>
      <c r="CT8" s="159" t="s">
        <v>2321</v>
      </c>
      <c r="CU8" s="159" t="s">
        <v>2322</v>
      </c>
      <c r="CV8" s="159" t="s">
        <v>2323</v>
      </c>
      <c r="CW8" s="159" t="s">
        <v>2324</v>
      </c>
      <c r="CX8" s="159" t="s">
        <v>2325</v>
      </c>
      <c r="CY8" s="159" t="s">
        <v>2326</v>
      </c>
      <c r="CZ8" s="159" t="s">
        <v>2327</v>
      </c>
      <c r="DA8" s="159" t="s">
        <v>2328</v>
      </c>
      <c r="DB8" s="159" t="s">
        <v>2329</v>
      </c>
      <c r="DC8" s="159" t="s">
        <v>2330</v>
      </c>
      <c r="DD8" s="159" t="s">
        <v>2331</v>
      </c>
      <c r="DE8" s="159" t="s">
        <v>2310</v>
      </c>
      <c r="DF8" s="159" t="s">
        <v>2311</v>
      </c>
      <c r="DG8" s="159" t="s">
        <v>2332</v>
      </c>
      <c r="DH8" s="159" t="s">
        <v>2333</v>
      </c>
      <c r="DI8" s="159" t="s">
        <v>2334</v>
      </c>
      <c r="DJ8" s="159" t="s">
        <v>2335</v>
      </c>
      <c r="DK8" s="159" t="s">
        <v>2336</v>
      </c>
      <c r="DL8" s="159" t="s">
        <v>2337</v>
      </c>
      <c r="DM8" s="159" t="s">
        <v>2327</v>
      </c>
      <c r="DN8" s="159" t="s">
        <v>2328</v>
      </c>
      <c r="DO8" s="159" t="s">
        <v>2329</v>
      </c>
      <c r="DP8" s="159" t="s">
        <v>2338</v>
      </c>
      <c r="DQ8" s="159" t="s">
        <v>2339</v>
      </c>
      <c r="DR8" s="159" t="s">
        <v>2340</v>
      </c>
      <c r="DS8" s="159" t="s">
        <v>2341</v>
      </c>
      <c r="DT8" s="159" t="s">
        <v>2342</v>
      </c>
      <c r="DU8" s="159" t="s">
        <v>2343</v>
      </c>
      <c r="DV8" s="159" t="s">
        <v>2326</v>
      </c>
      <c r="DW8" s="159" t="s">
        <v>2327</v>
      </c>
      <c r="DX8" s="159" t="s">
        <v>2332</v>
      </c>
      <c r="DY8" s="159" t="s">
        <v>2341</v>
      </c>
      <c r="DZ8" s="159" t="s">
        <v>513</v>
      </c>
      <c r="EA8" s="159" t="s">
        <v>2344</v>
      </c>
      <c r="EB8" s="159" t="s">
        <v>2345</v>
      </c>
      <c r="EC8" s="159" t="s">
        <v>2346</v>
      </c>
      <c r="ED8" s="159" t="s">
        <v>2347</v>
      </c>
      <c r="EE8" s="159" t="s">
        <v>2348</v>
      </c>
      <c r="EF8" s="159" t="s">
        <v>2349</v>
      </c>
      <c r="EG8" s="159" t="s">
        <v>2350</v>
      </c>
      <c r="EH8" s="159" t="s">
        <v>2284</v>
      </c>
      <c r="EI8" s="159" t="s">
        <v>2294</v>
      </c>
      <c r="EJ8" s="159" t="s">
        <v>198</v>
      </c>
      <c r="EK8" s="159" t="s">
        <v>2351</v>
      </c>
      <c r="EL8" s="159" t="s">
        <v>2352</v>
      </c>
      <c r="EM8" s="159" t="s">
        <v>2353</v>
      </c>
      <c r="EN8" s="159" t="s">
        <v>454</v>
      </c>
      <c r="EO8" s="159" t="s">
        <v>2354</v>
      </c>
      <c r="EP8" s="159" t="s">
        <v>2355</v>
      </c>
      <c r="EQ8" s="159" t="s">
        <v>2356</v>
      </c>
      <c r="ER8" s="159" t="s">
        <v>2357</v>
      </c>
      <c r="ES8" s="159" t="s">
        <v>2358</v>
      </c>
      <c r="ET8" s="159" t="s">
        <v>2359</v>
      </c>
      <c r="EU8" s="159" t="s">
        <v>2360</v>
      </c>
      <c r="EV8" s="159" t="s">
        <v>349</v>
      </c>
      <c r="EW8" s="159" t="s">
        <v>2361</v>
      </c>
      <c r="EX8" s="159" t="s">
        <v>2362</v>
      </c>
      <c r="EY8" s="159" t="s">
        <v>2363</v>
      </c>
      <c r="EZ8" s="159" t="s">
        <v>2364</v>
      </c>
      <c r="FA8" s="159" t="s">
        <v>2365</v>
      </c>
      <c r="FB8" s="159" t="s">
        <v>2366</v>
      </c>
      <c r="FC8" s="159" t="s">
        <v>2350</v>
      </c>
      <c r="FD8" s="159" t="s">
        <v>454</v>
      </c>
      <c r="FE8" s="159" t="s">
        <v>2367</v>
      </c>
      <c r="FF8" s="159" t="s">
        <v>2368</v>
      </c>
      <c r="FG8" s="159" t="s">
        <v>2369</v>
      </c>
      <c r="FH8" s="159" t="s">
        <v>2370</v>
      </c>
      <c r="FI8" s="159" t="s">
        <v>2371</v>
      </c>
      <c r="FJ8" s="159" t="s">
        <v>2372</v>
      </c>
      <c r="FK8" s="159" t="s">
        <v>2303</v>
      </c>
      <c r="FL8" s="159" t="s">
        <v>2304</v>
      </c>
      <c r="FM8" s="159" t="s">
        <v>2373</v>
      </c>
      <c r="FN8" s="159" t="s">
        <v>513</v>
      </c>
      <c r="FO8" s="159" t="s">
        <v>2344</v>
      </c>
      <c r="FP8" s="159" t="s">
        <v>2374</v>
      </c>
      <c r="FQ8" s="159" t="s">
        <v>2375</v>
      </c>
      <c r="FR8" s="161" t="s">
        <v>2376</v>
      </c>
      <c r="FS8" s="159" t="s">
        <v>2377</v>
      </c>
      <c r="FT8" s="159" t="s">
        <v>368</v>
      </c>
      <c r="FU8" s="159" t="s">
        <v>2378</v>
      </c>
      <c r="FV8" s="159" t="s">
        <v>2379</v>
      </c>
      <c r="FW8" s="159" t="s">
        <v>2380</v>
      </c>
      <c r="FX8" s="159" t="s">
        <v>2381</v>
      </c>
      <c r="FY8" s="159" t="s">
        <v>2382</v>
      </c>
      <c r="FZ8" s="159" t="s">
        <v>2383</v>
      </c>
      <c r="GA8" s="159" t="s">
        <v>2384</v>
      </c>
      <c r="GB8" s="159" t="s">
        <v>2351</v>
      </c>
      <c r="GC8" s="161" t="s">
        <v>2385</v>
      </c>
      <c r="GD8" s="159" t="s">
        <v>2375</v>
      </c>
      <c r="GE8" s="159" t="s">
        <v>2374</v>
      </c>
      <c r="GF8" s="159" t="s">
        <v>2386</v>
      </c>
      <c r="GG8" s="161" t="s">
        <v>2387</v>
      </c>
      <c r="GH8" s="159" t="s">
        <v>2388</v>
      </c>
      <c r="GI8" s="159" t="s">
        <v>2389</v>
      </c>
      <c r="GJ8" s="159" t="s">
        <v>2326</v>
      </c>
      <c r="GK8" s="159" t="s">
        <v>2390</v>
      </c>
      <c r="GL8" s="159" t="s">
        <v>2391</v>
      </c>
      <c r="GM8" s="159" t="s">
        <v>2392</v>
      </c>
      <c r="GN8" s="159" t="s">
        <v>2393</v>
      </c>
      <c r="GO8" s="159" t="s">
        <v>2394</v>
      </c>
      <c r="GP8" s="159" t="s">
        <v>2395</v>
      </c>
      <c r="GQ8" s="159" t="s">
        <v>2396</v>
      </c>
      <c r="GR8" s="161" t="s">
        <v>2395</v>
      </c>
      <c r="GS8" s="159" t="s">
        <v>2397</v>
      </c>
      <c r="GT8" s="159" t="s">
        <v>2398</v>
      </c>
      <c r="GU8" s="159" t="s">
        <v>2399</v>
      </c>
      <c r="GV8" s="159" t="s">
        <v>2400</v>
      </c>
      <c r="GW8" s="159" t="s">
        <v>2401</v>
      </c>
      <c r="GX8" s="159" t="s">
        <v>2402</v>
      </c>
      <c r="GY8" s="159" t="s">
        <v>2403</v>
      </c>
      <c r="GZ8" s="159" t="s">
        <v>2404</v>
      </c>
      <c r="HA8" s="159" t="s">
        <v>2405</v>
      </c>
      <c r="HB8" s="159" t="s">
        <v>2406</v>
      </c>
      <c r="HC8" s="161" t="s">
        <v>2407</v>
      </c>
      <c r="HD8" s="161" t="s">
        <v>2408</v>
      </c>
      <c r="HE8" s="159" t="s">
        <v>2409</v>
      </c>
      <c r="HF8" s="159" t="s">
        <v>2409</v>
      </c>
      <c r="HG8" s="159" t="s">
        <v>562</v>
      </c>
      <c r="HH8" s="159" t="s">
        <v>562</v>
      </c>
      <c r="HI8" s="159" t="s">
        <v>2410</v>
      </c>
      <c r="HJ8" s="161" t="s">
        <v>2407</v>
      </c>
      <c r="HK8" s="161" t="s">
        <v>2408</v>
      </c>
      <c r="HL8" s="159" t="s">
        <v>2411</v>
      </c>
      <c r="HM8" s="159" t="s">
        <v>2412</v>
      </c>
      <c r="HN8" s="159" t="s">
        <v>228</v>
      </c>
      <c r="HO8" s="159" t="s">
        <v>232</v>
      </c>
      <c r="HP8" s="159" t="s">
        <v>2413</v>
      </c>
      <c r="HQ8" s="159" t="s">
        <v>2414</v>
      </c>
      <c r="HR8" s="159" t="s">
        <v>2415</v>
      </c>
      <c r="HS8" s="159" t="s">
        <v>2416</v>
      </c>
      <c r="HT8" s="159" t="s">
        <v>2417</v>
      </c>
      <c r="HU8" s="159" t="s">
        <v>2418</v>
      </c>
      <c r="HV8" s="159" t="s">
        <v>2419</v>
      </c>
      <c r="HW8" s="159" t="s">
        <v>2420</v>
      </c>
      <c r="HX8" s="159" t="s">
        <v>2421</v>
      </c>
      <c r="HY8" s="159" t="s">
        <v>2422</v>
      </c>
      <c r="HZ8" s="159" t="s">
        <v>2423</v>
      </c>
      <c r="IA8" s="159" t="s">
        <v>2424</v>
      </c>
      <c r="IB8" s="159" t="s">
        <v>2425</v>
      </c>
      <c r="IC8" s="159" t="s">
        <v>2426</v>
      </c>
      <c r="ID8" s="159" t="s">
        <v>2427</v>
      </c>
      <c r="IE8" s="159" t="s">
        <v>2428</v>
      </c>
      <c r="IF8" s="159" t="s">
        <v>2429</v>
      </c>
      <c r="IG8" s="159" t="s">
        <v>2415</v>
      </c>
      <c r="IH8" s="159" t="s">
        <v>2416</v>
      </c>
      <c r="II8" s="159" t="s">
        <v>2430</v>
      </c>
      <c r="IJ8" s="159" t="s">
        <v>2431</v>
      </c>
      <c r="IK8" s="159" t="s">
        <v>2410</v>
      </c>
      <c r="IL8" s="159" t="s">
        <v>198</v>
      </c>
      <c r="IM8" s="161" t="s">
        <v>576</v>
      </c>
      <c r="IN8" s="161" t="s">
        <v>2432</v>
      </c>
      <c r="IO8" s="159" t="s">
        <v>2433</v>
      </c>
      <c r="IP8" s="159" t="s">
        <v>2432</v>
      </c>
      <c r="IQ8" s="159" t="s">
        <v>2434</v>
      </c>
      <c r="IR8" s="159" t="s">
        <v>222</v>
      </c>
      <c r="IS8" s="159" t="s">
        <v>2435</v>
      </c>
      <c r="IT8" s="161" t="s">
        <v>2434</v>
      </c>
      <c r="IU8" s="159" t="s">
        <v>2436</v>
      </c>
      <c r="IV8" s="159" t="s">
        <v>2437</v>
      </c>
      <c r="IW8" s="159" t="s">
        <v>222</v>
      </c>
      <c r="IX8" s="161" t="s">
        <v>576</v>
      </c>
      <c r="IY8" s="159" t="s">
        <v>2435</v>
      </c>
      <c r="IZ8" s="159" t="s">
        <v>2438</v>
      </c>
      <c r="JA8" s="159" t="s">
        <v>2438</v>
      </c>
      <c r="JB8" s="159" t="s">
        <v>2439</v>
      </c>
      <c r="JC8" s="159" t="s">
        <v>2440</v>
      </c>
      <c r="JD8" s="159" t="s">
        <v>2441</v>
      </c>
      <c r="JE8" s="159" t="s">
        <v>2442</v>
      </c>
      <c r="JF8" s="159" t="s">
        <v>2443</v>
      </c>
      <c r="JG8" s="159" t="s">
        <v>2441</v>
      </c>
      <c r="JH8" s="159" t="s">
        <v>2444</v>
      </c>
      <c r="JI8" s="159" t="s">
        <v>2445</v>
      </c>
      <c r="JJ8" s="159" t="s">
        <v>2444</v>
      </c>
      <c r="JK8" s="159" t="s">
        <v>2446</v>
      </c>
      <c r="JL8" s="159" t="s">
        <v>2447</v>
      </c>
      <c r="JM8" s="159" t="s">
        <v>2448</v>
      </c>
      <c r="JN8" s="159" t="s">
        <v>2449</v>
      </c>
      <c r="JO8" s="159" t="s">
        <v>2450</v>
      </c>
      <c r="JP8" s="159" t="s">
        <v>2451</v>
      </c>
      <c r="JQ8" s="159" t="s">
        <v>2452</v>
      </c>
      <c r="JR8" s="159" t="s">
        <v>2453</v>
      </c>
      <c r="JS8" s="159" t="s">
        <v>2454</v>
      </c>
      <c r="JT8" s="159" t="s">
        <v>2455</v>
      </c>
      <c r="JU8" s="159" t="s">
        <v>2456</v>
      </c>
      <c r="JV8" s="159" t="s">
        <v>2429</v>
      </c>
      <c r="JW8" s="159" t="s">
        <v>2457</v>
      </c>
      <c r="JX8" s="159" t="s">
        <v>2458</v>
      </c>
      <c r="JY8" s="159" t="s">
        <v>2459</v>
      </c>
      <c r="JZ8" s="159" t="s">
        <v>2460</v>
      </c>
      <c r="KA8" s="159" t="s">
        <v>2461</v>
      </c>
      <c r="KB8" s="159" t="s">
        <v>2411</v>
      </c>
      <c r="KC8" s="159" t="s">
        <v>2462</v>
      </c>
      <c r="KD8" s="159" t="s">
        <v>2461</v>
      </c>
      <c r="KE8" s="159" t="s">
        <v>2412</v>
      </c>
      <c r="KF8" s="159" t="s">
        <v>2463</v>
      </c>
      <c r="KG8" s="159" t="s">
        <v>2464</v>
      </c>
      <c r="KH8" s="159" t="s">
        <v>2464</v>
      </c>
      <c r="KI8" s="159" t="s">
        <v>2465</v>
      </c>
      <c r="KJ8" s="159" t="s">
        <v>2296</v>
      </c>
    </row>
    <row r="9" spans="1:296" ht="18" customHeight="1" x14ac:dyDescent="0.3">
      <c r="A9" s="162" t="s">
        <v>67</v>
      </c>
      <c r="B9" s="162" t="s">
        <v>808</v>
      </c>
      <c r="C9" s="163">
        <v>0</v>
      </c>
      <c r="D9" s="164"/>
      <c r="E9" s="163">
        <v>16.449300000000001</v>
      </c>
      <c r="F9" s="163">
        <v>-24.179600000000001</v>
      </c>
      <c r="G9" s="163">
        <v>9.7532999999999994</v>
      </c>
      <c r="H9" s="163">
        <v>32.1738</v>
      </c>
      <c r="I9" s="164"/>
      <c r="J9" s="163">
        <v>36.994799999999998</v>
      </c>
      <c r="K9" s="163">
        <v>-101.6362</v>
      </c>
      <c r="L9" s="163">
        <v>50.729399999999998</v>
      </c>
      <c r="M9" s="163">
        <v>25.847200000000001</v>
      </c>
      <c r="N9" s="163">
        <v>25.4116</v>
      </c>
      <c r="O9" s="163">
        <v>-24.42</v>
      </c>
      <c r="P9" s="163">
        <v>-47.756999999999998</v>
      </c>
      <c r="Q9" s="163">
        <v>44</v>
      </c>
      <c r="R9" s="163">
        <v>18.216000000000001</v>
      </c>
      <c r="S9" s="163">
        <v>-44</v>
      </c>
      <c r="T9" s="163">
        <v>13.199199999999999</v>
      </c>
      <c r="U9" s="163">
        <v>60.197400000000002</v>
      </c>
      <c r="V9" s="164"/>
      <c r="W9" s="163">
        <v>14.3736</v>
      </c>
      <c r="X9" s="163">
        <v>23.818200000000001</v>
      </c>
      <c r="Y9" s="163">
        <v>5.3723999999999998</v>
      </c>
      <c r="Z9" s="163">
        <v>4.7550999999999997</v>
      </c>
      <c r="AA9" s="163">
        <v>5.4302999999999999</v>
      </c>
      <c r="AB9" s="164"/>
      <c r="AC9" s="164"/>
      <c r="AD9" s="163">
        <v>-69.599999999999994</v>
      </c>
      <c r="AE9" s="163">
        <v>-69.62</v>
      </c>
      <c r="AF9" s="164"/>
      <c r="AG9" s="163">
        <v>24.42</v>
      </c>
      <c r="AH9" s="163">
        <v>46.2</v>
      </c>
      <c r="AI9" s="163">
        <v>18.512</v>
      </c>
      <c r="AJ9" s="163">
        <v>0.24199999999999999</v>
      </c>
      <c r="AK9" s="163">
        <v>-70</v>
      </c>
      <c r="AL9" s="165">
        <v>-69.599999999999994</v>
      </c>
      <c r="AM9" s="163">
        <v>-45.02</v>
      </c>
      <c r="AN9" s="163">
        <v>70.239999999999995</v>
      </c>
      <c r="AO9" s="163">
        <v>71.099999999999994</v>
      </c>
      <c r="AP9" s="164"/>
      <c r="AQ9" s="163">
        <v>2.9619</v>
      </c>
      <c r="AR9" s="163">
        <v>61.9298</v>
      </c>
      <c r="AS9" s="163">
        <v>63.571899999999999</v>
      </c>
      <c r="AT9" s="163">
        <v>47.154699999999998</v>
      </c>
      <c r="AU9" s="163">
        <v>-53.120399999999997</v>
      </c>
      <c r="AV9" s="163">
        <v>-52.708100000000002</v>
      </c>
      <c r="AW9" s="163">
        <v>6.0438000000000001</v>
      </c>
      <c r="AX9" s="163">
        <v>6.2102000000000004</v>
      </c>
      <c r="AY9" s="163">
        <v>76.647599999999997</v>
      </c>
      <c r="AZ9" s="163">
        <v>77.595299999999995</v>
      </c>
      <c r="BA9" s="163">
        <v>4.1449999999999996</v>
      </c>
      <c r="BB9" s="163">
        <v>3.0243000000000002</v>
      </c>
      <c r="BC9" s="163">
        <v>-459.76780000000002</v>
      </c>
      <c r="BD9" s="163">
        <v>-12.036899999999999</v>
      </c>
      <c r="BE9" s="163">
        <v>-12.7</v>
      </c>
      <c r="BF9" s="163">
        <v>-12.8</v>
      </c>
      <c r="BG9" s="163">
        <v>59.166200000000003</v>
      </c>
      <c r="BH9" s="163">
        <v>58.054900000000004</v>
      </c>
      <c r="BI9" s="163">
        <v>-4.6361999999999997</v>
      </c>
      <c r="BJ9" s="164"/>
      <c r="BK9" s="163">
        <v>-49.583199999999998</v>
      </c>
      <c r="BL9" s="163">
        <v>3.4803999999999999</v>
      </c>
      <c r="BM9" s="163">
        <v>8.4207999999999998</v>
      </c>
      <c r="BN9" s="163">
        <v>5.6425000000000001</v>
      </c>
      <c r="BO9" s="163">
        <v>495.95609999999999</v>
      </c>
      <c r="BP9" s="163">
        <v>103.36620000000001</v>
      </c>
      <c r="BQ9" s="163">
        <v>102.23699999999999</v>
      </c>
      <c r="BR9" s="163">
        <v>-508.57279999999997</v>
      </c>
      <c r="BS9" s="163">
        <v>433.26179999999999</v>
      </c>
      <c r="BT9" s="164"/>
      <c r="BU9" s="163">
        <v>-66.935299999999998</v>
      </c>
      <c r="BV9" s="163">
        <v>68.180300000000003</v>
      </c>
      <c r="BW9" s="163">
        <v>86.113600000000005</v>
      </c>
      <c r="BX9" s="163">
        <v>27.79</v>
      </c>
      <c r="BY9" s="163">
        <v>30.94</v>
      </c>
      <c r="BZ9" s="163">
        <v>58.08</v>
      </c>
      <c r="CA9" s="163">
        <v>75.37</v>
      </c>
      <c r="CB9" s="163">
        <v>-26.1174</v>
      </c>
      <c r="CC9" s="163">
        <v>-25.447700000000001</v>
      </c>
      <c r="CD9" s="163">
        <v>86.188900000000004</v>
      </c>
      <c r="CE9" s="163">
        <v>86.763300000000001</v>
      </c>
      <c r="CF9" s="163">
        <v>33.289299999999997</v>
      </c>
      <c r="CG9" s="163">
        <v>-105.2724</v>
      </c>
      <c r="CH9" s="163">
        <v>-105.3822</v>
      </c>
      <c r="CI9" s="163">
        <v>1.7011000000000001</v>
      </c>
      <c r="CJ9" s="163">
        <v>0</v>
      </c>
      <c r="CK9" s="164"/>
      <c r="CL9" s="163">
        <v>28.841999999999999</v>
      </c>
      <c r="CM9" s="163">
        <v>109.5</v>
      </c>
      <c r="CN9" s="163">
        <v>98</v>
      </c>
      <c r="CO9" s="163">
        <v>-15.64</v>
      </c>
      <c r="CP9" s="163">
        <v>62.366100000000003</v>
      </c>
      <c r="CQ9" s="163">
        <v>60.832099999999997</v>
      </c>
      <c r="CR9" s="163">
        <v>60.602200000000003</v>
      </c>
      <c r="CS9" s="163">
        <v>-23.1295</v>
      </c>
      <c r="CT9" s="163">
        <v>-22.292300000000001</v>
      </c>
      <c r="CU9" s="163">
        <v>41.276800000000001</v>
      </c>
      <c r="CV9" s="163">
        <v>-65.080699999999993</v>
      </c>
      <c r="CW9" s="163">
        <v>46.628900000000002</v>
      </c>
      <c r="CX9" s="163">
        <v>13.3484</v>
      </c>
      <c r="CY9" s="163">
        <v>52.53</v>
      </c>
      <c r="CZ9" s="163">
        <v>28.87</v>
      </c>
      <c r="DA9" s="163">
        <v>37.507300000000001</v>
      </c>
      <c r="DB9" s="163">
        <v>35.600299999999997</v>
      </c>
      <c r="DC9" s="163">
        <v>-28.516200000000001</v>
      </c>
      <c r="DD9" s="164"/>
      <c r="DE9" s="164"/>
      <c r="DF9" s="163">
        <v>0</v>
      </c>
      <c r="DG9" s="163">
        <v>-69.163700000000006</v>
      </c>
      <c r="DH9" s="164"/>
      <c r="DI9" s="164"/>
      <c r="DJ9" s="163">
        <v>-79.099999999999994</v>
      </c>
      <c r="DK9" s="163">
        <v>-79.599999999999994</v>
      </c>
      <c r="DL9" s="163">
        <v>20.7394</v>
      </c>
      <c r="DM9" s="163">
        <v>37.9</v>
      </c>
      <c r="DN9" s="163">
        <v>42.4</v>
      </c>
      <c r="DO9" s="163">
        <v>52.02</v>
      </c>
      <c r="DP9" s="163">
        <v>37.78</v>
      </c>
      <c r="DQ9" s="163">
        <v>-4.26</v>
      </c>
      <c r="DR9" s="163">
        <v>61.457500000000003</v>
      </c>
      <c r="DS9" s="163">
        <v>67.256299999999996</v>
      </c>
      <c r="DT9" s="163">
        <v>-32.89</v>
      </c>
      <c r="DU9" s="163">
        <v>-33.549999999999997</v>
      </c>
      <c r="DV9" s="163">
        <v>111.77</v>
      </c>
      <c r="DW9" s="163">
        <v>56.92</v>
      </c>
      <c r="DX9" s="163">
        <v>69.290899999999993</v>
      </c>
      <c r="DY9" s="163">
        <v>67.072699999999998</v>
      </c>
      <c r="DZ9" s="163">
        <v>-7.9203999999999999</v>
      </c>
      <c r="EA9" s="163">
        <v>-8.1090999999999998</v>
      </c>
      <c r="EB9" s="163">
        <v>179.18870000000001</v>
      </c>
      <c r="EC9" s="163">
        <v>135.30879999999999</v>
      </c>
      <c r="ED9" s="163">
        <v>130.3826</v>
      </c>
      <c r="EE9" s="163">
        <v>132.35429999999999</v>
      </c>
      <c r="EF9" s="163">
        <v>139.47890000000001</v>
      </c>
      <c r="EG9" s="163">
        <v>121.9234</v>
      </c>
      <c r="EH9" s="163">
        <v>-25.751999999999999</v>
      </c>
      <c r="EI9" s="163">
        <v>524.20010000000002</v>
      </c>
      <c r="EJ9" s="163">
        <v>482.24270000000001</v>
      </c>
      <c r="EK9" s="164"/>
      <c r="EL9" s="163">
        <v>-29.773199999999999</v>
      </c>
      <c r="EM9" s="163">
        <v>-28.038799999999998</v>
      </c>
      <c r="EN9" s="164"/>
      <c r="EO9" s="163">
        <v>48.262900000000002</v>
      </c>
      <c r="EP9" s="163">
        <v>45.822899999999997</v>
      </c>
      <c r="EQ9" s="163">
        <v>149.05199999999999</v>
      </c>
      <c r="ER9" s="163">
        <v>-88.4405</v>
      </c>
      <c r="ES9" s="163">
        <v>-89.925600000000003</v>
      </c>
      <c r="ET9" s="163">
        <v>-83.168000000000006</v>
      </c>
      <c r="EU9" s="163">
        <v>0</v>
      </c>
      <c r="EV9" s="163">
        <v>-16.149999999999999</v>
      </c>
      <c r="EW9" s="163">
        <v>103.8</v>
      </c>
      <c r="EX9" s="163">
        <v>11.5975</v>
      </c>
      <c r="EY9" s="163">
        <v>42.874699999999997</v>
      </c>
      <c r="EZ9" s="163">
        <v>-35.542400000000001</v>
      </c>
      <c r="FA9" s="163">
        <v>-34.689100000000003</v>
      </c>
      <c r="FB9" s="163">
        <v>6.7248999999999999</v>
      </c>
      <c r="FC9" s="163">
        <v>-115.378</v>
      </c>
      <c r="FD9" s="163">
        <v>84.574600000000004</v>
      </c>
      <c r="FE9" s="163">
        <v>19.602</v>
      </c>
      <c r="FF9" s="163">
        <v>23.810199999999998</v>
      </c>
      <c r="FG9" s="164"/>
      <c r="FH9" s="163">
        <v>41.823</v>
      </c>
      <c r="FI9" s="163">
        <v>41.967799999999997</v>
      </c>
      <c r="FJ9" s="163">
        <v>40.560699999999997</v>
      </c>
      <c r="FK9" s="163">
        <v>24.951000000000001</v>
      </c>
      <c r="FL9" s="163">
        <v>25.620799999999999</v>
      </c>
      <c r="FM9" s="163">
        <v>-29.974699999999999</v>
      </c>
      <c r="FN9" s="163">
        <v>9.8605</v>
      </c>
      <c r="FO9" s="163">
        <v>9.8724000000000007</v>
      </c>
      <c r="FP9" s="163">
        <v>-40.453800000000001</v>
      </c>
      <c r="FQ9" s="163">
        <v>-34.970999999999997</v>
      </c>
      <c r="FR9" s="163">
        <v>9.7139000000000006</v>
      </c>
      <c r="FS9" s="163">
        <v>-35.25</v>
      </c>
      <c r="FT9" s="164"/>
      <c r="FU9" s="163">
        <v>0.90359999999999996</v>
      </c>
      <c r="FV9" s="163">
        <v>1.32</v>
      </c>
      <c r="FW9" s="163">
        <v>19.93</v>
      </c>
      <c r="FX9" s="163">
        <v>0</v>
      </c>
      <c r="FY9" s="163">
        <v>8.6454000000000004</v>
      </c>
      <c r="FZ9" s="163">
        <v>-10.41</v>
      </c>
      <c r="GA9" s="163">
        <v>1.278</v>
      </c>
      <c r="GB9" s="164"/>
      <c r="GC9" s="163">
        <v>30.97</v>
      </c>
      <c r="GD9" s="163">
        <v>37.342599999999997</v>
      </c>
      <c r="GE9" s="163">
        <v>40.617100000000001</v>
      </c>
      <c r="GF9" s="163">
        <v>14.91</v>
      </c>
      <c r="GG9" s="163">
        <v>72.216899999999995</v>
      </c>
      <c r="GH9" s="163">
        <v>29.3</v>
      </c>
      <c r="GI9" s="163">
        <v>-11.795</v>
      </c>
      <c r="GJ9" s="163">
        <v>-0.45379999999999998</v>
      </c>
      <c r="GK9" s="164"/>
      <c r="GL9" s="163">
        <v>1.5469999999999999</v>
      </c>
      <c r="GM9" s="164"/>
      <c r="GN9" s="164"/>
      <c r="GO9" s="163">
        <v>-15.1897</v>
      </c>
      <c r="GP9" s="163">
        <v>-22.123799999999999</v>
      </c>
      <c r="GQ9" s="163">
        <v>12.2776</v>
      </c>
      <c r="GR9" s="163">
        <v>22.6768</v>
      </c>
      <c r="GS9" s="163">
        <v>15.604799999999999</v>
      </c>
      <c r="GT9" s="163">
        <v>14.977499999999999</v>
      </c>
      <c r="GU9" s="163">
        <v>-109.7222</v>
      </c>
      <c r="GV9" s="163">
        <v>-17.869299999999999</v>
      </c>
      <c r="GW9" s="163">
        <v>20.829799999999999</v>
      </c>
      <c r="GX9" s="163">
        <v>-40.030900000000003</v>
      </c>
      <c r="GY9" s="163">
        <v>12.060700000000001</v>
      </c>
      <c r="GZ9" s="163">
        <v>7.7748999999999997</v>
      </c>
      <c r="HA9" s="163">
        <v>7.5426000000000002</v>
      </c>
      <c r="HB9" s="163">
        <v>13.635899999999999</v>
      </c>
      <c r="HC9" s="163">
        <v>155.13239999999999</v>
      </c>
      <c r="HD9" s="163">
        <v>156.53210000000001</v>
      </c>
      <c r="HE9" s="163">
        <v>224.2</v>
      </c>
      <c r="HF9" s="163">
        <v>-222.84350000000001</v>
      </c>
      <c r="HG9" s="163">
        <v>-509.95639999999997</v>
      </c>
      <c r="HH9" s="163">
        <v>511.59949999999998</v>
      </c>
      <c r="HI9" s="163">
        <v>617.31259999999997</v>
      </c>
      <c r="HJ9" s="163">
        <v>-149.3604</v>
      </c>
      <c r="HK9" s="163">
        <v>-146.34450000000001</v>
      </c>
      <c r="HL9" s="163">
        <v>-60.724800000000002</v>
      </c>
      <c r="HM9" s="163">
        <v>-53.035800000000002</v>
      </c>
      <c r="HN9" s="163">
        <v>75.925600000000003</v>
      </c>
      <c r="HO9" s="163">
        <v>77.133399999999995</v>
      </c>
      <c r="HP9" s="164"/>
      <c r="HQ9" s="164"/>
      <c r="HR9" s="163">
        <v>31.0945</v>
      </c>
      <c r="HS9" s="163">
        <v>30.314499999999999</v>
      </c>
      <c r="HT9" s="163">
        <v>-60.424399999999999</v>
      </c>
      <c r="HU9" s="163">
        <v>-58.924799999999998</v>
      </c>
      <c r="HV9" s="163">
        <v>96.6</v>
      </c>
      <c r="HW9" s="163">
        <v>95.91</v>
      </c>
      <c r="HX9" s="163">
        <v>38.1</v>
      </c>
      <c r="HY9" s="163">
        <v>38.1</v>
      </c>
      <c r="HZ9" s="163">
        <v>20.859500000000001</v>
      </c>
      <c r="IA9" s="163">
        <v>32.159999999999997</v>
      </c>
      <c r="IB9" s="163">
        <v>-365.75959999999998</v>
      </c>
      <c r="IC9" s="163">
        <v>93.940399999999997</v>
      </c>
      <c r="ID9" s="163">
        <v>93.241600000000005</v>
      </c>
      <c r="IE9" s="165">
        <v>11.6</v>
      </c>
      <c r="IF9" s="163">
        <v>-1.1000000000000001</v>
      </c>
      <c r="IG9" s="163">
        <v>-30.2</v>
      </c>
      <c r="IH9" s="163">
        <v>-35.200000000000003</v>
      </c>
      <c r="II9" s="164"/>
      <c r="IJ9" s="163">
        <v>1.6511</v>
      </c>
      <c r="IK9" s="163">
        <v>-601.64790000000005</v>
      </c>
      <c r="IL9" s="163">
        <v>-442.5487</v>
      </c>
      <c r="IM9" s="163">
        <v>477.87310000000002</v>
      </c>
      <c r="IN9" s="163">
        <v>385.86810000000003</v>
      </c>
      <c r="IO9" s="163">
        <v>-70.438000000000002</v>
      </c>
      <c r="IP9" s="163">
        <v>-374.5942</v>
      </c>
      <c r="IQ9" s="163">
        <v>376.75689999999997</v>
      </c>
      <c r="IR9" s="163">
        <v>-158.4041</v>
      </c>
      <c r="IS9" s="163">
        <v>-225.81829999999999</v>
      </c>
      <c r="IT9" s="163">
        <v>-371.33479999999997</v>
      </c>
      <c r="IU9" s="163">
        <v>103.0642</v>
      </c>
      <c r="IV9" s="163">
        <v>100.1061</v>
      </c>
      <c r="IW9" s="163">
        <v>159.5915</v>
      </c>
      <c r="IX9" s="163">
        <v>-454.48899999999998</v>
      </c>
      <c r="IY9" s="163">
        <v>234.12260000000001</v>
      </c>
      <c r="IZ9" s="163">
        <v>-227.60050000000001</v>
      </c>
      <c r="JA9" s="163">
        <v>228.35050000000001</v>
      </c>
      <c r="JB9" s="163">
        <v>-9.7820999999999998</v>
      </c>
      <c r="JC9" s="163">
        <v>39.638399999999997</v>
      </c>
      <c r="JD9" s="163">
        <v>16.96</v>
      </c>
      <c r="JE9" s="163">
        <v>1.6339999999999999</v>
      </c>
      <c r="JF9" s="163">
        <v>1.6359999999999999</v>
      </c>
      <c r="JG9" s="163">
        <v>-16.96</v>
      </c>
      <c r="JH9" s="163">
        <v>-6.08</v>
      </c>
      <c r="JI9" s="164"/>
      <c r="JJ9" s="163">
        <v>5.8029999999999999</v>
      </c>
      <c r="JK9" s="163">
        <v>-36.9741</v>
      </c>
      <c r="JL9" s="163">
        <v>-22.175899999999999</v>
      </c>
      <c r="JM9" s="163">
        <v>26</v>
      </c>
      <c r="JN9" s="163">
        <v>51.106000000000002</v>
      </c>
      <c r="JO9" s="163">
        <v>50.284999999999997</v>
      </c>
      <c r="JP9" s="163">
        <v>8.3068000000000008</v>
      </c>
      <c r="JQ9" s="164"/>
      <c r="JR9" s="163">
        <v>49.235700000000001</v>
      </c>
      <c r="JS9" s="163">
        <v>48.5045</v>
      </c>
      <c r="JT9" s="163">
        <v>48.867899999999999</v>
      </c>
      <c r="JU9" s="164"/>
      <c r="JV9" s="163">
        <v>2.7</v>
      </c>
      <c r="JW9" s="163">
        <v>38.303600000000003</v>
      </c>
      <c r="JX9" s="163">
        <v>6.45</v>
      </c>
      <c r="JY9" s="164"/>
      <c r="JZ9" s="163">
        <v>-52.349899999999998</v>
      </c>
      <c r="KA9" s="163">
        <v>81.071700000000007</v>
      </c>
      <c r="KB9" s="163">
        <v>61.887</v>
      </c>
      <c r="KC9" s="163">
        <v>-51.870800000000003</v>
      </c>
      <c r="KD9" s="163">
        <v>-79.0976</v>
      </c>
      <c r="KE9" s="163">
        <v>51.575699999999998</v>
      </c>
      <c r="KF9" s="163">
        <v>26.8582</v>
      </c>
      <c r="KG9" s="163">
        <v>-16.399999999999999</v>
      </c>
      <c r="KH9" s="163">
        <v>15.7</v>
      </c>
      <c r="KI9" s="163">
        <v>109.551</v>
      </c>
      <c r="KJ9" s="163">
        <v>11.839700000000001</v>
      </c>
    </row>
    <row r="10" spans="1:296" ht="18" customHeight="1" x14ac:dyDescent="0.3">
      <c r="A10" s="162" t="s">
        <v>67</v>
      </c>
      <c r="B10" s="162" t="s">
        <v>809</v>
      </c>
      <c r="C10" s="166">
        <v>0</v>
      </c>
      <c r="D10" s="167"/>
      <c r="E10" s="166">
        <v>15.6448</v>
      </c>
      <c r="F10" s="166">
        <v>-23.116900000000001</v>
      </c>
      <c r="G10" s="166">
        <v>9.4192</v>
      </c>
      <c r="H10" s="166">
        <v>32.434399999999997</v>
      </c>
      <c r="I10" s="167"/>
      <c r="J10" s="166">
        <v>35.601100000000002</v>
      </c>
      <c r="K10" s="166">
        <v>-99.239000000000004</v>
      </c>
      <c r="L10" s="166">
        <v>49.186599999999999</v>
      </c>
      <c r="M10" s="166">
        <v>25.001200000000001</v>
      </c>
      <c r="N10" s="166">
        <v>24.276299999999999</v>
      </c>
      <c r="O10" s="166">
        <v>-35.520000000000003</v>
      </c>
      <c r="P10" s="166">
        <v>-46.850999999999999</v>
      </c>
      <c r="Q10" s="166">
        <v>44</v>
      </c>
      <c r="R10" s="166">
        <v>18.216000000000001</v>
      </c>
      <c r="S10" s="166">
        <v>-41.8</v>
      </c>
      <c r="T10" s="166">
        <v>14.521000000000001</v>
      </c>
      <c r="U10" s="166">
        <v>56.758000000000003</v>
      </c>
      <c r="V10" s="167"/>
      <c r="W10" s="166">
        <v>15.0869</v>
      </c>
      <c r="X10" s="166">
        <v>25.020099999999999</v>
      </c>
      <c r="Y10" s="166">
        <v>7.6829999999999998</v>
      </c>
      <c r="Z10" s="166">
        <v>4.6501999999999999</v>
      </c>
      <c r="AA10" s="166">
        <v>6.0320999999999998</v>
      </c>
      <c r="AB10" s="167"/>
      <c r="AC10" s="167"/>
      <c r="AD10" s="166">
        <v>-72.45</v>
      </c>
      <c r="AE10" s="166">
        <v>-73.06</v>
      </c>
      <c r="AF10" s="167"/>
      <c r="AG10" s="166">
        <v>35.520000000000003</v>
      </c>
      <c r="AH10" s="166">
        <v>46.2</v>
      </c>
      <c r="AI10" s="166">
        <v>18.175999999999998</v>
      </c>
      <c r="AJ10" s="166">
        <v>0.24299999999999999</v>
      </c>
      <c r="AK10" s="166">
        <v>-72.430000000000007</v>
      </c>
      <c r="AL10" s="168">
        <v>-71.56</v>
      </c>
      <c r="AM10" s="166">
        <v>-45.64</v>
      </c>
      <c r="AN10" s="166">
        <v>73.36</v>
      </c>
      <c r="AO10" s="166">
        <v>73.06</v>
      </c>
      <c r="AP10" s="167"/>
      <c r="AQ10" s="166">
        <v>2.6680000000000001</v>
      </c>
      <c r="AR10" s="166">
        <v>59.9148</v>
      </c>
      <c r="AS10" s="166">
        <v>61.55</v>
      </c>
      <c r="AT10" s="166">
        <v>48.982900000000001</v>
      </c>
      <c r="AU10" s="166">
        <v>-57.0383</v>
      </c>
      <c r="AV10" s="166">
        <v>-56.436</v>
      </c>
      <c r="AW10" s="166">
        <v>6.7784000000000004</v>
      </c>
      <c r="AX10" s="166">
        <v>6.9482999999999997</v>
      </c>
      <c r="AY10" s="166">
        <v>77.376099999999994</v>
      </c>
      <c r="AZ10" s="166">
        <v>78.500200000000007</v>
      </c>
      <c r="BA10" s="166">
        <v>4.0564</v>
      </c>
      <c r="BB10" s="166">
        <v>2.9026999999999998</v>
      </c>
      <c r="BC10" s="166">
        <v>-452.53539999999998</v>
      </c>
      <c r="BD10" s="166">
        <v>-13.336399999999999</v>
      </c>
      <c r="BE10" s="166">
        <v>-11.7</v>
      </c>
      <c r="BF10" s="166">
        <v>-11.7</v>
      </c>
      <c r="BG10" s="166">
        <v>62.432699999999997</v>
      </c>
      <c r="BH10" s="166">
        <v>61.896999999999998</v>
      </c>
      <c r="BI10" s="166">
        <v>-4.5305</v>
      </c>
      <c r="BJ10" s="167"/>
      <c r="BK10" s="166">
        <v>-52.809399999999997</v>
      </c>
      <c r="BL10" s="166">
        <v>3.7505000000000002</v>
      </c>
      <c r="BM10" s="166">
        <v>7.9352</v>
      </c>
      <c r="BN10" s="166">
        <v>5.4229000000000003</v>
      </c>
      <c r="BO10" s="166">
        <v>491.31729999999999</v>
      </c>
      <c r="BP10" s="166">
        <v>91.921700000000001</v>
      </c>
      <c r="BQ10" s="166">
        <v>90.945099999999996</v>
      </c>
      <c r="BR10" s="166">
        <v>-485.75529999999998</v>
      </c>
      <c r="BS10" s="166">
        <v>418.66789999999997</v>
      </c>
      <c r="BT10" s="167"/>
      <c r="BU10" s="166">
        <v>-28.632300000000001</v>
      </c>
      <c r="BV10" s="166">
        <v>30.122699999999998</v>
      </c>
      <c r="BW10" s="166">
        <v>82.001999999999995</v>
      </c>
      <c r="BX10" s="166">
        <v>26.65</v>
      </c>
      <c r="BY10" s="166">
        <v>29.81</v>
      </c>
      <c r="BZ10" s="166">
        <v>55.09</v>
      </c>
      <c r="CA10" s="166">
        <v>73.08</v>
      </c>
      <c r="CB10" s="166">
        <v>-32.6813</v>
      </c>
      <c r="CC10" s="166">
        <v>-32.413400000000003</v>
      </c>
      <c r="CD10" s="166">
        <v>92.8934</v>
      </c>
      <c r="CE10" s="166">
        <v>93.739199999999997</v>
      </c>
      <c r="CF10" s="166">
        <v>30.1584</v>
      </c>
      <c r="CG10" s="166">
        <v>-87.780600000000007</v>
      </c>
      <c r="CH10" s="166">
        <v>-87.585999999999999</v>
      </c>
      <c r="CI10" s="166">
        <v>1.6596</v>
      </c>
      <c r="CJ10" s="166">
        <v>0</v>
      </c>
      <c r="CK10" s="167"/>
      <c r="CL10" s="167"/>
      <c r="CM10" s="166">
        <v>103.2</v>
      </c>
      <c r="CN10" s="166">
        <v>92</v>
      </c>
      <c r="CO10" s="166">
        <v>-14.82</v>
      </c>
      <c r="CP10" s="166">
        <v>65.643100000000004</v>
      </c>
      <c r="CQ10" s="166">
        <v>64.506100000000004</v>
      </c>
      <c r="CR10" s="166">
        <v>64.165300000000002</v>
      </c>
      <c r="CS10" s="166">
        <v>-18.414400000000001</v>
      </c>
      <c r="CT10" s="166">
        <v>-17.940899999999999</v>
      </c>
      <c r="CU10" s="166">
        <v>31.993400000000001</v>
      </c>
      <c r="CV10" s="166">
        <v>-57.5899</v>
      </c>
      <c r="CW10" s="166">
        <v>34.838999999999999</v>
      </c>
      <c r="CX10" s="166">
        <v>12.969900000000001</v>
      </c>
      <c r="CY10" s="166">
        <v>51.39</v>
      </c>
      <c r="CZ10" s="166">
        <v>28.08</v>
      </c>
      <c r="DA10" s="166">
        <v>35.632300000000001</v>
      </c>
      <c r="DB10" s="166">
        <v>33.842500000000001</v>
      </c>
      <c r="DC10" s="166">
        <v>-27.255500000000001</v>
      </c>
      <c r="DD10" s="167"/>
      <c r="DE10" s="167"/>
      <c r="DF10" s="166">
        <v>0</v>
      </c>
      <c r="DG10" s="166">
        <v>-74.785700000000006</v>
      </c>
      <c r="DH10" s="167"/>
      <c r="DI10" s="167"/>
      <c r="DJ10" s="166">
        <v>-76.7</v>
      </c>
      <c r="DK10" s="166">
        <v>-77.2</v>
      </c>
      <c r="DL10" s="166">
        <v>20.107700000000001</v>
      </c>
      <c r="DM10" s="166">
        <v>36.5</v>
      </c>
      <c r="DN10" s="166">
        <v>40.76</v>
      </c>
      <c r="DO10" s="166">
        <v>49.84</v>
      </c>
      <c r="DP10" s="166">
        <v>36.200000000000003</v>
      </c>
      <c r="DQ10" s="166">
        <v>-4.5599999999999996</v>
      </c>
      <c r="DR10" s="166">
        <v>63.612000000000002</v>
      </c>
      <c r="DS10" s="166">
        <v>73.609200000000001</v>
      </c>
      <c r="DT10" s="166">
        <v>-33.47</v>
      </c>
      <c r="DU10" s="166">
        <v>-33.85</v>
      </c>
      <c r="DV10" s="166">
        <v>108.47</v>
      </c>
      <c r="DW10" s="166">
        <v>54.94</v>
      </c>
      <c r="DX10" s="166">
        <v>77.345500000000001</v>
      </c>
      <c r="DY10" s="166">
        <v>74.581800000000001</v>
      </c>
      <c r="DZ10" s="166">
        <v>-11.303000000000001</v>
      </c>
      <c r="EA10" s="166">
        <v>-12.2364</v>
      </c>
      <c r="EB10" s="166">
        <v>179.24029999999999</v>
      </c>
      <c r="EC10" s="166">
        <v>133.5882</v>
      </c>
      <c r="ED10" s="166">
        <v>127.398</v>
      </c>
      <c r="EE10" s="166">
        <v>130.3091</v>
      </c>
      <c r="EF10" s="166">
        <v>113.35080000000001</v>
      </c>
      <c r="EG10" s="166">
        <v>98.364400000000003</v>
      </c>
      <c r="EH10" s="166">
        <v>-27.768999999999998</v>
      </c>
      <c r="EI10" s="166">
        <v>499.7722</v>
      </c>
      <c r="EJ10" s="166">
        <v>479.5498</v>
      </c>
      <c r="EK10" s="167"/>
      <c r="EL10" s="166">
        <v>-29.0166</v>
      </c>
      <c r="EM10" s="166">
        <v>-27.7912</v>
      </c>
      <c r="EN10" s="167"/>
      <c r="EO10" s="166">
        <v>60.140900000000002</v>
      </c>
      <c r="EP10" s="166">
        <v>56.775700000000001</v>
      </c>
      <c r="EQ10" s="166">
        <v>63.024000000000001</v>
      </c>
      <c r="ER10" s="166">
        <v>-76.722499999999997</v>
      </c>
      <c r="ES10" s="166">
        <v>-77.925200000000004</v>
      </c>
      <c r="ET10" s="166">
        <v>-60.2684</v>
      </c>
      <c r="EU10" s="166">
        <v>13.09</v>
      </c>
      <c r="EV10" s="166">
        <v>-15.7</v>
      </c>
      <c r="EW10" s="166">
        <v>1</v>
      </c>
      <c r="EX10" s="166">
        <v>11.162800000000001</v>
      </c>
      <c r="EY10" s="166">
        <v>69.599199999999996</v>
      </c>
      <c r="EZ10" s="166">
        <v>-38.345300000000002</v>
      </c>
      <c r="FA10" s="166">
        <v>-37.143700000000003</v>
      </c>
      <c r="FB10" s="166">
        <v>11.648899999999999</v>
      </c>
      <c r="FC10" s="166">
        <v>-94.941800000000001</v>
      </c>
      <c r="FD10" s="166">
        <v>61.715699999999998</v>
      </c>
      <c r="FE10" s="166">
        <v>19.016300000000001</v>
      </c>
      <c r="FF10" s="166">
        <v>24.103400000000001</v>
      </c>
      <c r="FG10" s="167"/>
      <c r="FH10" s="166">
        <v>40.732500000000002</v>
      </c>
      <c r="FI10" s="166">
        <v>40.752200000000002</v>
      </c>
      <c r="FJ10" s="166">
        <v>39.678199999999997</v>
      </c>
      <c r="FK10" s="166">
        <v>31.4818</v>
      </c>
      <c r="FL10" s="166">
        <v>32.486499999999999</v>
      </c>
      <c r="FM10" s="166">
        <v>-36.003100000000003</v>
      </c>
      <c r="FN10" s="166">
        <v>14.964700000000001</v>
      </c>
      <c r="FO10" s="166">
        <v>14.912699999999999</v>
      </c>
      <c r="FP10" s="166">
        <v>-46.379199999999997</v>
      </c>
      <c r="FQ10" s="166">
        <v>-40.3583</v>
      </c>
      <c r="FR10" s="166">
        <v>6.7842000000000002</v>
      </c>
      <c r="FS10" s="166">
        <v>-34.14</v>
      </c>
      <c r="FT10" s="167"/>
      <c r="FU10" s="166">
        <v>0.83279999999999998</v>
      </c>
      <c r="FV10" s="166">
        <v>1.31</v>
      </c>
      <c r="FW10" s="166">
        <v>18.34</v>
      </c>
      <c r="FX10" s="166">
        <v>0</v>
      </c>
      <c r="FY10" s="167"/>
      <c r="FZ10" s="166">
        <v>-10.557</v>
      </c>
      <c r="GA10" s="166">
        <v>3.5339999999999998</v>
      </c>
      <c r="GB10" s="167"/>
      <c r="GC10" s="166">
        <v>31.06</v>
      </c>
      <c r="GD10" s="166">
        <v>42.272399999999998</v>
      </c>
      <c r="GE10" s="166">
        <v>46.361800000000002</v>
      </c>
      <c r="GF10" s="166">
        <v>14.22</v>
      </c>
      <c r="GG10" s="166">
        <v>70.927099999999996</v>
      </c>
      <c r="GH10" s="166">
        <v>28.1</v>
      </c>
      <c r="GI10" s="166">
        <v>-12.333299999999999</v>
      </c>
      <c r="GJ10" s="166">
        <v>-0.34520000000000001</v>
      </c>
      <c r="GK10" s="167"/>
      <c r="GL10" s="166">
        <v>1.4683999999999999</v>
      </c>
      <c r="GM10" s="167"/>
      <c r="GN10" s="167"/>
      <c r="GO10" s="166">
        <v>-15.441000000000001</v>
      </c>
      <c r="GP10" s="166">
        <v>-21.07</v>
      </c>
      <c r="GQ10" s="166">
        <v>11.4733</v>
      </c>
      <c r="GR10" s="166">
        <v>21.9</v>
      </c>
      <c r="GS10" s="166">
        <v>11.849399999999999</v>
      </c>
      <c r="GT10" s="166">
        <v>13.3294</v>
      </c>
      <c r="GU10" s="166">
        <v>-108.54689999999999</v>
      </c>
      <c r="GV10" s="166">
        <v>-17.372399999999999</v>
      </c>
      <c r="GW10" s="166">
        <v>21.143899999999999</v>
      </c>
      <c r="GX10" s="166">
        <v>-38.872700000000002</v>
      </c>
      <c r="GY10" s="166">
        <v>12.0237</v>
      </c>
      <c r="GZ10" s="166">
        <v>7.4135999999999997</v>
      </c>
      <c r="HA10" s="166">
        <v>7.1207000000000003</v>
      </c>
      <c r="HB10" s="166">
        <v>13.469799999999999</v>
      </c>
      <c r="HC10" s="166">
        <v>164.01079999999999</v>
      </c>
      <c r="HD10" s="166">
        <v>162.56829999999999</v>
      </c>
      <c r="HE10" s="166">
        <v>245.2</v>
      </c>
      <c r="HF10" s="166">
        <v>-245.48949999999999</v>
      </c>
      <c r="HG10" s="166">
        <v>-546.05759999999998</v>
      </c>
      <c r="HH10" s="166">
        <v>546.31209999999999</v>
      </c>
      <c r="HI10" s="166">
        <v>643.79859999999996</v>
      </c>
      <c r="HJ10" s="166">
        <v>-156.0026</v>
      </c>
      <c r="HK10" s="166">
        <v>-153.38419999999999</v>
      </c>
      <c r="HL10" s="166">
        <v>-59.801099999999998</v>
      </c>
      <c r="HM10" s="166">
        <v>-51.866599999999998</v>
      </c>
      <c r="HN10" s="166">
        <v>78.189099999999996</v>
      </c>
      <c r="HO10" s="166">
        <v>77.993399999999994</v>
      </c>
      <c r="HP10" s="166">
        <v>-108.9603</v>
      </c>
      <c r="HQ10" s="166">
        <v>-115.8321</v>
      </c>
      <c r="HR10" s="166">
        <v>31.226400000000002</v>
      </c>
      <c r="HS10" s="166">
        <v>31.1495</v>
      </c>
      <c r="HT10" s="166">
        <v>-74.812399999999997</v>
      </c>
      <c r="HU10" s="166">
        <v>-75.261600000000001</v>
      </c>
      <c r="HV10" s="166">
        <v>90.09</v>
      </c>
      <c r="HW10" s="166">
        <v>89.53</v>
      </c>
      <c r="HX10" s="166">
        <v>44.1</v>
      </c>
      <c r="HY10" s="166">
        <v>43.7</v>
      </c>
      <c r="HZ10" s="166">
        <v>21.021899999999999</v>
      </c>
      <c r="IA10" s="166">
        <v>31.6</v>
      </c>
      <c r="IB10" s="166">
        <v>-385.60289999999998</v>
      </c>
      <c r="IC10" s="166">
        <v>99.194100000000006</v>
      </c>
      <c r="ID10" s="166">
        <v>98.925799999999995</v>
      </c>
      <c r="IE10" s="166">
        <v>11.6</v>
      </c>
      <c r="IF10" s="166">
        <v>7.4</v>
      </c>
      <c r="IG10" s="166">
        <v>-29.3</v>
      </c>
      <c r="IH10" s="166">
        <v>-34.200000000000003</v>
      </c>
      <c r="II10" s="166">
        <v>1.8757999999999999</v>
      </c>
      <c r="IJ10" s="167"/>
      <c r="IK10" s="166">
        <v>-626.71029999999996</v>
      </c>
      <c r="IL10" s="166">
        <v>-446.29950000000002</v>
      </c>
      <c r="IM10" s="166">
        <v>501.39460000000003</v>
      </c>
      <c r="IN10" s="166">
        <v>401.68369999999999</v>
      </c>
      <c r="IO10" s="166">
        <v>-62.832000000000001</v>
      </c>
      <c r="IP10" s="166">
        <v>-392.9393</v>
      </c>
      <c r="IQ10" s="166">
        <v>396.4264</v>
      </c>
      <c r="IR10" s="166">
        <v>-169.24680000000001</v>
      </c>
      <c r="IS10" s="166">
        <v>-236.0162</v>
      </c>
      <c r="IT10" s="166">
        <v>-389.9049</v>
      </c>
      <c r="IU10" s="166">
        <v>105.10380000000001</v>
      </c>
      <c r="IV10" s="166">
        <v>104.755</v>
      </c>
      <c r="IW10" s="166">
        <v>173.4014</v>
      </c>
      <c r="IX10" s="166">
        <v>-482.52330000000001</v>
      </c>
      <c r="IY10" s="166">
        <v>245.32579999999999</v>
      </c>
      <c r="IZ10" s="166">
        <v>-247.34049999999999</v>
      </c>
      <c r="JA10" s="166">
        <v>246.8424</v>
      </c>
      <c r="JB10" s="166">
        <v>-10.493499999999999</v>
      </c>
      <c r="JC10" s="166">
        <v>38.192</v>
      </c>
      <c r="JD10" s="166">
        <v>15.92</v>
      </c>
      <c r="JE10" s="166">
        <v>1.708</v>
      </c>
      <c r="JF10" s="166">
        <v>1.6970000000000001</v>
      </c>
      <c r="JG10" s="166">
        <v>-15.76</v>
      </c>
      <c r="JH10" s="166">
        <v>-7.36</v>
      </c>
      <c r="JI10" s="167"/>
      <c r="JJ10" s="166">
        <v>7.3563999999999998</v>
      </c>
      <c r="JK10" s="166">
        <v>-40.285299999999999</v>
      </c>
      <c r="JL10" s="166">
        <v>-18.4283</v>
      </c>
      <c r="JM10" s="166">
        <v>23.1</v>
      </c>
      <c r="JN10" s="166">
        <v>51.93</v>
      </c>
      <c r="JO10" s="166">
        <v>51.802999999999997</v>
      </c>
      <c r="JP10" s="166">
        <v>8.0851000000000006</v>
      </c>
      <c r="JQ10" s="167"/>
      <c r="JR10" s="166">
        <v>50.065300000000001</v>
      </c>
      <c r="JS10" s="166">
        <v>49.606099999999998</v>
      </c>
      <c r="JT10" s="166">
        <v>50.106699999999996</v>
      </c>
      <c r="JU10" s="167"/>
      <c r="JV10" s="166">
        <v>-5.4</v>
      </c>
      <c r="JW10" s="166">
        <v>26.884399999999999</v>
      </c>
      <c r="JX10" s="166">
        <v>6.18</v>
      </c>
      <c r="JY10" s="167"/>
      <c r="JZ10" s="166">
        <v>-51.183999999999997</v>
      </c>
      <c r="KA10" s="166">
        <v>80.659400000000005</v>
      </c>
      <c r="KB10" s="166">
        <v>60.493600000000001</v>
      </c>
      <c r="KC10" s="166">
        <v>-51.2898</v>
      </c>
      <c r="KD10" s="166">
        <v>-78.3369</v>
      </c>
      <c r="KE10" s="166">
        <v>50.989899999999999</v>
      </c>
      <c r="KF10" s="166">
        <v>27.241599999999998</v>
      </c>
      <c r="KG10" s="166">
        <v>-7.2</v>
      </c>
      <c r="KH10" s="166">
        <v>7.5</v>
      </c>
      <c r="KI10" s="166">
        <v>101.164</v>
      </c>
      <c r="KJ10" s="166">
        <v>24.513999999999999</v>
      </c>
    </row>
    <row r="11" spans="1:296" ht="18" customHeight="1" x14ac:dyDescent="0.3">
      <c r="A11" s="162" t="s">
        <v>67</v>
      </c>
      <c r="B11" s="162" t="s">
        <v>810</v>
      </c>
      <c r="C11" s="166">
        <v>0</v>
      </c>
      <c r="D11" s="167"/>
      <c r="E11" s="166">
        <v>15.393700000000001</v>
      </c>
      <c r="F11" s="166">
        <v>-22.8276</v>
      </c>
      <c r="G11" s="166">
        <v>9.0283999999999995</v>
      </c>
      <c r="H11" s="166">
        <v>32.468800000000002</v>
      </c>
      <c r="I11" s="167"/>
      <c r="J11" s="166">
        <v>34.9649</v>
      </c>
      <c r="K11" s="166">
        <v>-94.378100000000003</v>
      </c>
      <c r="L11" s="166">
        <v>47.399700000000003</v>
      </c>
      <c r="M11" s="166">
        <v>24.125299999999999</v>
      </c>
      <c r="N11" s="166">
        <v>23.422599999999999</v>
      </c>
      <c r="O11" s="166">
        <v>-33.299999999999997</v>
      </c>
      <c r="P11" s="166">
        <v>-45.267000000000003</v>
      </c>
      <c r="Q11" s="166">
        <v>41.8</v>
      </c>
      <c r="R11" s="166">
        <v>17.388000000000002</v>
      </c>
      <c r="S11" s="166">
        <v>-41.8</v>
      </c>
      <c r="T11" s="166">
        <v>15.1662</v>
      </c>
      <c r="U11" s="166">
        <v>53.9176</v>
      </c>
      <c r="V11" s="167"/>
      <c r="W11" s="166">
        <v>13.2196</v>
      </c>
      <c r="X11" s="166">
        <v>21.8553</v>
      </c>
      <c r="Y11" s="166">
        <v>7.6173000000000002</v>
      </c>
      <c r="Z11" s="166">
        <v>4.9092000000000002</v>
      </c>
      <c r="AA11" s="166">
        <v>2.2473999999999998</v>
      </c>
      <c r="AB11" s="167"/>
      <c r="AC11" s="167"/>
      <c r="AD11" s="166">
        <v>-70.89</v>
      </c>
      <c r="AE11" s="166">
        <v>-70.430000000000007</v>
      </c>
      <c r="AF11" s="167"/>
      <c r="AG11" s="166">
        <v>33.299999999999997</v>
      </c>
      <c r="AH11" s="166">
        <v>44</v>
      </c>
      <c r="AI11" s="166">
        <v>17.731000000000002</v>
      </c>
      <c r="AJ11" s="166">
        <v>0.24199999999999999</v>
      </c>
      <c r="AK11" s="166">
        <v>-70.33</v>
      </c>
      <c r="AL11" s="168">
        <v>-69.739999999999995</v>
      </c>
      <c r="AM11" s="166">
        <v>-44.99</v>
      </c>
      <c r="AN11" s="166">
        <v>71.17</v>
      </c>
      <c r="AO11" s="166">
        <v>71.239999999999995</v>
      </c>
      <c r="AP11" s="167"/>
      <c r="AQ11" s="166">
        <v>2.226</v>
      </c>
      <c r="AR11" s="166">
        <v>58.782699999999998</v>
      </c>
      <c r="AS11" s="166">
        <v>60.081800000000001</v>
      </c>
      <c r="AT11" s="166">
        <v>47.546999999999997</v>
      </c>
      <c r="AU11" s="166">
        <v>-52.458199999999998</v>
      </c>
      <c r="AV11" s="166">
        <v>-52.582599999999999</v>
      </c>
      <c r="AW11" s="166">
        <v>6.9423000000000004</v>
      </c>
      <c r="AX11" s="166">
        <v>6.8936999999999999</v>
      </c>
      <c r="AY11" s="166">
        <v>75.605999999999995</v>
      </c>
      <c r="AZ11" s="166">
        <v>77.119900000000001</v>
      </c>
      <c r="BA11" s="166">
        <v>4.8537999999999997</v>
      </c>
      <c r="BB11" s="166">
        <v>3.7042000000000002</v>
      </c>
      <c r="BC11" s="166">
        <v>-448.452</v>
      </c>
      <c r="BD11" s="166">
        <v>-11.789099999999999</v>
      </c>
      <c r="BE11" s="166">
        <v>-12</v>
      </c>
      <c r="BF11" s="166">
        <v>-12</v>
      </c>
      <c r="BG11" s="166">
        <v>58.132199999999997</v>
      </c>
      <c r="BH11" s="166">
        <v>58.293999999999997</v>
      </c>
      <c r="BI11" s="166">
        <v>-4.2686999999999999</v>
      </c>
      <c r="BJ11" s="167"/>
      <c r="BK11" s="166">
        <v>-48.698500000000003</v>
      </c>
      <c r="BL11" s="166">
        <v>3.1911</v>
      </c>
      <c r="BM11" s="166">
        <v>7.7478999999999996</v>
      </c>
      <c r="BN11" s="166">
        <v>5.3254000000000001</v>
      </c>
      <c r="BO11" s="166">
        <v>490.55439999999999</v>
      </c>
      <c r="BP11" s="166">
        <v>92.379499999999993</v>
      </c>
      <c r="BQ11" s="166">
        <v>91.799700000000001</v>
      </c>
      <c r="BR11" s="166">
        <v>-488.61810000000003</v>
      </c>
      <c r="BS11" s="166">
        <v>413.2663</v>
      </c>
      <c r="BT11" s="167"/>
      <c r="BU11" s="166">
        <v>-28.6189</v>
      </c>
      <c r="BV11" s="166">
        <v>30.558800000000002</v>
      </c>
      <c r="BW11" s="166">
        <v>79.856399999999994</v>
      </c>
      <c r="BX11" s="166">
        <v>26.91</v>
      </c>
      <c r="BY11" s="166">
        <v>29.06</v>
      </c>
      <c r="BZ11" s="166">
        <v>53.33</v>
      </c>
      <c r="CA11" s="166">
        <v>72.31</v>
      </c>
      <c r="CB11" s="166">
        <v>-30.939900000000002</v>
      </c>
      <c r="CC11" s="166">
        <v>-31.073899999999998</v>
      </c>
      <c r="CD11" s="166">
        <v>87.725999999999999</v>
      </c>
      <c r="CE11" s="166">
        <v>88.308000000000007</v>
      </c>
      <c r="CF11" s="166">
        <v>30.1126</v>
      </c>
      <c r="CG11" s="166">
        <v>-87.9529</v>
      </c>
      <c r="CH11" s="166">
        <v>-86.967500000000001</v>
      </c>
      <c r="CI11" s="166">
        <v>0.317</v>
      </c>
      <c r="CJ11" s="166">
        <v>0</v>
      </c>
      <c r="CK11" s="167"/>
      <c r="CL11" s="167"/>
      <c r="CM11" s="166">
        <v>99.7</v>
      </c>
      <c r="CN11" s="166">
        <v>90</v>
      </c>
      <c r="CO11" s="166">
        <v>-14.3</v>
      </c>
      <c r="CP11" s="166">
        <v>62.721699999999998</v>
      </c>
      <c r="CQ11" s="166">
        <v>62.303699999999999</v>
      </c>
      <c r="CR11" s="166">
        <v>60.8322</v>
      </c>
      <c r="CS11" s="166">
        <v>-24.0413</v>
      </c>
      <c r="CT11" s="166">
        <v>-23.384799999999998</v>
      </c>
      <c r="CU11" s="166">
        <v>42.6706</v>
      </c>
      <c r="CV11" s="166">
        <v>-60.809899999999999</v>
      </c>
      <c r="CW11" s="166">
        <v>46.502099999999999</v>
      </c>
      <c r="CX11" s="166">
        <v>12.9678</v>
      </c>
      <c r="CY11" s="166">
        <v>50.75</v>
      </c>
      <c r="CZ11" s="166">
        <v>27.66</v>
      </c>
      <c r="DA11" s="166">
        <v>34.694800000000001</v>
      </c>
      <c r="DB11" s="166">
        <v>32.9636</v>
      </c>
      <c r="DC11" s="166">
        <v>-26.681100000000001</v>
      </c>
      <c r="DD11" s="167"/>
      <c r="DE11" s="167"/>
      <c r="DF11" s="166">
        <v>0</v>
      </c>
      <c r="DG11" s="166">
        <v>-80.452500000000001</v>
      </c>
      <c r="DH11" s="167"/>
      <c r="DI11" s="167"/>
      <c r="DJ11" s="166">
        <v>-72</v>
      </c>
      <c r="DK11" s="166">
        <v>-72.400000000000006</v>
      </c>
      <c r="DL11" s="166">
        <v>19.8825</v>
      </c>
      <c r="DM11" s="166">
        <v>34.799999999999997</v>
      </c>
      <c r="DN11" s="166">
        <v>38.96</v>
      </c>
      <c r="DO11" s="166">
        <v>47.64</v>
      </c>
      <c r="DP11" s="166">
        <v>34.69</v>
      </c>
      <c r="DQ11" s="166">
        <v>-4.57</v>
      </c>
      <c r="DR11" s="166">
        <v>63.704999999999998</v>
      </c>
      <c r="DS11" s="166">
        <v>78.444500000000005</v>
      </c>
      <c r="DT11" s="166">
        <v>-33.53</v>
      </c>
      <c r="DU11" s="166">
        <v>-33.83</v>
      </c>
      <c r="DV11" s="166">
        <v>106.29</v>
      </c>
      <c r="DW11" s="166">
        <v>52.78</v>
      </c>
      <c r="DX11" s="166">
        <v>78.454499999999996</v>
      </c>
      <c r="DY11" s="166">
        <v>79</v>
      </c>
      <c r="DZ11" s="166">
        <v>-8.8942999999999994</v>
      </c>
      <c r="EA11" s="166">
        <v>-7.6364000000000001</v>
      </c>
      <c r="EB11" s="166">
        <v>178.9736</v>
      </c>
      <c r="EC11" s="166">
        <v>134.7921</v>
      </c>
      <c r="ED11" s="166">
        <v>128.25899999999999</v>
      </c>
      <c r="EE11" s="166">
        <v>130.39089999999999</v>
      </c>
      <c r="EF11" s="166">
        <v>111.459</v>
      </c>
      <c r="EG11" s="166">
        <v>95.738799999999998</v>
      </c>
      <c r="EH11" s="166">
        <v>-27.556000000000001</v>
      </c>
      <c r="EI11" s="166">
        <v>495.44920000000002</v>
      </c>
      <c r="EJ11" s="166">
        <v>484.36239999999998</v>
      </c>
      <c r="EK11" s="167"/>
      <c r="EL11" s="166">
        <v>-29.113800000000001</v>
      </c>
      <c r="EM11" s="166">
        <v>-27.507999999999999</v>
      </c>
      <c r="EN11" s="167"/>
      <c r="EO11" s="166">
        <v>62.347999999999999</v>
      </c>
      <c r="EP11" s="166">
        <v>59.247799999999998</v>
      </c>
      <c r="EQ11" s="166">
        <v>49.2</v>
      </c>
      <c r="ER11" s="166">
        <v>-73.575199999999995</v>
      </c>
      <c r="ES11" s="166">
        <v>-74.642600000000002</v>
      </c>
      <c r="ET11" s="166">
        <v>-58.902000000000001</v>
      </c>
      <c r="EU11" s="166">
        <v>0</v>
      </c>
      <c r="EV11" s="166">
        <v>-15.77</v>
      </c>
      <c r="EW11" s="166">
        <v>1</v>
      </c>
      <c r="EX11" s="166">
        <v>10.833500000000001</v>
      </c>
      <c r="EY11" s="166">
        <v>74.545000000000002</v>
      </c>
      <c r="EZ11" s="166">
        <v>-37.431800000000003</v>
      </c>
      <c r="FA11" s="166">
        <v>-36.554900000000004</v>
      </c>
      <c r="FB11" s="166">
        <v>10.4991</v>
      </c>
      <c r="FC11" s="166">
        <v>-93.435100000000006</v>
      </c>
      <c r="FD11" s="166">
        <v>59.872900000000001</v>
      </c>
      <c r="FE11" s="166">
        <v>19.8</v>
      </c>
      <c r="FF11" s="166">
        <v>24.507300000000001</v>
      </c>
      <c r="FG11" s="167"/>
      <c r="FH11" s="166">
        <v>40.781300000000002</v>
      </c>
      <c r="FI11" s="166">
        <v>41.210099999999997</v>
      </c>
      <c r="FJ11" s="166">
        <v>39.962699999999998</v>
      </c>
      <c r="FK11" s="166">
        <v>27.462800000000001</v>
      </c>
      <c r="FL11" s="166">
        <v>30.477</v>
      </c>
      <c r="FM11" s="166">
        <v>-30.812000000000001</v>
      </c>
      <c r="FN11" s="166">
        <v>9.7690999999999999</v>
      </c>
      <c r="FO11" s="166">
        <v>9.1053999999999995</v>
      </c>
      <c r="FP11" s="166">
        <v>-40.237699999999997</v>
      </c>
      <c r="FQ11" s="166">
        <v>-35.338200000000001</v>
      </c>
      <c r="FR11" s="166">
        <v>9.9262999999999995</v>
      </c>
      <c r="FS11" s="166">
        <v>-33.53</v>
      </c>
      <c r="FT11" s="167"/>
      <c r="FU11" s="166">
        <v>0.80959999999999999</v>
      </c>
      <c r="FV11" s="166">
        <v>1.32</v>
      </c>
      <c r="FW11" s="166">
        <v>19.43</v>
      </c>
      <c r="FX11" s="166">
        <v>0</v>
      </c>
      <c r="FY11" s="167"/>
      <c r="FZ11" s="166">
        <v>-10.685</v>
      </c>
      <c r="GA11" s="166">
        <v>3.44</v>
      </c>
      <c r="GB11" s="167"/>
      <c r="GC11" s="166">
        <v>31.76</v>
      </c>
      <c r="GD11" s="166">
        <v>37.374299999999998</v>
      </c>
      <c r="GE11" s="166">
        <v>42.817900000000002</v>
      </c>
      <c r="GF11" s="168">
        <v>14.494999999999999</v>
      </c>
      <c r="GG11" s="166">
        <v>70.919600000000003</v>
      </c>
      <c r="GH11" s="166">
        <v>29.5</v>
      </c>
      <c r="GI11" s="166">
        <v>-11.9611</v>
      </c>
      <c r="GJ11" s="166">
        <v>0.2026</v>
      </c>
      <c r="GK11" s="167"/>
      <c r="GL11" s="166">
        <v>1.4321999999999999</v>
      </c>
      <c r="GM11" s="167"/>
      <c r="GN11" s="167"/>
      <c r="GO11" s="168">
        <v>-15.530099999999999</v>
      </c>
      <c r="GP11" s="166">
        <v>-20.547599999999999</v>
      </c>
      <c r="GQ11" s="166">
        <v>12.017099999999999</v>
      </c>
      <c r="GR11" s="166">
        <v>20.793900000000001</v>
      </c>
      <c r="GS11" s="166">
        <v>15.767200000000001</v>
      </c>
      <c r="GT11" s="166">
        <v>14.9572</v>
      </c>
      <c r="GU11" s="166">
        <v>-108.361</v>
      </c>
      <c r="GV11" s="166">
        <v>-16.892399999999999</v>
      </c>
      <c r="GW11" s="166">
        <v>20.2605</v>
      </c>
      <c r="GX11" s="166">
        <v>-36.298999999999999</v>
      </c>
      <c r="GY11" s="166">
        <v>12.5396</v>
      </c>
      <c r="GZ11" s="166">
        <v>6.9253</v>
      </c>
      <c r="HA11" s="166">
        <v>6.6460999999999997</v>
      </c>
      <c r="HB11" s="166">
        <v>13.926600000000001</v>
      </c>
      <c r="HC11" s="166">
        <v>165.44229999999999</v>
      </c>
      <c r="HD11" s="166">
        <v>166.0412</v>
      </c>
      <c r="HE11" s="166">
        <v>248.1</v>
      </c>
      <c r="HF11" s="166">
        <v>-246.8032</v>
      </c>
      <c r="HG11" s="166">
        <v>-541.3528</v>
      </c>
      <c r="HH11" s="166">
        <v>541.88369999999998</v>
      </c>
      <c r="HI11" s="166">
        <v>644.87310000000002</v>
      </c>
      <c r="HJ11" s="166">
        <v>-158.13679999999999</v>
      </c>
      <c r="HK11" s="166">
        <v>-155.88679999999999</v>
      </c>
      <c r="HL11" s="166">
        <v>-56.220199999999998</v>
      </c>
      <c r="HM11" s="166">
        <v>-48.360999999999997</v>
      </c>
      <c r="HN11" s="166">
        <v>81.278000000000006</v>
      </c>
      <c r="HO11" s="166">
        <v>79.850800000000007</v>
      </c>
      <c r="HP11" s="167"/>
      <c r="HQ11" s="167"/>
      <c r="HR11" s="166">
        <v>33.566499999999998</v>
      </c>
      <c r="HS11" s="166">
        <v>32.720500000000001</v>
      </c>
      <c r="HT11" s="166">
        <v>-73.675299999999993</v>
      </c>
      <c r="HU11" s="166">
        <v>-74.323999999999998</v>
      </c>
      <c r="HV11" s="166">
        <v>84.58</v>
      </c>
      <c r="HW11" s="166">
        <v>83.25</v>
      </c>
      <c r="HX11" s="166">
        <v>44.3</v>
      </c>
      <c r="HY11" s="166">
        <v>44.5</v>
      </c>
      <c r="HZ11" s="166">
        <v>20.757000000000001</v>
      </c>
      <c r="IA11" s="166">
        <v>31.44</v>
      </c>
      <c r="IB11" s="166">
        <v>-394.03410000000002</v>
      </c>
      <c r="IC11" s="166">
        <v>103.6769</v>
      </c>
      <c r="ID11" s="166">
        <v>102.68380000000001</v>
      </c>
      <c r="IE11" s="168">
        <v>11.35</v>
      </c>
      <c r="IF11" s="166">
        <v>7.3</v>
      </c>
      <c r="IG11" s="166">
        <v>-31</v>
      </c>
      <c r="IH11" s="166">
        <v>-36.200000000000003</v>
      </c>
      <c r="II11" s="167"/>
      <c r="IJ11" s="166">
        <v>1.5330999999999999</v>
      </c>
      <c r="IK11" s="166">
        <v>-628.8691</v>
      </c>
      <c r="IL11" s="166">
        <v>-451.37610000000001</v>
      </c>
      <c r="IM11" s="166">
        <v>504.1551</v>
      </c>
      <c r="IN11" s="166">
        <v>411.14030000000002</v>
      </c>
      <c r="IO11" s="166">
        <v>-61.5154</v>
      </c>
      <c r="IP11" s="166">
        <v>-392.17090000000002</v>
      </c>
      <c r="IQ11" s="166">
        <v>396.43360000000001</v>
      </c>
      <c r="IR11" s="166">
        <v>-175.94450000000001</v>
      </c>
      <c r="IS11" s="166">
        <v>-239.16829999999999</v>
      </c>
      <c r="IT11" s="166">
        <v>-390.84109999999998</v>
      </c>
      <c r="IU11" s="166">
        <v>102.1075</v>
      </c>
      <c r="IV11" s="166">
        <v>99.676000000000002</v>
      </c>
      <c r="IW11" s="166">
        <v>177.86879999999999</v>
      </c>
      <c r="IX11" s="166">
        <v>-483.58159999999998</v>
      </c>
      <c r="IY11" s="166">
        <v>245.52969999999999</v>
      </c>
      <c r="IZ11" s="166">
        <v>-245.49170000000001</v>
      </c>
      <c r="JA11" s="166">
        <v>246.25030000000001</v>
      </c>
      <c r="JB11" s="166">
        <v>-9.4113000000000007</v>
      </c>
      <c r="JC11" s="166">
        <v>39.799300000000002</v>
      </c>
      <c r="JD11" s="166">
        <v>16.559999999999999</v>
      </c>
      <c r="JE11" s="166">
        <v>1.732</v>
      </c>
      <c r="JF11" s="166">
        <v>1.73</v>
      </c>
      <c r="JG11" s="166">
        <v>-16.079999999999998</v>
      </c>
      <c r="JH11" s="166">
        <v>-6</v>
      </c>
      <c r="JI11" s="167"/>
      <c r="JJ11" s="166">
        <v>7.0328999999999997</v>
      </c>
      <c r="JK11" s="166">
        <v>-38.527500000000003</v>
      </c>
      <c r="JL11" s="166">
        <v>-18.3978</v>
      </c>
      <c r="JM11" s="166">
        <v>22.2</v>
      </c>
      <c r="JN11" s="166">
        <v>52.256999999999998</v>
      </c>
      <c r="JO11" s="166">
        <v>52.095999999999997</v>
      </c>
      <c r="JP11" s="166">
        <v>8.3125999999999998</v>
      </c>
      <c r="JQ11" s="166">
        <v>9.9573</v>
      </c>
      <c r="JR11" s="166">
        <v>52.054200000000002</v>
      </c>
      <c r="JS11" s="166">
        <v>52.155200000000001</v>
      </c>
      <c r="JT11" s="166">
        <v>50.722700000000003</v>
      </c>
      <c r="JU11" s="167"/>
      <c r="JV11" s="166">
        <v>-4.8</v>
      </c>
      <c r="JW11" s="166">
        <v>26.136900000000001</v>
      </c>
      <c r="JX11" s="166">
        <v>5.94</v>
      </c>
      <c r="JY11" s="167"/>
      <c r="JZ11" s="166">
        <v>-47.682200000000002</v>
      </c>
      <c r="KA11" s="166">
        <v>77.044499999999999</v>
      </c>
      <c r="KB11" s="166">
        <v>57.368400000000001</v>
      </c>
      <c r="KC11" s="166">
        <v>-46.5595</v>
      </c>
      <c r="KD11" s="166">
        <v>-75.704999999999998</v>
      </c>
      <c r="KE11" s="166">
        <v>47.404600000000002</v>
      </c>
      <c r="KF11" s="166">
        <v>27.6648</v>
      </c>
      <c r="KG11" s="166">
        <v>-8</v>
      </c>
      <c r="KH11" s="166">
        <v>8.1999999999999993</v>
      </c>
      <c r="KI11" s="166">
        <v>104.0821</v>
      </c>
      <c r="KJ11" s="166">
        <v>17.446999999999999</v>
      </c>
    </row>
    <row r="12" spans="1:296" ht="18" customHeight="1" x14ac:dyDescent="0.3">
      <c r="A12" s="162" t="s">
        <v>67</v>
      </c>
      <c r="B12" s="162" t="s">
        <v>811</v>
      </c>
      <c r="C12" s="166">
        <v>0</v>
      </c>
      <c r="D12" s="167"/>
      <c r="E12" s="166">
        <v>15.2051</v>
      </c>
      <c r="F12" s="166">
        <v>-22.096</v>
      </c>
      <c r="G12" s="166">
        <v>8.7787000000000006</v>
      </c>
      <c r="H12" s="166">
        <v>32.1188</v>
      </c>
      <c r="I12" s="167"/>
      <c r="J12" s="166">
        <v>33.993899999999996</v>
      </c>
      <c r="K12" s="166">
        <v>-88.785799999999995</v>
      </c>
      <c r="L12" s="166">
        <v>45.710599999999999</v>
      </c>
      <c r="M12" s="166">
        <v>23.3033</v>
      </c>
      <c r="N12" s="166">
        <v>22.6677</v>
      </c>
      <c r="O12" s="166">
        <v>-35.520000000000003</v>
      </c>
      <c r="P12" s="166">
        <v>-30.524999999999999</v>
      </c>
      <c r="Q12" s="166">
        <v>26.4</v>
      </c>
      <c r="R12" s="166">
        <v>17.388000000000002</v>
      </c>
      <c r="S12" s="166">
        <v>-26.4</v>
      </c>
      <c r="T12" s="166">
        <v>15.077400000000001</v>
      </c>
      <c r="U12" s="166">
        <v>49.6038</v>
      </c>
      <c r="V12" s="167"/>
      <c r="W12" s="166">
        <v>12.6098</v>
      </c>
      <c r="X12" s="166">
        <v>21.5928</v>
      </c>
      <c r="Y12" s="166">
        <v>7.7401999999999997</v>
      </c>
      <c r="Z12" s="166">
        <v>5.1616999999999997</v>
      </c>
      <c r="AA12" s="166">
        <v>2.0802999999999998</v>
      </c>
      <c r="AB12" s="167"/>
      <c r="AC12" s="167"/>
      <c r="AD12" s="166">
        <v>-65.569999999999993</v>
      </c>
      <c r="AE12" s="166">
        <v>-65.17</v>
      </c>
      <c r="AF12" s="167"/>
      <c r="AG12" s="166">
        <v>35.520000000000003</v>
      </c>
      <c r="AH12" s="166">
        <v>28.6</v>
      </c>
      <c r="AI12" s="166">
        <v>17.536999999999999</v>
      </c>
      <c r="AJ12" s="166">
        <v>0.23899999999999999</v>
      </c>
      <c r="AK12" s="166">
        <v>-68.23</v>
      </c>
      <c r="AL12" s="168">
        <v>-66.97</v>
      </c>
      <c r="AM12" s="166">
        <v>-38.5</v>
      </c>
      <c r="AN12" s="166">
        <v>69.36</v>
      </c>
      <c r="AO12" s="166">
        <v>68.47</v>
      </c>
      <c r="AP12" s="167"/>
      <c r="AQ12" s="166">
        <v>2.37</v>
      </c>
      <c r="AR12" s="166">
        <v>55.579300000000003</v>
      </c>
      <c r="AS12" s="166">
        <v>58.3566</v>
      </c>
      <c r="AT12" s="166">
        <v>45.063600000000001</v>
      </c>
      <c r="AU12" s="166">
        <v>-55.5212</v>
      </c>
      <c r="AV12" s="166">
        <v>-54.829900000000002</v>
      </c>
      <c r="AW12" s="166">
        <v>31.337</v>
      </c>
      <c r="AX12" s="166">
        <v>23.138100000000001</v>
      </c>
      <c r="AY12" s="166">
        <v>69.144999999999996</v>
      </c>
      <c r="AZ12" s="166">
        <v>70.1875</v>
      </c>
      <c r="BA12" s="166">
        <v>21.6492</v>
      </c>
      <c r="BB12" s="166">
        <v>12.3766</v>
      </c>
      <c r="BC12" s="166">
        <v>-439.04829999999998</v>
      </c>
      <c r="BD12" s="166">
        <v>-15.0105</v>
      </c>
      <c r="BE12" s="166">
        <v>-12</v>
      </c>
      <c r="BF12" s="166">
        <v>-11.9</v>
      </c>
      <c r="BG12" s="166">
        <v>60.897199999999998</v>
      </c>
      <c r="BH12" s="166">
        <v>59.2117</v>
      </c>
      <c r="BI12" s="166">
        <v>-3.8374000000000001</v>
      </c>
      <c r="BJ12" s="167"/>
      <c r="BK12" s="166">
        <v>-53.7727</v>
      </c>
      <c r="BL12" s="166">
        <v>2.7484000000000002</v>
      </c>
      <c r="BM12" s="166">
        <v>7.2495000000000003</v>
      </c>
      <c r="BN12" s="166">
        <v>4.8364000000000003</v>
      </c>
      <c r="BO12" s="166">
        <v>488.54020000000003</v>
      </c>
      <c r="BP12" s="166">
        <v>77.425399999999996</v>
      </c>
      <c r="BQ12" s="166">
        <v>77.120199999999997</v>
      </c>
      <c r="BR12" s="166">
        <v>-483.0018</v>
      </c>
      <c r="BS12" s="166">
        <v>381.84190000000001</v>
      </c>
      <c r="BT12" s="167"/>
      <c r="BU12" s="166">
        <v>-37.090600000000002</v>
      </c>
      <c r="BV12" s="166">
        <v>38.611499999999999</v>
      </c>
      <c r="BW12" s="166">
        <v>76.802599999999998</v>
      </c>
      <c r="BX12" s="166">
        <v>25.8</v>
      </c>
      <c r="BY12" s="166">
        <v>27.81</v>
      </c>
      <c r="BZ12" s="166">
        <v>51.02</v>
      </c>
      <c r="CA12" s="166">
        <v>70.540000000000006</v>
      </c>
      <c r="CB12" s="166">
        <v>-23.438300000000002</v>
      </c>
      <c r="CC12" s="166">
        <v>-24.1081</v>
      </c>
      <c r="CD12" s="166">
        <v>87.919499999999999</v>
      </c>
      <c r="CE12" s="166">
        <v>88.716399999999993</v>
      </c>
      <c r="CF12" s="166">
        <v>31.979700000000001</v>
      </c>
      <c r="CG12" s="166">
        <v>-78.470600000000005</v>
      </c>
      <c r="CH12" s="166">
        <v>-77.822299999999998</v>
      </c>
      <c r="CI12" s="166">
        <v>0.65659999999999996</v>
      </c>
      <c r="CJ12" s="166">
        <v>0</v>
      </c>
      <c r="CK12" s="167"/>
      <c r="CL12" s="167"/>
      <c r="CM12" s="166">
        <v>97.9</v>
      </c>
      <c r="CN12" s="166">
        <v>87.9</v>
      </c>
      <c r="CO12" s="166">
        <v>-13.74</v>
      </c>
      <c r="CP12" s="166">
        <v>64.7089</v>
      </c>
      <c r="CQ12" s="166">
        <v>62.9313</v>
      </c>
      <c r="CR12" s="166">
        <v>62.928699999999999</v>
      </c>
      <c r="CS12" s="166">
        <v>-25.211200000000002</v>
      </c>
      <c r="CT12" s="166">
        <v>-24.364000000000001</v>
      </c>
      <c r="CU12" s="166">
        <v>31.8797</v>
      </c>
      <c r="CV12" s="166">
        <v>-47.079300000000003</v>
      </c>
      <c r="CW12" s="166">
        <v>35.496299999999998</v>
      </c>
      <c r="CX12" s="166">
        <v>12.1549</v>
      </c>
      <c r="CY12" s="166">
        <v>47.63</v>
      </c>
      <c r="CZ12" s="166">
        <v>26.14</v>
      </c>
      <c r="DA12" s="166">
        <v>33.288600000000002</v>
      </c>
      <c r="DB12" s="166">
        <v>31.645199999999999</v>
      </c>
      <c r="DC12" s="166">
        <v>-25.720800000000001</v>
      </c>
      <c r="DD12" s="167"/>
      <c r="DE12" s="167"/>
      <c r="DF12" s="166">
        <v>0</v>
      </c>
      <c r="DG12" s="166">
        <v>-67.9221</v>
      </c>
      <c r="DH12" s="167"/>
      <c r="DI12" s="167"/>
      <c r="DJ12" s="166">
        <v>-69.599999999999994</v>
      </c>
      <c r="DK12" s="166">
        <v>-70.099999999999994</v>
      </c>
      <c r="DL12" s="166">
        <v>19.822099999999999</v>
      </c>
      <c r="DM12" s="166">
        <v>33.6</v>
      </c>
      <c r="DN12" s="166">
        <v>34.840000000000003</v>
      </c>
      <c r="DO12" s="166">
        <v>46.06</v>
      </c>
      <c r="DP12" s="166">
        <v>33.619999999999997</v>
      </c>
      <c r="DQ12" s="166">
        <v>-3.29</v>
      </c>
      <c r="DR12" s="166">
        <v>64.231999999999999</v>
      </c>
      <c r="DS12" s="166">
        <v>66.668800000000005</v>
      </c>
      <c r="DT12" s="166">
        <v>-33.42</v>
      </c>
      <c r="DU12" s="166">
        <v>-33.9</v>
      </c>
      <c r="DV12" s="166">
        <v>103.97</v>
      </c>
      <c r="DW12" s="166">
        <v>52.18</v>
      </c>
      <c r="DX12" s="166">
        <v>69.527299999999997</v>
      </c>
      <c r="DY12" s="166">
        <v>66.945499999999996</v>
      </c>
      <c r="DZ12" s="166">
        <v>-7.4006999999999996</v>
      </c>
      <c r="EA12" s="166">
        <v>-7.5182000000000002</v>
      </c>
      <c r="EB12" s="166">
        <v>170.01859999999999</v>
      </c>
      <c r="EC12" s="166">
        <v>127.55159999999999</v>
      </c>
      <c r="ED12" s="166">
        <v>120.06870000000001</v>
      </c>
      <c r="EE12" s="166">
        <v>122.8519</v>
      </c>
      <c r="EF12" s="166">
        <v>141.8365</v>
      </c>
      <c r="EG12" s="166">
        <v>128.61199999999999</v>
      </c>
      <c r="EH12" s="166">
        <v>-25.233000000000001</v>
      </c>
      <c r="EI12" s="166">
        <v>490.87529999999998</v>
      </c>
      <c r="EJ12" s="166">
        <v>505.12560000000002</v>
      </c>
      <c r="EK12" s="167"/>
      <c r="EL12" s="166">
        <v>-28.851099999999999</v>
      </c>
      <c r="EM12" s="166">
        <v>-27.398299999999999</v>
      </c>
      <c r="EN12" s="167"/>
      <c r="EO12" s="166">
        <v>48.453299999999999</v>
      </c>
      <c r="EP12" s="166">
        <v>45.913600000000002</v>
      </c>
      <c r="EQ12" s="166">
        <v>169.02</v>
      </c>
      <c r="ER12" s="166">
        <v>-90.442300000000003</v>
      </c>
      <c r="ES12" s="166">
        <v>-90.793199999999999</v>
      </c>
      <c r="ET12" s="166">
        <v>-90.806399999999996</v>
      </c>
      <c r="EU12" s="166">
        <v>14</v>
      </c>
      <c r="EV12" s="166">
        <v>-16.25</v>
      </c>
      <c r="EW12" s="166">
        <v>107.6</v>
      </c>
      <c r="EX12" s="166">
        <v>10.498799999999999</v>
      </c>
      <c r="EY12" s="166">
        <v>49.253900000000002</v>
      </c>
      <c r="EZ12" s="166">
        <v>-37.876399999999997</v>
      </c>
      <c r="FA12" s="166">
        <v>-36.5505</v>
      </c>
      <c r="FB12" s="166">
        <v>11.258900000000001</v>
      </c>
      <c r="FC12" s="166">
        <v>-123.1584</v>
      </c>
      <c r="FD12" s="166">
        <v>90.828400000000002</v>
      </c>
      <c r="FE12" s="166">
        <v>19.010999999999999</v>
      </c>
      <c r="FF12" s="166">
        <v>24.6112</v>
      </c>
      <c r="FG12" s="167"/>
      <c r="FH12" s="166">
        <v>40.456299999999999</v>
      </c>
      <c r="FI12" s="166">
        <v>41.028399999999998</v>
      </c>
      <c r="FJ12" s="166">
        <v>39.1723</v>
      </c>
      <c r="FK12" s="166">
        <v>23.276399999999999</v>
      </c>
      <c r="FL12" s="166">
        <v>24.113700000000001</v>
      </c>
      <c r="FM12" s="166">
        <v>-31.6492</v>
      </c>
      <c r="FN12" s="166">
        <v>9.6818000000000008</v>
      </c>
      <c r="FO12" s="166">
        <v>9.1480999999999995</v>
      </c>
      <c r="FP12" s="166">
        <v>-44.827599999999997</v>
      </c>
      <c r="FQ12" s="166">
        <v>-40.155099999999997</v>
      </c>
      <c r="FR12" s="166">
        <v>8.5419999999999998</v>
      </c>
      <c r="FS12" s="166">
        <v>-34.71</v>
      </c>
      <c r="FT12" s="167"/>
      <c r="FU12" s="166">
        <v>0.78639999999999999</v>
      </c>
      <c r="FV12" s="166">
        <v>1.35</v>
      </c>
      <c r="FW12" s="166">
        <v>19.309999999999999</v>
      </c>
      <c r="FX12" s="166">
        <v>0</v>
      </c>
      <c r="FY12" s="167"/>
      <c r="FZ12" s="166">
        <v>-10.811999999999999</v>
      </c>
      <c r="GA12" s="166">
        <v>3.4009999999999998</v>
      </c>
      <c r="GB12" s="167"/>
      <c r="GC12" s="166">
        <v>32.85</v>
      </c>
      <c r="GD12" s="166">
        <v>40.751100000000001</v>
      </c>
      <c r="GE12" s="166">
        <v>45.033000000000001</v>
      </c>
      <c r="GF12" s="166">
        <v>14.77</v>
      </c>
      <c r="GG12" s="166">
        <v>75.915000000000006</v>
      </c>
      <c r="GH12" s="166">
        <v>29</v>
      </c>
      <c r="GI12" s="166">
        <v>-16.104199999999999</v>
      </c>
      <c r="GJ12" s="166">
        <v>-5.0678999999999998</v>
      </c>
      <c r="GK12" s="166">
        <v>-5.4088000000000003</v>
      </c>
      <c r="GL12" s="166">
        <v>1.3622000000000001</v>
      </c>
      <c r="GM12" s="167"/>
      <c r="GN12" s="167"/>
      <c r="GO12" s="166">
        <v>-15.6191</v>
      </c>
      <c r="GP12" s="166">
        <v>-24.249199999999998</v>
      </c>
      <c r="GQ12" s="166">
        <v>11.7431</v>
      </c>
      <c r="GR12" s="166">
        <v>25.397300000000001</v>
      </c>
      <c r="GS12" s="166">
        <v>13.624499999999999</v>
      </c>
      <c r="GT12" s="166">
        <v>11.8324</v>
      </c>
      <c r="GU12" s="166">
        <v>-105.7764</v>
      </c>
      <c r="GV12" s="166">
        <v>-16.515599999999999</v>
      </c>
      <c r="GW12" s="166">
        <v>35.520400000000002</v>
      </c>
      <c r="GX12" s="166">
        <v>-46.380899999999997</v>
      </c>
      <c r="GY12" s="166">
        <v>12.3024</v>
      </c>
      <c r="GZ12" s="166">
        <v>6.4272</v>
      </c>
      <c r="HA12" s="166">
        <v>6.1924999999999999</v>
      </c>
      <c r="HB12" s="166">
        <v>13.511100000000001</v>
      </c>
      <c r="HC12" s="166">
        <v>161.0104</v>
      </c>
      <c r="HD12" s="166">
        <v>159.99359999999999</v>
      </c>
      <c r="HE12" s="166">
        <v>217.1</v>
      </c>
      <c r="HF12" s="166">
        <v>-215.68729999999999</v>
      </c>
      <c r="HG12" s="166">
        <v>-500.06560000000002</v>
      </c>
      <c r="HH12" s="166">
        <v>504.51920000000001</v>
      </c>
      <c r="HI12" s="166">
        <v>637.78890000000001</v>
      </c>
      <c r="HJ12" s="166">
        <v>-154.70859999999999</v>
      </c>
      <c r="HK12" s="166">
        <v>-152.0472</v>
      </c>
      <c r="HL12" s="166">
        <v>-60.081499999999998</v>
      </c>
      <c r="HM12" s="166">
        <v>-52.059100000000001</v>
      </c>
      <c r="HN12" s="166">
        <v>79.234999999999999</v>
      </c>
      <c r="HO12" s="166">
        <v>79.172499999999999</v>
      </c>
      <c r="HP12" s="166">
        <v>-113.5564</v>
      </c>
      <c r="HQ12" s="167"/>
      <c r="HR12" s="166">
        <v>31.951499999999999</v>
      </c>
      <c r="HS12" s="166">
        <v>31.1495</v>
      </c>
      <c r="HT12" s="166">
        <v>-71.985799999999998</v>
      </c>
      <c r="HU12" s="166">
        <v>-72.690200000000004</v>
      </c>
      <c r="HV12" s="166">
        <v>87.64</v>
      </c>
      <c r="HW12" s="166">
        <v>86.49</v>
      </c>
      <c r="HX12" s="166">
        <v>44.6</v>
      </c>
      <c r="HY12" s="166">
        <v>42.7</v>
      </c>
      <c r="HZ12" s="166">
        <v>20.797599999999999</v>
      </c>
      <c r="IA12" s="166">
        <v>31.2</v>
      </c>
      <c r="IB12" s="166">
        <v>-383.03890000000001</v>
      </c>
      <c r="IC12" s="166">
        <v>98.956299999999999</v>
      </c>
      <c r="ID12" s="166">
        <v>97.811899999999994</v>
      </c>
      <c r="IE12" s="166">
        <v>11.1</v>
      </c>
      <c r="IF12" s="166">
        <v>6.7</v>
      </c>
      <c r="IG12" s="166">
        <v>-30.2</v>
      </c>
      <c r="IH12" s="166">
        <v>-35.200000000000003</v>
      </c>
      <c r="II12" s="166">
        <v>1.6852</v>
      </c>
      <c r="IJ12" s="166">
        <v>1.3255999999999999</v>
      </c>
      <c r="IK12" s="166">
        <v>-624.10709999999995</v>
      </c>
      <c r="IL12" s="166">
        <v>-464.02629999999999</v>
      </c>
      <c r="IM12" s="166">
        <v>499.97559999999999</v>
      </c>
      <c r="IN12" s="166">
        <v>400.94810000000001</v>
      </c>
      <c r="IO12" s="166">
        <v>-73.903099999999995</v>
      </c>
      <c r="IP12" s="166">
        <v>-385.2647</v>
      </c>
      <c r="IQ12" s="166">
        <v>386.59480000000002</v>
      </c>
      <c r="IR12" s="166">
        <v>-173.33500000000001</v>
      </c>
      <c r="IS12" s="166">
        <v>-236.28139999999999</v>
      </c>
      <c r="IT12" s="166">
        <v>-383.55849999999998</v>
      </c>
      <c r="IU12" s="166">
        <v>101.0638</v>
      </c>
      <c r="IV12" s="166">
        <v>101.45399999999999</v>
      </c>
      <c r="IW12" s="166">
        <v>174.18260000000001</v>
      </c>
      <c r="IX12" s="166">
        <v>-475.31689999999998</v>
      </c>
      <c r="IY12" s="166">
        <v>242.8468</v>
      </c>
      <c r="IZ12" s="166">
        <v>-241.3537</v>
      </c>
      <c r="JA12" s="166">
        <v>241.90100000000001</v>
      </c>
      <c r="JB12" s="166">
        <v>-10.1776</v>
      </c>
      <c r="JC12" s="166">
        <v>39.832700000000003</v>
      </c>
      <c r="JD12" s="166">
        <v>16.8</v>
      </c>
      <c r="JE12" s="166">
        <v>1.746</v>
      </c>
      <c r="JF12" s="166">
        <v>1.7370000000000001</v>
      </c>
      <c r="JG12" s="166">
        <v>-16</v>
      </c>
      <c r="JH12" s="166">
        <v>-6.4</v>
      </c>
      <c r="JI12" s="167"/>
      <c r="JJ12" s="166">
        <v>6.4469000000000003</v>
      </c>
      <c r="JK12" s="166">
        <v>-39.784799999999997</v>
      </c>
      <c r="JL12" s="166">
        <v>-18.895199999999999</v>
      </c>
      <c r="JM12" s="166">
        <v>23.6</v>
      </c>
      <c r="JN12" s="166">
        <v>51.348999999999997</v>
      </c>
      <c r="JO12" s="166">
        <v>50.01</v>
      </c>
      <c r="JP12" s="167"/>
      <c r="JQ12" s="167"/>
      <c r="JR12" s="166">
        <v>51.206699999999998</v>
      </c>
      <c r="JS12" s="166">
        <v>50.500599999999999</v>
      </c>
      <c r="JT12" s="166">
        <v>53.095300000000002</v>
      </c>
      <c r="JU12" s="167"/>
      <c r="JV12" s="166">
        <v>-4.2</v>
      </c>
      <c r="JW12" s="166">
        <v>27.665400000000002</v>
      </c>
      <c r="JX12" s="166">
        <v>5.8</v>
      </c>
      <c r="JY12" s="167"/>
      <c r="JZ12" s="166">
        <v>-51.325600000000001</v>
      </c>
      <c r="KA12" s="166">
        <v>80.547399999999996</v>
      </c>
      <c r="KB12" s="166">
        <v>60.6571</v>
      </c>
      <c r="KC12" s="166">
        <v>-50.821599999999997</v>
      </c>
      <c r="KD12" s="166">
        <v>-78.733900000000006</v>
      </c>
      <c r="KE12" s="166">
        <v>51.392000000000003</v>
      </c>
      <c r="KF12" s="166">
        <v>27.211400000000001</v>
      </c>
      <c r="KG12" s="166">
        <v>-9.1</v>
      </c>
      <c r="KH12" s="166">
        <v>8.1999999999999993</v>
      </c>
      <c r="KI12" s="166">
        <v>141.33619999999999</v>
      </c>
      <c r="KJ12" s="166">
        <v>-10.5517</v>
      </c>
    </row>
    <row r="13" spans="1:296" ht="18" customHeight="1" x14ac:dyDescent="0.3">
      <c r="A13" s="162" t="s">
        <v>67</v>
      </c>
      <c r="B13" s="162" t="s">
        <v>812</v>
      </c>
      <c r="C13" s="166">
        <v>0</v>
      </c>
      <c r="D13" s="167"/>
      <c r="E13" s="166">
        <v>15.2127</v>
      </c>
      <c r="F13" s="168">
        <v>-21.950299999999999</v>
      </c>
      <c r="G13" s="166">
        <v>8.6309000000000005</v>
      </c>
      <c r="H13" s="166">
        <v>32.129399999999997</v>
      </c>
      <c r="I13" s="167"/>
      <c r="J13" s="166">
        <v>33.6663</v>
      </c>
      <c r="K13" s="166">
        <v>-86.102900000000005</v>
      </c>
      <c r="L13" s="166">
        <v>44.815899999999999</v>
      </c>
      <c r="M13" s="166">
        <v>22.9893</v>
      </c>
      <c r="N13" s="166">
        <v>22.4239</v>
      </c>
      <c r="O13" s="166">
        <v>-35.520000000000003</v>
      </c>
      <c r="P13" s="166">
        <v>-29.904</v>
      </c>
      <c r="Q13" s="166">
        <v>26.4</v>
      </c>
      <c r="R13" s="168">
        <v>17.388000000000002</v>
      </c>
      <c r="S13" s="166">
        <v>-26.4</v>
      </c>
      <c r="T13" s="166">
        <v>15.1454</v>
      </c>
      <c r="U13" s="166">
        <v>48.992800000000003</v>
      </c>
      <c r="V13" s="167"/>
      <c r="W13" s="166">
        <v>12.892099999999999</v>
      </c>
      <c r="X13" s="166">
        <v>21.8566</v>
      </c>
      <c r="Y13" s="166">
        <v>7.5868000000000002</v>
      </c>
      <c r="Z13" s="166">
        <v>5.2380000000000004</v>
      </c>
      <c r="AA13" s="166">
        <v>2.5141</v>
      </c>
      <c r="AB13" s="167"/>
      <c r="AC13" s="167"/>
      <c r="AD13" s="166">
        <v>-65.23</v>
      </c>
      <c r="AE13" s="166">
        <v>-65.73</v>
      </c>
      <c r="AF13" s="167"/>
      <c r="AG13" s="166">
        <v>35.520000000000003</v>
      </c>
      <c r="AH13" s="166">
        <v>28.6</v>
      </c>
      <c r="AI13" s="166">
        <v>17.177</v>
      </c>
      <c r="AJ13" s="166">
        <v>0.23699999999999999</v>
      </c>
      <c r="AK13" s="166">
        <v>-66.86</v>
      </c>
      <c r="AL13" s="168">
        <v>-68.3</v>
      </c>
      <c r="AM13" s="166">
        <v>-41.58</v>
      </c>
      <c r="AN13" s="166">
        <v>67.13</v>
      </c>
      <c r="AO13" s="166">
        <v>69.8</v>
      </c>
      <c r="AP13" s="167"/>
      <c r="AQ13" s="166">
        <v>2.7281</v>
      </c>
      <c r="AR13" s="166">
        <v>54.212600000000002</v>
      </c>
      <c r="AS13" s="166">
        <v>56.060499999999998</v>
      </c>
      <c r="AT13" s="166">
        <v>44.619599999999998</v>
      </c>
      <c r="AU13" s="166">
        <v>-58.642699999999998</v>
      </c>
      <c r="AV13" s="166">
        <v>-56.452399999999997</v>
      </c>
      <c r="AW13" s="166">
        <v>16.398900000000001</v>
      </c>
      <c r="AX13" s="166">
        <v>17.572800000000001</v>
      </c>
      <c r="AY13" s="166">
        <v>68.946200000000005</v>
      </c>
      <c r="AZ13" s="166">
        <v>69.934700000000007</v>
      </c>
      <c r="BA13" s="166">
        <v>17.210899999999999</v>
      </c>
      <c r="BB13" s="166">
        <v>11.3855</v>
      </c>
      <c r="BC13" s="166">
        <v>-420.39120000000003</v>
      </c>
      <c r="BD13" s="166">
        <v>-15.364000000000001</v>
      </c>
      <c r="BE13" s="166">
        <v>-11.1</v>
      </c>
      <c r="BF13" s="166">
        <v>-11.1</v>
      </c>
      <c r="BG13" s="166">
        <v>63.813400000000001</v>
      </c>
      <c r="BH13" s="166">
        <v>61.757800000000003</v>
      </c>
      <c r="BI13" s="166">
        <v>-3.7263000000000002</v>
      </c>
      <c r="BJ13" s="167"/>
      <c r="BK13" s="166">
        <v>-56.269599999999997</v>
      </c>
      <c r="BL13" s="166">
        <v>3.3237000000000001</v>
      </c>
      <c r="BM13" s="166">
        <v>7.4511000000000003</v>
      </c>
      <c r="BN13" s="166">
        <v>5.0568</v>
      </c>
      <c r="BO13" s="166">
        <v>466.93299999999999</v>
      </c>
      <c r="BP13" s="166">
        <v>70.406199999999998</v>
      </c>
      <c r="BQ13" s="166">
        <v>70.314599999999999</v>
      </c>
      <c r="BR13" s="166">
        <v>-473.44069999999999</v>
      </c>
      <c r="BS13" s="166">
        <v>360.75029999999998</v>
      </c>
      <c r="BT13" s="167"/>
      <c r="BU13" s="166">
        <v>-46.666499999999999</v>
      </c>
      <c r="BV13" s="166">
        <v>48.015099999999997</v>
      </c>
      <c r="BW13" s="166">
        <v>75.605099999999993</v>
      </c>
      <c r="BX13" s="166">
        <v>25.2</v>
      </c>
      <c r="BY13" s="166">
        <v>26.83</v>
      </c>
      <c r="BZ13" s="166">
        <v>49.4</v>
      </c>
      <c r="CA13" s="166">
        <v>69.11</v>
      </c>
      <c r="CB13" s="166">
        <v>-23.438300000000002</v>
      </c>
      <c r="CC13" s="166">
        <v>-23.9741</v>
      </c>
      <c r="CD13" s="166">
        <v>88.132599999999996</v>
      </c>
      <c r="CE13" s="166">
        <v>88.346599999999995</v>
      </c>
      <c r="CF13" s="166">
        <v>30.982500000000002</v>
      </c>
      <c r="CG13" s="166">
        <v>-64.974800000000002</v>
      </c>
      <c r="CH13" s="166">
        <v>-64.747100000000003</v>
      </c>
      <c r="CI13" s="166">
        <v>2.0731000000000002</v>
      </c>
      <c r="CJ13" s="166">
        <v>0</v>
      </c>
      <c r="CK13" s="167"/>
      <c r="CL13" s="167"/>
      <c r="CM13" s="166">
        <v>95.7</v>
      </c>
      <c r="CN13" s="166">
        <v>84.9</v>
      </c>
      <c r="CO13" s="166">
        <v>-13.79</v>
      </c>
      <c r="CP13" s="166">
        <v>67.575100000000006</v>
      </c>
      <c r="CQ13" s="166">
        <v>66.5715</v>
      </c>
      <c r="CR13" s="166">
        <v>65.719099999999997</v>
      </c>
      <c r="CS13" s="166">
        <v>-19.950299999999999</v>
      </c>
      <c r="CT13" s="166">
        <v>-17.9451</v>
      </c>
      <c r="CU13" s="166">
        <v>19.2258</v>
      </c>
      <c r="CV13" s="166">
        <v>-38.688600000000001</v>
      </c>
      <c r="CW13" s="166">
        <v>20.674299999999999</v>
      </c>
      <c r="CX13" s="166">
        <v>12.2873</v>
      </c>
      <c r="CY13" s="166">
        <v>45.41</v>
      </c>
      <c r="CZ13" s="166">
        <v>25.21</v>
      </c>
      <c r="DA13" s="166">
        <v>33.757300000000001</v>
      </c>
      <c r="DB13" s="166">
        <v>32.084699999999998</v>
      </c>
      <c r="DC13" s="166">
        <v>-26.406400000000001</v>
      </c>
      <c r="DD13" s="167"/>
      <c r="DE13" s="167"/>
      <c r="DF13" s="166">
        <v>0</v>
      </c>
      <c r="DG13" s="166">
        <v>-76.392799999999994</v>
      </c>
      <c r="DH13" s="167"/>
      <c r="DI13" s="167"/>
      <c r="DJ13" s="168">
        <v>-69.599999999999994</v>
      </c>
      <c r="DK13" s="166">
        <v>-70.099999999999994</v>
      </c>
      <c r="DL13" s="166">
        <v>19.904499999999999</v>
      </c>
      <c r="DM13" s="166">
        <v>33</v>
      </c>
      <c r="DN13" s="166">
        <v>33.86</v>
      </c>
      <c r="DO13" s="166">
        <v>45.12</v>
      </c>
      <c r="DP13" s="166">
        <v>32.909999999999997</v>
      </c>
      <c r="DQ13" s="166">
        <v>-3.23</v>
      </c>
      <c r="DR13" s="166">
        <v>61.085500000000003</v>
      </c>
      <c r="DS13" s="166">
        <v>75.521799999999999</v>
      </c>
      <c r="DT13" s="166">
        <v>-33.35</v>
      </c>
      <c r="DU13" s="166">
        <v>-33.82</v>
      </c>
      <c r="DV13" s="166">
        <v>103.15</v>
      </c>
      <c r="DW13" s="166">
        <v>50.37</v>
      </c>
      <c r="DX13" s="166">
        <v>76.2727</v>
      </c>
      <c r="DY13" s="166">
        <v>74.909099999999995</v>
      </c>
      <c r="DZ13" s="166">
        <v>-9.4316999999999993</v>
      </c>
      <c r="EA13" s="166">
        <v>-9.7363999999999997</v>
      </c>
      <c r="EB13" s="166">
        <v>169.29769999999999</v>
      </c>
      <c r="EC13" s="166">
        <v>127.1237</v>
      </c>
      <c r="ED13" s="166">
        <v>121.94450000000001</v>
      </c>
      <c r="EE13" s="166">
        <v>124.3449</v>
      </c>
      <c r="EF13" s="166">
        <v>140.53870000000001</v>
      </c>
      <c r="EG13" s="166">
        <v>126.01739999999999</v>
      </c>
      <c r="EH13" s="166">
        <v>-24.928000000000001</v>
      </c>
      <c r="EI13" s="166">
        <v>486.11290000000002</v>
      </c>
      <c r="EJ13" s="166">
        <v>502.71350000000001</v>
      </c>
      <c r="EK13" s="167"/>
      <c r="EL13" s="166">
        <v>-28.604199999999999</v>
      </c>
      <c r="EM13" s="166">
        <v>-27.411200000000001</v>
      </c>
      <c r="EN13" s="167"/>
      <c r="EO13" s="166">
        <v>45.850900000000003</v>
      </c>
      <c r="EP13" s="166">
        <v>42.789299999999997</v>
      </c>
      <c r="EQ13" s="166">
        <v>172.09200000000001</v>
      </c>
      <c r="ER13" s="166">
        <v>-90.306600000000003</v>
      </c>
      <c r="ES13" s="166">
        <v>-91.355000000000004</v>
      </c>
      <c r="ET13" s="166">
        <v>-88.410200000000003</v>
      </c>
      <c r="EU13" s="166">
        <v>14.19</v>
      </c>
      <c r="EV13" s="166">
        <v>-7.33</v>
      </c>
      <c r="EW13" s="166">
        <v>120.9</v>
      </c>
      <c r="EX13" s="166">
        <v>10.2836</v>
      </c>
      <c r="EY13" s="166">
        <v>43.4086</v>
      </c>
      <c r="EZ13" s="166">
        <v>-39.120800000000003</v>
      </c>
      <c r="FA13" s="166">
        <v>-38.283200000000001</v>
      </c>
      <c r="FB13" s="166">
        <v>10.597899999999999</v>
      </c>
      <c r="FC13" s="166">
        <v>-122.8139</v>
      </c>
      <c r="FD13" s="166">
        <v>88.079800000000006</v>
      </c>
      <c r="FE13" s="166">
        <v>19.159800000000001</v>
      </c>
      <c r="FF13" s="166">
        <v>25.7562</v>
      </c>
      <c r="FG13" s="167"/>
      <c r="FH13" s="166">
        <v>40.518099999999997</v>
      </c>
      <c r="FI13" s="166">
        <v>41.941499999999998</v>
      </c>
      <c r="FJ13" s="166">
        <v>40.052900000000001</v>
      </c>
      <c r="FK13" s="166">
        <v>23.109000000000002</v>
      </c>
      <c r="FL13" s="166">
        <v>22.6066</v>
      </c>
      <c r="FM13" s="166">
        <v>-39.184800000000003</v>
      </c>
      <c r="FN13" s="166">
        <v>11.2277</v>
      </c>
      <c r="FO13" s="166">
        <v>10.8209</v>
      </c>
      <c r="FP13" s="166">
        <v>-48.381799999999998</v>
      </c>
      <c r="FQ13" s="166">
        <v>-45.241900000000001</v>
      </c>
      <c r="FR13" s="166">
        <v>7.5312000000000001</v>
      </c>
      <c r="FS13" s="166">
        <v>-36.56</v>
      </c>
      <c r="FT13" s="167"/>
      <c r="FU13" s="166">
        <v>0.76449999999999996</v>
      </c>
      <c r="FV13" s="166">
        <v>1.35</v>
      </c>
      <c r="FW13" s="166">
        <v>19.36</v>
      </c>
      <c r="FX13" s="166">
        <v>0</v>
      </c>
      <c r="FY13" s="167"/>
      <c r="FZ13" s="168">
        <v>-10.811999999999999</v>
      </c>
      <c r="GA13" s="166">
        <v>1.121</v>
      </c>
      <c r="GB13" s="167"/>
      <c r="GC13" s="166">
        <v>31.22</v>
      </c>
      <c r="GD13" s="166">
        <v>45.699599999999997</v>
      </c>
      <c r="GE13" s="166">
        <v>50.029800000000002</v>
      </c>
      <c r="GF13" s="166">
        <v>14.15</v>
      </c>
      <c r="GG13" s="166">
        <v>74.152799999999999</v>
      </c>
      <c r="GH13" s="166">
        <v>31.4</v>
      </c>
      <c r="GI13" s="166">
        <v>-16.017900000000001</v>
      </c>
      <c r="GJ13" s="166">
        <v>-5.0134999999999996</v>
      </c>
      <c r="GK13" s="166">
        <v>-5.2728999999999999</v>
      </c>
      <c r="GL13" s="166">
        <v>1.3411</v>
      </c>
      <c r="GM13" s="167"/>
      <c r="GN13" s="167"/>
      <c r="GO13" s="168">
        <v>-15.459</v>
      </c>
      <c r="GP13" s="166">
        <v>-23.501300000000001</v>
      </c>
      <c r="GQ13" s="166">
        <v>11.829499999999999</v>
      </c>
      <c r="GR13" s="166">
        <v>24.7944</v>
      </c>
      <c r="GS13" s="166">
        <v>12.050599999999999</v>
      </c>
      <c r="GT13" s="166">
        <v>13.638</v>
      </c>
      <c r="GU13" s="166">
        <v>-103.8099</v>
      </c>
      <c r="GV13" s="166">
        <v>-16.2925</v>
      </c>
      <c r="GW13" s="166">
        <v>34.8401</v>
      </c>
      <c r="GX13" s="166">
        <v>-46.371000000000002</v>
      </c>
      <c r="GY13" s="166">
        <v>12.276</v>
      </c>
      <c r="GZ13" s="166">
        <v>6.31</v>
      </c>
      <c r="HA13" s="166">
        <v>6.0026999999999999</v>
      </c>
      <c r="HB13" s="166">
        <v>13.211399999999999</v>
      </c>
      <c r="HC13" s="166">
        <v>160.03819999999999</v>
      </c>
      <c r="HD13" s="166">
        <v>160.73580000000001</v>
      </c>
      <c r="HE13" s="166">
        <v>219.2</v>
      </c>
      <c r="HF13" s="166">
        <v>-219.6404</v>
      </c>
      <c r="HG13" s="166">
        <v>-504.24790000000002</v>
      </c>
      <c r="HH13" s="166">
        <v>507.69299999999998</v>
      </c>
      <c r="HI13" s="166">
        <v>638.88739999999996</v>
      </c>
      <c r="HJ13" s="166">
        <v>-153.62610000000001</v>
      </c>
      <c r="HK13" s="166">
        <v>-152.20689999999999</v>
      </c>
      <c r="HL13" s="166">
        <v>-58.661799999999999</v>
      </c>
      <c r="HM13" s="166">
        <v>-51.407299999999999</v>
      </c>
      <c r="HN13" s="166">
        <v>77.809799999999996</v>
      </c>
      <c r="HO13" s="166">
        <v>78.384399999999999</v>
      </c>
      <c r="HP13" s="167"/>
      <c r="HQ13" s="167"/>
      <c r="HR13" s="166">
        <v>32.797400000000003</v>
      </c>
      <c r="HS13" s="166">
        <v>32.588700000000003</v>
      </c>
      <c r="HT13" s="166">
        <v>-71.920100000000005</v>
      </c>
      <c r="HU13" s="166">
        <v>-71.839500000000001</v>
      </c>
      <c r="HV13" s="166">
        <v>85.13</v>
      </c>
      <c r="HW13" s="166">
        <v>84.48</v>
      </c>
      <c r="HX13" s="166">
        <v>42.2</v>
      </c>
      <c r="HY13" s="166">
        <v>44.2</v>
      </c>
      <c r="HZ13" s="166">
        <v>20.816800000000001</v>
      </c>
      <c r="IA13" s="166">
        <v>32</v>
      </c>
      <c r="IB13" s="166">
        <v>-379.84390000000002</v>
      </c>
      <c r="IC13" s="166">
        <v>98.286299999999997</v>
      </c>
      <c r="ID13" s="166">
        <v>98.019599999999997</v>
      </c>
      <c r="IE13" s="166">
        <v>11.1</v>
      </c>
      <c r="IF13" s="166">
        <v>4.2</v>
      </c>
      <c r="IG13" s="166">
        <v>-31</v>
      </c>
      <c r="IH13" s="166">
        <v>-36.200000000000003</v>
      </c>
      <c r="II13" s="166">
        <v>1.48</v>
      </c>
      <c r="IJ13" s="167"/>
      <c r="IK13" s="166">
        <v>-625.92169999999999</v>
      </c>
      <c r="IL13" s="166">
        <v>-469.00740000000002</v>
      </c>
      <c r="IM13" s="166">
        <v>492.12580000000003</v>
      </c>
      <c r="IN13" s="166">
        <v>397.0204</v>
      </c>
      <c r="IO13" s="166">
        <v>-72.491</v>
      </c>
      <c r="IP13" s="166">
        <v>-388.21109999999999</v>
      </c>
      <c r="IQ13" s="166">
        <v>392.07260000000002</v>
      </c>
      <c r="IR13" s="166">
        <v>-173.9691</v>
      </c>
      <c r="IS13" s="166">
        <v>-237.06780000000001</v>
      </c>
      <c r="IT13" s="166">
        <v>-384.41660000000002</v>
      </c>
      <c r="IU13" s="166">
        <v>101.9136</v>
      </c>
      <c r="IV13" s="166">
        <v>97.821399999999997</v>
      </c>
      <c r="IW13" s="166">
        <v>176.86369999999999</v>
      </c>
      <c r="IX13" s="166">
        <v>-474.20049999999998</v>
      </c>
      <c r="IY13" s="166">
        <v>242.60769999999999</v>
      </c>
      <c r="IZ13" s="166">
        <v>-237.07900000000001</v>
      </c>
      <c r="JA13" s="166">
        <v>238.8999</v>
      </c>
      <c r="JB13" s="166">
        <v>-10.098000000000001</v>
      </c>
      <c r="JC13" s="166">
        <v>39.171999999999997</v>
      </c>
      <c r="JD13" s="166">
        <v>15.68</v>
      </c>
      <c r="JE13" s="166">
        <v>1.742</v>
      </c>
      <c r="JF13" s="166">
        <v>1.7450000000000001</v>
      </c>
      <c r="JG13" s="166">
        <v>-15.84</v>
      </c>
      <c r="JH13" s="166">
        <v>-7.36</v>
      </c>
      <c r="JI13" s="167"/>
      <c r="JJ13" s="166">
        <v>7.5608000000000004</v>
      </c>
      <c r="JK13" s="166">
        <v>-39.287399999999998</v>
      </c>
      <c r="JL13" s="166">
        <v>-18.806699999999999</v>
      </c>
      <c r="JM13" s="166">
        <v>23.3</v>
      </c>
      <c r="JN13" s="166">
        <v>52.238</v>
      </c>
      <c r="JO13" s="166">
        <v>52.956000000000003</v>
      </c>
      <c r="JP13" s="166">
        <v>8.1278000000000006</v>
      </c>
      <c r="JQ13" s="166">
        <v>9.8923000000000005</v>
      </c>
      <c r="JR13" s="166">
        <v>51.108499999999999</v>
      </c>
      <c r="JS13" s="166">
        <v>50.844099999999997</v>
      </c>
      <c r="JT13" s="166">
        <v>51.854999999999997</v>
      </c>
      <c r="JU13" s="167"/>
      <c r="JV13" s="166">
        <v>-4.3</v>
      </c>
      <c r="JW13" s="166">
        <v>27.409600000000001</v>
      </c>
      <c r="JX13" s="166">
        <v>5.78</v>
      </c>
      <c r="JY13" s="167"/>
      <c r="JZ13" s="166">
        <v>-51.1464</v>
      </c>
      <c r="KA13" s="166">
        <v>79.783000000000001</v>
      </c>
      <c r="KB13" s="166">
        <v>60.7746</v>
      </c>
      <c r="KC13" s="166">
        <v>-50.829799999999999</v>
      </c>
      <c r="KD13" s="166">
        <v>-78.188299999999998</v>
      </c>
      <c r="KE13" s="166">
        <v>50.5229</v>
      </c>
      <c r="KF13" s="166">
        <v>26.808</v>
      </c>
      <c r="KG13" s="166">
        <v>-9.3000000000000007</v>
      </c>
      <c r="KH13" s="166">
        <v>9.8000000000000007</v>
      </c>
      <c r="KI13" s="166">
        <v>132.79519999999999</v>
      </c>
      <c r="KJ13" s="166">
        <v>-24.8858</v>
      </c>
    </row>
    <row r="14" spans="1:296" ht="18" customHeight="1" x14ac:dyDescent="0.3">
      <c r="A14" s="162" t="s">
        <v>67</v>
      </c>
      <c r="B14" s="162" t="s">
        <v>813</v>
      </c>
      <c r="C14" s="166">
        <v>0</v>
      </c>
      <c r="D14" s="167"/>
      <c r="E14" s="166">
        <v>14.8001</v>
      </c>
      <c r="F14" s="166">
        <v>-21.804500000000001</v>
      </c>
      <c r="G14" s="166">
        <v>8.5950000000000006</v>
      </c>
      <c r="H14" s="166">
        <v>31.835899999999999</v>
      </c>
      <c r="I14" s="167"/>
      <c r="J14" s="166">
        <v>32.882800000000003</v>
      </c>
      <c r="K14" s="166">
        <v>-87.432699999999997</v>
      </c>
      <c r="L14" s="168">
        <v>44.574300000000001</v>
      </c>
      <c r="M14" s="166">
        <v>22.815300000000001</v>
      </c>
      <c r="N14" s="166">
        <v>22.139199999999999</v>
      </c>
      <c r="O14" s="166">
        <v>-33.299999999999997</v>
      </c>
      <c r="P14" s="166">
        <v>-30.129000000000001</v>
      </c>
      <c r="Q14" s="168">
        <v>27.133299999999998</v>
      </c>
      <c r="R14" s="168">
        <v>16.974</v>
      </c>
      <c r="S14" s="168">
        <v>-26.4</v>
      </c>
      <c r="T14" s="166">
        <v>14.858700000000001</v>
      </c>
      <c r="U14" s="166">
        <v>49.835999999999999</v>
      </c>
      <c r="V14" s="167"/>
      <c r="W14" s="166">
        <v>12.6843</v>
      </c>
      <c r="X14" s="166">
        <v>20.9528</v>
      </c>
      <c r="Y14" s="166">
        <v>3.7073</v>
      </c>
      <c r="Z14" s="166">
        <v>4.915</v>
      </c>
      <c r="AA14" s="166">
        <v>5.9105999999999996</v>
      </c>
      <c r="AB14" s="167"/>
      <c r="AC14" s="167"/>
      <c r="AD14" s="166">
        <v>-65</v>
      </c>
      <c r="AE14" s="166">
        <v>-64.739999999999995</v>
      </c>
      <c r="AF14" s="167"/>
      <c r="AG14" s="166">
        <v>33.299999999999997</v>
      </c>
      <c r="AH14" s="166">
        <v>28.6</v>
      </c>
      <c r="AI14" s="166">
        <v>16.472000000000001</v>
      </c>
      <c r="AJ14" s="166">
        <v>0.23699999999999999</v>
      </c>
      <c r="AK14" s="166">
        <v>-63.58</v>
      </c>
      <c r="AL14" s="168">
        <v>-63.3</v>
      </c>
      <c r="AM14" s="166">
        <v>-45.45</v>
      </c>
      <c r="AN14" s="166">
        <v>64.239999999999995</v>
      </c>
      <c r="AO14" s="166">
        <v>64.8</v>
      </c>
      <c r="AP14" s="167"/>
      <c r="AQ14" s="166">
        <v>2.5737999999999999</v>
      </c>
      <c r="AR14" s="166">
        <v>53.958799999999997</v>
      </c>
      <c r="AS14" s="166">
        <v>55.370600000000003</v>
      </c>
      <c r="AT14" s="166">
        <v>44.865000000000002</v>
      </c>
      <c r="AU14" s="166">
        <v>-54.914700000000003</v>
      </c>
      <c r="AV14" s="166">
        <v>-54.963200000000001</v>
      </c>
      <c r="AW14" s="166">
        <v>7.2134999999999998</v>
      </c>
      <c r="AX14" s="166">
        <v>6.7957999999999998</v>
      </c>
      <c r="AY14" s="166">
        <v>69.258300000000006</v>
      </c>
      <c r="AZ14" s="166">
        <v>70.338200000000001</v>
      </c>
      <c r="BA14" s="166">
        <v>1.8033999999999999</v>
      </c>
      <c r="BB14" s="166">
        <v>0.63549999999999995</v>
      </c>
      <c r="BC14" s="166">
        <v>-396.21109999999999</v>
      </c>
      <c r="BD14" s="166">
        <v>-14.7736</v>
      </c>
      <c r="BE14" s="166">
        <v>-11.3</v>
      </c>
      <c r="BF14" s="166">
        <v>-11.2</v>
      </c>
      <c r="BG14" s="166">
        <v>61.266800000000003</v>
      </c>
      <c r="BH14" s="166">
        <v>60.006500000000003</v>
      </c>
      <c r="BI14" s="166">
        <v>-3.9676999999999998</v>
      </c>
      <c r="BJ14" s="167"/>
      <c r="BK14" s="166">
        <v>-56.764600000000002</v>
      </c>
      <c r="BL14" s="166">
        <v>3.5996999999999999</v>
      </c>
      <c r="BM14" s="166">
        <v>7.5918999999999999</v>
      </c>
      <c r="BN14" s="166">
        <v>5.0122999999999998</v>
      </c>
      <c r="BO14" s="166">
        <v>440.16829999999999</v>
      </c>
      <c r="BP14" s="166">
        <v>69.551699999999997</v>
      </c>
      <c r="BQ14" s="166">
        <v>69.185400000000001</v>
      </c>
      <c r="BR14" s="166">
        <v>-481.71039999999999</v>
      </c>
      <c r="BS14" s="166">
        <v>334.40690000000001</v>
      </c>
      <c r="BT14" s="167"/>
      <c r="BU14" s="166">
        <v>-41.5015</v>
      </c>
      <c r="BV14" s="166">
        <v>42.811399999999999</v>
      </c>
      <c r="BW14" s="166">
        <v>74.607100000000003</v>
      </c>
      <c r="BX14" s="166">
        <v>24.04</v>
      </c>
      <c r="BY14" s="166">
        <v>26.26</v>
      </c>
      <c r="BZ14" s="166">
        <v>49.41</v>
      </c>
      <c r="CA14" s="166">
        <v>68.37</v>
      </c>
      <c r="CB14" s="166">
        <v>-25.1797</v>
      </c>
      <c r="CC14" s="166">
        <v>-24.911799999999999</v>
      </c>
      <c r="CD14" s="166">
        <v>84.1661</v>
      </c>
      <c r="CE14" s="166">
        <v>85.768900000000002</v>
      </c>
      <c r="CF14" s="166">
        <v>27.7134</v>
      </c>
      <c r="CG14" s="166">
        <v>-52.717799999999997</v>
      </c>
      <c r="CH14" s="166">
        <v>-52.528500000000001</v>
      </c>
      <c r="CI14" s="166">
        <v>3.0339</v>
      </c>
      <c r="CJ14" s="166">
        <v>0</v>
      </c>
      <c r="CK14" s="167"/>
      <c r="CL14" s="167"/>
      <c r="CM14" s="166">
        <v>90</v>
      </c>
      <c r="CN14" s="166">
        <v>81.900000000000006</v>
      </c>
      <c r="CO14" s="166">
        <v>-13.49</v>
      </c>
      <c r="CP14" s="166">
        <v>71.760599999999997</v>
      </c>
      <c r="CQ14" s="166">
        <v>70.210400000000007</v>
      </c>
      <c r="CR14" s="166">
        <v>68.515500000000003</v>
      </c>
      <c r="CS14" s="166">
        <v>-12.9215</v>
      </c>
      <c r="CT14" s="166">
        <v>-12.8666</v>
      </c>
      <c r="CU14" s="166">
        <v>11.581200000000001</v>
      </c>
      <c r="CV14" s="166">
        <v>-36.0989</v>
      </c>
      <c r="CW14" s="166">
        <v>12.080399999999999</v>
      </c>
      <c r="CX14" s="166">
        <v>12.2281</v>
      </c>
      <c r="CY14" s="166">
        <v>46</v>
      </c>
      <c r="CZ14" s="166">
        <v>25.48</v>
      </c>
      <c r="DA14" s="166">
        <v>32.819800000000001</v>
      </c>
      <c r="DB14" s="166">
        <v>31.2057</v>
      </c>
      <c r="DC14" s="166">
        <v>-26.113099999999999</v>
      </c>
      <c r="DD14" s="167"/>
      <c r="DE14" s="167"/>
      <c r="DF14" s="166">
        <v>0</v>
      </c>
      <c r="DG14" s="166">
        <v>-63.924300000000002</v>
      </c>
      <c r="DH14" s="167"/>
      <c r="DI14" s="167"/>
      <c r="DJ14" s="168">
        <v>-68.400000000000006</v>
      </c>
      <c r="DK14" s="168">
        <v>-68.95</v>
      </c>
      <c r="DL14" s="166">
        <v>19.108000000000001</v>
      </c>
      <c r="DM14" s="166">
        <v>32.6</v>
      </c>
      <c r="DN14" s="166">
        <v>33.08</v>
      </c>
      <c r="DO14" s="166">
        <v>44.66</v>
      </c>
      <c r="DP14" s="166">
        <v>32.549999999999997</v>
      </c>
      <c r="DQ14" s="166">
        <v>-2.91</v>
      </c>
      <c r="DR14" s="166">
        <v>59.783499999999997</v>
      </c>
      <c r="DS14" s="166">
        <v>62.027299999999997</v>
      </c>
      <c r="DT14" s="166">
        <v>-33.119999999999997</v>
      </c>
      <c r="DU14" s="166">
        <v>-33.53</v>
      </c>
      <c r="DV14" s="166">
        <v>101.62</v>
      </c>
      <c r="DW14" s="166">
        <v>50.27</v>
      </c>
      <c r="DX14" s="166">
        <v>65.072699999999998</v>
      </c>
      <c r="DY14" s="166">
        <v>61.327300000000001</v>
      </c>
      <c r="DZ14" s="166">
        <v>-13.2864</v>
      </c>
      <c r="EA14" s="166">
        <v>-13.309100000000001</v>
      </c>
      <c r="EB14" s="166">
        <v>159.95580000000001</v>
      </c>
      <c r="EC14" s="166">
        <v>117.3891</v>
      </c>
      <c r="ED14" s="166">
        <v>111.91889999999999</v>
      </c>
      <c r="EE14" s="166">
        <v>114.36499999999999</v>
      </c>
      <c r="EF14" s="166">
        <v>136.57740000000001</v>
      </c>
      <c r="EG14" s="166">
        <v>120.1232</v>
      </c>
      <c r="EH14" s="166">
        <v>-24.431000000000001</v>
      </c>
      <c r="EI14" s="166">
        <v>489.4205</v>
      </c>
      <c r="EJ14" s="166">
        <v>516.99040000000002</v>
      </c>
      <c r="EK14" s="167"/>
      <c r="EL14" s="166">
        <v>-28.8218</v>
      </c>
      <c r="EM14" s="166">
        <v>-27.229199999999999</v>
      </c>
      <c r="EN14" s="167"/>
      <c r="EO14" s="166">
        <v>39.442900000000002</v>
      </c>
      <c r="EP14" s="166">
        <v>37.887</v>
      </c>
      <c r="EQ14" s="166">
        <v>169.02</v>
      </c>
      <c r="ER14" s="166">
        <v>-90.606399999999994</v>
      </c>
      <c r="ES14" s="166">
        <v>-92.688000000000002</v>
      </c>
      <c r="ET14" s="166">
        <v>-88.011799999999994</v>
      </c>
      <c r="EU14" s="166">
        <v>15.75</v>
      </c>
      <c r="EV14" s="166">
        <v>-15.17</v>
      </c>
      <c r="EW14" s="166">
        <v>113.9</v>
      </c>
      <c r="EX14" s="166">
        <v>10.2822</v>
      </c>
      <c r="EY14" s="166">
        <v>38.673499999999997</v>
      </c>
      <c r="EZ14" s="166">
        <v>-37.996899999999997</v>
      </c>
      <c r="FA14" s="166">
        <v>-36.888800000000003</v>
      </c>
      <c r="FB14" s="166">
        <v>10.7424</v>
      </c>
      <c r="FC14" s="166">
        <v>-119.51779999999999</v>
      </c>
      <c r="FD14" s="166">
        <v>88.8964</v>
      </c>
      <c r="FE14" s="166">
        <v>19.180499999999999</v>
      </c>
      <c r="FF14" s="166">
        <v>24.214400000000001</v>
      </c>
      <c r="FG14" s="167"/>
      <c r="FH14" s="166">
        <v>41.513100000000001</v>
      </c>
      <c r="FI14" s="166">
        <v>42.100999999999999</v>
      </c>
      <c r="FJ14" s="166">
        <v>40.0501</v>
      </c>
      <c r="FK14" s="166">
        <v>25.285900000000002</v>
      </c>
      <c r="FL14" s="166">
        <v>25.453399999999998</v>
      </c>
      <c r="FM14" s="166">
        <v>-47.055199999999999</v>
      </c>
      <c r="FN14" s="166">
        <v>15.314299999999999</v>
      </c>
      <c r="FO14" s="166">
        <v>15.0251</v>
      </c>
      <c r="FP14" s="166">
        <v>-56.233400000000003</v>
      </c>
      <c r="FQ14" s="166">
        <v>-50.646500000000003</v>
      </c>
      <c r="FR14" s="166">
        <v>7.0038999999999998</v>
      </c>
      <c r="FS14" s="166">
        <v>-38.22</v>
      </c>
      <c r="FT14" s="167"/>
      <c r="FU14" s="166">
        <v>0.74980000000000002</v>
      </c>
      <c r="FV14" s="166">
        <v>1.34</v>
      </c>
      <c r="FW14" s="166">
        <v>20.29</v>
      </c>
      <c r="FX14" s="166">
        <v>0</v>
      </c>
      <c r="FY14" s="167"/>
      <c r="FZ14" s="168">
        <v>-10.8895</v>
      </c>
      <c r="GA14" s="166">
        <v>3.9</v>
      </c>
      <c r="GB14" s="167"/>
      <c r="GC14" s="166">
        <v>31.32</v>
      </c>
      <c r="GD14" s="166">
        <v>52.669600000000003</v>
      </c>
      <c r="GE14" s="166">
        <v>55.520299999999999</v>
      </c>
      <c r="GF14" s="166">
        <v>14.38</v>
      </c>
      <c r="GG14" s="166">
        <v>75.065100000000001</v>
      </c>
      <c r="GH14" s="166">
        <v>30.3</v>
      </c>
      <c r="GI14" s="166">
        <v>-14.8649</v>
      </c>
      <c r="GJ14" s="166">
        <v>-4.9949000000000003</v>
      </c>
      <c r="GK14" s="166">
        <v>-5.5575000000000001</v>
      </c>
      <c r="GL14" s="166">
        <v>1.3458000000000001</v>
      </c>
      <c r="GM14" s="167"/>
      <c r="GN14" s="167"/>
      <c r="GO14" s="166">
        <v>-15.2989</v>
      </c>
      <c r="GP14" s="166">
        <v>-22.129200000000001</v>
      </c>
      <c r="GQ14" s="166">
        <v>11.976599999999999</v>
      </c>
      <c r="GR14" s="166">
        <v>22.989599999999999</v>
      </c>
      <c r="GS14" s="166">
        <v>13.6343</v>
      </c>
      <c r="GT14" s="166">
        <v>13.7494</v>
      </c>
      <c r="GU14" s="166">
        <v>-98.728300000000004</v>
      </c>
      <c r="GV14" s="166">
        <v>-16.216100000000001</v>
      </c>
      <c r="GW14" s="166">
        <v>33.970399999999998</v>
      </c>
      <c r="GX14" s="166">
        <v>-46.248800000000003</v>
      </c>
      <c r="GY14" s="166">
        <v>12.210100000000001</v>
      </c>
      <c r="GZ14" s="166">
        <v>6.0659000000000001</v>
      </c>
      <c r="HA14" s="166">
        <v>5.8445</v>
      </c>
      <c r="HB14" s="166">
        <v>13.815799999999999</v>
      </c>
      <c r="HC14" s="166">
        <v>160.1241</v>
      </c>
      <c r="HD14" s="166">
        <v>159.84049999999999</v>
      </c>
      <c r="HE14" s="166">
        <v>191.5</v>
      </c>
      <c r="HF14" s="166">
        <v>-190.80690000000001</v>
      </c>
      <c r="HG14" s="166">
        <v>-467.07650000000001</v>
      </c>
      <c r="HH14" s="166">
        <v>469.03300000000002</v>
      </c>
      <c r="HI14" s="166">
        <v>631.10410000000002</v>
      </c>
      <c r="HJ14" s="166">
        <v>-153.9487</v>
      </c>
      <c r="HK14" s="166">
        <v>-149.96270000000001</v>
      </c>
      <c r="HL14" s="166">
        <v>-59.641100000000002</v>
      </c>
      <c r="HM14" s="166">
        <v>-52.260300000000001</v>
      </c>
      <c r="HN14" s="166">
        <v>79.342200000000005</v>
      </c>
      <c r="HO14" s="166">
        <v>79.133899999999997</v>
      </c>
      <c r="HP14" s="167"/>
      <c r="HQ14" s="166">
        <v>-112.64830000000001</v>
      </c>
      <c r="HR14" s="166">
        <v>34.500300000000003</v>
      </c>
      <c r="HS14" s="166">
        <v>34.412500000000001</v>
      </c>
      <c r="HT14" s="166">
        <v>-71.664299999999997</v>
      </c>
      <c r="HU14" s="166">
        <v>-71.757499999999993</v>
      </c>
      <c r="HV14" s="166">
        <v>85.26</v>
      </c>
      <c r="HW14" s="166">
        <v>83.31</v>
      </c>
      <c r="HX14" s="166">
        <v>43.8</v>
      </c>
      <c r="HY14" s="166">
        <v>44</v>
      </c>
      <c r="HZ14" s="166">
        <v>21.021899999999999</v>
      </c>
      <c r="IA14" s="166">
        <v>32.4</v>
      </c>
      <c r="IB14" s="166">
        <v>-389.08690000000001</v>
      </c>
      <c r="IC14" s="166">
        <v>102.1763</v>
      </c>
      <c r="ID14" s="166">
        <v>100.9298</v>
      </c>
      <c r="IE14" s="166">
        <v>11.1</v>
      </c>
      <c r="IF14" s="166">
        <v>5.7</v>
      </c>
      <c r="IG14" s="166">
        <v>-31.7</v>
      </c>
      <c r="IH14" s="166">
        <v>-36.5</v>
      </c>
      <c r="II14" s="167"/>
      <c r="IJ14" s="167"/>
      <c r="IK14" s="166">
        <v>-614.33900000000006</v>
      </c>
      <c r="IL14" s="166">
        <v>-478.39580000000001</v>
      </c>
      <c r="IM14" s="166">
        <v>504.15570000000002</v>
      </c>
      <c r="IN14" s="166">
        <v>403.61529999999999</v>
      </c>
      <c r="IO14" s="166">
        <v>-72.520099999999999</v>
      </c>
      <c r="IP14" s="166">
        <v>-392.52789999999999</v>
      </c>
      <c r="IQ14" s="166">
        <v>390.1934</v>
      </c>
      <c r="IR14" s="166">
        <v>-173.76169999999999</v>
      </c>
      <c r="IS14" s="166">
        <v>-239.4906</v>
      </c>
      <c r="IT14" s="166">
        <v>-383.75630000000001</v>
      </c>
      <c r="IU14" s="166">
        <v>101.226</v>
      </c>
      <c r="IV14" s="166">
        <v>101.2259</v>
      </c>
      <c r="IW14" s="166">
        <v>178.9657</v>
      </c>
      <c r="IX14" s="166">
        <v>-484.92840000000001</v>
      </c>
      <c r="IY14" s="166">
        <v>248.32749999999999</v>
      </c>
      <c r="IZ14" s="166">
        <v>-242.7012</v>
      </c>
      <c r="JA14" s="166">
        <v>244.0531</v>
      </c>
      <c r="JB14" s="166">
        <v>-10.389099999999999</v>
      </c>
      <c r="JC14" s="166">
        <v>38.8508</v>
      </c>
      <c r="JD14" s="166">
        <v>16.559999999999999</v>
      </c>
      <c r="JE14" s="166">
        <v>1.7190000000000001</v>
      </c>
      <c r="JF14" s="166">
        <v>1.732</v>
      </c>
      <c r="JG14" s="166">
        <v>-15.92</v>
      </c>
      <c r="JH14" s="166">
        <v>-6.32</v>
      </c>
      <c r="JI14" s="167"/>
      <c r="JJ14" s="166">
        <v>6.5933999999999999</v>
      </c>
      <c r="JK14" s="166">
        <v>-39.522399999999998</v>
      </c>
      <c r="JL14" s="166">
        <v>-18.220800000000001</v>
      </c>
      <c r="JM14" s="166">
        <v>23.1</v>
      </c>
      <c r="JN14" s="166">
        <v>50.893999999999998</v>
      </c>
      <c r="JO14" s="166">
        <v>50.896000000000001</v>
      </c>
      <c r="JP14" s="166">
        <v>8.3368000000000002</v>
      </c>
      <c r="JQ14" s="167"/>
      <c r="JR14" s="166">
        <v>51.846699999999998</v>
      </c>
      <c r="JS14" s="166">
        <v>51.119199999999999</v>
      </c>
      <c r="JT14" s="166">
        <v>50.236199999999997</v>
      </c>
      <c r="JU14" s="167"/>
      <c r="JV14" s="166">
        <v>-5.5</v>
      </c>
      <c r="JW14" s="166">
        <v>25.447900000000001</v>
      </c>
      <c r="JX14" s="166">
        <v>5.58</v>
      </c>
      <c r="JY14" s="167"/>
      <c r="JZ14" s="166">
        <v>-51.218800000000002</v>
      </c>
      <c r="KA14" s="166">
        <v>78.689899999999994</v>
      </c>
      <c r="KB14" s="166">
        <v>60.548499999999997</v>
      </c>
      <c r="KC14" s="166">
        <v>-51.2271</v>
      </c>
      <c r="KD14" s="166">
        <v>-78.650300000000001</v>
      </c>
      <c r="KE14" s="166">
        <v>52.344499999999996</v>
      </c>
      <c r="KF14" s="166">
        <v>26.2532</v>
      </c>
      <c r="KG14" s="166">
        <v>-9</v>
      </c>
      <c r="KH14" s="166">
        <v>8.9</v>
      </c>
      <c r="KI14" s="166">
        <v>164.09010000000001</v>
      </c>
      <c r="KJ14" s="166">
        <v>-36.149000000000001</v>
      </c>
    </row>
    <row r="15" spans="1:296" ht="18" customHeight="1" x14ac:dyDescent="0.3">
      <c r="A15" s="162" t="s">
        <v>67</v>
      </c>
      <c r="B15" s="162" t="s">
        <v>814</v>
      </c>
      <c r="C15" s="166">
        <v>0</v>
      </c>
      <c r="D15" s="167"/>
      <c r="E15" s="166">
        <v>14.854100000000001</v>
      </c>
      <c r="F15" s="166">
        <v>-21.555399999999999</v>
      </c>
      <c r="G15" s="166">
        <v>8.4390999999999998</v>
      </c>
      <c r="H15" s="166">
        <v>31.9132</v>
      </c>
      <c r="I15" s="167"/>
      <c r="J15" s="166">
        <v>33.108199999999997</v>
      </c>
      <c r="K15" s="166">
        <v>-89.633899999999997</v>
      </c>
      <c r="L15" s="166">
        <v>44.332700000000003</v>
      </c>
      <c r="M15" s="166">
        <v>22.7273</v>
      </c>
      <c r="N15" s="166">
        <v>22.219899999999999</v>
      </c>
      <c r="O15" s="166">
        <v>-35.520000000000003</v>
      </c>
      <c r="P15" s="166">
        <v>-29.353999999999999</v>
      </c>
      <c r="Q15" s="168">
        <v>28.1111</v>
      </c>
      <c r="R15" s="166">
        <v>16.559999999999999</v>
      </c>
      <c r="S15" s="166">
        <v>-26.4</v>
      </c>
      <c r="T15" s="166">
        <v>15.154400000000001</v>
      </c>
      <c r="U15" s="166">
        <v>50.096800000000002</v>
      </c>
      <c r="V15" s="167"/>
      <c r="W15" s="166">
        <v>11.793200000000001</v>
      </c>
      <c r="X15" s="166">
        <v>19.148399999999999</v>
      </c>
      <c r="Y15" s="166">
        <v>2.4899</v>
      </c>
      <c r="Z15" s="166">
        <v>4.5795000000000003</v>
      </c>
      <c r="AA15" s="166">
        <v>5.8174999999999999</v>
      </c>
      <c r="AB15" s="167"/>
      <c r="AC15" s="167"/>
      <c r="AD15" s="166">
        <v>-65.25</v>
      </c>
      <c r="AE15" s="166">
        <v>-65.52</v>
      </c>
      <c r="AF15" s="167"/>
      <c r="AG15" s="166">
        <v>35.520000000000003</v>
      </c>
      <c r="AH15" s="166">
        <v>28.6</v>
      </c>
      <c r="AI15" s="166">
        <v>17.818999999999999</v>
      </c>
      <c r="AJ15" s="166">
        <v>0.23799999999999999</v>
      </c>
      <c r="AK15" s="166">
        <v>-67.69</v>
      </c>
      <c r="AL15" s="168">
        <v>-67.05</v>
      </c>
      <c r="AM15" s="166">
        <v>-36.82</v>
      </c>
      <c r="AN15" s="166">
        <v>69.13</v>
      </c>
      <c r="AO15" s="166">
        <v>68.55</v>
      </c>
      <c r="AP15" s="167"/>
      <c r="AQ15" s="166">
        <v>2.6959</v>
      </c>
      <c r="AR15" s="166">
        <v>52.966299999999997</v>
      </c>
      <c r="AS15" s="166">
        <v>54.395200000000003</v>
      </c>
      <c r="AT15" s="166">
        <v>42.949100000000001</v>
      </c>
      <c r="AU15" s="166">
        <v>-62.110599999999998</v>
      </c>
      <c r="AV15" s="166">
        <v>-61.762599999999999</v>
      </c>
      <c r="AW15" s="166">
        <v>31.385200000000001</v>
      </c>
      <c r="AX15" s="166">
        <v>28.86</v>
      </c>
      <c r="AY15" s="166">
        <v>66.364699999999999</v>
      </c>
      <c r="AZ15" s="166">
        <v>68.069400000000002</v>
      </c>
      <c r="BA15" s="166">
        <v>20.690799999999999</v>
      </c>
      <c r="BB15" s="166">
        <v>22.954899999999999</v>
      </c>
      <c r="BC15" s="166">
        <v>-411.94029999999998</v>
      </c>
      <c r="BD15" s="166">
        <v>-14.4057</v>
      </c>
      <c r="BE15" s="166">
        <v>-12.4</v>
      </c>
      <c r="BF15" s="166">
        <v>-12.3</v>
      </c>
      <c r="BG15" s="166">
        <v>68.582099999999997</v>
      </c>
      <c r="BH15" s="166">
        <v>66.688900000000004</v>
      </c>
      <c r="BI15" s="166">
        <v>-3.3774999999999999</v>
      </c>
      <c r="BJ15" s="167"/>
      <c r="BK15" s="166">
        <v>-64.993300000000005</v>
      </c>
      <c r="BL15" s="166">
        <v>3.1848000000000001</v>
      </c>
      <c r="BM15" s="166">
        <v>7.7751000000000001</v>
      </c>
      <c r="BN15" s="166">
        <v>5.2066999999999997</v>
      </c>
      <c r="BO15" s="166">
        <v>454.96980000000002</v>
      </c>
      <c r="BP15" s="166">
        <v>59.785699999999999</v>
      </c>
      <c r="BQ15" s="166">
        <v>59.541600000000003</v>
      </c>
      <c r="BR15" s="166">
        <v>-473.08850000000001</v>
      </c>
      <c r="BS15" s="166">
        <v>332.12310000000002</v>
      </c>
      <c r="BT15" s="167"/>
      <c r="BU15" s="166">
        <v>-12.567600000000001</v>
      </c>
      <c r="BV15" s="166">
        <v>14.308199999999999</v>
      </c>
      <c r="BW15" s="166">
        <v>72.611199999999997</v>
      </c>
      <c r="BX15" s="166">
        <v>23.86</v>
      </c>
      <c r="BY15" s="166">
        <v>25.67</v>
      </c>
      <c r="BZ15" s="166">
        <v>48.38</v>
      </c>
      <c r="CA15" s="166">
        <v>66.260000000000005</v>
      </c>
      <c r="CB15" s="166">
        <v>-25.0458</v>
      </c>
      <c r="CC15" s="166">
        <v>-24.777899999999999</v>
      </c>
      <c r="CD15" s="166">
        <v>88.399600000000007</v>
      </c>
      <c r="CE15" s="166">
        <v>88.787700000000001</v>
      </c>
      <c r="CF15" s="166">
        <v>29.599</v>
      </c>
      <c r="CG15" s="166">
        <v>-50.987499999999997</v>
      </c>
      <c r="CH15" s="166">
        <v>-51.008200000000002</v>
      </c>
      <c r="CI15" s="166">
        <v>3.8403</v>
      </c>
      <c r="CJ15" s="166">
        <v>0</v>
      </c>
      <c r="CK15" s="167"/>
      <c r="CL15" s="167"/>
      <c r="CM15" s="166">
        <v>89.8</v>
      </c>
      <c r="CN15" s="166">
        <v>80.599999999999994</v>
      </c>
      <c r="CO15" s="166">
        <v>-13.48</v>
      </c>
      <c r="CP15" s="166">
        <v>71.557400000000001</v>
      </c>
      <c r="CQ15" s="166">
        <v>70.068799999999996</v>
      </c>
      <c r="CR15" s="166">
        <v>68.627600000000001</v>
      </c>
      <c r="CS15" s="166">
        <v>-13.8216</v>
      </c>
      <c r="CT15" s="166">
        <v>-13.0449</v>
      </c>
      <c r="CU15" s="166">
        <v>1</v>
      </c>
      <c r="CV15" s="166">
        <v>-28.914400000000001</v>
      </c>
      <c r="CW15" s="166">
        <v>4.8739999999999997</v>
      </c>
      <c r="CX15" s="166">
        <v>12.066000000000001</v>
      </c>
      <c r="CY15" s="166">
        <v>45.57</v>
      </c>
      <c r="CZ15" s="166">
        <v>25.33</v>
      </c>
      <c r="DA15" s="166">
        <v>32.819800000000001</v>
      </c>
      <c r="DB15" s="166">
        <v>30.766300000000001</v>
      </c>
      <c r="DC15" s="166">
        <v>-25.750599999999999</v>
      </c>
      <c r="DD15" s="167"/>
      <c r="DE15" s="167"/>
      <c r="DF15" s="166">
        <v>0</v>
      </c>
      <c r="DG15" s="166">
        <v>-90.5428</v>
      </c>
      <c r="DH15" s="167"/>
      <c r="DI15" s="167"/>
      <c r="DJ15" s="166">
        <v>-67.2</v>
      </c>
      <c r="DK15" s="166">
        <v>-67.8</v>
      </c>
      <c r="DL15" s="166">
        <v>19.3277</v>
      </c>
      <c r="DM15" s="166">
        <v>32.1</v>
      </c>
      <c r="DN15" s="166">
        <v>34.18</v>
      </c>
      <c r="DO15" s="166">
        <v>44.18</v>
      </c>
      <c r="DP15" s="166">
        <v>32.22</v>
      </c>
      <c r="DQ15" s="166">
        <v>-3.79</v>
      </c>
      <c r="DR15" s="166">
        <v>60.790999999999997</v>
      </c>
      <c r="DS15" s="166">
        <v>88.4</v>
      </c>
      <c r="DT15" s="166">
        <v>-31.56</v>
      </c>
      <c r="DU15" s="166">
        <v>-31.83</v>
      </c>
      <c r="DV15" s="166">
        <v>97.69</v>
      </c>
      <c r="DW15" s="166">
        <v>49.48</v>
      </c>
      <c r="DX15" s="166">
        <v>88.0364</v>
      </c>
      <c r="DY15" s="166">
        <v>86.709100000000007</v>
      </c>
      <c r="DZ15" s="166">
        <v>-5.1925999999999997</v>
      </c>
      <c r="EA15" s="166">
        <v>-5.5454999999999997</v>
      </c>
      <c r="EB15" s="166">
        <v>175.97720000000001</v>
      </c>
      <c r="EC15" s="166">
        <v>134.50299999999999</v>
      </c>
      <c r="ED15" s="166">
        <v>126.9083</v>
      </c>
      <c r="EE15" s="166">
        <v>129.5823</v>
      </c>
      <c r="EF15" s="166">
        <v>141.3202</v>
      </c>
      <c r="EG15" s="166">
        <v>126.34180000000001</v>
      </c>
      <c r="EH15" s="166">
        <v>-24.872</v>
      </c>
      <c r="EI15" s="166">
        <v>484.94029999999998</v>
      </c>
      <c r="EJ15" s="166">
        <v>516.6857</v>
      </c>
      <c r="EK15" s="167"/>
      <c r="EL15" s="166">
        <v>-28.7224</v>
      </c>
      <c r="EM15" s="166">
        <v>-26.002700000000001</v>
      </c>
      <c r="EN15" s="167"/>
      <c r="EO15" s="166">
        <v>48.017200000000003</v>
      </c>
      <c r="EP15" s="166">
        <v>42.340600000000002</v>
      </c>
      <c r="EQ15" s="166">
        <v>165.94800000000001</v>
      </c>
      <c r="ER15" s="166">
        <v>-84.5411</v>
      </c>
      <c r="ES15" s="166">
        <v>-85.603700000000003</v>
      </c>
      <c r="ET15" s="166">
        <v>-86.019300000000001</v>
      </c>
      <c r="EU15" s="166">
        <v>14.1</v>
      </c>
      <c r="EV15" s="166">
        <v>-18.22</v>
      </c>
      <c r="EW15" s="166">
        <v>93.1</v>
      </c>
      <c r="EX15" s="166">
        <v>10.288500000000001</v>
      </c>
      <c r="EY15" s="166">
        <v>47.648499999999999</v>
      </c>
      <c r="EZ15" s="166">
        <v>-38.415500000000002</v>
      </c>
      <c r="FA15" s="166">
        <v>-37.478900000000003</v>
      </c>
      <c r="FB15" s="166">
        <v>11.5687</v>
      </c>
      <c r="FC15" s="166">
        <v>-123.04559999999999</v>
      </c>
      <c r="FD15" s="166">
        <v>95.232500000000002</v>
      </c>
      <c r="FE15" s="166">
        <v>18.702000000000002</v>
      </c>
      <c r="FF15" s="166">
        <v>24.116499999999998</v>
      </c>
      <c r="FG15" s="167"/>
      <c r="FH15" s="166">
        <v>40.442100000000003</v>
      </c>
      <c r="FI15" s="166">
        <v>41.525500000000001</v>
      </c>
      <c r="FJ15" s="166">
        <v>40.482300000000002</v>
      </c>
      <c r="FK15" s="166">
        <v>24.113700000000001</v>
      </c>
      <c r="FL15" s="166">
        <v>24.7835</v>
      </c>
      <c r="FM15" s="166">
        <v>-44.878300000000003</v>
      </c>
      <c r="FN15" s="166">
        <v>7.9051</v>
      </c>
      <c r="FO15" s="166">
        <v>7.0582000000000003</v>
      </c>
      <c r="FP15" s="166">
        <v>-55.164400000000001</v>
      </c>
      <c r="FQ15" s="166">
        <v>-50.165599999999998</v>
      </c>
      <c r="FR15" s="166">
        <v>6.9965999999999999</v>
      </c>
      <c r="FS15" s="166">
        <v>-36.29</v>
      </c>
      <c r="FT15" s="167"/>
      <c r="FU15" s="166">
        <v>0.76329999999999998</v>
      </c>
      <c r="FV15" s="166">
        <v>1.38</v>
      </c>
      <c r="FW15" s="166">
        <v>19.04</v>
      </c>
      <c r="FX15" s="166">
        <v>0</v>
      </c>
      <c r="FY15" s="167"/>
      <c r="FZ15" s="166">
        <v>-10.967000000000001</v>
      </c>
      <c r="GA15" s="166">
        <v>4.0650000000000004</v>
      </c>
      <c r="GB15" s="167"/>
      <c r="GC15" s="166">
        <v>31.87</v>
      </c>
      <c r="GD15" s="166">
        <v>51.862499999999997</v>
      </c>
      <c r="GE15" s="166">
        <v>54.442300000000003</v>
      </c>
      <c r="GF15" s="166">
        <v>14.54</v>
      </c>
      <c r="GG15" s="166">
        <v>73.721000000000004</v>
      </c>
      <c r="GH15" s="166">
        <v>29.1</v>
      </c>
      <c r="GI15" s="166">
        <v>-15.9421</v>
      </c>
      <c r="GJ15" s="166">
        <v>-5.0712999999999999</v>
      </c>
      <c r="GK15" s="166">
        <v>-5.3254000000000001</v>
      </c>
      <c r="GL15" s="166">
        <v>1.3167</v>
      </c>
      <c r="GM15" s="167"/>
      <c r="GN15" s="167"/>
      <c r="GO15" s="166">
        <v>-16.3766</v>
      </c>
      <c r="GP15" s="166">
        <v>-22.969000000000001</v>
      </c>
      <c r="GQ15" s="166">
        <v>12.273999999999999</v>
      </c>
      <c r="GR15" s="166">
        <v>23.6921</v>
      </c>
      <c r="GS15" s="166">
        <v>12.121600000000001</v>
      </c>
      <c r="GT15" s="166">
        <v>12.7485</v>
      </c>
      <c r="GU15" s="166">
        <v>-100.95180000000001</v>
      </c>
      <c r="GV15" s="166">
        <v>-15.9504</v>
      </c>
      <c r="GW15" s="166">
        <v>34.4499</v>
      </c>
      <c r="GX15" s="166">
        <v>-45.686500000000002</v>
      </c>
      <c r="GY15" s="166">
        <v>12.716100000000001</v>
      </c>
      <c r="GZ15" s="166">
        <v>6.0366</v>
      </c>
      <c r="HA15" s="166">
        <v>5.7495000000000003</v>
      </c>
      <c r="HB15" s="166">
        <v>14.103899999999999</v>
      </c>
      <c r="HC15" s="166">
        <v>159.64349999999999</v>
      </c>
      <c r="HD15" s="166">
        <v>158.78720000000001</v>
      </c>
      <c r="HE15" s="166">
        <v>186.1</v>
      </c>
      <c r="HF15" s="166">
        <v>-186.0975</v>
      </c>
      <c r="HG15" s="166">
        <v>-471.00799999999998</v>
      </c>
      <c r="HH15" s="166">
        <v>472.75790000000001</v>
      </c>
      <c r="HI15" s="166">
        <v>628.14850000000001</v>
      </c>
      <c r="HJ15" s="166">
        <v>-152.8297</v>
      </c>
      <c r="HK15" s="166">
        <v>-149.79130000000001</v>
      </c>
      <c r="HL15" s="166">
        <v>-61.031999999999996</v>
      </c>
      <c r="HM15" s="166">
        <v>-53.864699999999999</v>
      </c>
      <c r="HN15" s="166">
        <v>75.573400000000007</v>
      </c>
      <c r="HO15" s="166">
        <v>75.024500000000003</v>
      </c>
      <c r="HP15" s="167"/>
      <c r="HQ15" s="167"/>
      <c r="HR15" s="166">
        <v>31.984400000000001</v>
      </c>
      <c r="HS15" s="166">
        <v>31.1934</v>
      </c>
      <c r="HT15" s="166">
        <v>-73.128799999999998</v>
      </c>
      <c r="HU15" s="166">
        <v>-72.086200000000005</v>
      </c>
      <c r="HV15" s="166">
        <v>87.16</v>
      </c>
      <c r="HW15" s="166">
        <v>86.24</v>
      </c>
      <c r="HX15" s="166">
        <v>43.7</v>
      </c>
      <c r="HY15" s="166">
        <v>44</v>
      </c>
      <c r="HZ15" s="166">
        <v>20.592500000000001</v>
      </c>
      <c r="IA15" s="166">
        <v>32.32</v>
      </c>
      <c r="IB15" s="166">
        <v>-385.86989999999997</v>
      </c>
      <c r="IC15" s="166">
        <v>99.616100000000003</v>
      </c>
      <c r="ID15" s="166">
        <v>98.370999999999995</v>
      </c>
      <c r="IE15" s="166">
        <v>11.6</v>
      </c>
      <c r="IF15" s="166">
        <v>6.7</v>
      </c>
      <c r="IG15" s="166">
        <v>-31.7</v>
      </c>
      <c r="IH15" s="166">
        <v>-36.200000000000003</v>
      </c>
      <c r="II15" s="166">
        <v>1.3983000000000001</v>
      </c>
      <c r="IJ15" s="167"/>
      <c r="IK15" s="166">
        <v>-618.37300000000005</v>
      </c>
      <c r="IL15" s="166">
        <v>-479.45049999999998</v>
      </c>
      <c r="IM15" s="166">
        <v>489.70659999999998</v>
      </c>
      <c r="IN15" s="166">
        <v>395.64080000000001</v>
      </c>
      <c r="IO15" s="166">
        <v>-70.448599999999999</v>
      </c>
      <c r="IP15" s="166">
        <v>-387.64870000000002</v>
      </c>
      <c r="IQ15" s="166">
        <v>391.4751</v>
      </c>
      <c r="IR15" s="166">
        <v>-172.298</v>
      </c>
      <c r="IS15" s="166">
        <v>-237.19730000000001</v>
      </c>
      <c r="IT15" s="166">
        <v>-387.47680000000003</v>
      </c>
      <c r="IU15" s="166">
        <v>101.7655</v>
      </c>
      <c r="IV15" s="166">
        <v>101.2608</v>
      </c>
      <c r="IW15" s="166">
        <v>175.3475</v>
      </c>
      <c r="IX15" s="166">
        <v>-478.7346</v>
      </c>
      <c r="IY15" s="166">
        <v>248.9151</v>
      </c>
      <c r="IZ15" s="166">
        <v>-243.00800000000001</v>
      </c>
      <c r="JA15" s="166">
        <v>241.3021</v>
      </c>
      <c r="JB15" s="166">
        <v>-10.4138</v>
      </c>
      <c r="JC15" s="166">
        <v>39.107100000000003</v>
      </c>
      <c r="JD15" s="166">
        <v>16.64</v>
      </c>
      <c r="JE15" s="166">
        <v>1.708</v>
      </c>
      <c r="JF15" s="166">
        <v>1.7010000000000001</v>
      </c>
      <c r="JG15" s="166">
        <v>-16.16</v>
      </c>
      <c r="JH15" s="166">
        <v>-6.4</v>
      </c>
      <c r="JI15" s="167"/>
      <c r="JJ15" s="166">
        <v>7.0909000000000004</v>
      </c>
      <c r="JK15" s="166">
        <v>-40.285299999999999</v>
      </c>
      <c r="JL15" s="166">
        <v>-18.4283</v>
      </c>
      <c r="JM15" s="166">
        <v>22.2</v>
      </c>
      <c r="JN15" s="166">
        <v>52.256999999999998</v>
      </c>
      <c r="JO15" s="166">
        <v>50.902000000000001</v>
      </c>
      <c r="JP15" s="166">
        <v>8.3355999999999995</v>
      </c>
      <c r="JQ15" s="167"/>
      <c r="JR15" s="166">
        <v>49.9176</v>
      </c>
      <c r="JS15" s="166">
        <v>49.534199999999998</v>
      </c>
      <c r="JT15" s="166">
        <v>50.922699999999999</v>
      </c>
      <c r="JU15" s="167"/>
      <c r="JV15" s="166">
        <v>-5.3</v>
      </c>
      <c r="JW15" s="166">
        <v>25.291</v>
      </c>
      <c r="JX15" s="166">
        <v>5.57</v>
      </c>
      <c r="JY15" s="167"/>
      <c r="JZ15" s="166">
        <v>-52.189300000000003</v>
      </c>
      <c r="KA15" s="166">
        <v>81.554299999999998</v>
      </c>
      <c r="KB15" s="166">
        <v>61.957799999999999</v>
      </c>
      <c r="KC15" s="166">
        <v>-50.646700000000003</v>
      </c>
      <c r="KD15" s="166">
        <v>-79.3446</v>
      </c>
      <c r="KE15" s="166">
        <v>52.998600000000003</v>
      </c>
      <c r="KF15" s="166">
        <v>27.1511</v>
      </c>
      <c r="KG15" s="166">
        <v>-8.5</v>
      </c>
      <c r="KH15" s="166">
        <v>9.1</v>
      </c>
      <c r="KI15" s="166">
        <v>156.83410000000001</v>
      </c>
      <c r="KJ15" s="166">
        <v>-48.256799999999998</v>
      </c>
    </row>
    <row r="16" spans="1:296" ht="18" customHeight="1" x14ac:dyDescent="0.3">
      <c r="A16" s="162" t="s">
        <v>67</v>
      </c>
      <c r="B16" s="162" t="s">
        <v>815</v>
      </c>
      <c r="C16" s="169">
        <v>0</v>
      </c>
      <c r="D16" s="170"/>
      <c r="E16" s="169">
        <v>14.5893</v>
      </c>
      <c r="F16" s="169">
        <v>-21.314900000000002</v>
      </c>
      <c r="G16" s="169">
        <v>8.3699999999999992</v>
      </c>
      <c r="H16" s="169">
        <v>32.657499999999999</v>
      </c>
      <c r="I16" s="170"/>
      <c r="J16" s="169">
        <v>32.465499999999999</v>
      </c>
      <c r="K16" s="169">
        <v>-90.558400000000006</v>
      </c>
      <c r="L16" s="169">
        <v>43.831699999999998</v>
      </c>
      <c r="M16" s="169">
        <v>22.237300000000001</v>
      </c>
      <c r="N16" s="169">
        <v>21.774899999999999</v>
      </c>
      <c r="O16" s="169">
        <v>-33.299999999999997</v>
      </c>
      <c r="P16" s="169">
        <v>-29.271000000000001</v>
      </c>
      <c r="Q16" s="171">
        <v>28.6815</v>
      </c>
      <c r="R16" s="169">
        <v>16.559999999999999</v>
      </c>
      <c r="S16" s="171">
        <v>-26.4</v>
      </c>
      <c r="T16" s="169">
        <v>14.9673</v>
      </c>
      <c r="U16" s="169">
        <v>52.115600000000001</v>
      </c>
      <c r="V16" s="170"/>
      <c r="W16" s="169">
        <v>12.8269</v>
      </c>
      <c r="X16" s="169">
        <v>21.081499999999998</v>
      </c>
      <c r="Y16" s="169">
        <v>4.3266999999999998</v>
      </c>
      <c r="Z16" s="169">
        <v>5.3076999999999996</v>
      </c>
      <c r="AA16" s="169">
        <v>5.7257999999999996</v>
      </c>
      <c r="AB16" s="170"/>
      <c r="AC16" s="170"/>
      <c r="AD16" s="169">
        <v>-64.05</v>
      </c>
      <c r="AE16" s="169">
        <v>-64.28</v>
      </c>
      <c r="AF16" s="170"/>
      <c r="AG16" s="169">
        <v>33.299999999999997</v>
      </c>
      <c r="AH16" s="169">
        <v>28.6</v>
      </c>
      <c r="AI16" s="169">
        <v>17.372</v>
      </c>
      <c r="AJ16" s="169">
        <v>0.24099999999999999</v>
      </c>
      <c r="AK16" s="169">
        <v>-66.25</v>
      </c>
      <c r="AL16" s="171">
        <v>-65.73</v>
      </c>
      <c r="AM16" s="169">
        <v>-38.18</v>
      </c>
      <c r="AN16" s="169">
        <v>67</v>
      </c>
      <c r="AO16" s="169">
        <v>67.23</v>
      </c>
      <c r="AP16" s="170"/>
      <c r="AQ16" s="169">
        <v>2.9426000000000001</v>
      </c>
      <c r="AR16" s="169">
        <v>52.932600000000001</v>
      </c>
      <c r="AS16" s="169">
        <v>54.362299999999998</v>
      </c>
      <c r="AT16" s="169">
        <v>42.241100000000003</v>
      </c>
      <c r="AU16" s="169">
        <v>-57.210700000000003</v>
      </c>
      <c r="AV16" s="169">
        <v>-57.207299999999996</v>
      </c>
      <c r="AW16" s="169">
        <v>31.667300000000001</v>
      </c>
      <c r="AX16" s="169">
        <v>28.207100000000001</v>
      </c>
      <c r="AY16" s="169">
        <v>65.368600000000001</v>
      </c>
      <c r="AZ16" s="169">
        <v>66.881200000000007</v>
      </c>
      <c r="BA16" s="169">
        <v>22.0259</v>
      </c>
      <c r="BB16" s="169">
        <v>14.3843</v>
      </c>
      <c r="BC16" s="169">
        <v>-423.17380000000003</v>
      </c>
      <c r="BD16" s="169">
        <v>-14.4979</v>
      </c>
      <c r="BE16" s="169">
        <v>-12.5</v>
      </c>
      <c r="BF16" s="169">
        <v>-12.3</v>
      </c>
      <c r="BG16" s="169">
        <v>62.459699999999998</v>
      </c>
      <c r="BH16" s="169">
        <v>61.2044</v>
      </c>
      <c r="BI16" s="169">
        <v>-3.5710999999999999</v>
      </c>
      <c r="BJ16" s="170"/>
      <c r="BK16" s="169">
        <v>-57.557200000000002</v>
      </c>
      <c r="BL16" s="169">
        <v>2.2038000000000002</v>
      </c>
      <c r="BM16" s="169">
        <v>7.7609000000000004</v>
      </c>
      <c r="BN16" s="169">
        <v>5.1704999999999997</v>
      </c>
      <c r="BO16" s="169">
        <v>464.97989999999999</v>
      </c>
      <c r="BP16" s="169">
        <v>70.253600000000006</v>
      </c>
      <c r="BQ16" s="169">
        <v>70.406199999999998</v>
      </c>
      <c r="BR16" s="169">
        <v>-484.58370000000002</v>
      </c>
      <c r="BS16" s="169">
        <v>350.98500000000001</v>
      </c>
      <c r="BT16" s="170"/>
      <c r="BU16" s="169">
        <v>-8.9338999999999995</v>
      </c>
      <c r="BV16" s="169">
        <v>10.298999999999999</v>
      </c>
      <c r="BW16" s="169">
        <v>72.730999999999995</v>
      </c>
      <c r="BX16" s="169">
        <v>24.14</v>
      </c>
      <c r="BY16" s="169">
        <v>26.09</v>
      </c>
      <c r="BZ16" s="169">
        <v>48.4</v>
      </c>
      <c r="CA16" s="169">
        <v>66.44</v>
      </c>
      <c r="CB16" s="169">
        <v>-26.787199999999999</v>
      </c>
      <c r="CC16" s="169">
        <v>-26.921199999999999</v>
      </c>
      <c r="CD16" s="169">
        <v>88.850899999999996</v>
      </c>
      <c r="CE16" s="169">
        <v>89.632199999999997</v>
      </c>
      <c r="CF16" s="169">
        <v>31.264199999999999</v>
      </c>
      <c r="CG16" s="169">
        <v>-54.598399999999998</v>
      </c>
      <c r="CH16" s="169">
        <v>-54.188000000000002</v>
      </c>
      <c r="CI16" s="169">
        <v>1.0952</v>
      </c>
      <c r="CJ16" s="169">
        <v>0</v>
      </c>
      <c r="CK16" s="170"/>
      <c r="CL16" s="170"/>
      <c r="CM16" s="169">
        <v>90.4</v>
      </c>
      <c r="CN16" s="169">
        <v>81.900000000000006</v>
      </c>
      <c r="CO16" s="169">
        <v>-13.44</v>
      </c>
      <c r="CP16" s="169">
        <v>69.029499999999999</v>
      </c>
      <c r="CQ16" s="169">
        <v>68.292199999999994</v>
      </c>
      <c r="CR16" s="169">
        <v>66.599000000000004</v>
      </c>
      <c r="CS16" s="169">
        <v>-17.758500000000002</v>
      </c>
      <c r="CT16" s="169">
        <v>-17.567399999999999</v>
      </c>
      <c r="CU16" s="169">
        <v>20.475999999999999</v>
      </c>
      <c r="CV16" s="169">
        <v>-39.364199999999997</v>
      </c>
      <c r="CW16" s="169">
        <v>19.919</v>
      </c>
      <c r="CX16" s="169">
        <v>12.2567</v>
      </c>
      <c r="CY16" s="169">
        <v>44.42</v>
      </c>
      <c r="CZ16" s="169">
        <v>24.79</v>
      </c>
      <c r="DA16" s="169">
        <v>32.351100000000002</v>
      </c>
      <c r="DB16" s="169">
        <v>30.766300000000001</v>
      </c>
      <c r="DC16" s="169">
        <v>-25.686599999999999</v>
      </c>
      <c r="DD16" s="170"/>
      <c r="DE16" s="170"/>
      <c r="DF16" s="169">
        <v>0</v>
      </c>
      <c r="DG16" s="169">
        <v>-89.537800000000004</v>
      </c>
      <c r="DH16" s="170"/>
      <c r="DI16" s="170"/>
      <c r="DJ16" s="169">
        <v>-67.3</v>
      </c>
      <c r="DK16" s="171">
        <v>-67.8</v>
      </c>
      <c r="DL16" s="169">
        <v>19.541899999999998</v>
      </c>
      <c r="DM16" s="169">
        <v>32.200000000000003</v>
      </c>
      <c r="DN16" s="169">
        <v>34.54</v>
      </c>
      <c r="DO16" s="171">
        <v>44.44</v>
      </c>
      <c r="DP16" s="171">
        <v>32.384999999999998</v>
      </c>
      <c r="DQ16" s="169">
        <v>-3.86</v>
      </c>
      <c r="DR16" s="169">
        <v>63.100499999999997</v>
      </c>
      <c r="DS16" s="169">
        <v>90.570099999999996</v>
      </c>
      <c r="DT16" s="169">
        <v>-31.18</v>
      </c>
      <c r="DU16" s="169">
        <v>-31.28</v>
      </c>
      <c r="DV16" s="169">
        <v>96.8</v>
      </c>
      <c r="DW16" s="169">
        <v>49.22</v>
      </c>
      <c r="DX16" s="169">
        <v>90.6</v>
      </c>
      <c r="DY16" s="169">
        <v>89.018199999999993</v>
      </c>
      <c r="DZ16" s="169">
        <v>-5.1623000000000001</v>
      </c>
      <c r="EA16" s="169">
        <v>-5.7182000000000004</v>
      </c>
      <c r="EB16" s="169">
        <v>176.07759999999999</v>
      </c>
      <c r="EC16" s="169">
        <v>133.6026</v>
      </c>
      <c r="ED16" s="169">
        <v>128.98089999999999</v>
      </c>
      <c r="EE16" s="169">
        <v>130.93799999999999</v>
      </c>
      <c r="EF16" s="169">
        <v>144.99189999999999</v>
      </c>
      <c r="EG16" s="169">
        <v>127.1018</v>
      </c>
      <c r="EH16" s="169">
        <v>-25.905999999999999</v>
      </c>
      <c r="EI16" s="169">
        <v>496.10019999999997</v>
      </c>
      <c r="EJ16" s="169">
        <v>508.51319999999998</v>
      </c>
      <c r="EK16" s="170"/>
      <c r="EL16" s="169">
        <v>-27.991700000000002</v>
      </c>
      <c r="EM16" s="169">
        <v>-26.279199999999999</v>
      </c>
      <c r="EN16" s="170"/>
      <c r="EO16" s="169">
        <v>47.204799999999999</v>
      </c>
      <c r="EP16" s="169">
        <v>43.119599999999998</v>
      </c>
      <c r="EQ16" s="169">
        <v>159.804</v>
      </c>
      <c r="ER16" s="169">
        <v>-85.1648</v>
      </c>
      <c r="ES16" s="169">
        <v>-85.180099999999996</v>
      </c>
      <c r="ET16" s="169">
        <v>-84.440600000000003</v>
      </c>
      <c r="EU16" s="169">
        <v>0</v>
      </c>
      <c r="EV16" s="169">
        <v>-11.37</v>
      </c>
      <c r="EW16" s="169">
        <v>119.7</v>
      </c>
      <c r="EX16" s="169">
        <v>10.3309</v>
      </c>
      <c r="EY16" s="169">
        <v>47.133499999999998</v>
      </c>
      <c r="EZ16" s="169">
        <v>-38.8444</v>
      </c>
      <c r="FA16" s="169">
        <v>-37.872599999999998</v>
      </c>
      <c r="FB16" s="169">
        <v>10.953200000000001</v>
      </c>
      <c r="FC16" s="169">
        <v>-122.3061</v>
      </c>
      <c r="FD16" s="169">
        <v>85.927000000000007</v>
      </c>
      <c r="FE16" s="169">
        <v>19.8795</v>
      </c>
      <c r="FF16" s="169">
        <v>25.121500000000001</v>
      </c>
      <c r="FG16" s="170"/>
      <c r="FH16" s="169">
        <v>41.616199999999999</v>
      </c>
      <c r="FI16" s="169">
        <v>41.539099999999998</v>
      </c>
      <c r="FJ16" s="169">
        <v>40.330399999999997</v>
      </c>
      <c r="FK16" s="169">
        <v>26.458100000000002</v>
      </c>
      <c r="FL16" s="169">
        <v>25.9557</v>
      </c>
      <c r="FM16" s="169">
        <v>-39.352200000000003</v>
      </c>
      <c r="FN16" s="169">
        <v>7.6265000000000001</v>
      </c>
      <c r="FO16" s="169">
        <v>7.4923999999999999</v>
      </c>
      <c r="FP16" s="169">
        <v>-49.697499999999998</v>
      </c>
      <c r="FQ16" s="169">
        <v>-45.991300000000003</v>
      </c>
      <c r="FR16" s="169">
        <v>8.7324000000000002</v>
      </c>
      <c r="FS16" s="169">
        <v>-35.380000000000003</v>
      </c>
      <c r="FT16" s="170"/>
      <c r="FU16" s="169">
        <v>0.751</v>
      </c>
      <c r="FV16" s="169">
        <v>1.34</v>
      </c>
      <c r="FW16" s="169">
        <v>19.05</v>
      </c>
      <c r="FX16" s="169">
        <v>0</v>
      </c>
      <c r="FY16" s="170"/>
      <c r="FZ16" s="169">
        <v>-10.849</v>
      </c>
      <c r="GA16" s="169">
        <v>3.94</v>
      </c>
      <c r="GB16" s="170"/>
      <c r="GC16" s="169">
        <v>32.659999999999997</v>
      </c>
      <c r="GD16" s="169">
        <v>46.752499999999998</v>
      </c>
      <c r="GE16" s="169">
        <v>50.375300000000003</v>
      </c>
      <c r="GF16" s="169">
        <v>14.59</v>
      </c>
      <c r="GG16" s="169">
        <v>74.768500000000003</v>
      </c>
      <c r="GH16" s="169">
        <v>29</v>
      </c>
      <c r="GI16" s="169">
        <v>-15.6203</v>
      </c>
      <c r="GJ16" s="169">
        <v>-4.9490999999999996</v>
      </c>
      <c r="GK16" s="169">
        <v>-5.4466000000000001</v>
      </c>
      <c r="GL16" s="169">
        <v>1.3044</v>
      </c>
      <c r="GM16" s="170"/>
      <c r="GN16" s="170"/>
      <c r="GO16" s="169">
        <v>-16.122699999999998</v>
      </c>
      <c r="GP16" s="169">
        <v>-22.833300000000001</v>
      </c>
      <c r="GQ16" s="169">
        <v>13.4763</v>
      </c>
      <c r="GR16" s="169">
        <v>23.7469</v>
      </c>
      <c r="GS16" s="169">
        <v>13.544499999999999</v>
      </c>
      <c r="GT16" s="169">
        <v>12.941700000000001</v>
      </c>
      <c r="GU16" s="169">
        <v>-102.5406</v>
      </c>
      <c r="GV16" s="169">
        <v>-15.8597</v>
      </c>
      <c r="GW16" s="169">
        <v>34.562399999999997</v>
      </c>
      <c r="GX16" s="169">
        <v>-45.4895</v>
      </c>
      <c r="GY16" s="169">
        <v>12.039899999999999</v>
      </c>
      <c r="GZ16" s="169">
        <v>6.1733000000000002</v>
      </c>
      <c r="HA16" s="169">
        <v>5.8761000000000001</v>
      </c>
      <c r="HB16" s="169">
        <v>13.2135</v>
      </c>
      <c r="HC16" s="169">
        <v>161.79839999999999</v>
      </c>
      <c r="HD16" s="169">
        <v>159.3553</v>
      </c>
      <c r="HE16" s="169">
        <v>188.6</v>
      </c>
      <c r="HF16" s="169">
        <v>-190.67070000000001</v>
      </c>
      <c r="HG16" s="169">
        <v>-469.77800000000002</v>
      </c>
      <c r="HH16" s="169">
        <v>472.69</v>
      </c>
      <c r="HI16" s="169">
        <v>627.46069999999997</v>
      </c>
      <c r="HJ16" s="169">
        <v>-152.9742</v>
      </c>
      <c r="HK16" s="169">
        <v>-150.96629999999999</v>
      </c>
      <c r="HL16" s="169">
        <v>-60.699599999999997</v>
      </c>
      <c r="HM16" s="169">
        <v>-52.576000000000001</v>
      </c>
      <c r="HN16" s="169">
        <v>78.164699999999996</v>
      </c>
      <c r="HO16" s="169">
        <v>76.842299999999994</v>
      </c>
      <c r="HP16" s="170"/>
      <c r="HQ16" s="170"/>
      <c r="HR16" s="169">
        <v>34.588200000000001</v>
      </c>
      <c r="HS16" s="169">
        <v>34.456400000000002</v>
      </c>
      <c r="HT16" s="169">
        <v>-73.502399999999994</v>
      </c>
      <c r="HU16" s="169">
        <v>-72.356499999999997</v>
      </c>
      <c r="HV16" s="169">
        <v>85.15</v>
      </c>
      <c r="HW16" s="169">
        <v>84.39</v>
      </c>
      <c r="HX16" s="169">
        <v>43.6</v>
      </c>
      <c r="HY16" s="169">
        <v>44.3</v>
      </c>
      <c r="HZ16" s="169">
        <v>21.124400000000001</v>
      </c>
      <c r="IA16" s="169">
        <v>33.04</v>
      </c>
      <c r="IB16" s="169">
        <v>-389.07600000000002</v>
      </c>
      <c r="IC16" s="169">
        <v>103.3967</v>
      </c>
      <c r="ID16" s="169">
        <v>102.2119</v>
      </c>
      <c r="IE16" s="169">
        <v>11.6</v>
      </c>
      <c r="IF16" s="169">
        <v>5.0999999999999996</v>
      </c>
      <c r="IG16" s="169">
        <v>-32.700000000000003</v>
      </c>
      <c r="IH16" s="169">
        <v>-38.299999999999997</v>
      </c>
      <c r="II16" s="170"/>
      <c r="IJ16" s="170"/>
      <c r="IK16" s="169">
        <v>-611.42219999999998</v>
      </c>
      <c r="IL16" s="169">
        <v>-475.58210000000003</v>
      </c>
      <c r="IM16" s="169">
        <v>499.05939999999998</v>
      </c>
      <c r="IN16" s="169">
        <v>398.6223</v>
      </c>
      <c r="IO16" s="169">
        <v>-70.578500000000005</v>
      </c>
      <c r="IP16" s="169">
        <v>-394.7133</v>
      </c>
      <c r="IQ16" s="169">
        <v>391.27190000000002</v>
      </c>
      <c r="IR16" s="169">
        <v>-174.09389999999999</v>
      </c>
      <c r="IS16" s="169">
        <v>-236.40710000000001</v>
      </c>
      <c r="IT16" s="169">
        <v>-378.72190000000001</v>
      </c>
      <c r="IU16" s="169">
        <v>99.384900000000002</v>
      </c>
      <c r="IV16" s="169">
        <v>99.631399999999999</v>
      </c>
      <c r="IW16" s="169">
        <v>177.1549</v>
      </c>
      <c r="IX16" s="169">
        <v>-475.24880000000002</v>
      </c>
      <c r="IY16" s="169">
        <v>245.15039999999999</v>
      </c>
      <c r="IZ16" s="169">
        <v>-242.8852</v>
      </c>
      <c r="JA16" s="169">
        <v>243.61199999999999</v>
      </c>
      <c r="JB16" s="169">
        <v>-10.282</v>
      </c>
      <c r="JC16" s="169">
        <v>39.038400000000003</v>
      </c>
      <c r="JD16" s="169">
        <v>16.16</v>
      </c>
      <c r="JE16" s="169">
        <v>1.617</v>
      </c>
      <c r="JF16" s="169">
        <v>1.623</v>
      </c>
      <c r="JG16" s="169">
        <v>-16</v>
      </c>
      <c r="JH16" s="169">
        <v>-6.4</v>
      </c>
      <c r="JI16" s="170"/>
      <c r="JJ16" s="169">
        <v>6.9443999999999999</v>
      </c>
      <c r="JK16" s="169">
        <v>-40.312800000000003</v>
      </c>
      <c r="JL16" s="169">
        <v>-18.3093</v>
      </c>
      <c r="JM16" s="169">
        <v>23.2</v>
      </c>
      <c r="JN16" s="169">
        <v>52.79</v>
      </c>
      <c r="JO16" s="169">
        <v>52.249000000000002</v>
      </c>
      <c r="JP16" s="169">
        <v>8.3359000000000005</v>
      </c>
      <c r="JQ16" s="169">
        <v>9.9247999999999994</v>
      </c>
      <c r="JR16" s="169">
        <v>51.281700000000001</v>
      </c>
      <c r="JS16" s="169">
        <v>49.613300000000002</v>
      </c>
      <c r="JT16" s="169">
        <v>50.78</v>
      </c>
      <c r="JU16" s="170"/>
      <c r="JV16" s="169">
        <v>-4.3</v>
      </c>
      <c r="JW16" s="169">
        <v>24.799499999999998</v>
      </c>
      <c r="JX16" s="169">
        <v>5.65</v>
      </c>
      <c r="JY16" s="170"/>
      <c r="JZ16" s="169">
        <v>-51.7117</v>
      </c>
      <c r="KA16" s="169">
        <v>80.628900000000002</v>
      </c>
      <c r="KB16" s="169">
        <v>62.014099999999999</v>
      </c>
      <c r="KC16" s="169">
        <v>-51.238599999999998</v>
      </c>
      <c r="KD16" s="169">
        <v>-79.097300000000004</v>
      </c>
      <c r="KE16" s="169">
        <v>52.391399999999997</v>
      </c>
      <c r="KF16" s="169">
        <v>26.4587</v>
      </c>
      <c r="KG16" s="169">
        <v>-10</v>
      </c>
      <c r="KH16" s="169">
        <v>8.6</v>
      </c>
      <c r="KI16" s="169">
        <v>157.69200000000001</v>
      </c>
      <c r="KJ16" s="169">
        <v>-28.349499999999999</v>
      </c>
    </row>
    <row r="17" spans="1:296" ht="18" customHeight="1" x14ac:dyDescent="0.3">
      <c r="A17" s="162" t="s">
        <v>67</v>
      </c>
      <c r="B17" s="162" t="s">
        <v>816</v>
      </c>
      <c r="C17" s="163">
        <v>0</v>
      </c>
      <c r="D17" s="164"/>
      <c r="E17" s="163">
        <v>14.4396</v>
      </c>
      <c r="F17" s="163">
        <v>-21.2226</v>
      </c>
      <c r="G17" s="163">
        <v>8.3727</v>
      </c>
      <c r="H17" s="163">
        <v>32.905200000000001</v>
      </c>
      <c r="I17" s="164"/>
      <c r="J17" s="163">
        <v>33.944299999999998</v>
      </c>
      <c r="K17" s="163">
        <v>-89.636700000000005</v>
      </c>
      <c r="L17" s="163">
        <v>45.2117</v>
      </c>
      <c r="M17" s="163">
        <v>23.203299999999999</v>
      </c>
      <c r="N17" s="163">
        <v>22.5275</v>
      </c>
      <c r="O17" s="163">
        <v>-31.08</v>
      </c>
      <c r="P17" s="163">
        <v>-30.103999999999999</v>
      </c>
      <c r="Q17" s="165">
        <v>29.930900000000001</v>
      </c>
      <c r="R17" s="163">
        <v>17.388000000000002</v>
      </c>
      <c r="S17" s="165">
        <v>-27.5</v>
      </c>
      <c r="T17" s="163">
        <v>14.5618</v>
      </c>
      <c r="U17" s="163">
        <v>49.6218</v>
      </c>
      <c r="V17" s="164"/>
      <c r="W17" s="163">
        <v>19.313099999999999</v>
      </c>
      <c r="X17" s="163">
        <v>32.194400000000002</v>
      </c>
      <c r="Y17" s="163">
        <v>4.1348000000000003</v>
      </c>
      <c r="Z17" s="163">
        <v>5.0709</v>
      </c>
      <c r="AA17" s="163">
        <v>5.2054</v>
      </c>
      <c r="AB17" s="164"/>
      <c r="AC17" s="164"/>
      <c r="AD17" s="163">
        <v>-65.16</v>
      </c>
      <c r="AE17" s="163">
        <v>-65.17</v>
      </c>
      <c r="AF17" s="164"/>
      <c r="AG17" s="163">
        <v>33.299999999999997</v>
      </c>
      <c r="AH17" s="165">
        <v>29.7</v>
      </c>
      <c r="AI17" s="163">
        <v>17.399999999999999</v>
      </c>
      <c r="AJ17" s="163">
        <v>0.24399999999999999</v>
      </c>
      <c r="AK17" s="163">
        <v>-64</v>
      </c>
      <c r="AL17" s="165">
        <v>-63.11</v>
      </c>
      <c r="AM17" s="163">
        <v>-47.14</v>
      </c>
      <c r="AN17" s="163">
        <v>64.36</v>
      </c>
      <c r="AO17" s="163">
        <v>64.61</v>
      </c>
      <c r="AP17" s="164"/>
      <c r="AQ17" s="163">
        <v>2.7980999999999998</v>
      </c>
      <c r="AR17" s="163">
        <v>53.281199999999998</v>
      </c>
      <c r="AS17" s="163">
        <v>55.0867</v>
      </c>
      <c r="AT17" s="163">
        <v>46.289400000000001</v>
      </c>
      <c r="AU17" s="163">
        <v>-51.105899999999998</v>
      </c>
      <c r="AV17" s="163">
        <v>-51.550600000000003</v>
      </c>
      <c r="AW17" s="163">
        <v>9.5432000000000006</v>
      </c>
      <c r="AX17" s="163">
        <v>9.4298999999999999</v>
      </c>
      <c r="AY17" s="163">
        <v>69.982900000000001</v>
      </c>
      <c r="AZ17" s="163">
        <v>71.076700000000002</v>
      </c>
      <c r="BA17" s="163">
        <v>4.4648000000000003</v>
      </c>
      <c r="BB17" s="163">
        <v>3.7132000000000001</v>
      </c>
      <c r="BC17" s="163">
        <v>-415.58150000000001</v>
      </c>
      <c r="BD17" s="163">
        <v>-14.562900000000001</v>
      </c>
      <c r="BE17" s="163">
        <v>-12</v>
      </c>
      <c r="BF17" s="163">
        <v>-12</v>
      </c>
      <c r="BG17" s="163">
        <v>57.340400000000002</v>
      </c>
      <c r="BH17" s="163">
        <v>56.359299999999998</v>
      </c>
      <c r="BI17" s="163">
        <v>-4.1482000000000001</v>
      </c>
      <c r="BJ17" s="164"/>
      <c r="BK17" s="163">
        <v>-47.859299999999998</v>
      </c>
      <c r="BL17" s="163">
        <v>2.8018999999999998</v>
      </c>
      <c r="BM17" s="163">
        <v>7.3261000000000003</v>
      </c>
      <c r="BN17" s="163">
        <v>5.0136000000000003</v>
      </c>
      <c r="BO17" s="163">
        <v>457.50279999999998</v>
      </c>
      <c r="BP17" s="163">
        <v>80.690899999999999</v>
      </c>
      <c r="BQ17" s="163">
        <v>80.751999999999995</v>
      </c>
      <c r="BR17" s="163">
        <v>-491.084</v>
      </c>
      <c r="BS17" s="163">
        <v>362.46039999999999</v>
      </c>
      <c r="BT17" s="164"/>
      <c r="BU17" s="163">
        <v>-8.8094999999999999</v>
      </c>
      <c r="BV17" s="163">
        <v>10.646100000000001</v>
      </c>
      <c r="BW17" s="163">
        <v>74.577200000000005</v>
      </c>
      <c r="BX17" s="163">
        <v>25.01</v>
      </c>
      <c r="BY17" s="163">
        <v>27.31</v>
      </c>
      <c r="BZ17" s="163">
        <v>49.94</v>
      </c>
      <c r="CA17" s="163">
        <v>67.94</v>
      </c>
      <c r="CB17" s="163">
        <v>-27.992799999999999</v>
      </c>
      <c r="CC17" s="163">
        <v>-27.858899999999998</v>
      </c>
      <c r="CD17" s="163">
        <v>93.094700000000003</v>
      </c>
      <c r="CE17" s="163">
        <v>93.473100000000002</v>
      </c>
      <c r="CF17" s="163">
        <v>31.226900000000001</v>
      </c>
      <c r="CG17" s="163">
        <v>-58.760199999999998</v>
      </c>
      <c r="CH17" s="163">
        <v>-60.037300000000002</v>
      </c>
      <c r="CI17" s="163">
        <v>0.44690000000000002</v>
      </c>
      <c r="CJ17" s="163">
        <v>0</v>
      </c>
      <c r="CK17" s="164"/>
      <c r="CL17" s="164"/>
      <c r="CM17" s="163">
        <v>89.9</v>
      </c>
      <c r="CN17" s="163">
        <v>81.099999999999994</v>
      </c>
      <c r="CO17" s="163">
        <v>-13.42</v>
      </c>
      <c r="CP17" s="163">
        <v>66.862700000000004</v>
      </c>
      <c r="CQ17" s="163">
        <v>65.838399999999993</v>
      </c>
      <c r="CR17" s="163">
        <v>64.969099999999997</v>
      </c>
      <c r="CS17" s="163">
        <v>-18.256499999999999</v>
      </c>
      <c r="CT17" s="163">
        <v>-17.2973</v>
      </c>
      <c r="CU17" s="163">
        <v>28.861899999999999</v>
      </c>
      <c r="CV17" s="163">
        <v>-49.539000000000001</v>
      </c>
      <c r="CW17" s="163">
        <v>30.237300000000001</v>
      </c>
      <c r="CX17" s="163">
        <v>12.2151</v>
      </c>
      <c r="CY17" s="163">
        <v>44.45</v>
      </c>
      <c r="CZ17" s="163">
        <v>24.92</v>
      </c>
      <c r="DA17" s="163">
        <v>32.819800000000001</v>
      </c>
      <c r="DB17" s="163">
        <v>31.2057</v>
      </c>
      <c r="DC17" s="163">
        <v>-25.944600000000001</v>
      </c>
      <c r="DD17" s="164"/>
      <c r="DE17" s="164"/>
      <c r="DF17" s="163">
        <v>0</v>
      </c>
      <c r="DG17" s="163">
        <v>-87.889799999999994</v>
      </c>
      <c r="DH17" s="164"/>
      <c r="DI17" s="164"/>
      <c r="DJ17" s="163">
        <v>-69.599999999999994</v>
      </c>
      <c r="DK17" s="165">
        <v>-69</v>
      </c>
      <c r="DL17" s="163">
        <v>20.069299999999998</v>
      </c>
      <c r="DM17" s="163">
        <v>33.200000000000003</v>
      </c>
      <c r="DN17" s="163">
        <v>33.92</v>
      </c>
      <c r="DO17" s="163">
        <v>44.7</v>
      </c>
      <c r="DP17" s="163">
        <v>32.549999999999997</v>
      </c>
      <c r="DQ17" s="163">
        <v>-3.62</v>
      </c>
      <c r="DR17" s="163">
        <v>62.713000000000001</v>
      </c>
      <c r="DS17" s="163">
        <v>85.864900000000006</v>
      </c>
      <c r="DT17" s="163">
        <v>-31.8</v>
      </c>
      <c r="DU17" s="163">
        <v>-31.95</v>
      </c>
      <c r="DV17" s="163">
        <v>99.07</v>
      </c>
      <c r="DW17" s="163">
        <v>50.41</v>
      </c>
      <c r="DX17" s="163">
        <v>88.181799999999996</v>
      </c>
      <c r="DY17" s="163">
        <v>86.072699999999998</v>
      </c>
      <c r="DZ17" s="163">
        <v>-8.1128999999999998</v>
      </c>
      <c r="EA17" s="163">
        <v>-9.0635999999999992</v>
      </c>
      <c r="EB17" s="163">
        <v>175.0745</v>
      </c>
      <c r="EC17" s="163">
        <v>131.13890000000001</v>
      </c>
      <c r="ED17" s="163">
        <v>126.0575</v>
      </c>
      <c r="EE17" s="163">
        <v>128.89259999999999</v>
      </c>
      <c r="EF17" s="163">
        <v>141.65049999999999</v>
      </c>
      <c r="EG17" s="163">
        <v>125.5194</v>
      </c>
      <c r="EH17" s="163">
        <v>-25.53</v>
      </c>
      <c r="EI17" s="163">
        <v>507.29250000000002</v>
      </c>
      <c r="EJ17" s="163">
        <v>485.8682</v>
      </c>
      <c r="EK17" s="164"/>
      <c r="EL17" s="163">
        <v>-29.236000000000001</v>
      </c>
      <c r="EM17" s="163">
        <v>-28.174700000000001</v>
      </c>
      <c r="EN17" s="164"/>
      <c r="EO17" s="163">
        <v>44.008699999999997</v>
      </c>
      <c r="EP17" s="163">
        <v>43.107599999999998</v>
      </c>
      <c r="EQ17" s="163">
        <v>145.97999999999999</v>
      </c>
      <c r="ER17" s="163">
        <v>-86.629599999999996</v>
      </c>
      <c r="ES17" s="163">
        <v>-87.937299999999993</v>
      </c>
      <c r="ET17" s="163">
        <v>-82.496700000000004</v>
      </c>
      <c r="EU17" s="163">
        <v>0</v>
      </c>
      <c r="EV17" s="163">
        <v>-23.57</v>
      </c>
      <c r="EW17" s="163">
        <v>106.9</v>
      </c>
      <c r="EX17" s="163">
        <v>10.5945</v>
      </c>
      <c r="EY17" s="163">
        <v>40.526499999999999</v>
      </c>
      <c r="EZ17" s="163">
        <v>-39.179200000000002</v>
      </c>
      <c r="FA17" s="163">
        <v>-38.253799999999998</v>
      </c>
      <c r="FB17" s="163">
        <v>12.882899999999999</v>
      </c>
      <c r="FC17" s="163">
        <v>-115.9515</v>
      </c>
      <c r="FD17" s="163">
        <v>85.093900000000005</v>
      </c>
      <c r="FE17" s="163">
        <v>19.079999999999998</v>
      </c>
      <c r="FF17" s="163">
        <v>24.372499999999999</v>
      </c>
      <c r="FG17" s="164"/>
      <c r="FH17" s="163">
        <v>40.687199999999997</v>
      </c>
      <c r="FI17" s="163">
        <v>41.563899999999997</v>
      </c>
      <c r="FJ17" s="163">
        <v>39.859299999999998</v>
      </c>
      <c r="FK17" s="163">
        <v>26.792999999999999</v>
      </c>
      <c r="FL17" s="163">
        <v>27.295400000000001</v>
      </c>
      <c r="FM17" s="163">
        <v>-35.165799999999997</v>
      </c>
      <c r="FN17" s="163">
        <v>11.366199999999999</v>
      </c>
      <c r="FO17" s="163">
        <v>10.924899999999999</v>
      </c>
      <c r="FP17" s="163">
        <v>-48.634099999999997</v>
      </c>
      <c r="FQ17" s="163">
        <v>-42.669400000000003</v>
      </c>
      <c r="FR17" s="163">
        <v>7.2748999999999997</v>
      </c>
      <c r="FS17" s="163">
        <v>-36.11</v>
      </c>
      <c r="FT17" s="164"/>
      <c r="FU17" s="163">
        <v>0.74490000000000001</v>
      </c>
      <c r="FV17" s="163">
        <v>1.33</v>
      </c>
      <c r="FW17" s="163">
        <v>19.2</v>
      </c>
      <c r="FX17" s="163">
        <v>0</v>
      </c>
      <c r="FY17" s="164"/>
      <c r="FZ17" s="165">
        <v>-10.778499999999999</v>
      </c>
      <c r="GA17" s="163">
        <v>4.1050000000000004</v>
      </c>
      <c r="GB17" s="164"/>
      <c r="GC17" s="163">
        <v>31.42</v>
      </c>
      <c r="GD17" s="163">
        <v>44.580800000000004</v>
      </c>
      <c r="GE17" s="163">
        <v>47.048299999999998</v>
      </c>
      <c r="GF17" s="163">
        <v>15.11</v>
      </c>
      <c r="GG17" s="163">
        <v>73.9221</v>
      </c>
      <c r="GH17" s="163">
        <v>28.2</v>
      </c>
      <c r="GI17" s="163">
        <v>-16.0898</v>
      </c>
      <c r="GJ17" s="163">
        <v>-4.9783999999999997</v>
      </c>
      <c r="GK17" s="163">
        <v>-5.3364000000000003</v>
      </c>
      <c r="GL17" s="163">
        <v>1.3214999999999999</v>
      </c>
      <c r="GM17" s="164"/>
      <c r="GN17" s="164"/>
      <c r="GO17" s="163">
        <v>-16.464500000000001</v>
      </c>
      <c r="GP17" s="163">
        <v>-23.166899999999998</v>
      </c>
      <c r="GQ17" s="163">
        <v>12.5616</v>
      </c>
      <c r="GR17" s="163">
        <v>24.039400000000001</v>
      </c>
      <c r="GS17" s="163">
        <v>12.759600000000001</v>
      </c>
      <c r="GT17" s="163">
        <v>11.0748</v>
      </c>
      <c r="GU17" s="163">
        <v>-102.3801</v>
      </c>
      <c r="GV17" s="163">
        <v>-16.0913</v>
      </c>
      <c r="GW17" s="163">
        <v>34.581800000000001</v>
      </c>
      <c r="GX17" s="163">
        <v>-45.241100000000003</v>
      </c>
      <c r="GY17" s="163">
        <v>12.1981</v>
      </c>
      <c r="GZ17" s="163">
        <v>6.5639000000000003</v>
      </c>
      <c r="HA17" s="163">
        <v>6.2664</v>
      </c>
      <c r="HB17" s="163">
        <v>13.5901</v>
      </c>
      <c r="HC17" s="163">
        <v>151.14070000000001</v>
      </c>
      <c r="HD17" s="163">
        <v>150.98769999999999</v>
      </c>
      <c r="HE17" s="163">
        <v>189.4</v>
      </c>
      <c r="HF17" s="163">
        <v>-188.24780000000001</v>
      </c>
      <c r="HG17" s="163">
        <v>-470.334</v>
      </c>
      <c r="HH17" s="163">
        <v>473.26440000000002</v>
      </c>
      <c r="HI17" s="163">
        <v>601.99440000000004</v>
      </c>
      <c r="HJ17" s="163">
        <v>-145.15199999999999</v>
      </c>
      <c r="HK17" s="163">
        <v>-141.8612</v>
      </c>
      <c r="HL17" s="163">
        <v>-62.6693</v>
      </c>
      <c r="HM17" s="163">
        <v>-55.056800000000003</v>
      </c>
      <c r="HN17" s="163">
        <v>72.372500000000002</v>
      </c>
      <c r="HO17" s="163">
        <v>73.3964</v>
      </c>
      <c r="HP17" s="164"/>
      <c r="HQ17" s="164"/>
      <c r="HR17" s="163">
        <v>36.543799999999997</v>
      </c>
      <c r="HS17" s="163">
        <v>35.291400000000003</v>
      </c>
      <c r="HT17" s="163">
        <v>-74.293199999999999</v>
      </c>
      <c r="HU17" s="163">
        <v>-73.358199999999997</v>
      </c>
      <c r="HV17" s="163">
        <v>75.260000000000005</v>
      </c>
      <c r="HW17" s="163">
        <v>75.89</v>
      </c>
      <c r="HX17" s="163">
        <v>39.200000000000003</v>
      </c>
      <c r="HY17" s="163">
        <v>39.5</v>
      </c>
      <c r="HZ17" s="163">
        <v>20.714300000000001</v>
      </c>
      <c r="IA17" s="163">
        <v>34.32</v>
      </c>
      <c r="IB17" s="163">
        <v>-380.49360000000001</v>
      </c>
      <c r="IC17" s="163">
        <v>103.1417</v>
      </c>
      <c r="ID17" s="163">
        <v>101.4315</v>
      </c>
      <c r="IE17" s="163">
        <v>12.2</v>
      </c>
      <c r="IF17" s="163">
        <v>1.6</v>
      </c>
      <c r="IG17" s="163">
        <v>-35.1</v>
      </c>
      <c r="IH17" s="163">
        <v>-40.299999999999997</v>
      </c>
      <c r="II17" s="164"/>
      <c r="IJ17" s="164"/>
      <c r="IK17" s="163">
        <v>-595.03039999999999</v>
      </c>
      <c r="IL17" s="163">
        <v>-450.74209999999999</v>
      </c>
      <c r="IM17" s="163">
        <v>472.56119999999999</v>
      </c>
      <c r="IN17" s="163">
        <v>375.34699999999998</v>
      </c>
      <c r="IO17" s="163">
        <v>-72.492599999999996</v>
      </c>
      <c r="IP17" s="163">
        <v>-364.69310000000002</v>
      </c>
      <c r="IQ17" s="163">
        <v>369.9128</v>
      </c>
      <c r="IR17" s="163">
        <v>-184.172</v>
      </c>
      <c r="IS17" s="163">
        <v>-228.58029999999999</v>
      </c>
      <c r="IT17" s="163">
        <v>-362.62540000000001</v>
      </c>
      <c r="IU17" s="163">
        <v>86.488799999999998</v>
      </c>
      <c r="IV17" s="163">
        <v>85.614000000000004</v>
      </c>
      <c r="IW17" s="163">
        <v>184.76490000000001</v>
      </c>
      <c r="IX17" s="163">
        <v>-450.34460000000001</v>
      </c>
      <c r="IY17" s="163">
        <v>236.7346</v>
      </c>
      <c r="IZ17" s="163">
        <v>-221.07380000000001</v>
      </c>
      <c r="JA17" s="163">
        <v>223.8468</v>
      </c>
      <c r="JB17" s="163">
        <v>-10.098000000000001</v>
      </c>
      <c r="JC17" s="163">
        <v>38.621000000000002</v>
      </c>
      <c r="JD17" s="163">
        <v>14.8</v>
      </c>
      <c r="JE17" s="163">
        <v>1.5429999999999999</v>
      </c>
      <c r="JF17" s="163">
        <v>1.5449999999999999</v>
      </c>
      <c r="JG17" s="163">
        <v>-14.16</v>
      </c>
      <c r="JH17" s="163">
        <v>-8.64</v>
      </c>
      <c r="JI17" s="164"/>
      <c r="JJ17" s="163">
        <v>8.8792000000000009</v>
      </c>
      <c r="JK17" s="163">
        <v>-38.994399999999999</v>
      </c>
      <c r="JL17" s="163">
        <v>-17.927800000000001</v>
      </c>
      <c r="JM17" s="163">
        <v>18.7</v>
      </c>
      <c r="JN17" s="163">
        <v>51.05</v>
      </c>
      <c r="JO17" s="163">
        <v>50.167000000000002</v>
      </c>
      <c r="JP17" s="163">
        <v>8.2535000000000007</v>
      </c>
      <c r="JQ17" s="163">
        <v>9.9114000000000004</v>
      </c>
      <c r="JR17" s="163">
        <v>48.122399999999999</v>
      </c>
      <c r="JS17" s="163">
        <v>47.797199999999997</v>
      </c>
      <c r="JT17" s="163">
        <v>48.184899999999999</v>
      </c>
      <c r="JU17" s="164"/>
      <c r="JV17" s="163">
        <v>-1.4</v>
      </c>
      <c r="JW17" s="163">
        <v>25.0671</v>
      </c>
      <c r="JX17" s="163">
        <v>5.72</v>
      </c>
      <c r="JY17" s="164"/>
      <c r="JZ17" s="163">
        <v>-54.607799999999997</v>
      </c>
      <c r="KA17" s="163">
        <v>83.621700000000004</v>
      </c>
      <c r="KB17" s="163">
        <v>65.037899999999993</v>
      </c>
      <c r="KC17" s="163">
        <v>-53.338500000000003</v>
      </c>
      <c r="KD17" s="163">
        <v>-80.2072</v>
      </c>
      <c r="KE17" s="163">
        <v>54.369399999999999</v>
      </c>
      <c r="KF17" s="163">
        <v>26.247900000000001</v>
      </c>
      <c r="KG17" s="163">
        <v>-13</v>
      </c>
      <c r="KH17" s="163">
        <v>12.6</v>
      </c>
      <c r="KI17" s="163">
        <v>130.3278</v>
      </c>
      <c r="KJ17" s="163">
        <v>-17.2012</v>
      </c>
    </row>
    <row r="18" spans="1:296" ht="18" customHeight="1" x14ac:dyDescent="0.3">
      <c r="A18" s="162" t="s">
        <v>67</v>
      </c>
      <c r="B18" s="162" t="s">
        <v>817</v>
      </c>
      <c r="C18" s="166">
        <v>0</v>
      </c>
      <c r="D18" s="167"/>
      <c r="E18" s="166">
        <v>14.592700000000001</v>
      </c>
      <c r="F18" s="166">
        <v>-20.9754</v>
      </c>
      <c r="G18" s="166">
        <v>7.8807999999999998</v>
      </c>
      <c r="H18" s="166">
        <v>32.996400000000001</v>
      </c>
      <c r="I18" s="167"/>
      <c r="J18" s="166">
        <v>34.200000000000003</v>
      </c>
      <c r="K18" s="166">
        <v>-90.388499999999993</v>
      </c>
      <c r="L18" s="166">
        <v>46.128799999999998</v>
      </c>
      <c r="M18" s="166">
        <v>23.543299999999999</v>
      </c>
      <c r="N18" s="166">
        <v>23.056999999999999</v>
      </c>
      <c r="O18" s="166">
        <v>-33.299999999999997</v>
      </c>
      <c r="P18" s="166">
        <v>-31.344999999999999</v>
      </c>
      <c r="Q18" s="166">
        <v>28.6</v>
      </c>
      <c r="R18" s="166">
        <v>17.388000000000002</v>
      </c>
      <c r="S18" s="166">
        <v>-28.6</v>
      </c>
      <c r="T18" s="166">
        <v>14.977499999999999</v>
      </c>
      <c r="U18" s="166">
        <v>50.306199999999997</v>
      </c>
      <c r="V18" s="167"/>
      <c r="W18" s="166">
        <v>19.707999999999998</v>
      </c>
      <c r="X18" s="166">
        <v>33.1098</v>
      </c>
      <c r="Y18" s="166">
        <v>4.1050000000000004</v>
      </c>
      <c r="Z18" s="166">
        <v>4.8318000000000003</v>
      </c>
      <c r="AA18" s="166">
        <v>5.5248999999999997</v>
      </c>
      <c r="AB18" s="167"/>
      <c r="AC18" s="167"/>
      <c r="AD18" s="166">
        <v>-65.16</v>
      </c>
      <c r="AE18" s="166">
        <v>-65.239999999999995</v>
      </c>
      <c r="AF18" s="167"/>
      <c r="AG18" s="166">
        <v>33.299999999999997</v>
      </c>
      <c r="AH18" s="166">
        <v>30.8</v>
      </c>
      <c r="AI18" s="166">
        <v>18.032</v>
      </c>
      <c r="AJ18" s="166">
        <v>0.245</v>
      </c>
      <c r="AK18" s="166">
        <v>-63.73</v>
      </c>
      <c r="AL18" s="168">
        <v>-63.75</v>
      </c>
      <c r="AM18" s="166">
        <v>-47.1</v>
      </c>
      <c r="AN18" s="166">
        <v>65.02</v>
      </c>
      <c r="AO18" s="166">
        <v>65.25</v>
      </c>
      <c r="AP18" s="167"/>
      <c r="AQ18" s="166">
        <v>2.5455000000000001</v>
      </c>
      <c r="AR18" s="166">
        <v>54.065800000000003</v>
      </c>
      <c r="AS18" s="166">
        <v>55.661700000000003</v>
      </c>
      <c r="AT18" s="166">
        <v>44.985599999999998</v>
      </c>
      <c r="AU18" s="166">
        <v>-49.9679</v>
      </c>
      <c r="AV18" s="166">
        <v>-49.792000000000002</v>
      </c>
      <c r="AW18" s="166">
        <v>9.5670000000000002</v>
      </c>
      <c r="AX18" s="166">
        <v>9.8628</v>
      </c>
      <c r="AY18" s="166">
        <v>69.623699999999999</v>
      </c>
      <c r="AZ18" s="166">
        <v>70.530500000000004</v>
      </c>
      <c r="BA18" s="166">
        <v>3.3675000000000002</v>
      </c>
      <c r="BB18" s="166">
        <v>2.1583000000000001</v>
      </c>
      <c r="BC18" s="166">
        <v>-421.26420000000002</v>
      </c>
      <c r="BD18" s="166">
        <v>-12.7803</v>
      </c>
      <c r="BE18" s="166">
        <v>-12</v>
      </c>
      <c r="BF18" s="166">
        <v>-12</v>
      </c>
      <c r="BG18" s="166">
        <v>55.405200000000001</v>
      </c>
      <c r="BH18" s="166">
        <v>54.834800000000001</v>
      </c>
      <c r="BI18" s="166">
        <v>-4.0781000000000001</v>
      </c>
      <c r="BJ18" s="167"/>
      <c r="BK18" s="166">
        <v>-46.878500000000003</v>
      </c>
      <c r="BL18" s="166">
        <v>2.7321</v>
      </c>
      <c r="BM18" s="166">
        <v>7.3437000000000001</v>
      </c>
      <c r="BN18" s="166">
        <v>4.9850000000000003</v>
      </c>
      <c r="BO18" s="166">
        <v>461.59230000000002</v>
      </c>
      <c r="BP18" s="166">
        <v>86.031700000000001</v>
      </c>
      <c r="BQ18" s="166">
        <v>85.543400000000005</v>
      </c>
      <c r="BR18" s="166">
        <v>-501.92630000000003</v>
      </c>
      <c r="BS18" s="166">
        <v>373.69619999999998</v>
      </c>
      <c r="BT18" s="167"/>
      <c r="BU18" s="166">
        <v>-7.8994999999999997</v>
      </c>
      <c r="BV18" s="166">
        <v>9.5870999999999995</v>
      </c>
      <c r="BW18" s="166">
        <v>76.722800000000007</v>
      </c>
      <c r="BX18" s="166">
        <v>25.63</v>
      </c>
      <c r="BY18" s="166">
        <v>27.82</v>
      </c>
      <c r="BZ18" s="166">
        <v>50.88</v>
      </c>
      <c r="CA18" s="166">
        <v>70</v>
      </c>
      <c r="CB18" s="166">
        <v>-30.002199999999998</v>
      </c>
      <c r="CC18" s="166">
        <v>-30.4041</v>
      </c>
      <c r="CD18" s="166">
        <v>92.7761</v>
      </c>
      <c r="CE18" s="166">
        <v>92.849000000000004</v>
      </c>
      <c r="CF18" s="166">
        <v>31.411899999999999</v>
      </c>
      <c r="CG18" s="166">
        <v>-67.368300000000005</v>
      </c>
      <c r="CH18" s="166">
        <v>-66.105199999999996</v>
      </c>
      <c r="CI18" s="166">
        <v>0.51680000000000004</v>
      </c>
      <c r="CJ18" s="166">
        <v>0</v>
      </c>
      <c r="CK18" s="167"/>
      <c r="CL18" s="167"/>
      <c r="CM18" s="166">
        <v>93.1</v>
      </c>
      <c r="CN18" s="166">
        <v>83.5</v>
      </c>
      <c r="CO18" s="166">
        <v>-13.63</v>
      </c>
      <c r="CP18" s="166">
        <v>66.8904</v>
      </c>
      <c r="CQ18" s="166">
        <v>65.638000000000005</v>
      </c>
      <c r="CR18" s="166">
        <v>65.251599999999996</v>
      </c>
      <c r="CS18" s="166">
        <v>-20.174499999999998</v>
      </c>
      <c r="CT18" s="166">
        <v>-19.1952</v>
      </c>
      <c r="CU18" s="166">
        <v>33.5961</v>
      </c>
      <c r="CV18" s="166">
        <v>-53.606000000000002</v>
      </c>
      <c r="CW18" s="166">
        <v>35.487900000000003</v>
      </c>
      <c r="CX18" s="166">
        <v>12.6227</v>
      </c>
      <c r="CY18" s="166">
        <v>46.97</v>
      </c>
      <c r="CZ18" s="166">
        <v>25.75</v>
      </c>
      <c r="DA18" s="166">
        <v>33.288600000000002</v>
      </c>
      <c r="DB18" s="166">
        <v>31.645199999999999</v>
      </c>
      <c r="DC18" s="166">
        <v>-26.067599999999999</v>
      </c>
      <c r="DD18" s="167"/>
      <c r="DE18" s="167"/>
      <c r="DF18" s="166">
        <v>0</v>
      </c>
      <c r="DG18" s="166">
        <v>-98.648200000000003</v>
      </c>
      <c r="DH18" s="167"/>
      <c r="DI18" s="167"/>
      <c r="DJ18" s="166">
        <v>-69.599999999999994</v>
      </c>
      <c r="DK18" s="166">
        <v>-70.2</v>
      </c>
      <c r="DL18" s="166">
        <v>19.8276</v>
      </c>
      <c r="DM18" s="166">
        <v>34.299999999999997</v>
      </c>
      <c r="DN18" s="166">
        <v>37.479999999999997</v>
      </c>
      <c r="DO18" s="166">
        <v>46.72</v>
      </c>
      <c r="DP18" s="166">
        <v>33.92</v>
      </c>
      <c r="DQ18" s="166">
        <v>-4.32</v>
      </c>
      <c r="DR18" s="166">
        <v>63.968499999999999</v>
      </c>
      <c r="DS18" s="166">
        <v>98.823099999999997</v>
      </c>
      <c r="DT18" s="166">
        <v>-31.39</v>
      </c>
      <c r="DU18" s="166">
        <v>-31.76</v>
      </c>
      <c r="DV18" s="166">
        <v>101.03</v>
      </c>
      <c r="DW18" s="166">
        <v>50.88</v>
      </c>
      <c r="DX18" s="166">
        <v>98.909099999999995</v>
      </c>
      <c r="DY18" s="166">
        <v>96.9636</v>
      </c>
      <c r="DZ18" s="166">
        <v>-5.9345999999999997</v>
      </c>
      <c r="EA18" s="166">
        <v>-5.8818000000000001</v>
      </c>
      <c r="EB18" s="166">
        <v>186.75389999999999</v>
      </c>
      <c r="EC18" s="166">
        <v>143.02690000000001</v>
      </c>
      <c r="ED18" s="166">
        <v>136.8475</v>
      </c>
      <c r="EE18" s="166">
        <v>139.17949999999999</v>
      </c>
      <c r="EF18" s="166">
        <v>113.3437</v>
      </c>
      <c r="EG18" s="166">
        <v>97.222099999999998</v>
      </c>
      <c r="EH18" s="166">
        <v>-27.324000000000002</v>
      </c>
      <c r="EI18" s="166">
        <v>512.65480000000002</v>
      </c>
      <c r="EJ18" s="166">
        <v>491.35660000000001</v>
      </c>
      <c r="EK18" s="167"/>
      <c r="EL18" s="166">
        <v>-28.907699999999998</v>
      </c>
      <c r="EM18" s="166">
        <v>-27.293900000000001</v>
      </c>
      <c r="EN18" s="167"/>
      <c r="EO18" s="166">
        <v>58.957700000000003</v>
      </c>
      <c r="EP18" s="166">
        <v>55.510800000000003</v>
      </c>
      <c r="EQ18" s="166">
        <v>55.344000000000001</v>
      </c>
      <c r="ER18" s="166">
        <v>-69.790800000000004</v>
      </c>
      <c r="ES18" s="166">
        <v>-71.129199999999997</v>
      </c>
      <c r="ET18" s="166">
        <v>-60.478400000000001</v>
      </c>
      <c r="EU18" s="166">
        <v>0</v>
      </c>
      <c r="EV18" s="166">
        <v>-22.1</v>
      </c>
      <c r="EW18" s="166">
        <v>1</v>
      </c>
      <c r="EX18" s="166">
        <v>10.9823</v>
      </c>
      <c r="EY18" s="166">
        <v>68.385099999999994</v>
      </c>
      <c r="EZ18" s="166">
        <v>-38.832500000000003</v>
      </c>
      <c r="FA18" s="166">
        <v>-37.9649</v>
      </c>
      <c r="FB18" s="166">
        <v>11.825100000000001</v>
      </c>
      <c r="FC18" s="166">
        <v>-94.785300000000007</v>
      </c>
      <c r="FD18" s="166">
        <v>62.582000000000001</v>
      </c>
      <c r="FE18" s="166">
        <v>19.9878</v>
      </c>
      <c r="FF18" s="166">
        <v>24.156600000000001</v>
      </c>
      <c r="FG18" s="167"/>
      <c r="FH18" s="166">
        <v>40.962600000000002</v>
      </c>
      <c r="FI18" s="166">
        <v>40.563699999999997</v>
      </c>
      <c r="FJ18" s="166">
        <v>40.624600000000001</v>
      </c>
      <c r="FK18" s="166">
        <v>28.467600000000001</v>
      </c>
      <c r="FL18" s="166">
        <v>29.3049</v>
      </c>
      <c r="FM18" s="166">
        <v>-34.496000000000002</v>
      </c>
      <c r="FN18" s="166">
        <v>7.8737000000000004</v>
      </c>
      <c r="FO18" s="166">
        <v>7.7023000000000001</v>
      </c>
      <c r="FP18" s="166">
        <v>-45.211199999999998</v>
      </c>
      <c r="FQ18" s="166">
        <v>-39.401400000000002</v>
      </c>
      <c r="FR18" s="166">
        <v>5.6855000000000002</v>
      </c>
      <c r="FS18" s="166">
        <v>-33.96</v>
      </c>
      <c r="FT18" s="167"/>
      <c r="FU18" s="166">
        <v>0.77549999999999997</v>
      </c>
      <c r="FV18" s="166">
        <v>1.32</v>
      </c>
      <c r="FW18" s="166">
        <v>17.55</v>
      </c>
      <c r="FX18" s="166">
        <v>0</v>
      </c>
      <c r="FY18" s="167"/>
      <c r="FZ18" s="166">
        <v>-10.708</v>
      </c>
      <c r="GA18" s="166">
        <v>4.2140000000000004</v>
      </c>
      <c r="GB18" s="166">
        <v>12.9617</v>
      </c>
      <c r="GC18" s="166">
        <v>30.98</v>
      </c>
      <c r="GD18" s="166">
        <v>41.438000000000002</v>
      </c>
      <c r="GE18" s="166">
        <v>45.337800000000001</v>
      </c>
      <c r="GF18" s="166">
        <v>14.54</v>
      </c>
      <c r="GG18" s="166">
        <v>72.932699999999997</v>
      </c>
      <c r="GH18" s="166">
        <v>27.4</v>
      </c>
      <c r="GI18" s="166">
        <v>-16.749600000000001</v>
      </c>
      <c r="GJ18" s="166">
        <v>-4.9340000000000002</v>
      </c>
      <c r="GK18" s="166">
        <v>-5.2076000000000002</v>
      </c>
      <c r="GL18" s="166">
        <v>1.3577999999999999</v>
      </c>
      <c r="GM18" s="167"/>
      <c r="GN18" s="167"/>
      <c r="GO18" s="166">
        <v>-15.4963</v>
      </c>
      <c r="GP18" s="166">
        <v>-24.613800000000001</v>
      </c>
      <c r="GQ18" s="166">
        <v>13.351900000000001</v>
      </c>
      <c r="GR18" s="166">
        <v>25.601099999999999</v>
      </c>
      <c r="GS18" s="166">
        <v>12.1814</v>
      </c>
      <c r="GT18" s="166">
        <v>12.991199999999999</v>
      </c>
      <c r="GU18" s="166">
        <v>-103.81829999999999</v>
      </c>
      <c r="GV18" s="166">
        <v>-16.724499999999999</v>
      </c>
      <c r="GW18" s="166">
        <v>35.059399999999997</v>
      </c>
      <c r="GX18" s="166">
        <v>-46.773200000000003</v>
      </c>
      <c r="GY18" s="166">
        <v>12.1797</v>
      </c>
      <c r="GZ18" s="166">
        <v>6.9349999999999996</v>
      </c>
      <c r="HA18" s="166">
        <v>6.6566000000000001</v>
      </c>
      <c r="HB18" s="166">
        <v>13.5266</v>
      </c>
      <c r="HC18" s="166">
        <v>157.03030000000001</v>
      </c>
      <c r="HD18" s="166">
        <v>158.63409999999999</v>
      </c>
      <c r="HE18" s="166">
        <v>185.6</v>
      </c>
      <c r="HF18" s="166">
        <v>-185.1123</v>
      </c>
      <c r="HG18" s="166">
        <v>-470.54349999999999</v>
      </c>
      <c r="HH18" s="166">
        <v>473.21089999999998</v>
      </c>
      <c r="HI18" s="166">
        <v>604.64670000000001</v>
      </c>
      <c r="HJ18" s="166">
        <v>-151.1919</v>
      </c>
      <c r="HK18" s="166">
        <v>-149.22309999999999</v>
      </c>
      <c r="HL18" s="166">
        <v>-58.920999999999999</v>
      </c>
      <c r="HM18" s="166">
        <v>-51.134300000000003</v>
      </c>
      <c r="HN18" s="166">
        <v>76.092399999999998</v>
      </c>
      <c r="HO18" s="166">
        <v>76.277000000000001</v>
      </c>
      <c r="HP18" s="167"/>
      <c r="HQ18" s="167"/>
      <c r="HR18" s="166">
        <v>34.478400000000001</v>
      </c>
      <c r="HS18" s="166">
        <v>33.720300000000002</v>
      </c>
      <c r="HT18" s="166">
        <v>-77.110299999999995</v>
      </c>
      <c r="HU18" s="166">
        <v>-78.059700000000007</v>
      </c>
      <c r="HV18" s="166">
        <v>72.87</v>
      </c>
      <c r="HW18" s="166">
        <v>72.400000000000006</v>
      </c>
      <c r="HX18" s="166">
        <v>46</v>
      </c>
      <c r="HY18" s="166">
        <v>45.8</v>
      </c>
      <c r="HZ18" s="166">
        <v>20.859500000000001</v>
      </c>
      <c r="IA18" s="166">
        <v>34.96</v>
      </c>
      <c r="IB18" s="166">
        <v>-388.09129999999999</v>
      </c>
      <c r="IC18" s="166">
        <v>99.295299999999997</v>
      </c>
      <c r="ID18" s="166">
        <v>99.021799999999999</v>
      </c>
      <c r="IE18" s="166">
        <v>12.7</v>
      </c>
      <c r="IF18" s="166">
        <v>10.3</v>
      </c>
      <c r="IG18" s="166">
        <v>-32.299999999999997</v>
      </c>
      <c r="IH18" s="166">
        <v>-38</v>
      </c>
      <c r="II18" s="166">
        <v>1.5201</v>
      </c>
      <c r="IJ18" s="167"/>
      <c r="IK18" s="166">
        <v>-592.1046</v>
      </c>
      <c r="IL18" s="166">
        <v>-452.71190000000001</v>
      </c>
      <c r="IM18" s="166">
        <v>482.85359999999997</v>
      </c>
      <c r="IN18" s="166">
        <v>392.42619999999999</v>
      </c>
      <c r="IO18" s="166">
        <v>-62.509799999999998</v>
      </c>
      <c r="IP18" s="166">
        <v>-380.8449</v>
      </c>
      <c r="IQ18" s="166">
        <v>384.94200000000001</v>
      </c>
      <c r="IR18" s="166">
        <v>-185.9102</v>
      </c>
      <c r="IS18" s="166">
        <v>-232.9999</v>
      </c>
      <c r="IT18" s="166">
        <v>-369.14850000000001</v>
      </c>
      <c r="IU18" s="166">
        <v>90.872299999999996</v>
      </c>
      <c r="IV18" s="166">
        <v>92.581999999999994</v>
      </c>
      <c r="IW18" s="166">
        <v>189.46780000000001</v>
      </c>
      <c r="IX18" s="166">
        <v>-469.40460000000002</v>
      </c>
      <c r="IY18" s="166">
        <v>240.0504</v>
      </c>
      <c r="IZ18" s="166">
        <v>-236.42949999999999</v>
      </c>
      <c r="JA18" s="166">
        <v>240.8682</v>
      </c>
      <c r="JB18" s="166">
        <v>-9.4909999999999997</v>
      </c>
      <c r="JC18" s="166">
        <v>37.384999999999998</v>
      </c>
      <c r="JD18" s="166">
        <v>16.64</v>
      </c>
      <c r="JE18" s="166">
        <v>1.6559999999999999</v>
      </c>
      <c r="JF18" s="166">
        <v>1.6519999999999999</v>
      </c>
      <c r="JG18" s="166">
        <v>-16.64</v>
      </c>
      <c r="JH18" s="166">
        <v>-6.16</v>
      </c>
      <c r="JI18" s="167"/>
      <c r="JJ18" s="166">
        <v>5.8304999999999998</v>
      </c>
      <c r="JK18" s="166">
        <v>-39.580399999999997</v>
      </c>
      <c r="JL18" s="166">
        <v>-16.023499999999999</v>
      </c>
      <c r="JM18" s="166">
        <v>19.7</v>
      </c>
      <c r="JN18" s="166">
        <v>53.17</v>
      </c>
      <c r="JO18" s="166">
        <v>52.348999999999997</v>
      </c>
      <c r="JP18" s="167"/>
      <c r="JQ18" s="167"/>
      <c r="JR18" s="166">
        <v>49.866700000000002</v>
      </c>
      <c r="JS18" s="166">
        <v>50.1828</v>
      </c>
      <c r="JT18" s="166">
        <v>50.187600000000003</v>
      </c>
      <c r="JU18" s="167"/>
      <c r="JV18" s="166">
        <v>-8.6</v>
      </c>
      <c r="JW18" s="166">
        <v>18.449000000000002</v>
      </c>
      <c r="JX18" s="166">
        <v>5.74</v>
      </c>
      <c r="JY18" s="167"/>
      <c r="JZ18" s="166">
        <v>-48.537700000000001</v>
      </c>
      <c r="KA18" s="166">
        <v>78.795100000000005</v>
      </c>
      <c r="KB18" s="166">
        <v>59.356999999999999</v>
      </c>
      <c r="KC18" s="166">
        <v>-48.065800000000003</v>
      </c>
      <c r="KD18" s="166">
        <v>-76.838700000000003</v>
      </c>
      <c r="KE18" s="166">
        <v>49.459899999999998</v>
      </c>
      <c r="KF18" s="166">
        <v>27.244700000000002</v>
      </c>
      <c r="KG18" s="166">
        <v>-4.9000000000000004</v>
      </c>
      <c r="KH18" s="166">
        <v>4.0999999999999996</v>
      </c>
      <c r="KI18" s="166">
        <v>134.14060000000001</v>
      </c>
      <c r="KJ18" s="166">
        <v>-17.877099999999999</v>
      </c>
    </row>
    <row r="19" spans="1:296" ht="18" customHeight="1" x14ac:dyDescent="0.3">
      <c r="A19" s="162" t="s">
        <v>67</v>
      </c>
      <c r="B19" s="162" t="s">
        <v>818</v>
      </c>
      <c r="C19" s="166">
        <v>0</v>
      </c>
      <c r="D19" s="167"/>
      <c r="E19" s="166">
        <v>14.526</v>
      </c>
      <c r="F19" s="168">
        <v>-21.3367</v>
      </c>
      <c r="G19" s="166">
        <v>8.3260000000000005</v>
      </c>
      <c r="H19" s="166">
        <v>33.665700000000001</v>
      </c>
      <c r="I19" s="167"/>
      <c r="J19" s="166">
        <v>36.645899999999997</v>
      </c>
      <c r="K19" s="166">
        <v>-95.015500000000003</v>
      </c>
      <c r="L19" s="166">
        <v>48.011000000000003</v>
      </c>
      <c r="M19" s="166">
        <v>24.3993</v>
      </c>
      <c r="N19" s="166">
        <v>23.9191</v>
      </c>
      <c r="O19" s="166">
        <v>-35.520000000000003</v>
      </c>
      <c r="P19" s="166">
        <v>-33.564999999999998</v>
      </c>
      <c r="Q19" s="166">
        <v>30.8</v>
      </c>
      <c r="R19" s="166">
        <v>18.216000000000001</v>
      </c>
      <c r="S19" s="166">
        <v>-30.8</v>
      </c>
      <c r="T19" s="166">
        <v>14.576599999999999</v>
      </c>
      <c r="U19" s="166">
        <v>53.594000000000001</v>
      </c>
      <c r="V19" s="167"/>
      <c r="W19" s="166">
        <v>20.6495</v>
      </c>
      <c r="X19" s="166">
        <v>34.154000000000003</v>
      </c>
      <c r="Y19" s="166">
        <v>4.2401</v>
      </c>
      <c r="Z19" s="166">
        <v>4.8346999999999998</v>
      </c>
      <c r="AA19" s="166">
        <v>6.3612000000000002</v>
      </c>
      <c r="AB19" s="167"/>
      <c r="AC19" s="167"/>
      <c r="AD19" s="166">
        <v>-68.72</v>
      </c>
      <c r="AE19" s="166">
        <v>-68.819999999999993</v>
      </c>
      <c r="AF19" s="167"/>
      <c r="AG19" s="166">
        <v>35.520000000000003</v>
      </c>
      <c r="AH19" s="166">
        <v>33</v>
      </c>
      <c r="AI19" s="166">
        <v>19.927</v>
      </c>
      <c r="AJ19" s="166">
        <v>0.25900000000000001</v>
      </c>
      <c r="AK19" s="166">
        <v>-68.209999999999994</v>
      </c>
      <c r="AL19" s="168">
        <v>-68.52</v>
      </c>
      <c r="AM19" s="166">
        <v>-44.13</v>
      </c>
      <c r="AN19" s="166">
        <v>69.92</v>
      </c>
      <c r="AO19" s="166">
        <v>70.02</v>
      </c>
      <c r="AP19" s="167"/>
      <c r="AQ19" s="166">
        <v>2.0958999999999999</v>
      </c>
      <c r="AR19" s="166">
        <v>56.534100000000002</v>
      </c>
      <c r="AS19" s="166">
        <v>58.511899999999997</v>
      </c>
      <c r="AT19" s="166">
        <v>47.245199999999997</v>
      </c>
      <c r="AU19" s="166">
        <v>-58.591999999999999</v>
      </c>
      <c r="AV19" s="166">
        <v>-58.486400000000003</v>
      </c>
      <c r="AW19" s="166">
        <v>9.9293999999999993</v>
      </c>
      <c r="AX19" s="166">
        <v>9.2288999999999994</v>
      </c>
      <c r="AY19" s="166">
        <v>73.6203</v>
      </c>
      <c r="AZ19" s="166">
        <v>75.168999999999997</v>
      </c>
      <c r="BA19" s="166">
        <v>6.1032000000000002</v>
      </c>
      <c r="BB19" s="166">
        <v>4.6093999999999999</v>
      </c>
      <c r="BC19" s="166">
        <v>-435.23570000000001</v>
      </c>
      <c r="BD19" s="166">
        <v>-14.5251</v>
      </c>
      <c r="BE19" s="166">
        <v>-12.1</v>
      </c>
      <c r="BF19" s="166">
        <v>-12.2</v>
      </c>
      <c r="BG19" s="166">
        <v>64.563599999999994</v>
      </c>
      <c r="BH19" s="166">
        <v>64.492000000000004</v>
      </c>
      <c r="BI19" s="166">
        <v>-4.1547999999999998</v>
      </c>
      <c r="BJ19" s="167"/>
      <c r="BK19" s="166">
        <v>-60.814399999999999</v>
      </c>
      <c r="BL19" s="166">
        <v>4.2793999999999999</v>
      </c>
      <c r="BM19" s="166">
        <v>8.52</v>
      </c>
      <c r="BN19" s="166">
        <v>5.7328999999999999</v>
      </c>
      <c r="BO19" s="166">
        <v>476.57690000000002</v>
      </c>
      <c r="BP19" s="166">
        <v>82.918800000000005</v>
      </c>
      <c r="BQ19" s="166">
        <v>82.644099999999995</v>
      </c>
      <c r="BR19" s="166">
        <v>-500.47449999999998</v>
      </c>
      <c r="BS19" s="166">
        <v>384.56380000000001</v>
      </c>
      <c r="BT19" s="167"/>
      <c r="BU19" s="166">
        <v>-17.1721</v>
      </c>
      <c r="BV19" s="166">
        <v>19.952500000000001</v>
      </c>
      <c r="BW19" s="166">
        <v>79.946200000000005</v>
      </c>
      <c r="BX19" s="166">
        <v>25.99</v>
      </c>
      <c r="BY19" s="166">
        <v>28.05</v>
      </c>
      <c r="BZ19" s="166">
        <v>52.54</v>
      </c>
      <c r="CA19" s="166">
        <v>71.430000000000007</v>
      </c>
      <c r="CB19" s="166">
        <v>-29.198499999999999</v>
      </c>
      <c r="CC19" s="166">
        <v>-28.528700000000001</v>
      </c>
      <c r="CD19" s="166">
        <v>92.837000000000003</v>
      </c>
      <c r="CE19" s="166">
        <v>94.491799999999998</v>
      </c>
      <c r="CF19" s="166">
        <v>25.891999999999999</v>
      </c>
      <c r="CG19" s="166">
        <v>-70.338099999999997</v>
      </c>
      <c r="CH19" s="166">
        <v>-70.144800000000004</v>
      </c>
      <c r="CI19" s="166">
        <v>4.9311999999999996</v>
      </c>
      <c r="CJ19" s="166">
        <v>0</v>
      </c>
      <c r="CK19" s="167"/>
      <c r="CL19" s="167"/>
      <c r="CM19" s="166">
        <v>98</v>
      </c>
      <c r="CN19" s="166">
        <v>87.8</v>
      </c>
      <c r="CO19" s="166">
        <v>-14.25</v>
      </c>
      <c r="CP19" s="166">
        <v>69.866699999999994</v>
      </c>
      <c r="CQ19" s="166">
        <v>68.865099999999998</v>
      </c>
      <c r="CR19" s="166">
        <v>68.202100000000002</v>
      </c>
      <c r="CS19" s="166">
        <v>-12.6243</v>
      </c>
      <c r="CT19" s="166">
        <v>-11.9642</v>
      </c>
      <c r="CU19" s="166">
        <v>15.8733</v>
      </c>
      <c r="CV19" s="166">
        <v>-45.647500000000001</v>
      </c>
      <c r="CW19" s="166">
        <v>16.8825</v>
      </c>
      <c r="CX19" s="166">
        <v>13.105499999999999</v>
      </c>
      <c r="CY19" s="166">
        <v>51.05</v>
      </c>
      <c r="CZ19" s="166">
        <v>27.76</v>
      </c>
      <c r="DA19" s="166">
        <v>35.632300000000001</v>
      </c>
      <c r="DB19" s="166">
        <v>33.842500000000001</v>
      </c>
      <c r="DC19" s="166">
        <v>-27.258199999999999</v>
      </c>
      <c r="DD19" s="167"/>
      <c r="DE19" s="167"/>
      <c r="DF19" s="166">
        <v>0</v>
      </c>
      <c r="DG19" s="166">
        <v>-101.82129999999999</v>
      </c>
      <c r="DH19" s="167"/>
      <c r="DI19" s="167"/>
      <c r="DJ19" s="166">
        <v>-75.3</v>
      </c>
      <c r="DK19" s="166">
        <v>-74.099999999999994</v>
      </c>
      <c r="DL19" s="166">
        <v>19.294699999999999</v>
      </c>
      <c r="DM19" s="166">
        <v>37.299999999999997</v>
      </c>
      <c r="DN19" s="166">
        <v>42.18</v>
      </c>
      <c r="DO19" s="166">
        <v>50.58</v>
      </c>
      <c r="DP19" s="166">
        <v>37.049999999999997</v>
      </c>
      <c r="DQ19" s="166">
        <v>-5.51</v>
      </c>
      <c r="DR19" s="166">
        <v>63.395000000000003</v>
      </c>
      <c r="DS19" s="166">
        <v>98.893100000000004</v>
      </c>
      <c r="DT19" s="166">
        <v>-31.68</v>
      </c>
      <c r="DU19" s="166">
        <v>-32.28</v>
      </c>
      <c r="DV19" s="166">
        <v>105.09</v>
      </c>
      <c r="DW19" s="166">
        <v>53.35</v>
      </c>
      <c r="DX19" s="166">
        <v>101.8364</v>
      </c>
      <c r="DY19" s="166">
        <v>98.545500000000004</v>
      </c>
      <c r="DZ19" s="166">
        <v>-5.1787999999999998</v>
      </c>
      <c r="EA19" s="166">
        <v>-4.9181999999999997</v>
      </c>
      <c r="EB19" s="166">
        <v>193.89699999999999</v>
      </c>
      <c r="EC19" s="166">
        <v>149.94319999999999</v>
      </c>
      <c r="ED19" s="166">
        <v>144.72900000000001</v>
      </c>
      <c r="EE19" s="166">
        <v>145.7724</v>
      </c>
      <c r="EF19" s="166">
        <v>117.23739999999999</v>
      </c>
      <c r="EG19" s="166">
        <v>101.73739999999999</v>
      </c>
      <c r="EH19" s="166">
        <v>-27.013000000000002</v>
      </c>
      <c r="EI19" s="166">
        <v>512.57979999999998</v>
      </c>
      <c r="EJ19" s="166">
        <v>489.13290000000001</v>
      </c>
      <c r="EK19" s="167"/>
      <c r="EL19" s="166">
        <v>-29.536300000000001</v>
      </c>
      <c r="EM19" s="166">
        <v>-27.6629</v>
      </c>
      <c r="EN19" s="167"/>
      <c r="EO19" s="166">
        <v>58.6295</v>
      </c>
      <c r="EP19" s="166">
        <v>55.104500000000002</v>
      </c>
      <c r="EQ19" s="166">
        <v>56.88</v>
      </c>
      <c r="ER19" s="166">
        <v>-69.786600000000007</v>
      </c>
      <c r="ES19" s="166">
        <v>-70.898499999999999</v>
      </c>
      <c r="ET19" s="166">
        <v>-64.331900000000005</v>
      </c>
      <c r="EU19" s="166">
        <v>0</v>
      </c>
      <c r="EV19" s="166">
        <v>-26.41</v>
      </c>
      <c r="EW19" s="166">
        <v>1</v>
      </c>
      <c r="EX19" s="166">
        <v>11.7492</v>
      </c>
      <c r="EY19" s="166">
        <v>63.649700000000003</v>
      </c>
      <c r="EZ19" s="166">
        <v>-39.766599999999997</v>
      </c>
      <c r="FA19" s="166">
        <v>-38.283900000000003</v>
      </c>
      <c r="FB19" s="166">
        <v>12.2339</v>
      </c>
      <c r="FC19" s="166">
        <v>-98.659800000000004</v>
      </c>
      <c r="FD19" s="166">
        <v>64.683999999999997</v>
      </c>
      <c r="FE19" s="166">
        <v>19.802800000000001</v>
      </c>
      <c r="FF19" s="166">
        <v>24.6721</v>
      </c>
      <c r="FG19" s="167"/>
      <c r="FH19" s="166">
        <v>41.170200000000001</v>
      </c>
      <c r="FI19" s="166">
        <v>40.899799999999999</v>
      </c>
      <c r="FJ19" s="166">
        <v>40.550600000000003</v>
      </c>
      <c r="FK19" s="166">
        <v>25.453399999999998</v>
      </c>
      <c r="FL19" s="166">
        <v>26.625599999999999</v>
      </c>
      <c r="FM19" s="166">
        <v>-38.012599999999999</v>
      </c>
      <c r="FN19" s="166">
        <v>6.7045000000000003</v>
      </c>
      <c r="FO19" s="166">
        <v>6.9246999999999996</v>
      </c>
      <c r="FP19" s="166">
        <v>-44.338799999999999</v>
      </c>
      <c r="FQ19" s="166">
        <v>-39.578400000000002</v>
      </c>
      <c r="FR19" s="166">
        <v>6.7842000000000002</v>
      </c>
      <c r="FS19" s="166">
        <v>-33.11</v>
      </c>
      <c r="FT19" s="167"/>
      <c r="FU19" s="166">
        <v>0.84630000000000005</v>
      </c>
      <c r="FV19" s="166">
        <v>1.31</v>
      </c>
      <c r="FW19" s="166">
        <v>17.71</v>
      </c>
      <c r="FX19" s="166">
        <v>0</v>
      </c>
      <c r="FY19" s="167"/>
      <c r="FZ19" s="166">
        <v>-10.593999999999999</v>
      </c>
      <c r="GA19" s="166">
        <v>4.2240000000000002</v>
      </c>
      <c r="GB19" s="167"/>
      <c r="GC19" s="166">
        <v>32.130000000000003</v>
      </c>
      <c r="GD19" s="166">
        <v>41.850900000000003</v>
      </c>
      <c r="GE19" s="166">
        <v>44.407299999999999</v>
      </c>
      <c r="GF19" s="166">
        <v>14.32</v>
      </c>
      <c r="GG19" s="166">
        <v>75.493899999999996</v>
      </c>
      <c r="GH19" s="166">
        <v>27</v>
      </c>
      <c r="GI19" s="166">
        <v>-17.404299999999999</v>
      </c>
      <c r="GJ19" s="166">
        <v>-5.7008999999999999</v>
      </c>
      <c r="GK19" s="166">
        <v>-6.4291</v>
      </c>
      <c r="GL19" s="166">
        <v>1.4669000000000001</v>
      </c>
      <c r="GM19" s="167"/>
      <c r="GN19" s="167"/>
      <c r="GO19" s="166">
        <v>-15.684699999999999</v>
      </c>
      <c r="GP19" s="166">
        <v>-26.356200000000001</v>
      </c>
      <c r="GQ19" s="166">
        <v>11.5992</v>
      </c>
      <c r="GR19" s="166">
        <v>27.275400000000001</v>
      </c>
      <c r="GS19" s="166">
        <v>14.0243</v>
      </c>
      <c r="GT19" s="166">
        <v>13.4519</v>
      </c>
      <c r="GU19" s="166">
        <v>-103.82989999999999</v>
      </c>
      <c r="GV19" s="166">
        <v>-17.004300000000001</v>
      </c>
      <c r="GW19" s="166">
        <v>36.869599999999998</v>
      </c>
      <c r="GX19" s="166">
        <v>-48.958399999999997</v>
      </c>
      <c r="GY19" s="166">
        <v>12.6454</v>
      </c>
      <c r="GZ19" s="166">
        <v>7.7065000000000001</v>
      </c>
      <c r="HA19" s="166">
        <v>7.4055</v>
      </c>
      <c r="HB19" s="166">
        <v>14.326499999999999</v>
      </c>
      <c r="HC19" s="166">
        <v>159.52029999999999</v>
      </c>
      <c r="HD19" s="166">
        <v>160.21019999999999</v>
      </c>
      <c r="HE19" s="166">
        <v>190.3</v>
      </c>
      <c r="HF19" s="166">
        <v>-186.7612</v>
      </c>
      <c r="HG19" s="166">
        <v>-465.63310000000001</v>
      </c>
      <c r="HH19" s="166">
        <v>473.30399999999997</v>
      </c>
      <c r="HI19" s="166">
        <v>606.56769999999995</v>
      </c>
      <c r="HJ19" s="166">
        <v>-153.54089999999999</v>
      </c>
      <c r="HK19" s="166">
        <v>-151.417</v>
      </c>
      <c r="HL19" s="166">
        <v>-53.8962</v>
      </c>
      <c r="HM19" s="166">
        <v>-45.329599999999999</v>
      </c>
      <c r="HN19" s="166">
        <v>75.160799999999995</v>
      </c>
      <c r="HO19" s="166">
        <v>76.933199999999999</v>
      </c>
      <c r="HP19" s="166">
        <v>-110.36239999999999</v>
      </c>
      <c r="HQ19" s="167"/>
      <c r="HR19" s="166">
        <v>32.995199999999997</v>
      </c>
      <c r="HS19" s="166">
        <v>32.731499999999997</v>
      </c>
      <c r="HT19" s="166">
        <v>-82.030799999999999</v>
      </c>
      <c r="HU19" s="166">
        <v>-81.482500000000002</v>
      </c>
      <c r="HV19" s="166">
        <v>66.260000000000005</v>
      </c>
      <c r="HW19" s="166">
        <v>65.58</v>
      </c>
      <c r="HX19" s="166">
        <v>47.9</v>
      </c>
      <c r="HY19" s="166">
        <v>48.4</v>
      </c>
      <c r="HZ19" s="166">
        <v>21.002700000000001</v>
      </c>
      <c r="IA19" s="166">
        <v>35.520000000000003</v>
      </c>
      <c r="IB19" s="166">
        <v>-390.24169999999998</v>
      </c>
      <c r="IC19" s="166">
        <v>99.340599999999995</v>
      </c>
      <c r="ID19" s="166">
        <v>99.650700000000001</v>
      </c>
      <c r="IE19" s="166">
        <v>13.3</v>
      </c>
      <c r="IF19" s="166">
        <v>13.1</v>
      </c>
      <c r="IG19" s="166">
        <v>-31</v>
      </c>
      <c r="IH19" s="166">
        <v>-36.799999999999997</v>
      </c>
      <c r="II19" s="167"/>
      <c r="IJ19" s="166">
        <v>1.1999</v>
      </c>
      <c r="IK19" s="166">
        <v>-599.73710000000005</v>
      </c>
      <c r="IL19" s="166">
        <v>-452.95549999999997</v>
      </c>
      <c r="IM19" s="166">
        <v>491.42860000000002</v>
      </c>
      <c r="IN19" s="166">
        <v>389.12790000000001</v>
      </c>
      <c r="IO19" s="166">
        <v>-61.227899999999998</v>
      </c>
      <c r="IP19" s="166">
        <v>-382.75310000000002</v>
      </c>
      <c r="IQ19" s="166">
        <v>382.42340000000002</v>
      </c>
      <c r="IR19" s="166">
        <v>-187.4907</v>
      </c>
      <c r="IS19" s="166">
        <v>-228.54679999999999</v>
      </c>
      <c r="IT19" s="166">
        <v>-376.75630000000001</v>
      </c>
      <c r="IU19" s="166">
        <v>91.709500000000006</v>
      </c>
      <c r="IV19" s="166">
        <v>90.785700000000006</v>
      </c>
      <c r="IW19" s="166">
        <v>189.2071</v>
      </c>
      <c r="IX19" s="166">
        <v>-474.2174</v>
      </c>
      <c r="IY19" s="166">
        <v>237.51779999999999</v>
      </c>
      <c r="IZ19" s="166">
        <v>-240.42349999999999</v>
      </c>
      <c r="JA19" s="166">
        <v>244.05240000000001</v>
      </c>
      <c r="JB19" s="166">
        <v>-8.5159000000000002</v>
      </c>
      <c r="JC19" s="166">
        <v>39.229399999999998</v>
      </c>
      <c r="JD19" s="166">
        <v>16.32</v>
      </c>
      <c r="JE19" s="166">
        <v>1.44</v>
      </c>
      <c r="JF19" s="166">
        <v>1.423</v>
      </c>
      <c r="JG19" s="166">
        <v>-15.84</v>
      </c>
      <c r="JH19" s="166">
        <v>-5.44</v>
      </c>
      <c r="JI19" s="167"/>
      <c r="JJ19" s="166">
        <v>5.5679999999999996</v>
      </c>
      <c r="JK19" s="166">
        <v>-37.499000000000002</v>
      </c>
      <c r="JL19" s="166">
        <v>-15.614599999999999</v>
      </c>
      <c r="JM19" s="166">
        <v>19.100000000000001</v>
      </c>
      <c r="JN19" s="166">
        <v>53.546999999999997</v>
      </c>
      <c r="JO19" s="166">
        <v>52.631999999999998</v>
      </c>
      <c r="JP19" s="167"/>
      <c r="JQ19" s="167"/>
      <c r="JR19" s="166">
        <v>48.758600000000001</v>
      </c>
      <c r="JS19" s="166">
        <v>49.826099999999997</v>
      </c>
      <c r="JT19" s="166">
        <v>49.721299999999999</v>
      </c>
      <c r="JU19" s="167"/>
      <c r="JV19" s="166">
        <v>-12.4</v>
      </c>
      <c r="JW19" s="166">
        <v>17.197600000000001</v>
      </c>
      <c r="JX19" s="166">
        <v>6.22</v>
      </c>
      <c r="JY19" s="167"/>
      <c r="JZ19" s="166">
        <v>-44.4681</v>
      </c>
      <c r="KA19" s="166">
        <v>75.378900000000002</v>
      </c>
      <c r="KB19" s="166">
        <v>54.923299999999998</v>
      </c>
      <c r="KC19" s="166">
        <v>-44.201900000000002</v>
      </c>
      <c r="KD19" s="166">
        <v>-74.531199999999998</v>
      </c>
      <c r="KE19" s="166">
        <v>45.515900000000002</v>
      </c>
      <c r="KF19" s="166">
        <v>29.145700000000001</v>
      </c>
      <c r="KG19" s="166">
        <v>-0.9</v>
      </c>
      <c r="KH19" s="166">
        <v>1.2</v>
      </c>
      <c r="KI19" s="166">
        <v>140.04939999999999</v>
      </c>
      <c r="KJ19" s="166">
        <v>-11.8741</v>
      </c>
    </row>
    <row r="20" spans="1:296" ht="18" customHeight="1" x14ac:dyDescent="0.3">
      <c r="A20" s="162" t="s">
        <v>67</v>
      </c>
      <c r="B20" s="162" t="s">
        <v>819</v>
      </c>
      <c r="C20" s="166">
        <v>0</v>
      </c>
      <c r="D20" s="167"/>
      <c r="E20" s="166">
        <v>15.234500000000001</v>
      </c>
      <c r="F20" s="166">
        <v>-21.698</v>
      </c>
      <c r="G20" s="166">
        <v>8.5</v>
      </c>
      <c r="H20" s="166">
        <v>33.151800000000001</v>
      </c>
      <c r="I20" s="167"/>
      <c r="J20" s="166">
        <v>38.3172</v>
      </c>
      <c r="K20" s="166">
        <v>-98.327299999999994</v>
      </c>
      <c r="L20" s="166">
        <v>51.139800000000001</v>
      </c>
      <c r="M20" s="166">
        <v>25.8752</v>
      </c>
      <c r="N20" s="166">
        <v>25.51</v>
      </c>
      <c r="O20" s="166">
        <v>-8.8800000000000008</v>
      </c>
      <c r="P20" s="166">
        <v>-35.073999999999998</v>
      </c>
      <c r="Q20" s="166">
        <v>30.8</v>
      </c>
      <c r="R20" s="166">
        <v>17.388000000000002</v>
      </c>
      <c r="S20" s="166">
        <v>-30.8</v>
      </c>
      <c r="T20" s="166">
        <v>14.823399999999999</v>
      </c>
      <c r="U20" s="166">
        <v>58.9114</v>
      </c>
      <c r="V20" s="167"/>
      <c r="W20" s="166">
        <v>21.875800000000002</v>
      </c>
      <c r="X20" s="166">
        <v>36.589199999999998</v>
      </c>
      <c r="Y20" s="166">
        <v>4.0949999999999998</v>
      </c>
      <c r="Z20" s="166">
        <v>4.7129000000000003</v>
      </c>
      <c r="AA20" s="166">
        <v>5.5735999999999999</v>
      </c>
      <c r="AB20" s="167"/>
      <c r="AC20" s="167"/>
      <c r="AD20" s="166">
        <v>-62.74</v>
      </c>
      <c r="AE20" s="166">
        <v>-62.71</v>
      </c>
      <c r="AF20" s="167"/>
      <c r="AG20" s="166">
        <v>8.8800000000000008</v>
      </c>
      <c r="AH20" s="166">
        <v>33</v>
      </c>
      <c r="AI20" s="166">
        <v>21.597999999999999</v>
      </c>
      <c r="AJ20" s="166">
        <v>0.26700000000000002</v>
      </c>
      <c r="AK20" s="166">
        <v>-66.3</v>
      </c>
      <c r="AL20" s="168">
        <v>-64.959999999999994</v>
      </c>
      <c r="AM20" s="166">
        <v>-36.57</v>
      </c>
      <c r="AN20" s="166">
        <v>67.02</v>
      </c>
      <c r="AO20" s="166">
        <v>66.459999999999994</v>
      </c>
      <c r="AP20" s="167"/>
      <c r="AQ20" s="166">
        <v>2.8309000000000002</v>
      </c>
      <c r="AR20" s="166">
        <v>60.412500000000001</v>
      </c>
      <c r="AS20" s="166">
        <v>62.155500000000004</v>
      </c>
      <c r="AT20" s="166">
        <v>41.0563</v>
      </c>
      <c r="AU20" s="166">
        <v>-56.374499999999998</v>
      </c>
      <c r="AV20" s="166">
        <v>-55.5944</v>
      </c>
      <c r="AW20" s="166">
        <v>25.292000000000002</v>
      </c>
      <c r="AX20" s="166">
        <v>26.363099999999999</v>
      </c>
      <c r="AY20" s="166">
        <v>69.080600000000004</v>
      </c>
      <c r="AZ20" s="166">
        <v>69.881699999999995</v>
      </c>
      <c r="BA20" s="166">
        <v>14.282500000000001</v>
      </c>
      <c r="BB20" s="166">
        <v>13.2088</v>
      </c>
      <c r="BC20" s="166">
        <v>-429.35500000000002</v>
      </c>
      <c r="BD20" s="166">
        <v>-15.5573</v>
      </c>
      <c r="BE20" s="166">
        <v>-11.5</v>
      </c>
      <c r="BF20" s="166">
        <v>-11.5</v>
      </c>
      <c r="BG20" s="166">
        <v>61.578800000000001</v>
      </c>
      <c r="BH20" s="166">
        <v>60.450099999999999</v>
      </c>
      <c r="BI20" s="166">
        <v>-4.6006999999999998</v>
      </c>
      <c r="BJ20" s="167"/>
      <c r="BK20" s="166">
        <v>-51.198</v>
      </c>
      <c r="BL20" s="166">
        <v>3.5752999999999999</v>
      </c>
      <c r="BM20" s="166">
        <v>8.4682999999999993</v>
      </c>
      <c r="BN20" s="166">
        <v>5.7976999999999999</v>
      </c>
      <c r="BO20" s="166">
        <v>475.41719999999998</v>
      </c>
      <c r="BP20" s="166">
        <v>98.635800000000003</v>
      </c>
      <c r="BQ20" s="166">
        <v>98.788399999999996</v>
      </c>
      <c r="BR20" s="166">
        <v>-491.23289999999997</v>
      </c>
      <c r="BS20" s="166">
        <v>424.51569999999998</v>
      </c>
      <c r="BT20" s="167"/>
      <c r="BU20" s="166">
        <v>-9.0434999999999999</v>
      </c>
      <c r="BV20" s="166">
        <v>10.3101</v>
      </c>
      <c r="BW20" s="166">
        <v>84.007900000000006</v>
      </c>
      <c r="BX20" s="166">
        <v>26.59</v>
      </c>
      <c r="BY20" s="166">
        <v>29.32</v>
      </c>
      <c r="BZ20" s="166">
        <v>54.78</v>
      </c>
      <c r="CA20" s="166">
        <v>72.94</v>
      </c>
      <c r="CB20" s="166">
        <v>-38.709400000000002</v>
      </c>
      <c r="CC20" s="166">
        <v>-38.843400000000003</v>
      </c>
      <c r="CD20" s="166">
        <v>103.4717</v>
      </c>
      <c r="CE20" s="166">
        <v>103.176</v>
      </c>
      <c r="CF20" s="166">
        <v>25.533100000000001</v>
      </c>
      <c r="CG20" s="166">
        <v>-75.640799999999999</v>
      </c>
      <c r="CH20" s="166">
        <v>-75.630399999999995</v>
      </c>
      <c r="CI20" s="166">
        <v>2.2719999999999998</v>
      </c>
      <c r="CJ20" s="166">
        <v>0</v>
      </c>
      <c r="CK20" s="167"/>
      <c r="CL20" s="167"/>
      <c r="CM20" s="166">
        <v>102.3</v>
      </c>
      <c r="CN20" s="166">
        <v>91.5</v>
      </c>
      <c r="CO20" s="166">
        <v>-14.56</v>
      </c>
      <c r="CP20" s="166">
        <v>71.403400000000005</v>
      </c>
      <c r="CQ20" s="166">
        <v>69.171899999999994</v>
      </c>
      <c r="CR20" s="166">
        <v>68.290300000000002</v>
      </c>
      <c r="CS20" s="166">
        <v>-9.0693999999999999</v>
      </c>
      <c r="CT20" s="166">
        <v>-7.8357000000000001</v>
      </c>
      <c r="CU20" s="166">
        <v>23.3598</v>
      </c>
      <c r="CV20" s="166">
        <v>-59.503100000000003</v>
      </c>
      <c r="CW20" s="166">
        <v>24.771599999999999</v>
      </c>
      <c r="CX20" s="166">
        <v>13.4724</v>
      </c>
      <c r="CY20" s="166">
        <v>52.14</v>
      </c>
      <c r="CZ20" s="166">
        <v>28.54</v>
      </c>
      <c r="DA20" s="166">
        <v>37.507300000000001</v>
      </c>
      <c r="DB20" s="166">
        <v>35.600299999999997</v>
      </c>
      <c r="DC20" s="166">
        <v>-28.411300000000001</v>
      </c>
      <c r="DD20" s="167"/>
      <c r="DE20" s="167"/>
      <c r="DF20" s="166">
        <v>0</v>
      </c>
      <c r="DG20" s="166">
        <v>-93.151899999999998</v>
      </c>
      <c r="DH20" s="167"/>
      <c r="DI20" s="167"/>
      <c r="DJ20" s="166">
        <v>-82.5</v>
      </c>
      <c r="DK20" s="166">
        <v>-81.900000000000006</v>
      </c>
      <c r="DL20" s="166">
        <v>19.9374</v>
      </c>
      <c r="DM20" s="166">
        <v>41.7</v>
      </c>
      <c r="DN20" s="166">
        <v>46.88</v>
      </c>
      <c r="DO20" s="166">
        <v>56.26</v>
      </c>
      <c r="DP20" s="166">
        <v>41.16</v>
      </c>
      <c r="DQ20" s="166">
        <v>-5.53</v>
      </c>
      <c r="DR20" s="166">
        <v>61.798499999999997</v>
      </c>
      <c r="DS20" s="166">
        <v>92.747799999999998</v>
      </c>
      <c r="DT20" s="166">
        <v>-28.82</v>
      </c>
      <c r="DU20" s="166">
        <v>-28.74</v>
      </c>
      <c r="DV20" s="166">
        <v>104.87</v>
      </c>
      <c r="DW20" s="166">
        <v>55.63</v>
      </c>
      <c r="DX20" s="166">
        <v>94.818200000000004</v>
      </c>
      <c r="DY20" s="166">
        <v>91.636399999999995</v>
      </c>
      <c r="DZ20" s="166">
        <v>-16.4681</v>
      </c>
      <c r="EA20" s="166">
        <v>-17.381799999999998</v>
      </c>
      <c r="EB20" s="166">
        <v>190.13849999999999</v>
      </c>
      <c r="EC20" s="166">
        <v>145.01230000000001</v>
      </c>
      <c r="ED20" s="166">
        <v>140.0361</v>
      </c>
      <c r="EE20" s="166">
        <v>141.72120000000001</v>
      </c>
      <c r="EF20" s="166">
        <v>134.65199999999999</v>
      </c>
      <c r="EG20" s="166">
        <v>120.791</v>
      </c>
      <c r="EH20" s="166">
        <v>-25.539000000000001</v>
      </c>
      <c r="EI20" s="166">
        <v>504.62</v>
      </c>
      <c r="EJ20" s="166">
        <v>452.68060000000003</v>
      </c>
      <c r="EK20" s="167"/>
      <c r="EL20" s="166">
        <v>-29.2179</v>
      </c>
      <c r="EM20" s="166">
        <v>-27.847300000000001</v>
      </c>
      <c r="EN20" s="167"/>
      <c r="EO20" s="166">
        <v>40.1404</v>
      </c>
      <c r="EP20" s="166">
        <v>38.079700000000003</v>
      </c>
      <c r="EQ20" s="166">
        <v>182.84399999999999</v>
      </c>
      <c r="ER20" s="166">
        <v>-92.851699999999994</v>
      </c>
      <c r="ES20" s="166">
        <v>-95.038200000000003</v>
      </c>
      <c r="ET20" s="166">
        <v>-82.047600000000003</v>
      </c>
      <c r="EU20" s="166">
        <v>0</v>
      </c>
      <c r="EV20" s="166">
        <v>-24.11</v>
      </c>
      <c r="EW20" s="166">
        <v>119.6</v>
      </c>
      <c r="EX20" s="166">
        <v>12.4986</v>
      </c>
      <c r="EY20" s="166">
        <v>26.173400000000001</v>
      </c>
      <c r="EZ20" s="166">
        <v>-38.848199999999999</v>
      </c>
      <c r="FA20" s="166">
        <v>-38.007199999999997</v>
      </c>
      <c r="FB20" s="166">
        <v>12.4674</v>
      </c>
      <c r="FC20" s="166">
        <v>-116.88930000000001</v>
      </c>
      <c r="FD20" s="166">
        <v>85.056600000000003</v>
      </c>
      <c r="FE20" s="166">
        <v>19.769400000000001</v>
      </c>
      <c r="FF20" s="166">
        <v>24.478000000000002</v>
      </c>
      <c r="FG20" s="167"/>
      <c r="FH20" s="166">
        <v>40.567700000000002</v>
      </c>
      <c r="FI20" s="166">
        <v>41.277799999999999</v>
      </c>
      <c r="FJ20" s="166">
        <v>39.7896</v>
      </c>
      <c r="FK20" s="166">
        <v>38.682400000000001</v>
      </c>
      <c r="FL20" s="166">
        <v>39.017299999999999</v>
      </c>
      <c r="FM20" s="166">
        <v>-41.194299999999998</v>
      </c>
      <c r="FN20" s="166">
        <v>19.762499999999999</v>
      </c>
      <c r="FO20" s="166">
        <v>19.827500000000001</v>
      </c>
      <c r="FP20" s="166">
        <v>-46.345100000000002</v>
      </c>
      <c r="FQ20" s="166">
        <v>-40.557699999999997</v>
      </c>
      <c r="FR20" s="166">
        <v>3.0853999999999999</v>
      </c>
      <c r="FS20" s="166">
        <v>-32.15</v>
      </c>
      <c r="FT20" s="167"/>
      <c r="FU20" s="166">
        <v>0.87680000000000002</v>
      </c>
      <c r="FV20" s="166">
        <v>1.31</v>
      </c>
      <c r="FW20" s="166">
        <v>16</v>
      </c>
      <c r="FX20" s="166">
        <v>0</v>
      </c>
      <c r="FY20" s="167"/>
      <c r="FZ20" s="166">
        <v>-10.468</v>
      </c>
      <c r="GA20" s="166">
        <v>4.2190000000000003</v>
      </c>
      <c r="GB20" s="167"/>
      <c r="GC20" s="166">
        <v>30.27</v>
      </c>
      <c r="GD20" s="166">
        <v>40.336599999999997</v>
      </c>
      <c r="GE20" s="166">
        <v>44.711599999999997</v>
      </c>
      <c r="GF20" s="166">
        <v>14.01</v>
      </c>
      <c r="GG20" s="166">
        <v>71.941100000000006</v>
      </c>
      <c r="GH20" s="166">
        <v>25.1</v>
      </c>
      <c r="GI20" s="166">
        <v>-17.9316</v>
      </c>
      <c r="GJ20" s="166">
        <v>-5.4577</v>
      </c>
      <c r="GK20" s="166">
        <v>-5.5323000000000002</v>
      </c>
      <c r="GL20" s="166">
        <v>1.6087</v>
      </c>
      <c r="GM20" s="167"/>
      <c r="GN20" s="167"/>
      <c r="GO20" s="166">
        <v>-15.760199999999999</v>
      </c>
      <c r="GP20" s="166">
        <v>-28.881599999999999</v>
      </c>
      <c r="GQ20" s="166">
        <v>10.716200000000001</v>
      </c>
      <c r="GR20" s="166">
        <v>30.067699999999999</v>
      </c>
      <c r="GS20" s="166">
        <v>9.1061999999999994</v>
      </c>
      <c r="GT20" s="166">
        <v>9.859</v>
      </c>
      <c r="GU20" s="166">
        <v>-107.1865</v>
      </c>
      <c r="GV20" s="166">
        <v>-18.080100000000002</v>
      </c>
      <c r="GW20" s="166">
        <v>36.396299999999997</v>
      </c>
      <c r="GX20" s="166">
        <v>-50.477200000000003</v>
      </c>
      <c r="GY20" s="166">
        <v>12.311400000000001</v>
      </c>
      <c r="GZ20" s="166">
        <v>8.7027000000000001</v>
      </c>
      <c r="HA20" s="166">
        <v>8.3125</v>
      </c>
      <c r="HB20" s="166">
        <v>13.911099999999999</v>
      </c>
      <c r="HC20" s="166">
        <v>156.0189</v>
      </c>
      <c r="HD20" s="166">
        <v>156.1456</v>
      </c>
      <c r="HE20" s="166">
        <v>275.7</v>
      </c>
      <c r="HF20" s="166">
        <v>-273.75549999999998</v>
      </c>
      <c r="HG20" s="166">
        <v>-567.1857</v>
      </c>
      <c r="HH20" s="166">
        <v>568.20759999999996</v>
      </c>
      <c r="HI20" s="166">
        <v>631.43039999999996</v>
      </c>
      <c r="HJ20" s="166">
        <v>-150.4066</v>
      </c>
      <c r="HK20" s="166">
        <v>-148.50229999999999</v>
      </c>
      <c r="HL20" s="166">
        <v>-59.041699999999999</v>
      </c>
      <c r="HM20" s="166">
        <v>-50.889200000000002</v>
      </c>
      <c r="HN20" s="166">
        <v>72.210899999999995</v>
      </c>
      <c r="HO20" s="166">
        <v>73.615200000000002</v>
      </c>
      <c r="HP20" s="167"/>
      <c r="HQ20" s="167"/>
      <c r="HR20" s="166">
        <v>34.489400000000003</v>
      </c>
      <c r="HS20" s="166">
        <v>34.412500000000001</v>
      </c>
      <c r="HT20" s="166">
        <v>-82.064700000000002</v>
      </c>
      <c r="HU20" s="166">
        <v>-81.599299999999999</v>
      </c>
      <c r="HV20" s="166">
        <v>71.16</v>
      </c>
      <c r="HW20" s="166">
        <v>70.39</v>
      </c>
      <c r="HX20" s="166">
        <v>44.1</v>
      </c>
      <c r="HY20" s="166">
        <v>42.5</v>
      </c>
      <c r="HZ20" s="166">
        <v>20.776199999999999</v>
      </c>
      <c r="IA20" s="166">
        <v>34.56</v>
      </c>
      <c r="IB20" s="166">
        <v>-385.94510000000002</v>
      </c>
      <c r="IC20" s="166">
        <v>103.25920000000001</v>
      </c>
      <c r="ID20" s="166">
        <v>103.0043</v>
      </c>
      <c r="IE20" s="166">
        <v>13.3</v>
      </c>
      <c r="IF20" s="166">
        <v>5.0999999999999996</v>
      </c>
      <c r="IG20" s="166">
        <v>-33.6</v>
      </c>
      <c r="IH20" s="166">
        <v>-39.9</v>
      </c>
      <c r="II20" s="167"/>
      <c r="IJ20" s="167"/>
      <c r="IK20" s="166">
        <v>-622.34199999999998</v>
      </c>
      <c r="IL20" s="166">
        <v>-420.26859999999999</v>
      </c>
      <c r="IM20" s="166">
        <v>473.0686</v>
      </c>
      <c r="IN20" s="166">
        <v>381.36340000000001</v>
      </c>
      <c r="IO20" s="166">
        <v>-67.5822</v>
      </c>
      <c r="IP20" s="166">
        <v>-370.5403</v>
      </c>
      <c r="IQ20" s="166">
        <v>371.3777</v>
      </c>
      <c r="IR20" s="166">
        <v>-185.76009999999999</v>
      </c>
      <c r="IS20" s="166">
        <v>-229.7294</v>
      </c>
      <c r="IT20" s="166">
        <v>-362.38749999999999</v>
      </c>
      <c r="IU20" s="166">
        <v>83.981700000000004</v>
      </c>
      <c r="IV20" s="166">
        <v>86.261399999999995</v>
      </c>
      <c r="IW20" s="166">
        <v>188.73140000000001</v>
      </c>
      <c r="IX20" s="166">
        <v>-454.08539999999999</v>
      </c>
      <c r="IY20" s="166">
        <v>238.09030000000001</v>
      </c>
      <c r="IZ20" s="166">
        <v>-227.39230000000001</v>
      </c>
      <c r="JA20" s="166">
        <v>229.7903</v>
      </c>
      <c r="JB20" s="166">
        <v>-9.8618000000000006</v>
      </c>
      <c r="JC20" s="166">
        <v>38.399900000000002</v>
      </c>
      <c r="JD20" s="166">
        <v>14.32</v>
      </c>
      <c r="JE20" s="166">
        <v>1.296</v>
      </c>
      <c r="JF20" s="166">
        <v>1.3</v>
      </c>
      <c r="JG20" s="166">
        <v>-14.24</v>
      </c>
      <c r="JH20" s="166">
        <v>-6.32</v>
      </c>
      <c r="JI20" s="167"/>
      <c r="JJ20" s="166">
        <v>7.1794000000000002</v>
      </c>
      <c r="JK20" s="166">
        <v>-38.292499999999997</v>
      </c>
      <c r="JL20" s="166">
        <v>-18.895199999999999</v>
      </c>
      <c r="JM20" s="166">
        <v>21.4</v>
      </c>
      <c r="JN20" s="166">
        <v>51.212000000000003</v>
      </c>
      <c r="JO20" s="166">
        <v>52.331000000000003</v>
      </c>
      <c r="JP20" s="167"/>
      <c r="JQ20" s="167"/>
      <c r="JR20" s="166">
        <v>46.511800000000001</v>
      </c>
      <c r="JS20" s="166">
        <v>46.674599999999998</v>
      </c>
      <c r="JT20" s="166">
        <v>49.205500000000001</v>
      </c>
      <c r="JU20" s="167"/>
      <c r="JV20" s="166">
        <v>-4.4000000000000004</v>
      </c>
      <c r="JW20" s="166">
        <v>25.5594</v>
      </c>
      <c r="JX20" s="166">
        <v>6.75</v>
      </c>
      <c r="JY20" s="167"/>
      <c r="JZ20" s="166">
        <v>-48.497</v>
      </c>
      <c r="KA20" s="166">
        <v>80.2376</v>
      </c>
      <c r="KB20" s="166">
        <v>59.322400000000002</v>
      </c>
      <c r="KC20" s="166">
        <v>-47.424199999999999</v>
      </c>
      <c r="KD20" s="166">
        <v>-78.496600000000001</v>
      </c>
      <c r="KE20" s="166">
        <v>49.163899999999998</v>
      </c>
      <c r="KF20" s="166">
        <v>28.8215</v>
      </c>
      <c r="KG20" s="166">
        <v>-9.8000000000000007</v>
      </c>
      <c r="KH20" s="166">
        <v>9.1999999999999993</v>
      </c>
      <c r="KI20" s="166">
        <v>65.507099999999994</v>
      </c>
      <c r="KJ20" s="166">
        <v>58.724699999999999</v>
      </c>
    </row>
    <row r="21" spans="1:296" ht="18" customHeight="1" x14ac:dyDescent="0.3">
      <c r="A21" s="162" t="s">
        <v>67</v>
      </c>
      <c r="B21" s="162" t="s">
        <v>820</v>
      </c>
      <c r="C21" s="166">
        <v>0</v>
      </c>
      <c r="D21" s="167"/>
      <c r="E21" s="166">
        <v>15.807600000000001</v>
      </c>
      <c r="F21" s="166">
        <v>-22.623799999999999</v>
      </c>
      <c r="G21" s="166">
        <v>9.3018000000000001</v>
      </c>
      <c r="H21" s="166">
        <v>33.142600000000002</v>
      </c>
      <c r="I21" s="167"/>
      <c r="J21" s="166">
        <v>41.427</v>
      </c>
      <c r="K21" s="166">
        <v>-100.7225</v>
      </c>
      <c r="L21" s="166">
        <v>55.659199999999998</v>
      </c>
      <c r="M21" s="166">
        <v>28.255099999999999</v>
      </c>
      <c r="N21" s="166">
        <v>27.7241</v>
      </c>
      <c r="O21" s="166">
        <v>-13.32</v>
      </c>
      <c r="P21" s="166">
        <v>-37.923000000000002</v>
      </c>
      <c r="Q21" s="166">
        <v>33</v>
      </c>
      <c r="R21" s="166">
        <v>19.044</v>
      </c>
      <c r="S21" s="166">
        <v>-33</v>
      </c>
      <c r="T21" s="166">
        <v>14.732200000000001</v>
      </c>
      <c r="U21" s="166">
        <v>58.702199999999998</v>
      </c>
      <c r="V21" s="167"/>
      <c r="W21" s="166">
        <v>23.3598</v>
      </c>
      <c r="X21" s="166">
        <v>39.057699999999997</v>
      </c>
      <c r="Y21" s="166">
        <v>4.1390000000000002</v>
      </c>
      <c r="Z21" s="166">
        <v>5.2115999999999998</v>
      </c>
      <c r="AA21" s="166">
        <v>6.0218999999999996</v>
      </c>
      <c r="AB21" s="167"/>
      <c r="AC21" s="167"/>
      <c r="AD21" s="166">
        <v>-67.42</v>
      </c>
      <c r="AE21" s="166">
        <v>-67.62</v>
      </c>
      <c r="AF21" s="167"/>
      <c r="AG21" s="166">
        <v>13.32</v>
      </c>
      <c r="AH21" s="166">
        <v>35.200000000000003</v>
      </c>
      <c r="AI21" s="166">
        <v>23.855</v>
      </c>
      <c r="AJ21" s="166">
        <v>0.27100000000000002</v>
      </c>
      <c r="AK21" s="166">
        <v>-67.38</v>
      </c>
      <c r="AL21" s="168">
        <v>-67.010000000000005</v>
      </c>
      <c r="AM21" s="166">
        <v>-41.29</v>
      </c>
      <c r="AN21" s="166">
        <v>68.55</v>
      </c>
      <c r="AO21" s="166">
        <v>68.510000000000005</v>
      </c>
      <c r="AP21" s="167"/>
      <c r="AQ21" s="166">
        <v>1.8213999999999999</v>
      </c>
      <c r="AR21" s="166">
        <v>63.215899999999998</v>
      </c>
      <c r="AS21" s="166">
        <v>65.575800000000001</v>
      </c>
      <c r="AT21" s="166">
        <v>45.846699999999998</v>
      </c>
      <c r="AU21" s="166">
        <v>-57.612200000000001</v>
      </c>
      <c r="AV21" s="166">
        <v>-57.910200000000003</v>
      </c>
      <c r="AW21" s="166">
        <v>6.0195999999999996</v>
      </c>
      <c r="AX21" s="166">
        <v>5.4143999999999997</v>
      </c>
      <c r="AY21" s="166">
        <v>75.028199999999998</v>
      </c>
      <c r="AZ21" s="166">
        <v>76.3155</v>
      </c>
      <c r="BA21" s="166">
        <v>1.5026999999999999</v>
      </c>
      <c r="BB21" s="166">
        <v>0.34410000000000002</v>
      </c>
      <c r="BC21" s="166">
        <v>-435.959</v>
      </c>
      <c r="BD21" s="166">
        <v>-14.381600000000001</v>
      </c>
      <c r="BE21" s="166">
        <v>-12.7</v>
      </c>
      <c r="BF21" s="166">
        <v>-12.6</v>
      </c>
      <c r="BG21" s="166">
        <v>63.872500000000002</v>
      </c>
      <c r="BH21" s="166">
        <v>62.686700000000002</v>
      </c>
      <c r="BI21" s="166">
        <v>-4.4012000000000002</v>
      </c>
      <c r="BJ21" s="167"/>
      <c r="BK21" s="166">
        <v>-56.683399999999999</v>
      </c>
      <c r="BL21" s="166">
        <v>5.1639999999999997</v>
      </c>
      <c r="BM21" s="166">
        <v>9.5396000000000001</v>
      </c>
      <c r="BN21" s="166">
        <v>6.6519000000000004</v>
      </c>
      <c r="BO21" s="166">
        <v>473.95229999999998</v>
      </c>
      <c r="BP21" s="166">
        <v>99.246200000000002</v>
      </c>
      <c r="BQ21" s="166">
        <v>99.337699999999998</v>
      </c>
      <c r="BR21" s="166">
        <v>-492.28339999999997</v>
      </c>
      <c r="BS21" s="166">
        <v>437.33429999999998</v>
      </c>
      <c r="BT21" s="167"/>
      <c r="BU21" s="166">
        <v>-19.0183</v>
      </c>
      <c r="BV21" s="166">
        <v>20.1145</v>
      </c>
      <c r="BW21" s="166">
        <v>86.023700000000005</v>
      </c>
      <c r="BX21" s="166">
        <v>25.44</v>
      </c>
      <c r="BY21" s="166">
        <v>29</v>
      </c>
      <c r="BZ21" s="166">
        <v>56.59</v>
      </c>
      <c r="CA21" s="166">
        <v>72.900000000000006</v>
      </c>
      <c r="CB21" s="166">
        <v>-41.120600000000003</v>
      </c>
      <c r="CC21" s="166">
        <v>-41.120600000000003</v>
      </c>
      <c r="CD21" s="166">
        <v>107.5245</v>
      </c>
      <c r="CE21" s="166">
        <v>108.74169999999999</v>
      </c>
      <c r="CF21" s="166">
        <v>23.695900000000002</v>
      </c>
      <c r="CG21" s="166">
        <v>-78.005700000000004</v>
      </c>
      <c r="CH21" s="166">
        <v>-77.251499999999993</v>
      </c>
      <c r="CI21" s="166">
        <v>5.492</v>
      </c>
      <c r="CJ21" s="166">
        <v>0</v>
      </c>
      <c r="CK21" s="167"/>
      <c r="CL21" s="166">
        <v>28.664999999999999</v>
      </c>
      <c r="CM21" s="166">
        <v>107.4</v>
      </c>
      <c r="CN21" s="166">
        <v>96.2</v>
      </c>
      <c r="CO21" s="166">
        <v>-14.93</v>
      </c>
      <c r="CP21" s="166">
        <v>73.330600000000004</v>
      </c>
      <c r="CQ21" s="166">
        <v>72.014399999999995</v>
      </c>
      <c r="CR21" s="166">
        <v>70.910399999999996</v>
      </c>
      <c r="CS21" s="166">
        <v>-3.2103999999999999</v>
      </c>
      <c r="CT21" s="166">
        <v>-2.5716000000000001</v>
      </c>
      <c r="CU21" s="166">
        <v>12.407400000000001</v>
      </c>
      <c r="CV21" s="166">
        <v>-54.080399999999997</v>
      </c>
      <c r="CW21" s="166">
        <v>15.262700000000001</v>
      </c>
      <c r="CX21" s="166">
        <v>14.338699999999999</v>
      </c>
      <c r="CY21" s="166">
        <v>58.36</v>
      </c>
      <c r="CZ21" s="166">
        <v>31.76</v>
      </c>
      <c r="DA21" s="166">
        <v>40.788600000000002</v>
      </c>
      <c r="DB21" s="166">
        <v>38.676499999999997</v>
      </c>
      <c r="DC21" s="166">
        <v>-29.6479</v>
      </c>
      <c r="DD21" s="167"/>
      <c r="DE21" s="167"/>
      <c r="DF21" s="166">
        <v>0</v>
      </c>
      <c r="DG21" s="166">
        <v>-89.522499999999994</v>
      </c>
      <c r="DH21" s="167"/>
      <c r="DI21" s="167"/>
      <c r="DJ21" s="166">
        <v>-87.1</v>
      </c>
      <c r="DK21" s="166">
        <v>-86.1</v>
      </c>
      <c r="DL21" s="166">
        <v>20.3384</v>
      </c>
      <c r="DM21" s="166">
        <v>49.1</v>
      </c>
      <c r="DN21" s="166">
        <v>54.48</v>
      </c>
      <c r="DO21" s="166">
        <v>66.22</v>
      </c>
      <c r="DP21" s="166">
        <v>48.78</v>
      </c>
      <c r="DQ21" s="166">
        <v>-6.37</v>
      </c>
      <c r="DR21" s="166">
        <v>62.356499999999997</v>
      </c>
      <c r="DS21" s="166">
        <v>88.73</v>
      </c>
      <c r="DT21" s="166">
        <v>-32.49</v>
      </c>
      <c r="DU21" s="166">
        <v>-33.18</v>
      </c>
      <c r="DV21" s="166">
        <v>118.89</v>
      </c>
      <c r="DW21" s="166">
        <v>60.16</v>
      </c>
      <c r="DX21" s="166">
        <v>89.381799999999998</v>
      </c>
      <c r="DY21" s="166">
        <v>88.090900000000005</v>
      </c>
      <c r="DZ21" s="166">
        <v>-24.188800000000001</v>
      </c>
      <c r="EA21" s="166">
        <v>-24.181799999999999</v>
      </c>
      <c r="EB21" s="166">
        <v>196.98349999999999</v>
      </c>
      <c r="EC21" s="166">
        <v>152.8837</v>
      </c>
      <c r="ED21" s="166">
        <v>148.27459999999999</v>
      </c>
      <c r="EE21" s="166">
        <v>150.41749999999999</v>
      </c>
      <c r="EF21" s="166">
        <v>131.1317</v>
      </c>
      <c r="EG21" s="166">
        <v>113.25490000000001</v>
      </c>
      <c r="EH21" s="166">
        <v>-25.77</v>
      </c>
      <c r="EI21" s="166">
        <v>507.8999</v>
      </c>
      <c r="EJ21" s="166">
        <v>437.27280000000002</v>
      </c>
      <c r="EK21" s="167"/>
      <c r="EL21" s="166">
        <v>-32.249299999999998</v>
      </c>
      <c r="EM21" s="166">
        <v>-30.4575</v>
      </c>
      <c r="EN21" s="167"/>
      <c r="EO21" s="166">
        <v>42.450800000000001</v>
      </c>
      <c r="EP21" s="166">
        <v>41.241700000000002</v>
      </c>
      <c r="EQ21" s="166">
        <v>172.09200000000001</v>
      </c>
      <c r="ER21" s="166">
        <v>-92.528300000000002</v>
      </c>
      <c r="ES21" s="166">
        <v>-93.3078</v>
      </c>
      <c r="ET21" s="166">
        <v>-77.211399999999998</v>
      </c>
      <c r="EU21" s="166">
        <v>13.68</v>
      </c>
      <c r="EV21" s="166">
        <v>-11.57</v>
      </c>
      <c r="EW21" s="166">
        <v>116.9</v>
      </c>
      <c r="EX21" s="166">
        <v>14.002599999999999</v>
      </c>
      <c r="EY21" s="166">
        <v>21.489100000000001</v>
      </c>
      <c r="EZ21" s="166">
        <v>-36.101100000000002</v>
      </c>
      <c r="FA21" s="166">
        <v>-35.395699999999998</v>
      </c>
      <c r="FB21" s="166">
        <v>6.0265000000000004</v>
      </c>
      <c r="FC21" s="166">
        <v>-112.5689</v>
      </c>
      <c r="FD21" s="166">
        <v>82.017499999999998</v>
      </c>
      <c r="FE21" s="166">
        <v>20.8855</v>
      </c>
      <c r="FF21" s="166">
        <v>24.544499999999999</v>
      </c>
      <c r="FG21" s="167"/>
      <c r="FH21" s="166">
        <v>38.644300000000001</v>
      </c>
      <c r="FI21" s="166">
        <v>39.779600000000002</v>
      </c>
      <c r="FJ21" s="166">
        <v>39.068199999999997</v>
      </c>
      <c r="FK21" s="166">
        <v>40.691899999999997</v>
      </c>
      <c r="FL21" s="166">
        <v>41.026800000000001</v>
      </c>
      <c r="FM21" s="166">
        <v>-44.878300000000003</v>
      </c>
      <c r="FN21" s="166">
        <v>26.342400000000001</v>
      </c>
      <c r="FO21" s="166">
        <v>26.055900000000001</v>
      </c>
      <c r="FP21" s="166">
        <v>-50.009300000000003</v>
      </c>
      <c r="FQ21" s="166">
        <v>-43.678800000000003</v>
      </c>
      <c r="FR21" s="166">
        <v>-0.67930000000000001</v>
      </c>
      <c r="FS21" s="166">
        <v>-33.93</v>
      </c>
      <c r="FT21" s="167"/>
      <c r="FU21" s="166">
        <v>0.8206</v>
      </c>
      <c r="FV21" s="166">
        <v>1.3</v>
      </c>
      <c r="FW21" s="166">
        <v>14.99</v>
      </c>
      <c r="FX21" s="166">
        <v>0</v>
      </c>
      <c r="FY21" s="167"/>
      <c r="FZ21" s="166">
        <v>-11.083</v>
      </c>
      <c r="GA21" s="166">
        <v>4.2619999999999996</v>
      </c>
      <c r="GB21" s="167"/>
      <c r="GC21" s="166">
        <v>28.33</v>
      </c>
      <c r="GD21" s="166">
        <v>44.314599999999999</v>
      </c>
      <c r="GE21" s="166">
        <v>50.321899999999999</v>
      </c>
      <c r="GF21" s="168">
        <v>13.975</v>
      </c>
      <c r="GG21" s="166">
        <v>71.779499999999999</v>
      </c>
      <c r="GH21" s="166">
        <v>23.9</v>
      </c>
      <c r="GI21" s="166">
        <v>-18.904800000000002</v>
      </c>
      <c r="GJ21" s="166">
        <v>-5.9591000000000003</v>
      </c>
      <c r="GK21" s="166">
        <v>-6.3901000000000003</v>
      </c>
      <c r="GL21" s="166">
        <v>1.6902999999999999</v>
      </c>
      <c r="GM21" s="167"/>
      <c r="GN21" s="167"/>
      <c r="GO21" s="166">
        <v>-14.6235</v>
      </c>
      <c r="GP21" s="166">
        <v>-31.582699999999999</v>
      </c>
      <c r="GQ21" s="166">
        <v>10.0556</v>
      </c>
      <c r="GR21" s="166">
        <v>32.878700000000002</v>
      </c>
      <c r="GS21" s="166">
        <v>11.2217</v>
      </c>
      <c r="GT21" s="166">
        <v>11.328799999999999</v>
      </c>
      <c r="GU21" s="166">
        <v>-110.2307</v>
      </c>
      <c r="GV21" s="166">
        <v>-18.879100000000001</v>
      </c>
      <c r="GW21" s="166">
        <v>38.3384</v>
      </c>
      <c r="GX21" s="166">
        <v>-53.476799999999997</v>
      </c>
      <c r="GY21" s="166">
        <v>12.0618</v>
      </c>
      <c r="GZ21" s="166">
        <v>10.4129</v>
      </c>
      <c r="HA21" s="166">
        <v>10.1372</v>
      </c>
      <c r="HB21" s="166">
        <v>13.720800000000001</v>
      </c>
      <c r="HC21" s="166">
        <v>154.4315</v>
      </c>
      <c r="HD21" s="166">
        <v>153.38579999999999</v>
      </c>
      <c r="HE21" s="166">
        <v>279.10000000000002</v>
      </c>
      <c r="HF21" s="166">
        <v>-277.37419999999997</v>
      </c>
      <c r="HG21" s="166">
        <v>-566.56259999999997</v>
      </c>
      <c r="HH21" s="166">
        <v>569.86260000000004</v>
      </c>
      <c r="HI21" s="166">
        <v>618.33550000000002</v>
      </c>
      <c r="HJ21" s="166">
        <v>-147.3527</v>
      </c>
      <c r="HK21" s="166">
        <v>-145.1088</v>
      </c>
      <c r="HL21" s="166">
        <v>-56.834600000000002</v>
      </c>
      <c r="HM21" s="166">
        <v>-48.8887</v>
      </c>
      <c r="HN21" s="166">
        <v>69.280799999999999</v>
      </c>
      <c r="HO21" s="166">
        <v>72.2577</v>
      </c>
      <c r="HP21" s="167"/>
      <c r="HQ21" s="166">
        <v>-114.1901</v>
      </c>
      <c r="HR21" s="166">
        <v>35.324300000000001</v>
      </c>
      <c r="HS21" s="166">
        <v>34.555300000000003</v>
      </c>
      <c r="HT21" s="166">
        <v>-84.122399999999999</v>
      </c>
      <c r="HU21" s="166">
        <v>-83.742199999999997</v>
      </c>
      <c r="HV21" s="166">
        <v>65.31</v>
      </c>
      <c r="HW21" s="166">
        <v>64.77</v>
      </c>
      <c r="HX21" s="166">
        <v>41.7</v>
      </c>
      <c r="HY21" s="166">
        <v>42</v>
      </c>
      <c r="HZ21" s="166">
        <v>20.816800000000001</v>
      </c>
      <c r="IA21" s="166">
        <v>31.12</v>
      </c>
      <c r="IB21" s="166">
        <v>-391.2013</v>
      </c>
      <c r="IC21" s="166">
        <v>105.8169</v>
      </c>
      <c r="ID21" s="166">
        <v>105.61660000000001</v>
      </c>
      <c r="IE21" s="166">
        <v>13.9</v>
      </c>
      <c r="IF21" s="166">
        <v>3.9</v>
      </c>
      <c r="IG21" s="166">
        <v>-33.5</v>
      </c>
      <c r="IH21" s="166">
        <v>-39.1</v>
      </c>
      <c r="II21" s="166">
        <v>1.4719</v>
      </c>
      <c r="IJ21" s="166">
        <v>1.3604000000000001</v>
      </c>
      <c r="IK21" s="166">
        <v>-603.08460000000002</v>
      </c>
      <c r="IL21" s="166">
        <v>-403.6026</v>
      </c>
      <c r="IM21" s="166">
        <v>463.97669999999999</v>
      </c>
      <c r="IN21" s="166">
        <v>369.48540000000003</v>
      </c>
      <c r="IO21" s="166">
        <v>-63.020699999999998</v>
      </c>
      <c r="IP21" s="166">
        <v>-356.92829999999998</v>
      </c>
      <c r="IQ21" s="166">
        <v>359.61770000000001</v>
      </c>
      <c r="IR21" s="166">
        <v>-192.6199</v>
      </c>
      <c r="IS21" s="166">
        <v>-223.15960000000001</v>
      </c>
      <c r="IT21" s="166">
        <v>-353.48289999999997</v>
      </c>
      <c r="IU21" s="166">
        <v>86.819000000000003</v>
      </c>
      <c r="IV21" s="166">
        <v>85.650099999999995</v>
      </c>
      <c r="IW21" s="166">
        <v>196.0085</v>
      </c>
      <c r="IX21" s="166">
        <v>-444.5487</v>
      </c>
      <c r="IY21" s="166">
        <v>231.7859</v>
      </c>
      <c r="IZ21" s="166">
        <v>-221.57239999999999</v>
      </c>
      <c r="JA21" s="166">
        <v>222.34119999999999</v>
      </c>
      <c r="JB21" s="166">
        <v>-9.7024000000000008</v>
      </c>
      <c r="JC21" s="166">
        <v>37.567799999999998</v>
      </c>
      <c r="JD21" s="166">
        <v>12.64</v>
      </c>
      <c r="JE21" s="166">
        <v>1.4079999999999999</v>
      </c>
      <c r="JF21" s="166">
        <v>1.4039999999999999</v>
      </c>
      <c r="JG21" s="166">
        <v>-12.72</v>
      </c>
      <c r="JH21" s="166">
        <v>-7.28</v>
      </c>
      <c r="JI21" s="167"/>
      <c r="JJ21" s="166">
        <v>7.7957999999999998</v>
      </c>
      <c r="JK21" s="166">
        <v>-36.943600000000004</v>
      </c>
      <c r="JL21" s="166">
        <v>-20.332599999999999</v>
      </c>
      <c r="JM21" s="166">
        <v>21.3</v>
      </c>
      <c r="JN21" s="166">
        <v>52.850999999999999</v>
      </c>
      <c r="JO21" s="166">
        <v>53.125</v>
      </c>
      <c r="JP21" s="167"/>
      <c r="JQ21" s="167"/>
      <c r="JR21" s="166">
        <v>45.0702</v>
      </c>
      <c r="JS21" s="166">
        <v>45.086399999999998</v>
      </c>
      <c r="JT21" s="166">
        <v>45.586100000000002</v>
      </c>
      <c r="JU21" s="167"/>
      <c r="JV21" s="166">
        <v>-2.1</v>
      </c>
      <c r="JW21" s="166">
        <v>29.092300000000002</v>
      </c>
      <c r="JX21" s="166">
        <v>7.43</v>
      </c>
      <c r="JY21" s="167"/>
      <c r="JZ21" s="166">
        <v>-47.0259</v>
      </c>
      <c r="KA21" s="166">
        <v>79.065799999999996</v>
      </c>
      <c r="KB21" s="166">
        <v>58.394599999999997</v>
      </c>
      <c r="KC21" s="166">
        <v>-46.353099999999998</v>
      </c>
      <c r="KD21" s="166">
        <v>-77.524299999999997</v>
      </c>
      <c r="KE21" s="166">
        <v>48.054099999999998</v>
      </c>
      <c r="KF21" s="166">
        <v>29.113099999999999</v>
      </c>
      <c r="KG21" s="166">
        <v>-10.9</v>
      </c>
      <c r="KH21" s="166">
        <v>11.6</v>
      </c>
      <c r="KI21" s="166">
        <v>49.729399999999998</v>
      </c>
      <c r="KJ21" s="166">
        <v>75.922899999999998</v>
      </c>
    </row>
    <row r="22" spans="1:296" ht="18" customHeight="1" x14ac:dyDescent="0.3">
      <c r="A22" s="162" t="s">
        <v>67</v>
      </c>
      <c r="B22" s="162" t="s">
        <v>821</v>
      </c>
      <c r="C22" s="166">
        <v>0</v>
      </c>
      <c r="D22" s="167"/>
      <c r="E22" s="166">
        <v>15.7883</v>
      </c>
      <c r="F22" s="166">
        <v>-22.6145</v>
      </c>
      <c r="G22" s="166">
        <v>1.1112</v>
      </c>
      <c r="H22" s="166">
        <v>32.642200000000003</v>
      </c>
      <c r="I22" s="167"/>
      <c r="J22" s="166">
        <v>38.9011</v>
      </c>
      <c r="K22" s="166">
        <v>-93.357100000000003</v>
      </c>
      <c r="L22" s="166">
        <v>54.875399999999999</v>
      </c>
      <c r="M22" s="166">
        <v>27.8871</v>
      </c>
      <c r="N22" s="166">
        <v>27.0623</v>
      </c>
      <c r="O22" s="166">
        <v>-11.1</v>
      </c>
      <c r="P22" s="166">
        <v>-39.069000000000003</v>
      </c>
      <c r="Q22" s="166">
        <v>33</v>
      </c>
      <c r="R22" s="166">
        <v>19.044</v>
      </c>
      <c r="S22" s="166">
        <v>-33</v>
      </c>
      <c r="T22" s="166">
        <v>14.854900000000001</v>
      </c>
      <c r="U22" s="166">
        <v>51.404600000000002</v>
      </c>
      <c r="V22" s="167"/>
      <c r="W22" s="166">
        <v>23.127800000000001</v>
      </c>
      <c r="X22" s="166">
        <v>38.466700000000003</v>
      </c>
      <c r="Y22" s="166">
        <v>3.6166</v>
      </c>
      <c r="Z22" s="166">
        <v>4.7766999999999999</v>
      </c>
      <c r="AA22" s="166">
        <v>5.5617999999999999</v>
      </c>
      <c r="AB22" s="167"/>
      <c r="AC22" s="167"/>
      <c r="AD22" s="166">
        <v>-64.540000000000006</v>
      </c>
      <c r="AE22" s="166">
        <v>-64.59</v>
      </c>
      <c r="AF22" s="167"/>
      <c r="AG22" s="166">
        <v>11.1</v>
      </c>
      <c r="AH22" s="166">
        <v>37.4</v>
      </c>
      <c r="AI22" s="166">
        <v>23.422999999999998</v>
      </c>
      <c r="AJ22" s="166">
        <v>0.26800000000000002</v>
      </c>
      <c r="AK22" s="166">
        <v>-69.349999999999994</v>
      </c>
      <c r="AL22" s="168">
        <v>-69.150000000000006</v>
      </c>
      <c r="AM22" s="166">
        <v>-34.549999999999997</v>
      </c>
      <c r="AN22" s="166">
        <v>70.38</v>
      </c>
      <c r="AO22" s="166">
        <v>70.650000000000006</v>
      </c>
      <c r="AP22" s="166">
        <v>13.5062</v>
      </c>
      <c r="AQ22" s="166">
        <v>1.5512999999999999</v>
      </c>
      <c r="AR22" s="166">
        <v>62.378500000000003</v>
      </c>
      <c r="AS22" s="166">
        <v>64.242599999999996</v>
      </c>
      <c r="AT22" s="166">
        <v>46.2361</v>
      </c>
      <c r="AU22" s="166">
        <v>-52.563299999999998</v>
      </c>
      <c r="AV22" s="166">
        <v>-52.734099999999998</v>
      </c>
      <c r="AW22" s="166">
        <v>28.638100000000001</v>
      </c>
      <c r="AX22" s="166">
        <v>27.178000000000001</v>
      </c>
      <c r="AY22" s="166">
        <v>70.969399999999993</v>
      </c>
      <c r="AZ22" s="166">
        <v>72.136399999999995</v>
      </c>
      <c r="BA22" s="166">
        <v>18.833400000000001</v>
      </c>
      <c r="BB22" s="166">
        <v>15.7997</v>
      </c>
      <c r="BC22" s="166">
        <v>-467.36869999999999</v>
      </c>
      <c r="BD22" s="166">
        <v>-18.549499999999998</v>
      </c>
      <c r="BE22" s="166">
        <v>-10.8</v>
      </c>
      <c r="BF22" s="166">
        <v>-11</v>
      </c>
      <c r="BG22" s="166">
        <v>57.449100000000001</v>
      </c>
      <c r="BH22" s="166">
        <v>57.317</v>
      </c>
      <c r="BI22" s="166">
        <v>-4.2234999999999996</v>
      </c>
      <c r="BJ22" s="167"/>
      <c r="BK22" s="166">
        <v>-42.764800000000001</v>
      </c>
      <c r="BL22" s="166">
        <v>2.9554999999999998</v>
      </c>
      <c r="BM22" s="166">
        <v>9.7995000000000001</v>
      </c>
      <c r="BN22" s="166">
        <v>6.5339999999999998</v>
      </c>
      <c r="BO22" s="166">
        <v>515.12180000000001</v>
      </c>
      <c r="BP22" s="166">
        <v>125.61409999999999</v>
      </c>
      <c r="BQ22" s="166">
        <v>125.4616</v>
      </c>
      <c r="BR22" s="166">
        <v>-538.40359999999998</v>
      </c>
      <c r="BS22" s="166">
        <v>480.99610000000001</v>
      </c>
      <c r="BT22" s="167"/>
      <c r="BU22" s="166">
        <v>-9.2608999999999995</v>
      </c>
      <c r="BV22" s="166">
        <v>10.523400000000001</v>
      </c>
      <c r="BW22" s="166">
        <v>83.528899999999993</v>
      </c>
      <c r="BX22" s="166">
        <v>26.31</v>
      </c>
      <c r="BY22" s="166">
        <v>27.63</v>
      </c>
      <c r="BZ22" s="166">
        <v>56.6</v>
      </c>
      <c r="CA22" s="166">
        <v>78.03</v>
      </c>
      <c r="CB22" s="166">
        <v>-41.254600000000003</v>
      </c>
      <c r="CC22" s="166">
        <v>-40.986699999999999</v>
      </c>
      <c r="CD22" s="166">
        <v>106.8105</v>
      </c>
      <c r="CE22" s="166">
        <v>107.0449</v>
      </c>
      <c r="CF22" s="166">
        <v>25.429099999999998</v>
      </c>
      <c r="CG22" s="166">
        <v>-89.211600000000004</v>
      </c>
      <c r="CH22" s="166">
        <v>-89.034199999999998</v>
      </c>
      <c r="CI22" s="166">
        <v>1.0631999999999999</v>
      </c>
      <c r="CJ22" s="166">
        <v>0</v>
      </c>
      <c r="CK22" s="167"/>
      <c r="CL22" s="168">
        <v>28.825500000000002</v>
      </c>
      <c r="CM22" s="166">
        <v>111.1</v>
      </c>
      <c r="CN22" s="166">
        <v>100.3</v>
      </c>
      <c r="CO22" s="166">
        <v>-15.38</v>
      </c>
      <c r="CP22" s="166">
        <v>68.025999999999996</v>
      </c>
      <c r="CQ22" s="166">
        <v>67.435299999999998</v>
      </c>
      <c r="CR22" s="166">
        <v>67.006600000000006</v>
      </c>
      <c r="CS22" s="166">
        <v>-9.2215000000000007</v>
      </c>
      <c r="CT22" s="166">
        <v>-8.3987999999999996</v>
      </c>
      <c r="CU22" s="166">
        <v>43.830800000000004</v>
      </c>
      <c r="CV22" s="166">
        <v>-79.991600000000005</v>
      </c>
      <c r="CW22" s="166">
        <v>48.137099999999997</v>
      </c>
      <c r="CX22" s="166">
        <v>13.4552</v>
      </c>
      <c r="CY22" s="166">
        <v>58.89</v>
      </c>
      <c r="CZ22" s="166">
        <v>30.81</v>
      </c>
      <c r="DA22" s="166">
        <v>42.194800000000001</v>
      </c>
      <c r="DB22" s="166">
        <v>39.994799999999998</v>
      </c>
      <c r="DC22" s="166">
        <v>-29.1859</v>
      </c>
      <c r="DD22" s="167"/>
      <c r="DE22" s="167"/>
      <c r="DF22" s="166">
        <v>0</v>
      </c>
      <c r="DG22" s="166">
        <v>-98.007000000000005</v>
      </c>
      <c r="DH22" s="167"/>
      <c r="DI22" s="167"/>
      <c r="DJ22" s="166">
        <v>-88.5</v>
      </c>
      <c r="DK22" s="166">
        <v>-88.2</v>
      </c>
      <c r="DL22" s="166">
        <v>20.569199999999999</v>
      </c>
      <c r="DM22" s="166">
        <v>52.1</v>
      </c>
      <c r="DN22" s="166">
        <v>56.14</v>
      </c>
      <c r="DO22" s="166">
        <v>70.48</v>
      </c>
      <c r="DP22" s="166">
        <v>51.46</v>
      </c>
      <c r="DQ22" s="166">
        <v>-6.49</v>
      </c>
      <c r="DR22" s="166">
        <v>59.442500000000003</v>
      </c>
      <c r="DS22" s="166">
        <v>98.400599999999997</v>
      </c>
      <c r="DT22" s="166">
        <v>-27.92</v>
      </c>
      <c r="DU22" s="166">
        <v>-28.62</v>
      </c>
      <c r="DV22" s="166">
        <v>108.39</v>
      </c>
      <c r="DW22" s="166">
        <v>56.95</v>
      </c>
      <c r="DX22" s="166">
        <v>99.709100000000007</v>
      </c>
      <c r="DY22" s="166">
        <v>95.454499999999996</v>
      </c>
      <c r="DZ22" s="166">
        <v>-19.002099999999999</v>
      </c>
      <c r="EA22" s="166">
        <v>-19.4909</v>
      </c>
      <c r="EB22" s="166">
        <v>202.3854</v>
      </c>
      <c r="EC22" s="166">
        <v>158.27860000000001</v>
      </c>
      <c r="ED22" s="166">
        <v>152.9119</v>
      </c>
      <c r="EE22" s="166">
        <v>154.5025</v>
      </c>
      <c r="EF22" s="166">
        <v>123.97020000000001</v>
      </c>
      <c r="EG22" s="166">
        <v>105.83629999999999</v>
      </c>
      <c r="EH22" s="166">
        <v>-24.207000000000001</v>
      </c>
      <c r="EI22" s="166">
        <v>553.53579999999999</v>
      </c>
      <c r="EJ22" s="166">
        <v>362.85539999999997</v>
      </c>
      <c r="EK22" s="167"/>
      <c r="EL22" s="166">
        <v>-33.484299999999998</v>
      </c>
      <c r="EM22" s="166">
        <v>-31.851099999999999</v>
      </c>
      <c r="EN22" s="167"/>
      <c r="EO22" s="166">
        <v>22.734000000000002</v>
      </c>
      <c r="EP22" s="166">
        <v>22.9315</v>
      </c>
      <c r="EQ22" s="166">
        <v>155.196</v>
      </c>
      <c r="ER22" s="166">
        <v>-85.606899999999996</v>
      </c>
      <c r="ES22" s="166">
        <v>-87.870500000000007</v>
      </c>
      <c r="ET22" s="166">
        <v>-70.648499999999999</v>
      </c>
      <c r="EU22" s="166">
        <v>0</v>
      </c>
      <c r="EV22" s="166">
        <v>-26.56</v>
      </c>
      <c r="EW22" s="166">
        <v>115.3</v>
      </c>
      <c r="EX22" s="166">
        <v>10.045500000000001</v>
      </c>
      <c r="EY22" s="166">
        <v>1.7015</v>
      </c>
      <c r="EZ22" s="166">
        <v>-36.331099999999999</v>
      </c>
      <c r="FA22" s="166">
        <v>-35.619700000000002</v>
      </c>
      <c r="FB22" s="166">
        <v>10.3101</v>
      </c>
      <c r="FC22" s="166">
        <v>-103.351</v>
      </c>
      <c r="FD22" s="166">
        <v>74.632099999999994</v>
      </c>
      <c r="FE22" s="166">
        <v>20.439800000000002</v>
      </c>
      <c r="FF22" s="166">
        <v>24.9373</v>
      </c>
      <c r="FG22" s="167"/>
      <c r="FH22" s="166">
        <v>40.125900000000001</v>
      </c>
      <c r="FI22" s="166">
        <v>41.083399999999997</v>
      </c>
      <c r="FJ22" s="166">
        <v>39.185200000000002</v>
      </c>
      <c r="FK22" s="166">
        <v>42.031500000000001</v>
      </c>
      <c r="FL22" s="166">
        <v>42.198999999999998</v>
      </c>
      <c r="FM22" s="166">
        <v>-34.663499999999999</v>
      </c>
      <c r="FN22" s="166">
        <v>21.479099999999999</v>
      </c>
      <c r="FO22" s="166">
        <v>21.784700000000001</v>
      </c>
      <c r="FP22" s="166">
        <v>-42.022300000000001</v>
      </c>
      <c r="FQ22" s="166">
        <v>-34.497999999999998</v>
      </c>
      <c r="FR22" s="166">
        <v>-0.19589999999999999</v>
      </c>
      <c r="FS22" s="166">
        <v>-32.78</v>
      </c>
      <c r="FT22" s="167"/>
      <c r="FU22" s="166">
        <v>0.90359999999999996</v>
      </c>
      <c r="FV22" s="166">
        <v>1.3</v>
      </c>
      <c r="FW22" s="166">
        <v>14.76</v>
      </c>
      <c r="FX22" s="166">
        <v>0</v>
      </c>
      <c r="FY22" s="167"/>
      <c r="FZ22" s="166">
        <v>-11.627000000000001</v>
      </c>
      <c r="GA22" s="166">
        <v>4.3109999999999999</v>
      </c>
      <c r="GB22" s="167"/>
      <c r="GC22" s="166">
        <v>27.88</v>
      </c>
      <c r="GD22" s="166">
        <v>34.915199999999999</v>
      </c>
      <c r="GE22" s="166">
        <v>43.642400000000002</v>
      </c>
      <c r="GF22" s="166">
        <v>13.94</v>
      </c>
      <c r="GG22" s="166">
        <v>69.981899999999996</v>
      </c>
      <c r="GH22" s="166">
        <v>24</v>
      </c>
      <c r="GI22" s="166">
        <v>-20.929400000000001</v>
      </c>
      <c r="GJ22" s="166">
        <v>-5.4172000000000002</v>
      </c>
      <c r="GK22" s="166">
        <v>-5.6462000000000003</v>
      </c>
      <c r="GL22" s="166">
        <v>1.6712</v>
      </c>
      <c r="GM22" s="167"/>
      <c r="GN22" s="167"/>
      <c r="GO22" s="166">
        <v>-13.903600000000001</v>
      </c>
      <c r="GP22" s="166">
        <v>-33.739199999999997</v>
      </c>
      <c r="GQ22" s="166">
        <v>10.696400000000001</v>
      </c>
      <c r="GR22" s="166">
        <v>34.688499999999998</v>
      </c>
      <c r="GS22" s="166">
        <v>12.4711</v>
      </c>
      <c r="GT22" s="166">
        <v>12.247</v>
      </c>
      <c r="GU22" s="166">
        <v>-117.58499999999999</v>
      </c>
      <c r="GV22" s="166">
        <v>-19.672999999999998</v>
      </c>
      <c r="GW22" s="166">
        <v>39.400399999999998</v>
      </c>
      <c r="GX22" s="166">
        <v>-53.683700000000002</v>
      </c>
      <c r="GY22" s="166">
        <v>12.8004</v>
      </c>
      <c r="GZ22" s="166">
        <v>11.262499999999999</v>
      </c>
      <c r="HA22" s="166">
        <v>10.803000000000001</v>
      </c>
      <c r="HB22" s="166">
        <v>14.322100000000001</v>
      </c>
      <c r="HC22" s="166">
        <v>130.84389999999999</v>
      </c>
      <c r="HD22" s="166">
        <v>131.97290000000001</v>
      </c>
      <c r="HE22" s="166">
        <v>238.9</v>
      </c>
      <c r="HF22" s="166">
        <v>-237.73050000000001</v>
      </c>
      <c r="HG22" s="166">
        <v>-495.28859999999997</v>
      </c>
      <c r="HH22" s="166">
        <v>500.1807</v>
      </c>
      <c r="HI22" s="166">
        <v>510.79250000000002</v>
      </c>
      <c r="HJ22" s="166">
        <v>-127.4269</v>
      </c>
      <c r="HK22" s="166">
        <v>-124.6382</v>
      </c>
      <c r="HL22" s="166">
        <v>-58.068300000000001</v>
      </c>
      <c r="HM22" s="166">
        <v>-50.228999999999999</v>
      </c>
      <c r="HN22" s="166">
        <v>78.951300000000003</v>
      </c>
      <c r="HO22" s="166">
        <v>79.072800000000001</v>
      </c>
      <c r="HP22" s="166">
        <v>-97.337999999999994</v>
      </c>
      <c r="HQ22" s="166">
        <v>-91.125699999999995</v>
      </c>
      <c r="HR22" s="166">
        <v>24.293900000000001</v>
      </c>
      <c r="HS22" s="166">
        <v>23.579799999999999</v>
      </c>
      <c r="HT22" s="166">
        <v>-73.045599999999993</v>
      </c>
      <c r="HU22" s="166">
        <v>-73.117900000000006</v>
      </c>
      <c r="HV22" s="166">
        <v>48.66</v>
      </c>
      <c r="HW22" s="166">
        <v>48.33</v>
      </c>
      <c r="HX22" s="166">
        <v>42.2</v>
      </c>
      <c r="HY22" s="166">
        <v>42.7</v>
      </c>
      <c r="HZ22" s="166">
        <v>20.428000000000001</v>
      </c>
      <c r="IA22" s="166">
        <v>8.7200000000000006</v>
      </c>
      <c r="IB22" s="166">
        <v>-375.35050000000001</v>
      </c>
      <c r="IC22" s="166">
        <v>87.849400000000003</v>
      </c>
      <c r="ID22" s="166">
        <v>87.562399999999997</v>
      </c>
      <c r="IE22" s="166">
        <v>13.9</v>
      </c>
      <c r="IF22" s="166">
        <v>8.6</v>
      </c>
      <c r="IG22" s="166">
        <v>-22.5</v>
      </c>
      <c r="IH22" s="166">
        <v>-25.6</v>
      </c>
      <c r="II22" s="166">
        <v>1.5193000000000001</v>
      </c>
      <c r="IJ22" s="167"/>
      <c r="IK22" s="166">
        <v>-502.5455</v>
      </c>
      <c r="IL22" s="166">
        <v>-326.97089999999997</v>
      </c>
      <c r="IM22" s="166">
        <v>371.44819999999999</v>
      </c>
      <c r="IN22" s="166">
        <v>294.05889999999999</v>
      </c>
      <c r="IO22" s="166">
        <v>-57.6965</v>
      </c>
      <c r="IP22" s="166">
        <v>-279.06720000000001</v>
      </c>
      <c r="IQ22" s="166">
        <v>282.13659999999999</v>
      </c>
      <c r="IR22" s="166">
        <v>-177.2645</v>
      </c>
      <c r="IS22" s="166">
        <v>-158.7688</v>
      </c>
      <c r="IT22" s="166">
        <v>-277.9735</v>
      </c>
      <c r="IU22" s="166">
        <v>112.5317</v>
      </c>
      <c r="IV22" s="166">
        <v>113.1253</v>
      </c>
      <c r="IW22" s="166">
        <v>181.02969999999999</v>
      </c>
      <c r="IX22" s="166">
        <v>-355.90800000000002</v>
      </c>
      <c r="IY22" s="166">
        <v>162.25139999999999</v>
      </c>
      <c r="IZ22" s="166">
        <v>-197.60980000000001</v>
      </c>
      <c r="JA22" s="166">
        <v>199.23060000000001</v>
      </c>
      <c r="JB22" s="166">
        <v>-8.9635999999999996</v>
      </c>
      <c r="JC22" s="166">
        <v>35.633000000000003</v>
      </c>
      <c r="JD22" s="166">
        <v>14.56</v>
      </c>
      <c r="JE22" s="166">
        <v>1.4119999999999999</v>
      </c>
      <c r="JF22" s="166">
        <v>1.401</v>
      </c>
      <c r="JG22" s="166">
        <v>-14.64</v>
      </c>
      <c r="JH22" s="166">
        <v>-6.08</v>
      </c>
      <c r="JI22" s="167"/>
      <c r="JJ22" s="166">
        <v>6.4775</v>
      </c>
      <c r="JK22" s="166">
        <v>-32.225499999999997</v>
      </c>
      <c r="JL22" s="166">
        <v>-20.625599999999999</v>
      </c>
      <c r="JM22" s="166">
        <v>18.600000000000001</v>
      </c>
      <c r="JN22" s="166">
        <v>51.145000000000003</v>
      </c>
      <c r="JO22" s="166">
        <v>50.777999999999999</v>
      </c>
      <c r="JP22" s="167"/>
      <c r="JQ22" s="167"/>
      <c r="JR22" s="166">
        <v>50.384900000000002</v>
      </c>
      <c r="JS22" s="166">
        <v>49.645699999999998</v>
      </c>
      <c r="JT22" s="166">
        <v>52.817399999999999</v>
      </c>
      <c r="JU22" s="167"/>
      <c r="JV22" s="166">
        <v>-8.1</v>
      </c>
      <c r="JW22" s="166">
        <v>28.523499999999999</v>
      </c>
      <c r="JX22" s="166">
        <v>7.06</v>
      </c>
      <c r="JY22" s="167"/>
      <c r="JZ22" s="166">
        <v>-47.483400000000003</v>
      </c>
      <c r="KA22" s="166">
        <v>79.698300000000003</v>
      </c>
      <c r="KB22" s="166">
        <v>59.539299999999997</v>
      </c>
      <c r="KC22" s="166">
        <v>-47.612900000000003</v>
      </c>
      <c r="KD22" s="166">
        <v>-79.026600000000002</v>
      </c>
      <c r="KE22" s="166">
        <v>49.343800000000002</v>
      </c>
      <c r="KF22" s="166">
        <v>28.1738</v>
      </c>
      <c r="KG22" s="166">
        <v>-5.2</v>
      </c>
      <c r="KH22" s="166">
        <v>5.9</v>
      </c>
      <c r="KI22" s="166">
        <v>11.971500000000001</v>
      </c>
      <c r="KJ22" s="166">
        <v>104.1888</v>
      </c>
    </row>
    <row r="23" spans="1:296" ht="18" customHeight="1" x14ac:dyDescent="0.3">
      <c r="A23" s="162" t="s">
        <v>67</v>
      </c>
      <c r="B23" s="162" t="s">
        <v>822</v>
      </c>
      <c r="C23" s="166">
        <v>0</v>
      </c>
      <c r="D23" s="167"/>
      <c r="E23" s="166">
        <v>16.622</v>
      </c>
      <c r="F23" s="166">
        <v>-24.251799999999999</v>
      </c>
      <c r="G23" s="166">
        <v>-35.807000000000002</v>
      </c>
      <c r="H23" s="166">
        <v>32.601199999999999</v>
      </c>
      <c r="I23" s="167"/>
      <c r="J23" s="166">
        <v>39.7956</v>
      </c>
      <c r="K23" s="166">
        <v>-78.842200000000005</v>
      </c>
      <c r="L23" s="166">
        <v>58.177799999999998</v>
      </c>
      <c r="M23" s="166">
        <v>29.549099999999999</v>
      </c>
      <c r="N23" s="166">
        <v>28.930599999999998</v>
      </c>
      <c r="O23" s="166">
        <v>-2.2200000000000002</v>
      </c>
      <c r="P23" s="166">
        <v>-54.685000000000002</v>
      </c>
      <c r="Q23" s="166">
        <v>48.4</v>
      </c>
      <c r="R23" s="166">
        <v>19.872</v>
      </c>
      <c r="S23" s="166">
        <v>-48.4</v>
      </c>
      <c r="T23" s="166">
        <v>14.763199999999999</v>
      </c>
      <c r="U23" s="166">
        <v>39.570399999999999</v>
      </c>
      <c r="V23" s="167"/>
      <c r="W23" s="166">
        <v>19.109000000000002</v>
      </c>
      <c r="X23" s="166">
        <v>31.8066</v>
      </c>
      <c r="Y23" s="166">
        <v>3.8795000000000002</v>
      </c>
      <c r="Z23" s="166">
        <v>5.1599000000000004</v>
      </c>
      <c r="AA23" s="166">
        <v>5.3586999999999998</v>
      </c>
      <c r="AB23" s="167"/>
      <c r="AC23" s="167"/>
      <c r="AD23" s="166">
        <v>-65.489999999999995</v>
      </c>
      <c r="AE23" s="166">
        <v>-65.33</v>
      </c>
      <c r="AF23" s="167"/>
      <c r="AG23" s="166">
        <v>2.2200000000000002</v>
      </c>
      <c r="AH23" s="166">
        <v>52.8</v>
      </c>
      <c r="AI23" s="166">
        <v>22.786000000000001</v>
      </c>
      <c r="AJ23" s="166">
        <v>0.26300000000000001</v>
      </c>
      <c r="AK23" s="166">
        <v>-67.97</v>
      </c>
      <c r="AL23" s="168">
        <v>-68.849999999999994</v>
      </c>
      <c r="AM23" s="166">
        <v>-39.74</v>
      </c>
      <c r="AN23" s="166">
        <v>69.569999999999993</v>
      </c>
      <c r="AO23" s="166">
        <v>70.349999999999994</v>
      </c>
      <c r="AP23" s="166">
        <v>14.091900000000001</v>
      </c>
      <c r="AQ23" s="166">
        <v>1.6676</v>
      </c>
      <c r="AR23" s="166">
        <v>63.871600000000001</v>
      </c>
      <c r="AS23" s="166">
        <v>66.516599999999997</v>
      </c>
      <c r="AT23" s="166">
        <v>46.601300000000002</v>
      </c>
      <c r="AU23" s="166">
        <v>-51.948399999999999</v>
      </c>
      <c r="AV23" s="166">
        <v>-51.522100000000002</v>
      </c>
      <c r="AW23" s="166">
        <v>29.997599999999998</v>
      </c>
      <c r="AX23" s="166">
        <v>28.720500000000001</v>
      </c>
      <c r="AY23" s="166">
        <v>72.217200000000005</v>
      </c>
      <c r="AZ23" s="166">
        <v>73.746099999999998</v>
      </c>
      <c r="BA23" s="166">
        <v>17.680299999999999</v>
      </c>
      <c r="BB23" s="166">
        <v>14.002700000000001</v>
      </c>
      <c r="BC23" s="166">
        <v>-468.03680000000003</v>
      </c>
      <c r="BD23" s="166">
        <v>-17.6404</v>
      </c>
      <c r="BE23" s="166">
        <v>-11.4</v>
      </c>
      <c r="BF23" s="166">
        <v>-11.5</v>
      </c>
      <c r="BG23" s="166">
        <v>56.776899999999998</v>
      </c>
      <c r="BH23" s="166">
        <v>55.656799999999997</v>
      </c>
      <c r="BI23" s="166">
        <v>-4.4733000000000001</v>
      </c>
      <c r="BJ23" s="167"/>
      <c r="BK23" s="166">
        <v>-41.636899999999997</v>
      </c>
      <c r="BL23" s="166">
        <v>4.5777000000000001</v>
      </c>
      <c r="BM23" s="166">
        <v>10.047700000000001</v>
      </c>
      <c r="BN23" s="166">
        <v>6.8766999999999996</v>
      </c>
      <c r="BO23" s="166">
        <v>516.34249999999997</v>
      </c>
      <c r="BP23" s="166">
        <v>143.34540000000001</v>
      </c>
      <c r="BQ23" s="166">
        <v>143.9863</v>
      </c>
      <c r="BR23" s="166">
        <v>-564.89089999999999</v>
      </c>
      <c r="BS23" s="166">
        <v>514.42960000000005</v>
      </c>
      <c r="BT23" s="167"/>
      <c r="BU23" s="166">
        <v>-9.734</v>
      </c>
      <c r="BV23" s="166">
        <v>10.9801</v>
      </c>
      <c r="BW23" s="166">
        <v>89.9756</v>
      </c>
      <c r="BX23" s="166">
        <v>27.84</v>
      </c>
      <c r="BY23" s="166">
        <v>29.58</v>
      </c>
      <c r="BZ23" s="166">
        <v>60.18</v>
      </c>
      <c r="CA23" s="166">
        <v>80.62</v>
      </c>
      <c r="CB23" s="166">
        <v>-43.3979</v>
      </c>
      <c r="CC23" s="166">
        <v>-44.335599999999999</v>
      </c>
      <c r="CD23" s="166">
        <v>109.62439999999999</v>
      </c>
      <c r="CE23" s="166">
        <v>110.3374</v>
      </c>
      <c r="CF23" s="166">
        <v>23.219799999999999</v>
      </c>
      <c r="CG23" s="166">
        <v>-92.582099999999997</v>
      </c>
      <c r="CH23" s="166">
        <v>-91.304400000000001</v>
      </c>
      <c r="CI23" s="166">
        <v>2.2934999999999999</v>
      </c>
      <c r="CJ23" s="166">
        <v>0</v>
      </c>
      <c r="CK23" s="167"/>
      <c r="CL23" s="166">
        <v>28.986000000000001</v>
      </c>
      <c r="CM23" s="166">
        <v>114.9</v>
      </c>
      <c r="CN23" s="166">
        <v>103.7</v>
      </c>
      <c r="CO23" s="166">
        <v>-16.04</v>
      </c>
      <c r="CP23" s="166">
        <v>70.984200000000001</v>
      </c>
      <c r="CQ23" s="166">
        <v>68.971599999999995</v>
      </c>
      <c r="CR23" s="166">
        <v>68.955299999999994</v>
      </c>
      <c r="CS23" s="166">
        <v>-0.96860000000000002</v>
      </c>
      <c r="CT23" s="166">
        <v>-0.44640000000000002</v>
      </c>
      <c r="CU23" s="166">
        <v>41.433799999999998</v>
      </c>
      <c r="CV23" s="166">
        <v>-89.057100000000005</v>
      </c>
      <c r="CW23" s="166">
        <v>47.494</v>
      </c>
      <c r="CX23" s="166">
        <v>13.0364</v>
      </c>
      <c r="CY23" s="166">
        <v>65.37</v>
      </c>
      <c r="CZ23" s="166">
        <v>34.869999999999997</v>
      </c>
      <c r="DA23" s="166">
        <v>44.538600000000002</v>
      </c>
      <c r="DB23" s="166">
        <v>42.192100000000003</v>
      </c>
      <c r="DC23" s="166">
        <v>-30.547799999999999</v>
      </c>
      <c r="DD23" s="167"/>
      <c r="DE23" s="167"/>
      <c r="DF23" s="166">
        <v>0</v>
      </c>
      <c r="DG23" s="166">
        <v>-96.576800000000006</v>
      </c>
      <c r="DH23" s="167"/>
      <c r="DI23" s="167"/>
      <c r="DJ23" s="166">
        <v>-97.9</v>
      </c>
      <c r="DK23" s="166">
        <v>-98.1</v>
      </c>
      <c r="DL23" s="166">
        <v>21.4206</v>
      </c>
      <c r="DM23" s="166">
        <v>56.5</v>
      </c>
      <c r="DN23" s="166">
        <v>58.22</v>
      </c>
      <c r="DO23" s="166">
        <v>76.319999999999993</v>
      </c>
      <c r="DP23" s="166">
        <v>55.91</v>
      </c>
      <c r="DQ23" s="166">
        <v>-7.09</v>
      </c>
      <c r="DR23" s="166">
        <v>62.341000000000001</v>
      </c>
      <c r="DS23" s="166">
        <v>96.5655</v>
      </c>
      <c r="DT23" s="166">
        <v>-27.84</v>
      </c>
      <c r="DU23" s="166">
        <v>-28.19</v>
      </c>
      <c r="DV23" s="166">
        <v>111.64</v>
      </c>
      <c r="DW23" s="166">
        <v>59.13</v>
      </c>
      <c r="DX23" s="166">
        <v>97.890900000000002</v>
      </c>
      <c r="DY23" s="166">
        <v>94.7273</v>
      </c>
      <c r="DZ23" s="166">
        <v>-23.139299999999999</v>
      </c>
      <c r="EA23" s="166">
        <v>-22.9727</v>
      </c>
      <c r="EB23" s="166">
        <v>208.51429999999999</v>
      </c>
      <c r="EC23" s="166">
        <v>165.01689999999999</v>
      </c>
      <c r="ED23" s="166">
        <v>157.78020000000001</v>
      </c>
      <c r="EE23" s="166">
        <v>159.81030000000001</v>
      </c>
      <c r="EF23" s="166">
        <v>112.3297</v>
      </c>
      <c r="EG23" s="166">
        <v>94.017499999999998</v>
      </c>
      <c r="EH23" s="166">
        <v>-25.172999999999998</v>
      </c>
      <c r="EI23" s="166">
        <v>573.09739999999999</v>
      </c>
      <c r="EJ23" s="166">
        <v>281.39060000000001</v>
      </c>
      <c r="EK23" s="167"/>
      <c r="EL23" s="166">
        <v>-34.052900000000001</v>
      </c>
      <c r="EM23" s="166">
        <v>-33.2545</v>
      </c>
      <c r="EN23" s="167"/>
      <c r="EO23" s="166">
        <v>14.184200000000001</v>
      </c>
      <c r="EP23" s="166">
        <v>15.5296</v>
      </c>
      <c r="EQ23" s="166">
        <v>165.94800000000001</v>
      </c>
      <c r="ER23" s="166">
        <v>-82.327699999999993</v>
      </c>
      <c r="ES23" s="166">
        <v>-84.185400000000001</v>
      </c>
      <c r="ET23" s="166">
        <v>-60.389000000000003</v>
      </c>
      <c r="EU23" s="166">
        <v>14.76</v>
      </c>
      <c r="EV23" s="166">
        <v>-25.65</v>
      </c>
      <c r="EW23" s="166">
        <v>92</v>
      </c>
      <c r="EX23" s="166">
        <v>10.4072</v>
      </c>
      <c r="EY23" s="166">
        <v>-14.0296</v>
      </c>
      <c r="EZ23" s="166">
        <v>-36.163400000000003</v>
      </c>
      <c r="FA23" s="166">
        <v>-35.33</v>
      </c>
      <c r="FB23" s="166">
        <v>9.7040000000000006</v>
      </c>
      <c r="FC23" s="166">
        <v>-94.121799999999993</v>
      </c>
      <c r="FD23" s="166">
        <v>66.416200000000003</v>
      </c>
      <c r="FE23" s="166">
        <v>20.6297</v>
      </c>
      <c r="FF23" s="166">
        <v>24.4359</v>
      </c>
      <c r="FG23" s="167"/>
      <c r="FH23" s="166">
        <v>39.507800000000003</v>
      </c>
      <c r="FI23" s="166">
        <v>40.528399999999998</v>
      </c>
      <c r="FJ23" s="166">
        <v>39.1355</v>
      </c>
      <c r="FK23" s="166">
        <v>41.864100000000001</v>
      </c>
      <c r="FL23" s="166">
        <v>43.538600000000002</v>
      </c>
      <c r="FM23" s="166">
        <v>-29.974699999999999</v>
      </c>
      <c r="FN23" s="166">
        <v>25.926300000000001</v>
      </c>
      <c r="FO23" s="166">
        <v>26.1264</v>
      </c>
      <c r="FP23" s="166">
        <v>-41.0092</v>
      </c>
      <c r="FQ23" s="166">
        <v>-34.861400000000003</v>
      </c>
      <c r="FR23" s="166">
        <v>5.5975999999999999</v>
      </c>
      <c r="FS23" s="166">
        <v>-29.62</v>
      </c>
      <c r="FT23" s="167"/>
      <c r="FU23" s="166">
        <v>0.96099999999999997</v>
      </c>
      <c r="FV23" s="166">
        <v>1.36</v>
      </c>
      <c r="FW23" s="166">
        <v>15.31</v>
      </c>
      <c r="FX23" s="166">
        <v>0</v>
      </c>
      <c r="FY23" s="167"/>
      <c r="FZ23" s="166">
        <v>-11.505000000000001</v>
      </c>
      <c r="GA23" s="166">
        <v>4.431</v>
      </c>
      <c r="GB23" s="167"/>
      <c r="GC23" s="166">
        <v>30.69</v>
      </c>
      <c r="GD23" s="166">
        <v>35.480400000000003</v>
      </c>
      <c r="GE23" s="166">
        <v>40.826000000000001</v>
      </c>
      <c r="GF23" s="166">
        <v>13.58</v>
      </c>
      <c r="GG23" s="166">
        <v>70.795000000000002</v>
      </c>
      <c r="GH23" s="166">
        <v>24.4</v>
      </c>
      <c r="GI23" s="166">
        <v>-16.9359</v>
      </c>
      <c r="GJ23" s="166">
        <v>-1.2423999999999999</v>
      </c>
      <c r="GK23" s="166">
        <v>0</v>
      </c>
      <c r="GL23" s="166">
        <v>1.6747000000000001</v>
      </c>
      <c r="GM23" s="167"/>
      <c r="GN23" s="167"/>
      <c r="GO23" s="166">
        <v>-14.061999999999999</v>
      </c>
      <c r="GP23" s="166">
        <v>-29.045200000000001</v>
      </c>
      <c r="GQ23" s="166">
        <v>11.1951</v>
      </c>
      <c r="GR23" s="166">
        <v>30.053699999999999</v>
      </c>
      <c r="GS23" s="166">
        <v>11.461399999999999</v>
      </c>
      <c r="GT23" s="166">
        <v>12.7796</v>
      </c>
      <c r="GU23" s="166">
        <v>-116.432</v>
      </c>
      <c r="GV23" s="166">
        <v>-22.346</v>
      </c>
      <c r="GW23" s="166">
        <v>25.672699999999999</v>
      </c>
      <c r="GX23" s="166">
        <v>-50.365499999999997</v>
      </c>
      <c r="GY23" s="166">
        <v>12.041600000000001</v>
      </c>
      <c r="GZ23" s="166">
        <v>11.5555</v>
      </c>
      <c r="HA23" s="166">
        <v>11.193199999999999</v>
      </c>
      <c r="HB23" s="166">
        <v>13.723599999999999</v>
      </c>
      <c r="HC23" s="166">
        <v>110.5829</v>
      </c>
      <c r="HD23" s="166">
        <v>111.42230000000001</v>
      </c>
      <c r="HE23" s="166">
        <v>195.3</v>
      </c>
      <c r="HF23" s="166">
        <v>-197.339</v>
      </c>
      <c r="HG23" s="166">
        <v>-431.52050000000003</v>
      </c>
      <c r="HH23" s="166">
        <v>436.76209999999998</v>
      </c>
      <c r="HI23" s="166">
        <v>403.93439999999998</v>
      </c>
      <c r="HJ23" s="166">
        <v>-108.4619</v>
      </c>
      <c r="HK23" s="166">
        <v>-104.9353</v>
      </c>
      <c r="HL23" s="166">
        <v>-61.803199999999997</v>
      </c>
      <c r="HM23" s="166">
        <v>-53.028500000000001</v>
      </c>
      <c r="HN23" s="166">
        <v>77.121899999999997</v>
      </c>
      <c r="HO23" s="166">
        <v>76.460899999999995</v>
      </c>
      <c r="HP23" s="166">
        <v>-76.283900000000003</v>
      </c>
      <c r="HQ23" s="166">
        <v>-72.252899999999997</v>
      </c>
      <c r="HR23" s="166">
        <v>16.526399999999999</v>
      </c>
      <c r="HS23" s="166">
        <v>15.647500000000001</v>
      </c>
      <c r="HT23" s="166">
        <v>-60.950200000000002</v>
      </c>
      <c r="HU23" s="166">
        <v>-61.2181</v>
      </c>
      <c r="HV23" s="166">
        <v>35.85</v>
      </c>
      <c r="HW23" s="166">
        <v>35.81</v>
      </c>
      <c r="HX23" s="166">
        <v>43.1</v>
      </c>
      <c r="HY23" s="166">
        <v>43.1</v>
      </c>
      <c r="HZ23" s="166">
        <v>20.695</v>
      </c>
      <c r="IA23" s="166">
        <v>-17.28</v>
      </c>
      <c r="IB23" s="166">
        <v>-376.87950000000001</v>
      </c>
      <c r="IC23" s="166">
        <v>83.889300000000006</v>
      </c>
      <c r="ID23" s="166">
        <v>83.568399999999997</v>
      </c>
      <c r="IE23" s="166">
        <v>14.5</v>
      </c>
      <c r="IF23" s="166">
        <v>11.5</v>
      </c>
      <c r="IG23" s="166">
        <v>-14.8</v>
      </c>
      <c r="IH23" s="166">
        <v>-17.5</v>
      </c>
      <c r="II23" s="167"/>
      <c r="IJ23" s="166">
        <v>1.2795000000000001</v>
      </c>
      <c r="IK23" s="166">
        <v>-402.98660000000001</v>
      </c>
      <c r="IL23" s="166">
        <v>-251.50530000000001</v>
      </c>
      <c r="IM23" s="166">
        <v>278.34519999999998</v>
      </c>
      <c r="IN23" s="166">
        <v>207.84100000000001</v>
      </c>
      <c r="IO23" s="166">
        <v>-64.148600000000002</v>
      </c>
      <c r="IP23" s="166">
        <v>-202.3963</v>
      </c>
      <c r="IQ23" s="166">
        <v>199.1337</v>
      </c>
      <c r="IR23" s="166">
        <v>-170.72620000000001</v>
      </c>
      <c r="IS23" s="166">
        <v>-95.721400000000003</v>
      </c>
      <c r="IT23" s="166">
        <v>-193.50030000000001</v>
      </c>
      <c r="IU23" s="166">
        <v>143.56120000000001</v>
      </c>
      <c r="IV23" s="166">
        <v>143.3554</v>
      </c>
      <c r="IW23" s="166">
        <v>171.19810000000001</v>
      </c>
      <c r="IX23" s="166">
        <v>-264.58350000000002</v>
      </c>
      <c r="IY23" s="166">
        <v>94.761499999999998</v>
      </c>
      <c r="IZ23" s="166">
        <v>-169.5438</v>
      </c>
      <c r="JA23" s="166">
        <v>170.09880000000001</v>
      </c>
      <c r="JB23" s="166">
        <v>-8.7273999999999994</v>
      </c>
      <c r="JC23" s="166">
        <v>32.198</v>
      </c>
      <c r="JD23" s="166">
        <v>16.72</v>
      </c>
      <c r="JE23" s="166">
        <v>1.472</v>
      </c>
      <c r="JF23" s="166">
        <v>1.47</v>
      </c>
      <c r="JG23" s="166">
        <v>-16.559999999999999</v>
      </c>
      <c r="JH23" s="166">
        <v>-3.76</v>
      </c>
      <c r="JI23" s="167"/>
      <c r="JJ23" s="166">
        <v>4.1337000000000002</v>
      </c>
      <c r="JK23" s="166">
        <v>-29.472799999999999</v>
      </c>
      <c r="JL23" s="166">
        <v>-20.360099999999999</v>
      </c>
      <c r="JM23" s="166">
        <v>17.3</v>
      </c>
      <c r="JN23" s="166">
        <v>52.088000000000001</v>
      </c>
      <c r="JO23" s="166">
        <v>51.374000000000002</v>
      </c>
      <c r="JP23" s="167"/>
      <c r="JQ23" s="167"/>
      <c r="JR23" s="166">
        <v>50.588200000000001</v>
      </c>
      <c r="JS23" s="166">
        <v>50.0471</v>
      </c>
      <c r="JT23" s="166">
        <v>52.122700000000002</v>
      </c>
      <c r="JU23" s="167"/>
      <c r="JV23" s="166">
        <v>-13</v>
      </c>
      <c r="JW23" s="166">
        <v>28.900099999999998</v>
      </c>
      <c r="JX23" s="166">
        <v>7.09</v>
      </c>
      <c r="JY23" s="167"/>
      <c r="JZ23" s="166">
        <v>-49.550199999999997</v>
      </c>
      <c r="KA23" s="166">
        <v>81.937899999999999</v>
      </c>
      <c r="KB23" s="166">
        <v>62.5182</v>
      </c>
      <c r="KC23" s="166">
        <v>-48.961599999999997</v>
      </c>
      <c r="KD23" s="166">
        <v>-81.149299999999997</v>
      </c>
      <c r="KE23" s="166">
        <v>52.371099999999998</v>
      </c>
      <c r="KF23" s="166">
        <v>27.627199999999998</v>
      </c>
      <c r="KG23" s="166">
        <v>-0.9</v>
      </c>
      <c r="KH23" s="166">
        <v>1.3</v>
      </c>
      <c r="KI23" s="166">
        <v>-24.341899999999999</v>
      </c>
      <c r="KJ23" s="166">
        <v>134.5677</v>
      </c>
    </row>
    <row r="24" spans="1:296" ht="18" customHeight="1" x14ac:dyDescent="0.3">
      <c r="A24" s="162" t="s">
        <v>67</v>
      </c>
      <c r="B24" s="162" t="s">
        <v>823</v>
      </c>
      <c r="C24" s="169">
        <v>0</v>
      </c>
      <c r="D24" s="170"/>
      <c r="E24" s="169">
        <v>17.108699999999999</v>
      </c>
      <c r="F24" s="169">
        <v>-24.953800000000001</v>
      </c>
      <c r="G24" s="169">
        <v>-35.411799999999999</v>
      </c>
      <c r="H24" s="169">
        <v>32.845199999999998</v>
      </c>
      <c r="I24" s="170"/>
      <c r="J24" s="169">
        <v>43.101599999999998</v>
      </c>
      <c r="K24" s="169">
        <v>-85.809799999999996</v>
      </c>
      <c r="L24" s="169">
        <v>60.348399999999998</v>
      </c>
      <c r="M24" s="169">
        <v>30.633099999999999</v>
      </c>
      <c r="N24" s="169">
        <v>30.3795</v>
      </c>
      <c r="O24" s="169">
        <v>-4.4400000000000004</v>
      </c>
      <c r="P24" s="169">
        <v>-57.735999999999997</v>
      </c>
      <c r="Q24" s="169">
        <v>52.8</v>
      </c>
      <c r="R24" s="169">
        <v>20.7</v>
      </c>
      <c r="S24" s="169">
        <v>-52.8</v>
      </c>
      <c r="T24" s="169">
        <v>14.9406</v>
      </c>
      <c r="U24" s="169">
        <v>42.723799999999997</v>
      </c>
      <c r="V24" s="170"/>
      <c r="W24" s="169">
        <v>19.707899999999999</v>
      </c>
      <c r="X24" s="169">
        <v>32.060699999999997</v>
      </c>
      <c r="Y24" s="169">
        <v>3.8915000000000002</v>
      </c>
      <c r="Z24" s="169">
        <v>4.7171000000000003</v>
      </c>
      <c r="AA24" s="169">
        <v>5.5167999999999999</v>
      </c>
      <c r="AB24" s="170"/>
      <c r="AC24" s="170"/>
      <c r="AD24" s="169">
        <v>-67.7</v>
      </c>
      <c r="AE24" s="169">
        <v>-67.92</v>
      </c>
      <c r="AF24" s="170"/>
      <c r="AG24" s="169">
        <v>4.4400000000000004</v>
      </c>
      <c r="AH24" s="169">
        <v>57.2</v>
      </c>
      <c r="AI24" s="169">
        <v>22.937999999999999</v>
      </c>
      <c r="AJ24" s="169">
        <v>0.26500000000000001</v>
      </c>
      <c r="AK24" s="169">
        <v>-65.73</v>
      </c>
      <c r="AL24" s="171">
        <v>-65.98</v>
      </c>
      <c r="AM24" s="169">
        <v>-43.14</v>
      </c>
      <c r="AN24" s="169">
        <v>66.58</v>
      </c>
      <c r="AO24" s="169">
        <v>67.48</v>
      </c>
      <c r="AP24" s="169">
        <v>15.129200000000001</v>
      </c>
      <c r="AQ24" s="169">
        <v>1.0995999999999999</v>
      </c>
      <c r="AR24" s="169">
        <v>66.470399999999998</v>
      </c>
      <c r="AS24" s="169">
        <v>68.284999999999997</v>
      </c>
      <c r="AT24" s="169">
        <v>48.394599999999997</v>
      </c>
      <c r="AU24" s="169">
        <v>-47.607799999999997</v>
      </c>
      <c r="AV24" s="169">
        <v>-47.695399999999999</v>
      </c>
      <c r="AW24" s="169">
        <v>9.4619</v>
      </c>
      <c r="AX24" s="169">
        <v>9.7843</v>
      </c>
      <c r="AY24" s="169">
        <v>75.4221</v>
      </c>
      <c r="AZ24" s="169">
        <v>76.500399999999999</v>
      </c>
      <c r="BA24" s="169">
        <v>8.2895000000000003</v>
      </c>
      <c r="BB24" s="169">
        <v>7.8768000000000002</v>
      </c>
      <c r="BC24" s="169">
        <v>-484.37259999999998</v>
      </c>
      <c r="BD24" s="169">
        <v>-13.984299999999999</v>
      </c>
      <c r="BE24" s="169">
        <v>-10.6</v>
      </c>
      <c r="BF24" s="169">
        <v>-10.6</v>
      </c>
      <c r="BG24" s="169">
        <v>52.59</v>
      </c>
      <c r="BH24" s="169">
        <v>52.033799999999999</v>
      </c>
      <c r="BI24" s="169">
        <v>-7.5359999999999996</v>
      </c>
      <c r="BJ24" s="170"/>
      <c r="BK24" s="169">
        <v>-43.823099999999997</v>
      </c>
      <c r="BL24" s="169">
        <v>4.8571</v>
      </c>
      <c r="BM24" s="169">
        <v>0</v>
      </c>
      <c r="BN24" s="169">
        <v>-0.63360000000000005</v>
      </c>
      <c r="BO24" s="169">
        <v>524.70460000000003</v>
      </c>
      <c r="BP24" s="169">
        <v>166.0206</v>
      </c>
      <c r="BQ24" s="169">
        <v>164.95249999999999</v>
      </c>
      <c r="BR24" s="169">
        <v>-566.41369999999995</v>
      </c>
      <c r="BS24" s="169">
        <v>561.10969999999998</v>
      </c>
      <c r="BT24" s="170"/>
      <c r="BU24" s="169">
        <v>-7.7420999999999998</v>
      </c>
      <c r="BV24" s="169">
        <v>8.9200999999999997</v>
      </c>
      <c r="BW24" s="169">
        <v>94.286799999999999</v>
      </c>
      <c r="BX24" s="169">
        <v>28.28</v>
      </c>
      <c r="BY24" s="169">
        <v>30.34</v>
      </c>
      <c r="BZ24" s="169">
        <v>62.79</v>
      </c>
      <c r="CA24" s="169">
        <v>83.34</v>
      </c>
      <c r="CB24" s="169">
        <v>-56.659700000000001</v>
      </c>
      <c r="CC24" s="169">
        <v>-56.123800000000003</v>
      </c>
      <c r="CD24" s="169">
        <v>111.49679999999999</v>
      </c>
      <c r="CE24" s="169">
        <v>112.3785</v>
      </c>
      <c r="CF24" s="169">
        <v>22.940200000000001</v>
      </c>
      <c r="CG24" s="169">
        <v>-96.638900000000007</v>
      </c>
      <c r="CH24" s="169">
        <v>-96.221299999999999</v>
      </c>
      <c r="CI24" s="169">
        <v>4.1961000000000004</v>
      </c>
      <c r="CJ24" s="169">
        <v>0</v>
      </c>
      <c r="CK24" s="169">
        <v>20.526499999999999</v>
      </c>
      <c r="CL24" s="171">
        <v>28.986000000000001</v>
      </c>
      <c r="CM24" s="169">
        <v>115.8</v>
      </c>
      <c r="CN24" s="169">
        <v>104.9</v>
      </c>
      <c r="CO24" s="169">
        <v>-16.77</v>
      </c>
      <c r="CP24" s="169">
        <v>72.337100000000007</v>
      </c>
      <c r="CQ24" s="169">
        <v>70.279700000000005</v>
      </c>
      <c r="CR24" s="169">
        <v>70.003699999999995</v>
      </c>
      <c r="CS24" s="169">
        <v>3.0448</v>
      </c>
      <c r="CT24" s="169">
        <v>3.3765999999999998</v>
      </c>
      <c r="CU24" s="169">
        <v>45.485399999999998</v>
      </c>
      <c r="CV24" s="169">
        <v>-99.493700000000004</v>
      </c>
      <c r="CW24" s="169">
        <v>52.103499999999997</v>
      </c>
      <c r="CX24" s="169">
        <v>13.188800000000001</v>
      </c>
      <c r="CY24" s="169">
        <v>69.37</v>
      </c>
      <c r="CZ24" s="169">
        <v>37.19</v>
      </c>
      <c r="DA24" s="169">
        <v>46.882300000000001</v>
      </c>
      <c r="DB24" s="169">
        <v>44.535800000000002</v>
      </c>
      <c r="DC24" s="169">
        <v>-31.2927</v>
      </c>
      <c r="DD24" s="170"/>
      <c r="DE24" s="170"/>
      <c r="DF24" s="169">
        <v>0</v>
      </c>
      <c r="DG24" s="169">
        <v>-92.079899999999995</v>
      </c>
      <c r="DH24" s="170"/>
      <c r="DI24" s="170"/>
      <c r="DJ24" s="169">
        <v>-101.9</v>
      </c>
      <c r="DK24" s="169">
        <v>-103.3</v>
      </c>
      <c r="DL24" s="169">
        <v>22.244599999999998</v>
      </c>
      <c r="DM24" s="169">
        <v>59.7</v>
      </c>
      <c r="DN24" s="169">
        <v>61.64</v>
      </c>
      <c r="DO24" s="169">
        <v>80.58</v>
      </c>
      <c r="DP24" s="169">
        <v>58.9</v>
      </c>
      <c r="DQ24" s="169">
        <v>-7.73</v>
      </c>
      <c r="DR24" s="169">
        <v>64.727999999999994</v>
      </c>
      <c r="DS24" s="169">
        <v>90.630099999999999</v>
      </c>
      <c r="DT24" s="169">
        <v>-27.6</v>
      </c>
      <c r="DU24" s="169">
        <v>-27.83</v>
      </c>
      <c r="DV24" s="169">
        <v>112.82</v>
      </c>
      <c r="DW24" s="169">
        <v>61.52</v>
      </c>
      <c r="DX24" s="169">
        <v>92.854500000000002</v>
      </c>
      <c r="DY24" s="169">
        <v>91.4</v>
      </c>
      <c r="DZ24" s="169">
        <v>0</v>
      </c>
      <c r="EA24" s="169">
        <v>-37.554499999999997</v>
      </c>
      <c r="EB24" s="169">
        <v>213.15559999999999</v>
      </c>
      <c r="EC24" s="169">
        <v>167.19560000000001</v>
      </c>
      <c r="ED24" s="169">
        <v>161.10890000000001</v>
      </c>
      <c r="EE24" s="169">
        <v>162.67269999999999</v>
      </c>
      <c r="EF24" s="169">
        <v>80.998900000000006</v>
      </c>
      <c r="EG24" s="169">
        <v>62.0137</v>
      </c>
      <c r="EH24" s="169">
        <v>-27.06</v>
      </c>
      <c r="EI24" s="169">
        <v>577.49580000000003</v>
      </c>
      <c r="EJ24" s="169">
        <v>169.39830000000001</v>
      </c>
      <c r="EK24" s="170"/>
      <c r="EL24" s="169">
        <v>-34.786299999999997</v>
      </c>
      <c r="EM24" s="169">
        <v>-33.336599999999997</v>
      </c>
      <c r="EN24" s="170"/>
      <c r="EO24" s="169">
        <v>14.273300000000001</v>
      </c>
      <c r="EP24" s="169">
        <v>13.617900000000001</v>
      </c>
      <c r="EQ24" s="169">
        <v>75.311999999999998</v>
      </c>
      <c r="ER24" s="169">
        <v>-71.451700000000002</v>
      </c>
      <c r="ES24" s="169">
        <v>-72.403999999999996</v>
      </c>
      <c r="ET24" s="169">
        <v>-26.416799999999999</v>
      </c>
      <c r="EU24" s="169">
        <v>16.600000000000001</v>
      </c>
      <c r="EV24" s="169">
        <v>-23.41</v>
      </c>
      <c r="EW24" s="169">
        <v>1</v>
      </c>
      <c r="EX24" s="169">
        <v>10.777900000000001</v>
      </c>
      <c r="EY24" s="169">
        <v>-18.078399999999998</v>
      </c>
      <c r="EZ24" s="169">
        <v>-34.845399999999998</v>
      </c>
      <c r="FA24" s="169">
        <v>-33.817399999999999</v>
      </c>
      <c r="FB24" s="169">
        <v>9.9747000000000003</v>
      </c>
      <c r="FC24" s="169">
        <v>-60.198500000000003</v>
      </c>
      <c r="FD24" s="169">
        <v>30.299099999999999</v>
      </c>
      <c r="FE24" s="169">
        <v>20.5044</v>
      </c>
      <c r="FF24" s="169">
        <v>22.549499999999998</v>
      </c>
      <c r="FG24" s="170"/>
      <c r="FH24" s="169">
        <v>38.706499999999998</v>
      </c>
      <c r="FI24" s="169">
        <v>39.296500000000002</v>
      </c>
      <c r="FJ24" s="169">
        <v>37.811300000000003</v>
      </c>
      <c r="FK24" s="169">
        <v>55.595500000000001</v>
      </c>
      <c r="FL24" s="169">
        <v>56.265300000000003</v>
      </c>
      <c r="FM24" s="169">
        <v>-18.0853</v>
      </c>
      <c r="FN24" s="169">
        <v>0</v>
      </c>
      <c r="FO24" s="169">
        <v>39.107100000000003</v>
      </c>
      <c r="FP24" s="169">
        <v>-24.747199999999999</v>
      </c>
      <c r="FQ24" s="169">
        <v>-18.104800000000001</v>
      </c>
      <c r="FR24" s="169">
        <v>1.5472999999999999</v>
      </c>
      <c r="FS24" s="169">
        <v>-22.75</v>
      </c>
      <c r="FT24" s="170"/>
      <c r="FU24" s="169">
        <v>0.84499999999999997</v>
      </c>
      <c r="FV24" s="169">
        <v>1.39</v>
      </c>
      <c r="FW24" s="169">
        <v>15.67</v>
      </c>
      <c r="FX24" s="169">
        <v>0</v>
      </c>
      <c r="FY24" s="170"/>
      <c r="FZ24" s="169">
        <v>-11.446</v>
      </c>
      <c r="GA24" s="169">
        <v>4.4080000000000004</v>
      </c>
      <c r="GB24" s="170"/>
      <c r="GC24" s="169">
        <v>31.7</v>
      </c>
      <c r="GD24" s="169">
        <v>17.463899999999999</v>
      </c>
      <c r="GE24" s="169">
        <v>25.2788</v>
      </c>
      <c r="GF24" s="169">
        <v>14.08</v>
      </c>
      <c r="GG24" s="169">
        <v>72.425299999999993</v>
      </c>
      <c r="GH24" s="169">
        <v>24.2</v>
      </c>
      <c r="GI24" s="169">
        <v>-17.606400000000001</v>
      </c>
      <c r="GJ24" s="169">
        <v>-1.3089999999999999</v>
      </c>
      <c r="GK24" s="169">
        <v>-1.3758999999999999</v>
      </c>
      <c r="GL24" s="169">
        <v>1.7258</v>
      </c>
      <c r="GM24" s="170"/>
      <c r="GN24" s="170"/>
      <c r="GO24" s="169">
        <v>-13.7874</v>
      </c>
      <c r="GP24" s="169">
        <v>-30.5886</v>
      </c>
      <c r="GQ24" s="169">
        <v>11.6089</v>
      </c>
      <c r="GR24" s="169">
        <v>31.581700000000001</v>
      </c>
      <c r="GS24" s="169">
        <v>12.8775</v>
      </c>
      <c r="GT24" s="169">
        <v>12.765599999999999</v>
      </c>
      <c r="GU24" s="169">
        <v>-118.15779999999999</v>
      </c>
      <c r="GV24" s="169">
        <v>-24.331800000000001</v>
      </c>
      <c r="GW24" s="169">
        <v>26.885899999999999</v>
      </c>
      <c r="GX24" s="169">
        <v>-55.393300000000004</v>
      </c>
      <c r="GY24" s="169">
        <v>11.841799999999999</v>
      </c>
      <c r="GZ24" s="169">
        <v>11.9169</v>
      </c>
      <c r="HA24" s="169">
        <v>11.509600000000001</v>
      </c>
      <c r="HB24" s="169">
        <v>13.494300000000001</v>
      </c>
      <c r="HC24" s="169">
        <v>90.790199999999999</v>
      </c>
      <c r="HD24" s="169">
        <v>91.906599999999997</v>
      </c>
      <c r="HE24" s="169">
        <v>197</v>
      </c>
      <c r="HF24" s="169">
        <v>-198.6806</v>
      </c>
      <c r="HG24" s="169">
        <v>-428.61329999999998</v>
      </c>
      <c r="HH24" s="169">
        <v>431.45319999999998</v>
      </c>
      <c r="HI24" s="169">
        <v>315.7552</v>
      </c>
      <c r="HJ24" s="169">
        <v>-89.004099999999994</v>
      </c>
      <c r="HK24" s="169">
        <v>-87.2376</v>
      </c>
      <c r="HL24" s="169">
        <v>-59.730499999999999</v>
      </c>
      <c r="HM24" s="169">
        <v>-51.979700000000001</v>
      </c>
      <c r="HN24" s="169">
        <v>79.964399999999998</v>
      </c>
      <c r="HO24" s="169">
        <v>77.463800000000006</v>
      </c>
      <c r="HP24" s="169">
        <v>-56.046100000000003</v>
      </c>
      <c r="HQ24" s="169">
        <v>-55.180700000000002</v>
      </c>
      <c r="HR24" s="169">
        <v>10.736599999999999</v>
      </c>
      <c r="HS24" s="169">
        <v>11.2309</v>
      </c>
      <c r="HT24" s="169">
        <v>-49.3735</v>
      </c>
      <c r="HU24" s="169">
        <v>-49.096600000000002</v>
      </c>
      <c r="HV24" s="169">
        <v>14.79</v>
      </c>
      <c r="HW24" s="169">
        <v>14.44</v>
      </c>
      <c r="HX24" s="169">
        <v>41.9</v>
      </c>
      <c r="HY24" s="169">
        <v>43</v>
      </c>
      <c r="HZ24" s="169">
        <v>20.468599999999999</v>
      </c>
      <c r="IA24" s="169">
        <v>-38.4</v>
      </c>
      <c r="IB24" s="169">
        <v>-370.19420000000002</v>
      </c>
      <c r="IC24" s="169">
        <v>76.2239</v>
      </c>
      <c r="ID24" s="169">
        <v>75.886899999999997</v>
      </c>
      <c r="IE24" s="169">
        <v>14.5</v>
      </c>
      <c r="IF24" s="169">
        <v>15.4</v>
      </c>
      <c r="IG24" s="169">
        <v>-9.6999999999999993</v>
      </c>
      <c r="IH24" s="169">
        <v>-11.4</v>
      </c>
      <c r="II24" s="169">
        <v>1.4161999999999999</v>
      </c>
      <c r="IJ24" s="170"/>
      <c r="IK24" s="169">
        <v>-305.29969999999997</v>
      </c>
      <c r="IL24" s="169">
        <v>-139.98929999999999</v>
      </c>
      <c r="IM24" s="169">
        <v>177.21709999999999</v>
      </c>
      <c r="IN24" s="169">
        <v>116.6317</v>
      </c>
      <c r="IO24" s="169">
        <v>-61.327399999999997</v>
      </c>
      <c r="IP24" s="169">
        <v>-111.8075</v>
      </c>
      <c r="IQ24" s="169">
        <v>106.6361</v>
      </c>
      <c r="IR24" s="169">
        <v>-181.2766</v>
      </c>
      <c r="IS24" s="169">
        <v>-29.5336</v>
      </c>
      <c r="IT24" s="169">
        <v>-106.5056</v>
      </c>
      <c r="IU24" s="169">
        <v>169.85839999999999</v>
      </c>
      <c r="IV24" s="169">
        <v>169.98320000000001</v>
      </c>
      <c r="IW24" s="169">
        <v>182.94669999999999</v>
      </c>
      <c r="IX24" s="169">
        <v>-160.19399999999999</v>
      </c>
      <c r="IY24" s="169">
        <v>27.9407</v>
      </c>
      <c r="IZ24" s="169">
        <v>-130.22659999999999</v>
      </c>
      <c r="JA24" s="169">
        <v>132.57409999999999</v>
      </c>
      <c r="JB24" s="169">
        <v>-7.3815999999999997</v>
      </c>
      <c r="JC24" s="169">
        <v>27.141999999999999</v>
      </c>
      <c r="JD24" s="169">
        <v>18.88</v>
      </c>
      <c r="JE24" s="169">
        <v>1.5680000000000001</v>
      </c>
      <c r="JF24" s="169">
        <v>1.5580000000000001</v>
      </c>
      <c r="JG24" s="169">
        <v>-18.48</v>
      </c>
      <c r="JH24" s="169">
        <v>-2.64</v>
      </c>
      <c r="JI24" s="170"/>
      <c r="JJ24" s="169">
        <v>2.9891999999999999</v>
      </c>
      <c r="JK24" s="169">
        <v>-26.2501</v>
      </c>
      <c r="JL24" s="169">
        <v>-20.1251</v>
      </c>
      <c r="JM24" s="169">
        <v>16.100000000000001</v>
      </c>
      <c r="JN24" s="169">
        <v>51.244</v>
      </c>
      <c r="JO24" s="169">
        <v>49.997999999999998</v>
      </c>
      <c r="JP24" s="169">
        <v>8.3345000000000002</v>
      </c>
      <c r="JQ24" s="169">
        <v>9.7821999999999996</v>
      </c>
      <c r="JR24" s="169">
        <v>51.708199999999998</v>
      </c>
      <c r="JS24" s="169">
        <v>51.843699999999998</v>
      </c>
      <c r="JT24" s="169">
        <v>50.308799999999998</v>
      </c>
      <c r="JU24" s="170"/>
      <c r="JV24" s="169">
        <v>-14.3</v>
      </c>
      <c r="JW24" s="169">
        <v>28.4237</v>
      </c>
      <c r="JX24" s="169">
        <v>7.12</v>
      </c>
      <c r="JY24" s="170"/>
      <c r="JZ24" s="169">
        <v>-47.644300000000001</v>
      </c>
      <c r="KA24" s="169">
        <v>77.636799999999994</v>
      </c>
      <c r="KB24" s="169">
        <v>59.816699999999997</v>
      </c>
      <c r="KC24" s="169">
        <v>-48.144100000000002</v>
      </c>
      <c r="KD24" s="169">
        <v>-76.565799999999996</v>
      </c>
      <c r="KE24" s="169">
        <v>50.2806</v>
      </c>
      <c r="KF24" s="169">
        <v>25.3996</v>
      </c>
      <c r="KG24" s="169">
        <v>1.5</v>
      </c>
      <c r="KH24" s="169">
        <v>-1.5</v>
      </c>
      <c r="KI24" s="169">
        <v>-110.255</v>
      </c>
      <c r="KJ24" s="169">
        <v>205.26589999999999</v>
      </c>
    </row>
    <row r="25" spans="1:296" ht="18" customHeight="1" x14ac:dyDescent="0.3">
      <c r="A25" s="162" t="s">
        <v>67</v>
      </c>
      <c r="B25" s="162" t="s">
        <v>824</v>
      </c>
      <c r="C25" s="163">
        <v>0</v>
      </c>
      <c r="D25" s="164"/>
      <c r="E25" s="163">
        <v>17.5123</v>
      </c>
      <c r="F25" s="163">
        <v>-25.733000000000001</v>
      </c>
      <c r="G25" s="163">
        <v>-34.307899999999997</v>
      </c>
      <c r="H25" s="163">
        <v>33.536499999999997</v>
      </c>
      <c r="I25" s="164"/>
      <c r="J25" s="163">
        <v>46.597099999999998</v>
      </c>
      <c r="K25" s="163">
        <v>-93.780100000000004</v>
      </c>
      <c r="L25" s="163">
        <v>64.243499999999997</v>
      </c>
      <c r="M25" s="163">
        <v>32.737000000000002</v>
      </c>
      <c r="N25" s="163">
        <v>32.056199999999997</v>
      </c>
      <c r="O25" s="163">
        <v>-6.66</v>
      </c>
      <c r="P25" s="163">
        <v>-60.17</v>
      </c>
      <c r="Q25" s="163">
        <v>55</v>
      </c>
      <c r="R25" s="163">
        <v>19.044</v>
      </c>
      <c r="S25" s="163">
        <v>-55</v>
      </c>
      <c r="T25" s="163">
        <v>14.8787</v>
      </c>
      <c r="U25" s="163">
        <v>45.982399999999998</v>
      </c>
      <c r="V25" s="164"/>
      <c r="W25" s="163">
        <v>20.732299999999999</v>
      </c>
      <c r="X25" s="163">
        <v>34.627000000000002</v>
      </c>
      <c r="Y25" s="163">
        <v>4.0932000000000004</v>
      </c>
      <c r="Z25" s="163">
        <v>4.5587999999999997</v>
      </c>
      <c r="AA25" s="163">
        <v>5.8078000000000003</v>
      </c>
      <c r="AB25" s="164"/>
      <c r="AC25" s="164"/>
      <c r="AD25" s="163">
        <v>-70.59</v>
      </c>
      <c r="AE25" s="163">
        <v>-70.89</v>
      </c>
      <c r="AF25" s="164"/>
      <c r="AG25" s="163">
        <v>6.66</v>
      </c>
      <c r="AH25" s="163">
        <v>59.4</v>
      </c>
      <c r="AI25" s="163">
        <v>23.326000000000001</v>
      </c>
      <c r="AJ25" s="163">
        <v>0.26700000000000002</v>
      </c>
      <c r="AK25" s="163">
        <v>-74.98</v>
      </c>
      <c r="AL25" s="165">
        <v>-74.66</v>
      </c>
      <c r="AM25" s="163">
        <v>-34.06</v>
      </c>
      <c r="AN25" s="163">
        <v>75.650000000000006</v>
      </c>
      <c r="AO25" s="163">
        <v>76.16</v>
      </c>
      <c r="AP25" s="163">
        <v>17.181899999999999</v>
      </c>
      <c r="AQ25" s="163">
        <v>0.49120000000000003</v>
      </c>
      <c r="AR25" s="163">
        <v>68.992500000000007</v>
      </c>
      <c r="AS25" s="163">
        <v>72.182000000000002</v>
      </c>
      <c r="AT25" s="163">
        <v>52.759900000000002</v>
      </c>
      <c r="AU25" s="163">
        <v>-54.636899999999997</v>
      </c>
      <c r="AV25" s="163">
        <v>-53.177300000000002</v>
      </c>
      <c r="AW25" s="163">
        <v>30.854199999999999</v>
      </c>
      <c r="AX25" s="163">
        <v>30.3795</v>
      </c>
      <c r="AY25" s="163">
        <v>76.508899999999997</v>
      </c>
      <c r="AZ25" s="163">
        <v>79.7286</v>
      </c>
      <c r="BA25" s="163">
        <v>17.752400000000002</v>
      </c>
      <c r="BB25" s="163">
        <v>31.922699999999999</v>
      </c>
      <c r="BC25" s="163">
        <v>-521.71720000000005</v>
      </c>
      <c r="BD25" s="163">
        <v>-16.3081</v>
      </c>
      <c r="BE25" s="163">
        <v>-11.4</v>
      </c>
      <c r="BF25" s="163">
        <v>-11.6</v>
      </c>
      <c r="BG25" s="163">
        <v>60.177700000000002</v>
      </c>
      <c r="BH25" s="163">
        <v>59.782400000000003</v>
      </c>
      <c r="BI25" s="163">
        <v>-7.6816000000000004</v>
      </c>
      <c r="BJ25" s="164"/>
      <c r="BK25" s="163">
        <v>-46.293399999999998</v>
      </c>
      <c r="BL25" s="163">
        <v>5.8537999999999997</v>
      </c>
      <c r="BM25" s="163">
        <v>0</v>
      </c>
      <c r="BN25" s="163">
        <v>-0.66959999999999997</v>
      </c>
      <c r="BO25" s="163">
        <v>575.57889999999998</v>
      </c>
      <c r="BP25" s="163">
        <v>178.04490000000001</v>
      </c>
      <c r="BQ25" s="163">
        <v>178.19749999999999</v>
      </c>
      <c r="BR25" s="163">
        <v>-591.32420000000002</v>
      </c>
      <c r="BS25" s="163">
        <v>613.44370000000004</v>
      </c>
      <c r="BT25" s="164"/>
      <c r="BU25" s="163">
        <v>-22.3629</v>
      </c>
      <c r="BV25" s="163">
        <v>24.167200000000001</v>
      </c>
      <c r="BW25" s="163">
        <v>99.3065</v>
      </c>
      <c r="BX25" s="163">
        <v>29.2</v>
      </c>
      <c r="BY25" s="163">
        <v>32.03</v>
      </c>
      <c r="BZ25" s="163">
        <v>66.28</v>
      </c>
      <c r="CA25" s="163">
        <v>87.02</v>
      </c>
      <c r="CB25" s="163">
        <v>-59.874600000000001</v>
      </c>
      <c r="CC25" s="163">
        <v>-60.008600000000001</v>
      </c>
      <c r="CD25" s="163">
        <v>116.42919999999999</v>
      </c>
      <c r="CE25" s="163">
        <v>116.7877</v>
      </c>
      <c r="CF25" s="163">
        <v>13.428699999999999</v>
      </c>
      <c r="CG25" s="163">
        <v>-114.9284</v>
      </c>
      <c r="CH25" s="163">
        <v>-113.9461</v>
      </c>
      <c r="CI25" s="163">
        <v>4.4683999999999999</v>
      </c>
      <c r="CJ25" s="163">
        <v>0</v>
      </c>
      <c r="CK25" s="163">
        <v>20.146899999999999</v>
      </c>
      <c r="CL25" s="165">
        <v>28.840499999999999</v>
      </c>
      <c r="CM25" s="163">
        <v>122.5</v>
      </c>
      <c r="CN25" s="163">
        <v>109.6</v>
      </c>
      <c r="CO25" s="163">
        <v>-17.43</v>
      </c>
      <c r="CP25" s="163">
        <v>70.059399999999997</v>
      </c>
      <c r="CQ25" s="163">
        <v>67.850499999999997</v>
      </c>
      <c r="CR25" s="163">
        <v>68.2286</v>
      </c>
      <c r="CS25" s="163">
        <v>2.2323</v>
      </c>
      <c r="CT25" s="163">
        <v>2.5596999999999999</v>
      </c>
      <c r="CU25" s="163">
        <v>50.636200000000002</v>
      </c>
      <c r="CV25" s="163">
        <v>-106.883</v>
      </c>
      <c r="CW25" s="163">
        <v>58.029400000000003</v>
      </c>
      <c r="CX25" s="163">
        <v>12.8909</v>
      </c>
      <c r="CY25" s="163">
        <v>71.989999999999995</v>
      </c>
      <c r="CZ25" s="163">
        <v>38.770000000000003</v>
      </c>
      <c r="DA25" s="163">
        <v>49.694800000000001</v>
      </c>
      <c r="DB25" s="163">
        <v>46.879600000000003</v>
      </c>
      <c r="DC25" s="163">
        <v>-32.970100000000002</v>
      </c>
      <c r="DD25" s="164"/>
      <c r="DE25" s="164"/>
      <c r="DF25" s="163">
        <v>0</v>
      </c>
      <c r="DG25" s="163">
        <v>-96.536199999999994</v>
      </c>
      <c r="DH25" s="164"/>
      <c r="DI25" s="164"/>
      <c r="DJ25" s="163">
        <v>-103</v>
      </c>
      <c r="DK25" s="163">
        <v>-103.3</v>
      </c>
      <c r="DL25" s="163">
        <v>21.662299999999998</v>
      </c>
      <c r="DM25" s="163">
        <v>63.5</v>
      </c>
      <c r="DN25" s="163">
        <v>65.16</v>
      </c>
      <c r="DO25" s="163">
        <v>86.2</v>
      </c>
      <c r="DP25" s="163">
        <v>63.33</v>
      </c>
      <c r="DQ25" s="163">
        <v>-8.7100000000000009</v>
      </c>
      <c r="DR25" s="163">
        <v>67.456000000000003</v>
      </c>
      <c r="DS25" s="163">
        <v>93.987799999999993</v>
      </c>
      <c r="DT25" s="163">
        <v>-26.52</v>
      </c>
      <c r="DU25" s="163">
        <v>-26.89</v>
      </c>
      <c r="DV25" s="163">
        <v>105</v>
      </c>
      <c r="DW25" s="163">
        <v>66.489999999999995</v>
      </c>
      <c r="DX25" s="163">
        <v>93.854500000000002</v>
      </c>
      <c r="DY25" s="163">
        <v>95.654499999999999</v>
      </c>
      <c r="DZ25" s="163">
        <v>0</v>
      </c>
      <c r="EA25" s="163">
        <v>-40.390900000000002</v>
      </c>
      <c r="EB25" s="163">
        <v>224.11150000000001</v>
      </c>
      <c r="EC25" s="163">
        <v>175.57130000000001</v>
      </c>
      <c r="ED25" s="163">
        <v>169.09819999999999</v>
      </c>
      <c r="EE25" s="163">
        <v>170.92310000000001</v>
      </c>
      <c r="EF25" s="163">
        <v>97.997100000000003</v>
      </c>
      <c r="EG25" s="163">
        <v>79.649900000000002</v>
      </c>
      <c r="EH25" s="163">
        <v>-26.808</v>
      </c>
      <c r="EI25" s="163">
        <v>601.74590000000001</v>
      </c>
      <c r="EJ25" s="163">
        <v>160.67840000000001</v>
      </c>
      <c r="EK25" s="164"/>
      <c r="EL25" s="163">
        <v>-33.810600000000001</v>
      </c>
      <c r="EM25" s="163">
        <v>-33.377800000000001</v>
      </c>
      <c r="EN25" s="164"/>
      <c r="EO25" s="163">
        <v>11.8329</v>
      </c>
      <c r="EP25" s="163">
        <v>13.9223</v>
      </c>
      <c r="EQ25" s="163">
        <v>112.176</v>
      </c>
      <c r="ER25" s="163">
        <v>-81.811800000000005</v>
      </c>
      <c r="ES25" s="163">
        <v>-82.907899999999998</v>
      </c>
      <c r="ET25" s="163">
        <v>-37.505800000000001</v>
      </c>
      <c r="EU25" s="163">
        <v>0</v>
      </c>
      <c r="EV25" s="163">
        <v>-17.579999999999998</v>
      </c>
      <c r="EW25" s="163">
        <v>86.2</v>
      </c>
      <c r="EX25" s="163">
        <v>11.726699999999999</v>
      </c>
      <c r="EY25" s="163">
        <v>-28.4345</v>
      </c>
      <c r="EZ25" s="163">
        <v>-35.573599999999999</v>
      </c>
      <c r="FA25" s="163">
        <v>-34.942799999999998</v>
      </c>
      <c r="FB25" s="163">
        <v>9.8092000000000006</v>
      </c>
      <c r="FC25" s="163">
        <v>-70.339799999999997</v>
      </c>
      <c r="FD25" s="163">
        <v>51.512099999999997</v>
      </c>
      <c r="FE25" s="163">
        <v>19.918299999999999</v>
      </c>
      <c r="FF25" s="163">
        <v>24.4971</v>
      </c>
      <c r="FG25" s="164"/>
      <c r="FH25" s="163">
        <v>38.4392</v>
      </c>
      <c r="FI25" s="163">
        <v>40.594799999999999</v>
      </c>
      <c r="FJ25" s="163">
        <v>38.503300000000003</v>
      </c>
      <c r="FK25" s="163">
        <v>59.447000000000003</v>
      </c>
      <c r="FL25" s="163">
        <v>59.112099999999998</v>
      </c>
      <c r="FM25" s="163">
        <v>-12.056900000000001</v>
      </c>
      <c r="FN25" s="163">
        <v>0</v>
      </c>
      <c r="FO25" s="163">
        <v>43.483600000000003</v>
      </c>
      <c r="FP25" s="163">
        <v>-22.6358</v>
      </c>
      <c r="FQ25" s="163">
        <v>-15.704599999999999</v>
      </c>
      <c r="FR25" s="163">
        <v>3.2244999999999999</v>
      </c>
      <c r="FS25" s="163">
        <v>-18.18</v>
      </c>
      <c r="FT25" s="164"/>
      <c r="FU25" s="163">
        <v>1.0207999999999999</v>
      </c>
      <c r="FV25" s="163">
        <v>1.28</v>
      </c>
      <c r="FW25" s="163">
        <v>16.760000000000002</v>
      </c>
      <c r="FX25" s="163">
        <v>0</v>
      </c>
      <c r="FY25" s="164"/>
      <c r="FZ25" s="163">
        <v>-10.581</v>
      </c>
      <c r="GA25" s="163">
        <v>4.3890000000000002</v>
      </c>
      <c r="GB25" s="164"/>
      <c r="GC25" s="163">
        <v>35.5</v>
      </c>
      <c r="GD25" s="163">
        <v>15.376200000000001</v>
      </c>
      <c r="GE25" s="163">
        <v>22.3947</v>
      </c>
      <c r="GF25" s="163">
        <v>15.1</v>
      </c>
      <c r="GG25" s="163">
        <v>78.221900000000005</v>
      </c>
      <c r="GH25" s="163">
        <v>25.1</v>
      </c>
      <c r="GI25" s="163">
        <v>-18.107399999999998</v>
      </c>
      <c r="GJ25" s="163">
        <v>-1.7875000000000001</v>
      </c>
      <c r="GK25" s="163">
        <v>-2.0754999999999999</v>
      </c>
      <c r="GL25" s="163">
        <v>1.9177999999999999</v>
      </c>
      <c r="GM25" s="164"/>
      <c r="GN25" s="164"/>
      <c r="GO25" s="163">
        <v>-15.0602</v>
      </c>
      <c r="GP25" s="163">
        <v>-31.962299999999999</v>
      </c>
      <c r="GQ25" s="163">
        <v>12.3239</v>
      </c>
      <c r="GR25" s="163">
        <v>33.275700000000001</v>
      </c>
      <c r="GS25" s="163">
        <v>13.3391</v>
      </c>
      <c r="GT25" s="163">
        <v>14.3005</v>
      </c>
      <c r="GU25" s="163">
        <v>-127.6044</v>
      </c>
      <c r="GV25" s="163">
        <v>-24.541899999999998</v>
      </c>
      <c r="GW25" s="163">
        <v>27.825500000000002</v>
      </c>
      <c r="GX25" s="163">
        <v>-57.104900000000001</v>
      </c>
      <c r="GY25" s="163">
        <v>11.0814</v>
      </c>
      <c r="GZ25" s="163">
        <v>13.0204</v>
      </c>
      <c r="HA25" s="163">
        <v>12.5433</v>
      </c>
      <c r="HB25" s="163">
        <v>12.7624</v>
      </c>
      <c r="HC25" s="163">
        <v>94.956599999999995</v>
      </c>
      <c r="HD25" s="163">
        <v>94.975999999999999</v>
      </c>
      <c r="HE25" s="163">
        <v>248.5</v>
      </c>
      <c r="HF25" s="163">
        <v>-250.70480000000001</v>
      </c>
      <c r="HG25" s="163">
        <v>-483.66129999999998</v>
      </c>
      <c r="HH25" s="163">
        <v>484.78769999999997</v>
      </c>
      <c r="HI25" s="163">
        <v>331.55680000000001</v>
      </c>
      <c r="HJ25" s="163">
        <v>-91.557699999999997</v>
      </c>
      <c r="HK25" s="163">
        <v>-91.039100000000005</v>
      </c>
      <c r="HL25" s="163">
        <v>-57.5259</v>
      </c>
      <c r="HM25" s="163">
        <v>-49.523099999999999</v>
      </c>
      <c r="HN25" s="163">
        <v>77.689899999999994</v>
      </c>
      <c r="HO25" s="163">
        <v>77.650999999999996</v>
      </c>
      <c r="HP25" s="164"/>
      <c r="HQ25" s="164"/>
      <c r="HR25" s="163">
        <v>30.2486</v>
      </c>
      <c r="HS25" s="163">
        <v>30.1936</v>
      </c>
      <c r="HT25" s="163">
        <v>-48.740900000000003</v>
      </c>
      <c r="HU25" s="163">
        <v>-48.139200000000002</v>
      </c>
      <c r="HV25" s="163">
        <v>-35.36</v>
      </c>
      <c r="HW25" s="163">
        <v>-34.92</v>
      </c>
      <c r="HX25" s="163">
        <v>46.1</v>
      </c>
      <c r="HY25" s="163">
        <v>45.3</v>
      </c>
      <c r="HZ25" s="163">
        <v>20.797599999999999</v>
      </c>
      <c r="IA25" s="163">
        <v>-43.6</v>
      </c>
      <c r="IB25" s="163">
        <v>-318.19029999999998</v>
      </c>
      <c r="IC25" s="163">
        <v>72.183999999999997</v>
      </c>
      <c r="ID25" s="163">
        <v>71.337000000000003</v>
      </c>
      <c r="IE25" s="163">
        <v>16.100000000000001</v>
      </c>
      <c r="IF25" s="163">
        <v>11.4</v>
      </c>
      <c r="IG25" s="163">
        <v>-29.3</v>
      </c>
      <c r="IH25" s="163">
        <v>-33.799999999999997</v>
      </c>
      <c r="II25" s="164"/>
      <c r="IJ25" s="163">
        <v>1.1435</v>
      </c>
      <c r="IK25" s="163">
        <v>-324.9785</v>
      </c>
      <c r="IL25" s="163">
        <v>-124.2988</v>
      </c>
      <c r="IM25" s="163">
        <v>236.26</v>
      </c>
      <c r="IN25" s="163">
        <v>35.835900000000002</v>
      </c>
      <c r="IO25" s="163">
        <v>-69.831800000000001</v>
      </c>
      <c r="IP25" s="163">
        <v>-31.1937</v>
      </c>
      <c r="IQ25" s="163">
        <v>17.330100000000002</v>
      </c>
      <c r="IR25" s="163">
        <v>0</v>
      </c>
      <c r="IS25" s="163">
        <v>-152.49950000000001</v>
      </c>
      <c r="IT25" s="163">
        <v>-25.5182</v>
      </c>
      <c r="IU25" s="163">
        <v>225.56630000000001</v>
      </c>
      <c r="IV25" s="163">
        <v>225.71530000000001</v>
      </c>
      <c r="IW25" s="163">
        <v>0</v>
      </c>
      <c r="IX25" s="163">
        <v>-229.60159999999999</v>
      </c>
      <c r="IY25" s="163">
        <v>156.52080000000001</v>
      </c>
      <c r="IZ25" s="163">
        <v>-72.137500000000003</v>
      </c>
      <c r="JA25" s="163">
        <v>71.110699999999994</v>
      </c>
      <c r="JB25" s="163">
        <v>-7.1974999999999998</v>
      </c>
      <c r="JC25" s="163">
        <v>23.632000000000001</v>
      </c>
      <c r="JD25" s="163">
        <v>20.88</v>
      </c>
      <c r="JE25" s="163">
        <v>1.647</v>
      </c>
      <c r="JF25" s="163">
        <v>1.6459999999999999</v>
      </c>
      <c r="JG25" s="163">
        <v>-19.760000000000002</v>
      </c>
      <c r="JH25" s="163">
        <v>-0.72</v>
      </c>
      <c r="JI25" s="164"/>
      <c r="JJ25" s="163">
        <v>0.64549999999999996</v>
      </c>
      <c r="JK25" s="163">
        <v>-25.722100000000001</v>
      </c>
      <c r="JL25" s="163">
        <v>-19.160799999999998</v>
      </c>
      <c r="JM25" s="163">
        <v>15.1</v>
      </c>
      <c r="JN25" s="163">
        <v>50.991</v>
      </c>
      <c r="JO25" s="163">
        <v>50.496000000000002</v>
      </c>
      <c r="JP25" s="163">
        <v>8.1388999999999996</v>
      </c>
      <c r="JQ25" s="164"/>
      <c r="JR25" s="163">
        <v>51.630400000000002</v>
      </c>
      <c r="JS25" s="163">
        <v>50.519300000000001</v>
      </c>
      <c r="JT25" s="163">
        <v>52.625999999999998</v>
      </c>
      <c r="JU25" s="164"/>
      <c r="JV25" s="163">
        <v>-10.8</v>
      </c>
      <c r="JW25" s="163">
        <v>29.394200000000001</v>
      </c>
      <c r="JX25" s="163">
        <v>7.47</v>
      </c>
      <c r="JY25" s="164"/>
      <c r="JZ25" s="163">
        <v>-47.090299999999999</v>
      </c>
      <c r="KA25" s="163">
        <v>79.8596</v>
      </c>
      <c r="KB25" s="163">
        <v>59.867600000000003</v>
      </c>
      <c r="KC25" s="163">
        <v>-46.653399999999998</v>
      </c>
      <c r="KD25" s="163">
        <v>-78.274199999999993</v>
      </c>
      <c r="KE25" s="163">
        <v>48.166800000000002</v>
      </c>
      <c r="KF25" s="163">
        <v>30.0608</v>
      </c>
      <c r="KG25" s="163">
        <v>-2.8</v>
      </c>
      <c r="KH25" s="163">
        <v>2.2000000000000002</v>
      </c>
      <c r="KI25" s="163">
        <v>-153.38470000000001</v>
      </c>
      <c r="KJ25" s="163">
        <v>249.71279999999999</v>
      </c>
    </row>
    <row r="26" spans="1:296" ht="18" customHeight="1" x14ac:dyDescent="0.3">
      <c r="A26" s="162" t="s">
        <v>67</v>
      </c>
      <c r="B26" s="162" t="s">
        <v>825</v>
      </c>
      <c r="C26" s="166">
        <v>0</v>
      </c>
      <c r="D26" s="167"/>
      <c r="E26" s="166">
        <v>18.003900000000002</v>
      </c>
      <c r="F26" s="168">
        <v>-26.5764</v>
      </c>
      <c r="G26" s="166">
        <v>-34.337200000000003</v>
      </c>
      <c r="H26" s="166">
        <v>34.738700000000001</v>
      </c>
      <c r="I26" s="167"/>
      <c r="J26" s="166">
        <v>48.993099999999998</v>
      </c>
      <c r="K26" s="166">
        <v>-97.757999999999996</v>
      </c>
      <c r="L26" s="166">
        <v>66.241299999999995</v>
      </c>
      <c r="M26" s="166">
        <v>33.920999999999999</v>
      </c>
      <c r="N26" s="166">
        <v>32.969099999999997</v>
      </c>
      <c r="O26" s="166">
        <v>-4.4400000000000004</v>
      </c>
      <c r="P26" s="166">
        <v>-62.811999999999998</v>
      </c>
      <c r="Q26" s="166">
        <v>57.2</v>
      </c>
      <c r="R26" s="166">
        <v>19.872</v>
      </c>
      <c r="S26" s="166">
        <v>-57.2</v>
      </c>
      <c r="T26" s="166">
        <v>14.6037</v>
      </c>
      <c r="U26" s="166">
        <v>49.751399999999997</v>
      </c>
      <c r="V26" s="167"/>
      <c r="W26" s="166">
        <v>21.523099999999999</v>
      </c>
      <c r="X26" s="166">
        <v>35.022100000000002</v>
      </c>
      <c r="Y26" s="166">
        <v>4.0014000000000003</v>
      </c>
      <c r="Z26" s="166">
        <v>5.0149999999999997</v>
      </c>
      <c r="AA26" s="166">
        <v>5.9127999999999998</v>
      </c>
      <c r="AB26" s="167"/>
      <c r="AC26" s="167"/>
      <c r="AD26" s="166">
        <v>-70.790000000000006</v>
      </c>
      <c r="AE26" s="166">
        <v>-70.75</v>
      </c>
      <c r="AF26" s="167"/>
      <c r="AG26" s="166">
        <v>4.4400000000000004</v>
      </c>
      <c r="AH26" s="166">
        <v>61.6</v>
      </c>
      <c r="AI26" s="166">
        <v>21.779</v>
      </c>
      <c r="AJ26" s="166">
        <v>0.253</v>
      </c>
      <c r="AK26" s="166">
        <v>-70.319999999999993</v>
      </c>
      <c r="AL26" s="168">
        <v>-70.739999999999995</v>
      </c>
      <c r="AM26" s="166">
        <v>-41.71</v>
      </c>
      <c r="AN26" s="166">
        <v>71.31</v>
      </c>
      <c r="AO26" s="166">
        <v>72.239999999999995</v>
      </c>
      <c r="AP26" s="166">
        <v>17.4192</v>
      </c>
      <c r="AQ26" s="166">
        <v>0.90600000000000003</v>
      </c>
      <c r="AR26" s="166">
        <v>71.340400000000002</v>
      </c>
      <c r="AS26" s="166">
        <v>73.921599999999998</v>
      </c>
      <c r="AT26" s="166">
        <v>52.701599999999999</v>
      </c>
      <c r="AU26" s="166">
        <v>-50.116399999999999</v>
      </c>
      <c r="AV26" s="166">
        <v>-50.153599999999997</v>
      </c>
      <c r="AW26" s="166">
        <v>7.4061000000000003</v>
      </c>
      <c r="AX26" s="166">
        <v>6.4805999999999999</v>
      </c>
      <c r="AY26" s="166">
        <v>80.874600000000001</v>
      </c>
      <c r="AZ26" s="166">
        <v>82.284400000000005</v>
      </c>
      <c r="BA26" s="166">
        <v>8.1898</v>
      </c>
      <c r="BB26" s="166">
        <v>7.1002999999999998</v>
      </c>
      <c r="BC26" s="166">
        <v>-522.29380000000003</v>
      </c>
      <c r="BD26" s="166">
        <v>-14.953200000000001</v>
      </c>
      <c r="BE26" s="166">
        <v>-11.8</v>
      </c>
      <c r="BF26" s="166">
        <v>-11.8</v>
      </c>
      <c r="BG26" s="166">
        <v>55.466099999999997</v>
      </c>
      <c r="BH26" s="166">
        <v>54.021299999999997</v>
      </c>
      <c r="BI26" s="166">
        <v>-8.2698999999999998</v>
      </c>
      <c r="BJ26" s="167"/>
      <c r="BK26" s="166">
        <v>-43.768599999999999</v>
      </c>
      <c r="BL26" s="166">
        <v>6.7625000000000002</v>
      </c>
      <c r="BM26" s="166">
        <v>0</v>
      </c>
      <c r="BN26" s="166">
        <v>-0.60440000000000005</v>
      </c>
      <c r="BO26" s="166">
        <v>561.81510000000003</v>
      </c>
      <c r="BP26" s="166">
        <v>204.32140000000001</v>
      </c>
      <c r="BQ26" s="166">
        <v>205.02330000000001</v>
      </c>
      <c r="BR26" s="166">
        <v>-599.90660000000003</v>
      </c>
      <c r="BS26" s="166">
        <v>656.16470000000004</v>
      </c>
      <c r="BT26" s="167"/>
      <c r="BU26" s="166">
        <v>-29.471599999999999</v>
      </c>
      <c r="BV26" s="166">
        <v>30.104199999999999</v>
      </c>
      <c r="BW26" s="166">
        <v>102.8293</v>
      </c>
      <c r="BX26" s="166">
        <v>30.55</v>
      </c>
      <c r="BY26" s="166">
        <v>33.299999999999997</v>
      </c>
      <c r="BZ26" s="166">
        <v>69.16</v>
      </c>
      <c r="CA26" s="166">
        <v>88.89</v>
      </c>
      <c r="CB26" s="166">
        <v>-70.457300000000004</v>
      </c>
      <c r="CC26" s="166">
        <v>-70.993099999999998</v>
      </c>
      <c r="CD26" s="166">
        <v>125.4256</v>
      </c>
      <c r="CE26" s="166">
        <v>126.8205</v>
      </c>
      <c r="CF26" s="166">
        <v>12.5009</v>
      </c>
      <c r="CG26" s="166">
        <v>-134.1474</v>
      </c>
      <c r="CH26" s="166">
        <v>-134.28540000000001</v>
      </c>
      <c r="CI26" s="166">
        <v>8.7048000000000005</v>
      </c>
      <c r="CJ26" s="166">
        <v>0</v>
      </c>
      <c r="CK26" s="168">
        <v>20.146899999999999</v>
      </c>
      <c r="CL26" s="166">
        <v>28.695</v>
      </c>
      <c r="CM26" s="166">
        <v>130.1</v>
      </c>
      <c r="CN26" s="166">
        <v>116.8</v>
      </c>
      <c r="CO26" s="166">
        <v>-18.100000000000001</v>
      </c>
      <c r="CP26" s="166">
        <v>65.650999999999996</v>
      </c>
      <c r="CQ26" s="166">
        <v>64.815600000000003</v>
      </c>
      <c r="CR26" s="166">
        <v>64.740099999999998</v>
      </c>
      <c r="CS26" s="166">
        <v>-1.3972</v>
      </c>
      <c r="CT26" s="166">
        <v>-0.90349999999999997</v>
      </c>
      <c r="CU26" s="166">
        <v>46.348500000000001</v>
      </c>
      <c r="CV26" s="166">
        <v>-101.3755</v>
      </c>
      <c r="CW26" s="166">
        <v>54.486699999999999</v>
      </c>
      <c r="CX26" s="166">
        <v>13.3865</v>
      </c>
      <c r="CY26" s="166">
        <v>82.41</v>
      </c>
      <c r="CZ26" s="166">
        <v>43.53</v>
      </c>
      <c r="DA26" s="166">
        <v>51.804200000000002</v>
      </c>
      <c r="DB26" s="166">
        <v>48.6374</v>
      </c>
      <c r="DC26" s="166">
        <v>-33.443300000000001</v>
      </c>
      <c r="DD26" s="167"/>
      <c r="DE26" s="167"/>
      <c r="DF26" s="166">
        <v>0</v>
      </c>
      <c r="DG26" s="166">
        <v>-102.73779999999999</v>
      </c>
      <c r="DH26" s="167"/>
      <c r="DI26" s="167"/>
      <c r="DJ26" s="166">
        <v>-105.1</v>
      </c>
      <c r="DK26" s="166">
        <v>-103.3</v>
      </c>
      <c r="DL26" s="166">
        <v>22.760899999999999</v>
      </c>
      <c r="DM26" s="166">
        <v>65.900000000000006</v>
      </c>
      <c r="DN26" s="166">
        <v>67.680000000000007</v>
      </c>
      <c r="DO26" s="166">
        <v>88.98</v>
      </c>
      <c r="DP26" s="166">
        <v>65.400000000000006</v>
      </c>
      <c r="DQ26" s="166">
        <v>-9.26</v>
      </c>
      <c r="DR26" s="166">
        <v>67.130499999999998</v>
      </c>
      <c r="DS26" s="166">
        <v>103.3959</v>
      </c>
      <c r="DT26" s="166">
        <v>-26.73</v>
      </c>
      <c r="DU26" s="166">
        <v>-26.98</v>
      </c>
      <c r="DV26" s="166">
        <v>115.39</v>
      </c>
      <c r="DW26" s="166">
        <v>68.61</v>
      </c>
      <c r="DX26" s="166">
        <v>102.74550000000001</v>
      </c>
      <c r="DY26" s="166">
        <v>101.56359999999999</v>
      </c>
      <c r="DZ26" s="166">
        <v>0</v>
      </c>
      <c r="EA26" s="166">
        <v>-47.081800000000001</v>
      </c>
      <c r="EB26" s="166">
        <v>233.99459999999999</v>
      </c>
      <c r="EC26" s="166">
        <v>181.69450000000001</v>
      </c>
      <c r="ED26" s="166">
        <v>175.10919999999999</v>
      </c>
      <c r="EE26" s="166">
        <v>177.24930000000001</v>
      </c>
      <c r="EF26" s="166">
        <v>69.366600000000005</v>
      </c>
      <c r="EG26" s="166">
        <v>47.093000000000004</v>
      </c>
      <c r="EH26" s="166">
        <v>-29.724</v>
      </c>
      <c r="EI26" s="166">
        <v>609.5172</v>
      </c>
      <c r="EJ26" s="166">
        <v>124.1396</v>
      </c>
      <c r="EK26" s="167"/>
      <c r="EL26" s="166">
        <v>-34.168799999999997</v>
      </c>
      <c r="EM26" s="166">
        <v>-32.616700000000002</v>
      </c>
      <c r="EN26" s="167"/>
      <c r="EO26" s="166">
        <v>13.111499999999999</v>
      </c>
      <c r="EP26" s="166">
        <v>12.4068</v>
      </c>
      <c r="EQ26" s="166">
        <v>44.591999999999999</v>
      </c>
      <c r="ER26" s="166">
        <v>-74.842600000000004</v>
      </c>
      <c r="ES26" s="166">
        <v>-75.970299999999995</v>
      </c>
      <c r="ET26" s="166">
        <v>-8.1437000000000008</v>
      </c>
      <c r="EU26" s="166">
        <v>0</v>
      </c>
      <c r="EV26" s="166">
        <v>-17.39</v>
      </c>
      <c r="EW26" s="166">
        <v>1</v>
      </c>
      <c r="EX26" s="166">
        <v>11.791600000000001</v>
      </c>
      <c r="EY26" s="166">
        <v>-22.697600000000001</v>
      </c>
      <c r="EZ26" s="166">
        <v>-37.954300000000003</v>
      </c>
      <c r="FA26" s="166">
        <v>-36.537300000000002</v>
      </c>
      <c r="FB26" s="166">
        <v>11.2857</v>
      </c>
      <c r="FC26" s="166">
        <v>-44.510100000000001</v>
      </c>
      <c r="FD26" s="166">
        <v>12.9367</v>
      </c>
      <c r="FE26" s="166">
        <v>24.350999999999999</v>
      </c>
      <c r="FF26" s="166">
        <v>24.176400000000001</v>
      </c>
      <c r="FG26" s="167"/>
      <c r="FH26" s="166">
        <v>39.374699999999997</v>
      </c>
      <c r="FI26" s="166">
        <v>39.906799999999997</v>
      </c>
      <c r="FJ26" s="166">
        <v>38.108400000000003</v>
      </c>
      <c r="FK26" s="166">
        <v>70.666600000000003</v>
      </c>
      <c r="FL26" s="166">
        <v>69.829300000000003</v>
      </c>
      <c r="FM26" s="166">
        <v>-13.3965</v>
      </c>
      <c r="FN26" s="166">
        <v>0</v>
      </c>
      <c r="FO26" s="166">
        <v>50.787999999999997</v>
      </c>
      <c r="FP26" s="166">
        <v>-16.7227</v>
      </c>
      <c r="FQ26" s="166">
        <v>0</v>
      </c>
      <c r="FR26" s="166">
        <v>-0.19589999999999999</v>
      </c>
      <c r="FS26" s="166">
        <v>-19.43</v>
      </c>
      <c r="FT26" s="167"/>
      <c r="FU26" s="166">
        <v>0.97319999999999995</v>
      </c>
      <c r="FV26" s="166">
        <v>1.34</v>
      </c>
      <c r="FW26" s="166">
        <v>15.82</v>
      </c>
      <c r="FX26" s="166">
        <v>0</v>
      </c>
      <c r="FY26" s="167"/>
      <c r="FZ26" s="166">
        <v>-10.327999999999999</v>
      </c>
      <c r="GA26" s="166">
        <v>4.4790000000000001</v>
      </c>
      <c r="GB26" s="167"/>
      <c r="GC26" s="166">
        <v>33.76</v>
      </c>
      <c r="GD26" s="166">
        <v>7.4884000000000004</v>
      </c>
      <c r="GE26" s="166">
        <v>16.366399999999999</v>
      </c>
      <c r="GF26" s="166">
        <v>15.56</v>
      </c>
      <c r="GG26" s="166">
        <v>77.701700000000002</v>
      </c>
      <c r="GH26" s="166">
        <v>26.8</v>
      </c>
      <c r="GI26" s="166">
        <v>-18.9421</v>
      </c>
      <c r="GJ26" s="166">
        <v>-2.4257</v>
      </c>
      <c r="GK26" s="166">
        <v>-2.2345000000000002</v>
      </c>
      <c r="GL26" s="166">
        <v>1.9200999999999999</v>
      </c>
      <c r="GM26" s="167"/>
      <c r="GN26" s="167"/>
      <c r="GO26" s="166">
        <v>-16.7195</v>
      </c>
      <c r="GP26" s="166">
        <v>-34.066600000000001</v>
      </c>
      <c r="GQ26" s="166">
        <v>11.5144</v>
      </c>
      <c r="GR26" s="166">
        <v>35.5242</v>
      </c>
      <c r="GS26" s="166">
        <v>15.664099999999999</v>
      </c>
      <c r="GT26" s="166">
        <v>11.727499999999999</v>
      </c>
      <c r="GU26" s="166">
        <v>-128.14830000000001</v>
      </c>
      <c r="GV26" s="166">
        <v>-27.039200000000001</v>
      </c>
      <c r="GW26" s="166">
        <v>29.3278</v>
      </c>
      <c r="GX26" s="166">
        <v>-63.429000000000002</v>
      </c>
      <c r="GY26" s="166">
        <v>10.870100000000001</v>
      </c>
      <c r="GZ26" s="166">
        <v>12.668799999999999</v>
      </c>
      <c r="HA26" s="166">
        <v>12.2163</v>
      </c>
      <c r="HB26" s="166">
        <v>12.5939</v>
      </c>
      <c r="HC26" s="166">
        <v>98.231999999999999</v>
      </c>
      <c r="HD26" s="166">
        <v>98.443600000000004</v>
      </c>
      <c r="HE26" s="166">
        <v>247.3</v>
      </c>
      <c r="HF26" s="166">
        <v>-245.97309999999999</v>
      </c>
      <c r="HG26" s="166">
        <v>-508.94920000000002</v>
      </c>
      <c r="HH26" s="166">
        <v>510.55430000000001</v>
      </c>
      <c r="HI26" s="166">
        <v>322.67579999999998</v>
      </c>
      <c r="HJ26" s="166">
        <v>-94.488299999999995</v>
      </c>
      <c r="HK26" s="166">
        <v>-92.768299999999996</v>
      </c>
      <c r="HL26" s="166">
        <v>-57.1233</v>
      </c>
      <c r="HM26" s="166">
        <v>-48.645699999999998</v>
      </c>
      <c r="HN26" s="166">
        <v>77.4619</v>
      </c>
      <c r="HO26" s="166">
        <v>76.940200000000004</v>
      </c>
      <c r="HP26" s="167"/>
      <c r="HQ26" s="167"/>
      <c r="HR26" s="166">
        <v>29.424600000000002</v>
      </c>
      <c r="HS26" s="166">
        <v>29.325700000000001</v>
      </c>
      <c r="HT26" s="166">
        <v>-46.8827</v>
      </c>
      <c r="HU26" s="166">
        <v>-47.359400000000001</v>
      </c>
      <c r="HV26" s="166">
        <v>-35.25</v>
      </c>
      <c r="HW26" s="166">
        <v>-35.159999999999997</v>
      </c>
      <c r="HX26" s="166">
        <v>46.6</v>
      </c>
      <c r="HY26" s="166">
        <v>46.7</v>
      </c>
      <c r="HZ26" s="166">
        <v>20.878799999999998</v>
      </c>
      <c r="IA26" s="166">
        <v>-45.2</v>
      </c>
      <c r="IB26" s="166">
        <v>-315.99669999999998</v>
      </c>
      <c r="IC26" s="166">
        <v>72.715699999999998</v>
      </c>
      <c r="ID26" s="166">
        <v>72.419499999999999</v>
      </c>
      <c r="IE26" s="166">
        <v>15.7</v>
      </c>
      <c r="IF26" s="166">
        <v>14.2</v>
      </c>
      <c r="IG26" s="166">
        <v>-28.4</v>
      </c>
      <c r="IH26" s="166">
        <v>-33.6</v>
      </c>
      <c r="II26" s="167"/>
      <c r="IJ26" s="167"/>
      <c r="IK26" s="166">
        <v>-313.95350000000002</v>
      </c>
      <c r="IL26" s="166">
        <v>-94.691999999999993</v>
      </c>
      <c r="IM26" s="166">
        <v>228.45429999999999</v>
      </c>
      <c r="IN26" s="166">
        <v>26.5153</v>
      </c>
      <c r="IO26" s="166">
        <v>-62.005800000000001</v>
      </c>
      <c r="IP26" s="166">
        <v>-21.036100000000001</v>
      </c>
      <c r="IQ26" s="166">
        <v>12.3451</v>
      </c>
      <c r="IR26" s="166">
        <v>0</v>
      </c>
      <c r="IS26" s="166">
        <v>-146.5684</v>
      </c>
      <c r="IT26" s="166">
        <v>-15.1991</v>
      </c>
      <c r="IU26" s="166">
        <v>230.40270000000001</v>
      </c>
      <c r="IV26" s="166">
        <v>229.50960000000001</v>
      </c>
      <c r="IW26" s="166">
        <v>0</v>
      </c>
      <c r="IX26" s="166">
        <v>-218.95910000000001</v>
      </c>
      <c r="IY26" s="166">
        <v>144.3716</v>
      </c>
      <c r="IZ26" s="166">
        <v>-69.376400000000004</v>
      </c>
      <c r="JA26" s="166">
        <v>68.806799999999996</v>
      </c>
      <c r="JB26" s="166">
        <v>-8.3566000000000003</v>
      </c>
      <c r="JC26" s="166">
        <v>20.032</v>
      </c>
      <c r="JD26" s="166">
        <v>22.24</v>
      </c>
      <c r="JE26" s="166">
        <v>1.641</v>
      </c>
      <c r="JF26" s="166">
        <v>1.637</v>
      </c>
      <c r="JG26" s="166">
        <v>-21.04</v>
      </c>
      <c r="JH26" s="166">
        <v>-0.96</v>
      </c>
      <c r="JI26" s="167"/>
      <c r="JJ26" s="166">
        <v>0.499</v>
      </c>
      <c r="JK26" s="166">
        <v>-25.401700000000002</v>
      </c>
      <c r="JL26" s="166">
        <v>-17.958300000000001</v>
      </c>
      <c r="JM26" s="166">
        <v>15.4</v>
      </c>
      <c r="JN26" s="166">
        <v>51.570999999999998</v>
      </c>
      <c r="JO26" s="166">
        <v>52.2</v>
      </c>
      <c r="JP26" s="167"/>
      <c r="JQ26" s="167"/>
      <c r="JR26" s="166">
        <v>50.8384</v>
      </c>
      <c r="JS26" s="166">
        <v>49.807200000000002</v>
      </c>
      <c r="JT26" s="166">
        <v>51.389000000000003</v>
      </c>
      <c r="JU26" s="167"/>
      <c r="JV26" s="166">
        <v>-14</v>
      </c>
      <c r="JW26" s="166">
        <v>28.953199999999999</v>
      </c>
      <c r="JX26" s="166">
        <v>7.84</v>
      </c>
      <c r="JY26" s="167"/>
      <c r="JZ26" s="166">
        <v>-46.828400000000002</v>
      </c>
      <c r="KA26" s="166">
        <v>80.638000000000005</v>
      </c>
      <c r="KB26" s="166">
        <v>58.400100000000002</v>
      </c>
      <c r="KC26" s="166">
        <v>-46.272399999999998</v>
      </c>
      <c r="KD26" s="166">
        <v>-78.706199999999995</v>
      </c>
      <c r="KE26" s="166">
        <v>47.855800000000002</v>
      </c>
      <c r="KF26" s="166">
        <v>31.480699999999999</v>
      </c>
      <c r="KG26" s="166">
        <v>-1.6</v>
      </c>
      <c r="KH26" s="166">
        <v>0.4</v>
      </c>
      <c r="KI26" s="166">
        <v>-184.1782</v>
      </c>
      <c r="KJ26" s="166">
        <v>292.06389999999999</v>
      </c>
    </row>
    <row r="27" spans="1:296" ht="18" customHeight="1" x14ac:dyDescent="0.3">
      <c r="A27" s="162" t="s">
        <v>67</v>
      </c>
      <c r="B27" s="162" t="s">
        <v>826</v>
      </c>
      <c r="C27" s="166">
        <v>0</v>
      </c>
      <c r="D27" s="167"/>
      <c r="E27" s="166">
        <v>19.357800000000001</v>
      </c>
      <c r="F27" s="166">
        <v>-27.419799999999999</v>
      </c>
      <c r="G27" s="166">
        <v>-33.747100000000003</v>
      </c>
      <c r="H27" s="166">
        <v>34.047199999999997</v>
      </c>
      <c r="I27" s="167"/>
      <c r="J27" s="166">
        <v>50.020200000000003</v>
      </c>
      <c r="K27" s="166">
        <v>-100.09610000000001</v>
      </c>
      <c r="L27" s="166">
        <v>69.902299999999997</v>
      </c>
      <c r="M27" s="166">
        <v>34.998899999999999</v>
      </c>
      <c r="N27" s="166">
        <v>34.575899999999997</v>
      </c>
      <c r="O27" s="166">
        <v>2.2200000000000002</v>
      </c>
      <c r="P27" s="166">
        <v>-64.512</v>
      </c>
      <c r="Q27" s="166">
        <v>59.4</v>
      </c>
      <c r="R27" s="166">
        <v>19.044</v>
      </c>
      <c r="S27" s="166">
        <v>-59.4</v>
      </c>
      <c r="T27" s="166">
        <v>14.7699</v>
      </c>
      <c r="U27" s="166">
        <v>51.891199999999998</v>
      </c>
      <c r="V27" s="167"/>
      <c r="W27" s="166">
        <v>21.688500000000001</v>
      </c>
      <c r="X27" s="166">
        <v>35.824199999999998</v>
      </c>
      <c r="Y27" s="166">
        <v>3.9941</v>
      </c>
      <c r="Z27" s="166">
        <v>5.2576000000000001</v>
      </c>
      <c r="AA27" s="166">
        <v>6.1139999999999999</v>
      </c>
      <c r="AB27" s="167"/>
      <c r="AC27" s="167"/>
      <c r="AD27" s="166">
        <v>-68.98</v>
      </c>
      <c r="AE27" s="166">
        <v>-69.069999999999993</v>
      </c>
      <c r="AF27" s="167"/>
      <c r="AG27" s="166">
        <v>-2.2200000000000002</v>
      </c>
      <c r="AH27" s="166">
        <v>63.8</v>
      </c>
      <c r="AI27" s="166">
        <v>22.300999999999998</v>
      </c>
      <c r="AJ27" s="166">
        <v>0.251</v>
      </c>
      <c r="AK27" s="166">
        <v>-73.97</v>
      </c>
      <c r="AL27" s="168">
        <v>-73.959999999999994</v>
      </c>
      <c r="AM27" s="166">
        <v>-30.53</v>
      </c>
      <c r="AN27" s="166">
        <v>74.709999999999994</v>
      </c>
      <c r="AO27" s="166">
        <v>75.459999999999994</v>
      </c>
      <c r="AP27" s="166">
        <v>18.035399999999999</v>
      </c>
      <c r="AQ27" s="166">
        <v>0.35610000000000003</v>
      </c>
      <c r="AR27" s="166">
        <v>73.106200000000001</v>
      </c>
      <c r="AS27" s="166">
        <v>76.583200000000005</v>
      </c>
      <c r="AT27" s="166">
        <v>48.4069</v>
      </c>
      <c r="AU27" s="166">
        <v>-58.891800000000003</v>
      </c>
      <c r="AV27" s="166">
        <v>-58.659300000000002</v>
      </c>
      <c r="AW27" s="166">
        <v>30.186299999999999</v>
      </c>
      <c r="AX27" s="166">
        <v>31.328099999999999</v>
      </c>
      <c r="AY27" s="166">
        <v>77.477900000000005</v>
      </c>
      <c r="AZ27" s="166">
        <v>79.311099999999996</v>
      </c>
      <c r="BA27" s="166">
        <v>28.411200000000001</v>
      </c>
      <c r="BB27" s="166">
        <v>29.070499999999999</v>
      </c>
      <c r="BC27" s="166">
        <v>-535.40549999999996</v>
      </c>
      <c r="BD27" s="166">
        <v>-14.901999999999999</v>
      </c>
      <c r="BE27" s="166">
        <v>-12.5</v>
      </c>
      <c r="BF27" s="166">
        <v>-12.4</v>
      </c>
      <c r="BG27" s="166">
        <v>65.068899999999999</v>
      </c>
      <c r="BH27" s="166">
        <v>63.568899999999999</v>
      </c>
      <c r="BI27" s="166">
        <v>-8.4662000000000006</v>
      </c>
      <c r="BJ27" s="167"/>
      <c r="BK27" s="166">
        <v>-57.8474</v>
      </c>
      <c r="BL27" s="166">
        <v>8.5854999999999997</v>
      </c>
      <c r="BM27" s="166">
        <v>0</v>
      </c>
      <c r="BN27" s="166">
        <v>-0.63929999999999998</v>
      </c>
      <c r="BO27" s="166">
        <v>572.40499999999997</v>
      </c>
      <c r="BP27" s="166">
        <v>207.3732</v>
      </c>
      <c r="BQ27" s="166">
        <v>207.15960000000001</v>
      </c>
      <c r="BR27" s="166">
        <v>-609.86940000000004</v>
      </c>
      <c r="BS27" s="166">
        <v>664.16660000000002</v>
      </c>
      <c r="BT27" s="167"/>
      <c r="BU27" s="166">
        <v>-51.322800000000001</v>
      </c>
      <c r="BV27" s="166">
        <v>52.889800000000001</v>
      </c>
      <c r="BW27" s="166">
        <v>107.1704</v>
      </c>
      <c r="BX27" s="166">
        <v>30.93</v>
      </c>
      <c r="BY27" s="166">
        <v>36.04</v>
      </c>
      <c r="BZ27" s="166">
        <v>70.62</v>
      </c>
      <c r="CA27" s="166">
        <v>85.52</v>
      </c>
      <c r="CB27" s="166">
        <v>-58.936900000000001</v>
      </c>
      <c r="CC27" s="166">
        <v>-58.133200000000002</v>
      </c>
      <c r="CD27" s="166">
        <v>119.08540000000001</v>
      </c>
      <c r="CE27" s="166">
        <v>121.9371</v>
      </c>
      <c r="CF27" s="166">
        <v>11.058199999999999</v>
      </c>
      <c r="CG27" s="166">
        <v>-137.1035</v>
      </c>
      <c r="CH27" s="166">
        <v>-138.18790000000001</v>
      </c>
      <c r="CI27" s="166">
        <v>7.0335000000000001</v>
      </c>
      <c r="CJ27" s="166">
        <v>0</v>
      </c>
      <c r="CK27" s="168">
        <v>20.3367</v>
      </c>
      <c r="CL27" s="168">
        <v>27.887</v>
      </c>
      <c r="CM27" s="166">
        <v>133.19999999999999</v>
      </c>
      <c r="CN27" s="166">
        <v>119.6</v>
      </c>
      <c r="CO27" s="166">
        <v>-17.760000000000002</v>
      </c>
      <c r="CP27" s="166">
        <v>68.1477</v>
      </c>
      <c r="CQ27" s="166">
        <v>67.819400000000002</v>
      </c>
      <c r="CR27" s="166">
        <v>66.453599999999994</v>
      </c>
      <c r="CS27" s="166">
        <v>3.3530000000000002</v>
      </c>
      <c r="CT27" s="166">
        <v>3.9851999999999999</v>
      </c>
      <c r="CU27" s="166">
        <v>37.1342</v>
      </c>
      <c r="CV27" s="166">
        <v>-98.415800000000004</v>
      </c>
      <c r="CW27" s="166">
        <v>46.2286</v>
      </c>
      <c r="CX27" s="166">
        <v>13.8827</v>
      </c>
      <c r="CY27" s="166">
        <v>80.849999999999994</v>
      </c>
      <c r="CZ27" s="166">
        <v>42.73</v>
      </c>
      <c r="DA27" s="166">
        <v>53.913600000000002</v>
      </c>
      <c r="DB27" s="166">
        <v>50.981099999999998</v>
      </c>
      <c r="DC27" s="166">
        <v>-34.542999999999999</v>
      </c>
      <c r="DD27" s="167"/>
      <c r="DE27" s="167"/>
      <c r="DF27" s="166">
        <v>0</v>
      </c>
      <c r="DG27" s="166">
        <v>-99.593100000000007</v>
      </c>
      <c r="DH27" s="167"/>
      <c r="DI27" s="167"/>
      <c r="DJ27" s="166">
        <v>-107.5</v>
      </c>
      <c r="DK27" s="166">
        <v>-107.3</v>
      </c>
      <c r="DL27" s="166">
        <v>22.755400000000002</v>
      </c>
      <c r="DM27" s="166">
        <v>69</v>
      </c>
      <c r="DN27" s="166">
        <v>68.599999999999994</v>
      </c>
      <c r="DO27" s="166">
        <v>93.22</v>
      </c>
      <c r="DP27" s="166">
        <v>68.16</v>
      </c>
      <c r="DQ27" s="166">
        <v>-9.19</v>
      </c>
      <c r="DR27" s="166">
        <v>72.524500000000003</v>
      </c>
      <c r="DS27" s="166">
        <v>99.043099999999995</v>
      </c>
      <c r="DT27" s="166">
        <v>-28.11</v>
      </c>
      <c r="DU27" s="166">
        <v>-28.49</v>
      </c>
      <c r="DV27" s="166">
        <v>114.73</v>
      </c>
      <c r="DW27" s="166">
        <v>70.8</v>
      </c>
      <c r="DX27" s="166">
        <v>97.854500000000002</v>
      </c>
      <c r="DY27" s="166">
        <v>98.6</v>
      </c>
      <c r="DZ27" s="166">
        <v>0</v>
      </c>
      <c r="EA27" s="166">
        <v>-39.690899999999999</v>
      </c>
      <c r="EB27" s="166">
        <v>235.9494</v>
      </c>
      <c r="EC27" s="166">
        <v>184.60740000000001</v>
      </c>
      <c r="ED27" s="166">
        <v>179.17949999999999</v>
      </c>
      <c r="EE27" s="166">
        <v>182.63509999999999</v>
      </c>
      <c r="EF27" s="166">
        <v>93.440700000000007</v>
      </c>
      <c r="EG27" s="166">
        <v>72.118799999999993</v>
      </c>
      <c r="EH27" s="166">
        <v>-29.888000000000002</v>
      </c>
      <c r="EI27" s="166">
        <v>619.53989999999999</v>
      </c>
      <c r="EJ27" s="166">
        <v>115.23180000000001</v>
      </c>
      <c r="EK27" s="167"/>
      <c r="EL27" s="166">
        <v>-34.574100000000001</v>
      </c>
      <c r="EM27" s="166">
        <v>-32.613599999999998</v>
      </c>
      <c r="EN27" s="167"/>
      <c r="EO27" s="166">
        <v>0.2243</v>
      </c>
      <c r="EP27" s="166">
        <v>1.0317000000000001</v>
      </c>
      <c r="EQ27" s="166">
        <v>122.928</v>
      </c>
      <c r="ER27" s="166">
        <v>-78.700900000000004</v>
      </c>
      <c r="ES27" s="166">
        <v>-79.760400000000004</v>
      </c>
      <c r="ET27" s="166">
        <v>-33.757100000000001</v>
      </c>
      <c r="EU27" s="166">
        <v>0</v>
      </c>
      <c r="EV27" s="166">
        <v>-5.21</v>
      </c>
      <c r="EW27" s="166">
        <v>84.8</v>
      </c>
      <c r="EX27" s="166">
        <v>12.1569</v>
      </c>
      <c r="EY27" s="166">
        <v>-48.6126</v>
      </c>
      <c r="EZ27" s="166">
        <v>-38.176400000000001</v>
      </c>
      <c r="FA27" s="166">
        <v>-36.963999999999999</v>
      </c>
      <c r="FB27" s="166">
        <v>9.1395</v>
      </c>
      <c r="FC27" s="166">
        <v>-72.098399999999998</v>
      </c>
      <c r="FD27" s="166">
        <v>37.011299999999999</v>
      </c>
      <c r="FE27" s="166">
        <v>24.474299999999999</v>
      </c>
      <c r="FF27" s="166">
        <v>25.211200000000002</v>
      </c>
      <c r="FG27" s="167"/>
      <c r="FH27" s="166">
        <v>39.446599999999997</v>
      </c>
      <c r="FI27" s="166">
        <v>39.432299999999998</v>
      </c>
      <c r="FJ27" s="166">
        <v>38.079300000000003</v>
      </c>
      <c r="FK27" s="166">
        <v>60.954099999999997</v>
      </c>
      <c r="FL27" s="166">
        <v>60.954099999999997</v>
      </c>
      <c r="FM27" s="166">
        <v>-13.229100000000001</v>
      </c>
      <c r="FN27" s="166">
        <v>0</v>
      </c>
      <c r="FO27" s="166">
        <v>43.193899999999999</v>
      </c>
      <c r="FP27" s="166">
        <v>-19.190999999999999</v>
      </c>
      <c r="FQ27" s="166">
        <v>-11.0966</v>
      </c>
      <c r="FR27" s="166">
        <v>0.99060000000000004</v>
      </c>
      <c r="FS27" s="166">
        <v>-17.95</v>
      </c>
      <c r="FT27" s="167"/>
      <c r="FU27" s="166">
        <v>0.99760000000000004</v>
      </c>
      <c r="FV27" s="166">
        <v>1.38</v>
      </c>
      <c r="FW27" s="166">
        <v>18.27</v>
      </c>
      <c r="FX27" s="166">
        <v>0</v>
      </c>
      <c r="FY27" s="167"/>
      <c r="FZ27" s="166">
        <v>-10.023999999999999</v>
      </c>
      <c r="GA27" s="166">
        <v>4.3559999999999999</v>
      </c>
      <c r="GB27" s="167"/>
      <c r="GC27" s="166">
        <v>35.909999999999997</v>
      </c>
      <c r="GD27" s="166">
        <v>10.8992</v>
      </c>
      <c r="GE27" s="166">
        <v>19.3887</v>
      </c>
      <c r="GF27" s="168">
        <v>15.56</v>
      </c>
      <c r="GG27" s="166">
        <v>80.681299999999993</v>
      </c>
      <c r="GH27" s="166">
        <v>26.8</v>
      </c>
      <c r="GI27" s="166">
        <v>-19.212700000000002</v>
      </c>
      <c r="GJ27" s="166">
        <v>-2.5568</v>
      </c>
      <c r="GK27" s="166">
        <v>-2.677</v>
      </c>
      <c r="GL27" s="166">
        <v>2.0285000000000002</v>
      </c>
      <c r="GM27" s="167"/>
      <c r="GN27" s="167"/>
      <c r="GO27" s="166">
        <v>-15.9566</v>
      </c>
      <c r="GP27" s="166">
        <v>-34.680199999999999</v>
      </c>
      <c r="GQ27" s="166">
        <v>11.3544</v>
      </c>
      <c r="GR27" s="166">
        <v>36.3277</v>
      </c>
      <c r="GS27" s="166">
        <v>12.6187</v>
      </c>
      <c r="GT27" s="166">
        <v>11.994400000000001</v>
      </c>
      <c r="GU27" s="166">
        <v>-127.1712</v>
      </c>
      <c r="GV27" s="166">
        <v>-28.4237</v>
      </c>
      <c r="GW27" s="166">
        <v>29.9465</v>
      </c>
      <c r="GX27" s="166">
        <v>-66.906899999999993</v>
      </c>
      <c r="GY27" s="166">
        <v>10.811999999999999</v>
      </c>
      <c r="GZ27" s="166">
        <v>13.3134</v>
      </c>
      <c r="HA27" s="166">
        <v>12.9651</v>
      </c>
      <c r="HB27" s="166">
        <v>12.6304</v>
      </c>
      <c r="HC27" s="166">
        <v>139.96270000000001</v>
      </c>
      <c r="HD27" s="166">
        <v>137.4564</v>
      </c>
      <c r="HE27" s="166">
        <v>251.4</v>
      </c>
      <c r="HF27" s="166">
        <v>-248.31870000000001</v>
      </c>
      <c r="HG27" s="166">
        <v>-464.73649999999998</v>
      </c>
      <c r="HH27" s="166">
        <v>465.14170000000001</v>
      </c>
      <c r="HI27" s="166">
        <v>280.90339999999998</v>
      </c>
      <c r="HJ27" s="166">
        <v>-134.2775</v>
      </c>
      <c r="HK27" s="166">
        <v>-132.6155</v>
      </c>
      <c r="HL27" s="166">
        <v>-52.767699999999998</v>
      </c>
      <c r="HM27" s="166">
        <v>-42.9084</v>
      </c>
      <c r="HN27" s="166">
        <v>77.364099999999993</v>
      </c>
      <c r="HO27" s="166">
        <v>75.947299999999998</v>
      </c>
      <c r="HP27" s="166">
        <v>-53.174799999999998</v>
      </c>
      <c r="HQ27" s="167"/>
      <c r="HR27" s="166">
        <v>32.819400000000002</v>
      </c>
      <c r="HS27" s="166">
        <v>31.8965</v>
      </c>
      <c r="HT27" s="166">
        <v>-48.462600000000002</v>
      </c>
      <c r="HU27" s="166">
        <v>-49.218899999999998</v>
      </c>
      <c r="HV27" s="166">
        <v>-22.77</v>
      </c>
      <c r="HW27" s="166">
        <v>-21.38</v>
      </c>
      <c r="HX27" s="166">
        <v>48.3</v>
      </c>
      <c r="HY27" s="166">
        <v>48.4</v>
      </c>
      <c r="HZ27" s="166">
        <v>20.859500000000001</v>
      </c>
      <c r="IA27" s="166">
        <v>-48.08</v>
      </c>
      <c r="IB27" s="166">
        <v>-298.57760000000002</v>
      </c>
      <c r="IC27" s="166">
        <v>70.881299999999996</v>
      </c>
      <c r="ID27" s="166">
        <v>71.816400000000002</v>
      </c>
      <c r="IE27" s="166">
        <v>15.6</v>
      </c>
      <c r="IF27" s="166">
        <v>15.4</v>
      </c>
      <c r="IG27" s="166">
        <v>-30.1</v>
      </c>
      <c r="IH27" s="166">
        <v>-35.799999999999997</v>
      </c>
      <c r="II27" s="166">
        <v>1.4843</v>
      </c>
      <c r="IJ27" s="167"/>
      <c r="IK27" s="166">
        <v>-277.71879999999999</v>
      </c>
      <c r="IL27" s="166">
        <v>-88.715299999999999</v>
      </c>
      <c r="IM27" s="166">
        <v>179.42410000000001</v>
      </c>
      <c r="IN27" s="166">
        <v>-1.8601000000000001</v>
      </c>
      <c r="IO27" s="166">
        <v>-70.177700000000002</v>
      </c>
      <c r="IP27" s="166">
        <v>2.5348999999999999</v>
      </c>
      <c r="IQ27" s="166">
        <v>-13.5243</v>
      </c>
      <c r="IR27" s="166">
        <v>0</v>
      </c>
      <c r="IS27" s="166">
        <v>-131.94739999999999</v>
      </c>
      <c r="IT27" s="166">
        <v>8.1812000000000005</v>
      </c>
      <c r="IU27" s="166">
        <v>220.18969999999999</v>
      </c>
      <c r="IV27" s="166">
        <v>216.04480000000001</v>
      </c>
      <c r="IW27" s="166">
        <v>0</v>
      </c>
      <c r="IX27" s="166">
        <v>-173.7901</v>
      </c>
      <c r="IY27" s="166">
        <v>132.21559999999999</v>
      </c>
      <c r="IZ27" s="166">
        <v>-37.316600000000001</v>
      </c>
      <c r="JA27" s="166">
        <v>39.187600000000003</v>
      </c>
      <c r="JB27" s="166">
        <v>-7.3018999999999998</v>
      </c>
      <c r="JC27" s="166">
        <v>20.963000000000001</v>
      </c>
      <c r="JD27" s="166">
        <v>21.28</v>
      </c>
      <c r="JE27" s="166">
        <v>1.6779999999999999</v>
      </c>
      <c r="JF27" s="166">
        <v>1.6719999999999999</v>
      </c>
      <c r="JG27" s="166">
        <v>-20.56</v>
      </c>
      <c r="JH27" s="166">
        <v>-0.72</v>
      </c>
      <c r="JI27" s="167"/>
      <c r="JJ27" s="166">
        <v>0.32500000000000001</v>
      </c>
      <c r="JK27" s="166">
        <v>-28.917400000000001</v>
      </c>
      <c r="JL27" s="166">
        <v>-16.582000000000001</v>
      </c>
      <c r="JM27" s="166">
        <v>15.8</v>
      </c>
      <c r="JN27" s="166">
        <v>51.399000000000001</v>
      </c>
      <c r="JO27" s="166">
        <v>51.935000000000002</v>
      </c>
      <c r="JP27" s="166">
        <v>8.2203999999999997</v>
      </c>
      <c r="JQ27" s="166">
        <v>9.8048000000000002</v>
      </c>
      <c r="JR27" s="166">
        <v>49.491399999999999</v>
      </c>
      <c r="JS27" s="166">
        <v>49.693100000000001</v>
      </c>
      <c r="JT27" s="166">
        <v>49.698599999999999</v>
      </c>
      <c r="JU27" s="167"/>
      <c r="JV27" s="166">
        <v>-14.1</v>
      </c>
      <c r="JW27" s="166">
        <v>26.164300000000001</v>
      </c>
      <c r="JX27" s="166">
        <v>8.2799999999999994</v>
      </c>
      <c r="JY27" s="167"/>
      <c r="JZ27" s="166">
        <v>-40.418399999999998</v>
      </c>
      <c r="KA27" s="166">
        <v>78.124899999999997</v>
      </c>
      <c r="KB27" s="166">
        <v>53.731999999999999</v>
      </c>
      <c r="KC27" s="166">
        <v>-38.7746</v>
      </c>
      <c r="KD27" s="166">
        <v>-75.786100000000005</v>
      </c>
      <c r="KE27" s="166">
        <v>41.8872</v>
      </c>
      <c r="KF27" s="166">
        <v>34.516100000000002</v>
      </c>
      <c r="KG27" s="166">
        <v>0.7</v>
      </c>
      <c r="KH27" s="166">
        <v>-0.4</v>
      </c>
      <c r="KI27" s="166">
        <v>-180.2585</v>
      </c>
      <c r="KJ27" s="166">
        <v>277.31849999999997</v>
      </c>
    </row>
    <row r="28" spans="1:296" ht="18" customHeight="1" x14ac:dyDescent="0.3">
      <c r="A28" s="162" t="s">
        <v>67</v>
      </c>
      <c r="B28" s="162" t="s">
        <v>827</v>
      </c>
      <c r="C28" s="166">
        <v>0</v>
      </c>
      <c r="D28" s="167"/>
      <c r="E28" s="166">
        <v>19.859400000000001</v>
      </c>
      <c r="F28" s="166">
        <v>-28.410799999999998</v>
      </c>
      <c r="G28" s="166">
        <v>-32.680500000000002</v>
      </c>
      <c r="H28" s="166">
        <v>34.881300000000003</v>
      </c>
      <c r="I28" s="167"/>
      <c r="J28" s="166">
        <v>51.132399999999997</v>
      </c>
      <c r="K28" s="166">
        <v>-102.9436</v>
      </c>
      <c r="L28" s="166">
        <v>71.598299999999995</v>
      </c>
      <c r="M28" s="166">
        <v>36.030900000000003</v>
      </c>
      <c r="N28" s="166">
        <v>35.554900000000004</v>
      </c>
      <c r="O28" s="166">
        <v>0</v>
      </c>
      <c r="P28" s="166">
        <v>-67.018000000000001</v>
      </c>
      <c r="Q28" s="166">
        <v>61.6</v>
      </c>
      <c r="R28" s="166">
        <v>19.872</v>
      </c>
      <c r="S28" s="166">
        <v>-61.6</v>
      </c>
      <c r="T28" s="166">
        <v>14.626200000000001</v>
      </c>
      <c r="U28" s="166">
        <v>56.253999999999998</v>
      </c>
      <c r="V28" s="167"/>
      <c r="W28" s="166">
        <v>22.471</v>
      </c>
      <c r="X28" s="166">
        <v>38.577500000000001</v>
      </c>
      <c r="Y28" s="166">
        <v>5.8467000000000002</v>
      </c>
      <c r="Z28" s="166">
        <v>5.2374000000000001</v>
      </c>
      <c r="AA28" s="166">
        <v>5.7884000000000002</v>
      </c>
      <c r="AB28" s="167"/>
      <c r="AC28" s="167"/>
      <c r="AD28" s="166">
        <v>-72.23</v>
      </c>
      <c r="AE28" s="166">
        <v>-72.09</v>
      </c>
      <c r="AF28" s="167"/>
      <c r="AG28" s="166">
        <v>-2.2200000000000002</v>
      </c>
      <c r="AH28" s="166">
        <v>66</v>
      </c>
      <c r="AI28" s="166">
        <v>23.414000000000001</v>
      </c>
      <c r="AJ28" s="166">
        <v>0.25600000000000001</v>
      </c>
      <c r="AK28" s="166">
        <v>-70.61</v>
      </c>
      <c r="AL28" s="168">
        <v>-71.53</v>
      </c>
      <c r="AM28" s="166">
        <v>-41.61</v>
      </c>
      <c r="AN28" s="166">
        <v>72.8</v>
      </c>
      <c r="AO28" s="166">
        <v>73.03</v>
      </c>
      <c r="AP28" s="166">
        <v>18.086400000000001</v>
      </c>
      <c r="AQ28" s="166">
        <v>0.59570000000000001</v>
      </c>
      <c r="AR28" s="166">
        <v>75.283500000000004</v>
      </c>
      <c r="AS28" s="166">
        <v>78.603300000000004</v>
      </c>
      <c r="AT28" s="166">
        <v>48.371299999999998</v>
      </c>
      <c r="AU28" s="166">
        <v>-61.055700000000002</v>
      </c>
      <c r="AV28" s="166">
        <v>-60.866399999999999</v>
      </c>
      <c r="AW28" s="166">
        <v>17.085100000000001</v>
      </c>
      <c r="AX28" s="166">
        <v>18.672499999999999</v>
      </c>
      <c r="AY28" s="166">
        <v>82.194299999999998</v>
      </c>
      <c r="AZ28" s="166">
        <v>83.783100000000005</v>
      </c>
      <c r="BA28" s="166">
        <v>18.161000000000001</v>
      </c>
      <c r="BB28" s="166">
        <v>17.3245</v>
      </c>
      <c r="BC28" s="166">
        <v>-524.22860000000003</v>
      </c>
      <c r="BD28" s="166">
        <v>-14.8787</v>
      </c>
      <c r="BE28" s="166">
        <v>-12.1</v>
      </c>
      <c r="BF28" s="166">
        <v>-12.1</v>
      </c>
      <c r="BG28" s="166">
        <v>66.930599999999998</v>
      </c>
      <c r="BH28" s="166">
        <v>67.034700000000001</v>
      </c>
      <c r="BI28" s="166">
        <v>-8.6707999999999998</v>
      </c>
      <c r="BJ28" s="167"/>
      <c r="BK28" s="166">
        <v>-62.783299999999997</v>
      </c>
      <c r="BL28" s="166">
        <v>12.252700000000001</v>
      </c>
      <c r="BM28" s="166">
        <v>0</v>
      </c>
      <c r="BN28" s="166">
        <v>0</v>
      </c>
      <c r="BO28" s="166">
        <v>556.10810000000004</v>
      </c>
      <c r="BP28" s="166">
        <v>204.29079999999999</v>
      </c>
      <c r="BQ28" s="166">
        <v>203.8331</v>
      </c>
      <c r="BR28" s="166">
        <v>-593.95650000000001</v>
      </c>
      <c r="BS28" s="166">
        <v>665.327</v>
      </c>
      <c r="BT28" s="167"/>
      <c r="BU28" s="166">
        <v>-45.692900000000002</v>
      </c>
      <c r="BV28" s="166">
        <v>48.805700000000002</v>
      </c>
      <c r="BW28" s="166">
        <v>119.3355</v>
      </c>
      <c r="BX28" s="166">
        <v>41.8</v>
      </c>
      <c r="BY28" s="166">
        <v>0</v>
      </c>
      <c r="BZ28" s="166">
        <v>79.459999999999994</v>
      </c>
      <c r="CA28" s="166">
        <v>62.11</v>
      </c>
      <c r="CB28" s="166">
        <v>-63.759399999999999</v>
      </c>
      <c r="CC28" s="166">
        <v>-63.089599999999997</v>
      </c>
      <c r="CD28" s="166">
        <v>119.208</v>
      </c>
      <c r="CE28" s="166">
        <v>120.05549999999999</v>
      </c>
      <c r="CF28" s="166">
        <v>9.6417000000000002</v>
      </c>
      <c r="CG28" s="166">
        <v>-132.2585</v>
      </c>
      <c r="CH28" s="166">
        <v>-133.25800000000001</v>
      </c>
      <c r="CI28" s="166">
        <v>16.8003</v>
      </c>
      <c r="CJ28" s="166">
        <v>0</v>
      </c>
      <c r="CK28" s="168">
        <v>20.526499999999999</v>
      </c>
      <c r="CL28" s="166">
        <v>27.079000000000001</v>
      </c>
      <c r="CM28" s="166">
        <v>134.30000000000001</v>
      </c>
      <c r="CN28" s="166">
        <v>120.8</v>
      </c>
      <c r="CO28" s="166">
        <v>-18.29</v>
      </c>
      <c r="CP28" s="166">
        <v>73.364900000000006</v>
      </c>
      <c r="CQ28" s="166">
        <v>72.464600000000004</v>
      </c>
      <c r="CR28" s="166">
        <v>71.007099999999994</v>
      </c>
      <c r="CS28" s="166">
        <v>8.1498000000000008</v>
      </c>
      <c r="CT28" s="166">
        <v>8.9298999999999999</v>
      </c>
      <c r="CU28" s="166">
        <v>19.183199999999999</v>
      </c>
      <c r="CV28" s="166">
        <v>-91.4251</v>
      </c>
      <c r="CW28" s="166">
        <v>28.406099999999999</v>
      </c>
      <c r="CX28" s="166">
        <v>14.0076</v>
      </c>
      <c r="CY28" s="166">
        <v>83.52</v>
      </c>
      <c r="CZ28" s="166">
        <v>44.55</v>
      </c>
      <c r="DA28" s="166">
        <v>55.319800000000001</v>
      </c>
      <c r="DB28" s="166">
        <v>52.152999999999999</v>
      </c>
      <c r="DC28" s="166">
        <v>-35.3142</v>
      </c>
      <c r="DD28" s="167"/>
      <c r="DE28" s="167"/>
      <c r="DF28" s="166">
        <v>0</v>
      </c>
      <c r="DG28" s="166">
        <v>-101.5386</v>
      </c>
      <c r="DH28" s="167"/>
      <c r="DI28" s="167"/>
      <c r="DJ28" s="166">
        <v>-111.5</v>
      </c>
      <c r="DK28" s="166">
        <v>-112</v>
      </c>
      <c r="DL28" s="166">
        <v>22.508199999999999</v>
      </c>
      <c r="DM28" s="166">
        <v>71.3</v>
      </c>
      <c r="DN28" s="166">
        <v>70.180000000000007</v>
      </c>
      <c r="DO28" s="166">
        <v>96.18</v>
      </c>
      <c r="DP28" s="166">
        <v>70.3</v>
      </c>
      <c r="DQ28" s="166">
        <v>-9.8000000000000007</v>
      </c>
      <c r="DR28" s="166">
        <v>72.524500000000003</v>
      </c>
      <c r="DS28" s="166">
        <v>103.2209</v>
      </c>
      <c r="DT28" s="166">
        <v>-28.13</v>
      </c>
      <c r="DU28" s="166">
        <v>-28.66</v>
      </c>
      <c r="DV28" s="166">
        <v>110.65</v>
      </c>
      <c r="DW28" s="166">
        <v>72.62</v>
      </c>
      <c r="DX28" s="166">
        <v>100.2</v>
      </c>
      <c r="DY28" s="166">
        <v>100.01819999999999</v>
      </c>
      <c r="DZ28" s="166">
        <v>0</v>
      </c>
      <c r="EA28" s="166">
        <v>-41.872700000000002</v>
      </c>
      <c r="EB28" s="166">
        <v>239.31469999999999</v>
      </c>
      <c r="EC28" s="166">
        <v>189.4648</v>
      </c>
      <c r="ED28" s="166">
        <v>183.3442</v>
      </c>
      <c r="EE28" s="166">
        <v>184.76689999999999</v>
      </c>
      <c r="EF28" s="166">
        <v>71.766800000000003</v>
      </c>
      <c r="EG28" s="166">
        <v>48.877600000000001</v>
      </c>
      <c r="EH28" s="166">
        <v>-31.913</v>
      </c>
      <c r="EI28" s="166">
        <v>607.02679999999998</v>
      </c>
      <c r="EJ28" s="166">
        <v>90.540599999999998</v>
      </c>
      <c r="EK28" s="167"/>
      <c r="EL28" s="166">
        <v>-34.528300000000002</v>
      </c>
      <c r="EM28" s="166">
        <v>-32.752600000000001</v>
      </c>
      <c r="EN28" s="167"/>
      <c r="EO28" s="166">
        <v>5.0415999999999999</v>
      </c>
      <c r="EP28" s="166">
        <v>4.8041999999999998</v>
      </c>
      <c r="EQ28" s="166">
        <v>35.375999999999998</v>
      </c>
      <c r="ER28" s="166">
        <v>-64.623800000000003</v>
      </c>
      <c r="ES28" s="166">
        <v>-66.214799999999997</v>
      </c>
      <c r="ET28" s="166">
        <v>-7.7598000000000003</v>
      </c>
      <c r="EU28" s="166">
        <v>0</v>
      </c>
      <c r="EV28" s="166">
        <v>-6.31</v>
      </c>
      <c r="EW28" s="166">
        <v>1</v>
      </c>
      <c r="EX28" s="166">
        <v>12.837899999999999</v>
      </c>
      <c r="EY28" s="166">
        <v>-42.7348</v>
      </c>
      <c r="EZ28" s="166">
        <v>-36.7639</v>
      </c>
      <c r="FA28" s="166">
        <v>-35.973100000000002</v>
      </c>
      <c r="FB28" s="166">
        <v>7.9972000000000003</v>
      </c>
      <c r="FC28" s="166">
        <v>-46.761099999999999</v>
      </c>
      <c r="FD28" s="166">
        <v>12.396599999999999</v>
      </c>
      <c r="FE28" s="166">
        <v>23.914400000000001</v>
      </c>
      <c r="FF28" s="166">
        <v>25.101900000000001</v>
      </c>
      <c r="FG28" s="167"/>
      <c r="FH28" s="166">
        <v>38.961300000000001</v>
      </c>
      <c r="FI28" s="166">
        <v>39.923299999999998</v>
      </c>
      <c r="FJ28" s="166">
        <v>38.435200000000002</v>
      </c>
      <c r="FK28" s="166">
        <v>61.456499999999998</v>
      </c>
      <c r="FL28" s="166">
        <v>61.958799999999997</v>
      </c>
      <c r="FM28" s="166">
        <v>-15.2385</v>
      </c>
      <c r="FN28" s="166">
        <v>0</v>
      </c>
      <c r="FO28" s="166">
        <v>45.217100000000002</v>
      </c>
      <c r="FP28" s="166">
        <v>-22.494599999999998</v>
      </c>
      <c r="FQ28" s="166">
        <v>-13.1523</v>
      </c>
      <c r="FR28" s="166">
        <v>1.5839000000000001</v>
      </c>
      <c r="FS28" s="166">
        <v>-19.670000000000002</v>
      </c>
      <c r="FT28" s="167"/>
      <c r="FU28" s="166">
        <v>1.0343</v>
      </c>
      <c r="FV28" s="166">
        <v>1.31</v>
      </c>
      <c r="FW28" s="166">
        <v>18.170000000000002</v>
      </c>
      <c r="FX28" s="166">
        <v>0</v>
      </c>
      <c r="FY28" s="167"/>
      <c r="FZ28" s="166">
        <v>-9.81</v>
      </c>
      <c r="GA28" s="166">
        <v>4.3940000000000001</v>
      </c>
      <c r="GB28" s="167"/>
      <c r="GC28" s="166">
        <v>35.25</v>
      </c>
      <c r="GD28" s="166">
        <v>12.8901</v>
      </c>
      <c r="GE28" s="166">
        <v>21.9815</v>
      </c>
      <c r="GF28" s="168">
        <v>15.65</v>
      </c>
      <c r="GG28" s="166">
        <v>79.965000000000003</v>
      </c>
      <c r="GH28" s="166">
        <v>28</v>
      </c>
      <c r="GI28" s="166">
        <v>-18.203700000000001</v>
      </c>
      <c r="GJ28" s="166">
        <v>-3.0659000000000001</v>
      </c>
      <c r="GK28" s="166">
        <v>-3.0609000000000002</v>
      </c>
      <c r="GL28" s="166">
        <v>2.0676999999999999</v>
      </c>
      <c r="GM28" s="167"/>
      <c r="GN28" s="167"/>
      <c r="GO28" s="168">
        <v>-15.6797</v>
      </c>
      <c r="GP28" s="166">
        <v>-35.645600000000002</v>
      </c>
      <c r="GQ28" s="166">
        <v>11.3689</v>
      </c>
      <c r="GR28" s="166">
        <v>38.066299999999998</v>
      </c>
      <c r="GS28" s="166">
        <v>11.1633</v>
      </c>
      <c r="GT28" s="166">
        <v>11.3392</v>
      </c>
      <c r="GU28" s="166">
        <v>-126.1275</v>
      </c>
      <c r="GV28" s="166">
        <v>-29.393999999999998</v>
      </c>
      <c r="GW28" s="166">
        <v>29.94</v>
      </c>
      <c r="GX28" s="166">
        <v>-70.444999999999993</v>
      </c>
      <c r="GY28" s="166">
        <v>11.2364</v>
      </c>
      <c r="GZ28" s="166">
        <v>13.6357</v>
      </c>
      <c r="HA28" s="166">
        <v>13.1866</v>
      </c>
      <c r="HB28" s="166">
        <v>12.852499999999999</v>
      </c>
      <c r="HC28" s="166">
        <v>141.48070000000001</v>
      </c>
      <c r="HD28" s="166">
        <v>140.13</v>
      </c>
      <c r="HE28" s="166">
        <v>248.1</v>
      </c>
      <c r="HF28" s="166">
        <v>-245.12909999999999</v>
      </c>
      <c r="HG28" s="166">
        <v>-467.20139999999998</v>
      </c>
      <c r="HH28" s="166">
        <v>472.33609999999999</v>
      </c>
      <c r="HI28" s="166">
        <v>268.65649999999999</v>
      </c>
      <c r="HJ28" s="166">
        <v>-135.18209999999999</v>
      </c>
      <c r="HK28" s="166">
        <v>-135.76009999999999</v>
      </c>
      <c r="HL28" s="166">
        <v>-50.461399999999998</v>
      </c>
      <c r="HM28" s="166">
        <v>-39.311799999999998</v>
      </c>
      <c r="HN28" s="166">
        <v>78.562799999999996</v>
      </c>
      <c r="HO28" s="166">
        <v>78.741399999999999</v>
      </c>
      <c r="HP28" s="166">
        <v>-89.3001</v>
      </c>
      <c r="HQ28" s="166">
        <v>-88.1738</v>
      </c>
      <c r="HR28" s="166">
        <v>32.665599999999998</v>
      </c>
      <c r="HS28" s="166">
        <v>31.182400000000001</v>
      </c>
      <c r="HT28" s="166">
        <v>-49.703499999999998</v>
      </c>
      <c r="HU28" s="166">
        <v>-50.015300000000003</v>
      </c>
      <c r="HV28" s="166">
        <v>-26.09</v>
      </c>
      <c r="HW28" s="166">
        <v>-25.49</v>
      </c>
      <c r="HX28" s="166">
        <v>49.7</v>
      </c>
      <c r="HY28" s="166">
        <v>50.5</v>
      </c>
      <c r="HZ28" s="166">
        <v>20.838200000000001</v>
      </c>
      <c r="IA28" s="166">
        <v>-50.24</v>
      </c>
      <c r="IB28" s="166">
        <v>-301.27</v>
      </c>
      <c r="IC28" s="166">
        <v>71.305499999999995</v>
      </c>
      <c r="ID28" s="166">
        <v>71.000100000000003</v>
      </c>
      <c r="IE28" s="166">
        <v>11.6</v>
      </c>
      <c r="IF28" s="166">
        <v>17.7</v>
      </c>
      <c r="IG28" s="166">
        <v>-31</v>
      </c>
      <c r="IH28" s="166">
        <v>-36.799999999999997</v>
      </c>
      <c r="II28" s="167"/>
      <c r="IJ28" s="166">
        <v>1.1716</v>
      </c>
      <c r="IK28" s="166">
        <v>-265.31380000000001</v>
      </c>
      <c r="IL28" s="166">
        <v>-67.426599999999993</v>
      </c>
      <c r="IM28" s="166">
        <v>179.9161</v>
      </c>
      <c r="IN28" s="166">
        <v>1.8767</v>
      </c>
      <c r="IO28" s="166">
        <v>-60.0092</v>
      </c>
      <c r="IP28" s="166">
        <v>4.7483000000000004</v>
      </c>
      <c r="IQ28" s="166">
        <v>-15.107699999999999</v>
      </c>
      <c r="IR28" s="166">
        <v>0</v>
      </c>
      <c r="IS28" s="166">
        <v>-130.92670000000001</v>
      </c>
      <c r="IT28" s="166">
        <v>12.0524</v>
      </c>
      <c r="IU28" s="166">
        <v>216.6841</v>
      </c>
      <c r="IV28" s="166">
        <v>216.6977</v>
      </c>
      <c r="IW28" s="166">
        <v>0</v>
      </c>
      <c r="IX28" s="166">
        <v>-174.48840000000001</v>
      </c>
      <c r="IY28" s="166">
        <v>130.66669999999999</v>
      </c>
      <c r="IZ28" s="166">
        <v>-41.54</v>
      </c>
      <c r="JA28" s="166">
        <v>41.631500000000003</v>
      </c>
      <c r="JB28" s="166">
        <v>-7.1974999999999998</v>
      </c>
      <c r="JC28" s="166">
        <v>20.454999999999998</v>
      </c>
      <c r="JD28" s="166">
        <v>22</v>
      </c>
      <c r="JE28" s="166">
        <v>1.583</v>
      </c>
      <c r="JF28" s="166">
        <v>1.5780000000000001</v>
      </c>
      <c r="JG28" s="166">
        <v>-22.16</v>
      </c>
      <c r="JH28" s="166">
        <v>-0.16</v>
      </c>
      <c r="JI28" s="167"/>
      <c r="JJ28" s="166">
        <v>-0.1144</v>
      </c>
      <c r="JK28" s="166">
        <v>-28.270399999999999</v>
      </c>
      <c r="JL28" s="166">
        <v>-15.2636</v>
      </c>
      <c r="JM28" s="166">
        <v>14.7</v>
      </c>
      <c r="JN28" s="166">
        <v>51.906999999999996</v>
      </c>
      <c r="JO28" s="166">
        <v>51.643000000000001</v>
      </c>
      <c r="JP28" s="166">
        <v>8.1911000000000005</v>
      </c>
      <c r="JQ28" s="167"/>
      <c r="JR28" s="166">
        <v>51.454700000000003</v>
      </c>
      <c r="JS28" s="166">
        <v>50.779699999999998</v>
      </c>
      <c r="JT28" s="166">
        <v>50.965400000000002</v>
      </c>
      <c r="JU28" s="167"/>
      <c r="JV28" s="166">
        <v>-17.7</v>
      </c>
      <c r="JW28" s="166">
        <v>23.516500000000001</v>
      </c>
      <c r="JX28" s="166">
        <v>8.2899999999999991</v>
      </c>
      <c r="JY28" s="167"/>
      <c r="JZ28" s="166">
        <v>-37.892099999999999</v>
      </c>
      <c r="KA28" s="166">
        <v>75.468299999999999</v>
      </c>
      <c r="KB28" s="166">
        <v>50.630899999999997</v>
      </c>
      <c r="KC28" s="166">
        <v>-36.799100000000003</v>
      </c>
      <c r="KD28" s="166">
        <v>-74.183099999999996</v>
      </c>
      <c r="KE28" s="166">
        <v>39.001199999999997</v>
      </c>
      <c r="KF28" s="166">
        <v>34.8904</v>
      </c>
      <c r="KG28" s="166">
        <v>4.5999999999999996</v>
      </c>
      <c r="KH28" s="166">
        <v>-4.4000000000000004</v>
      </c>
      <c r="KI28" s="166">
        <v>-185.7671</v>
      </c>
      <c r="KJ28" s="166">
        <v>292.39339999999999</v>
      </c>
    </row>
    <row r="29" spans="1:296" ht="18" customHeight="1" x14ac:dyDescent="0.3">
      <c r="A29" s="162" t="s">
        <v>67</v>
      </c>
      <c r="B29" s="162" t="s">
        <v>828</v>
      </c>
      <c r="C29" s="166">
        <v>0</v>
      </c>
      <c r="D29" s="167"/>
      <c r="E29" s="166">
        <v>20.572500000000002</v>
      </c>
      <c r="F29" s="166">
        <v>-29.226299999999998</v>
      </c>
      <c r="G29" s="166">
        <v>-32.401699999999998</v>
      </c>
      <c r="H29" s="166">
        <v>35.653100000000002</v>
      </c>
      <c r="I29" s="167"/>
      <c r="J29" s="166">
        <v>53.112200000000001</v>
      </c>
      <c r="K29" s="166">
        <v>-110.003</v>
      </c>
      <c r="L29" s="166">
        <v>74.686400000000006</v>
      </c>
      <c r="M29" s="166">
        <v>37.814799999999998</v>
      </c>
      <c r="N29" s="166">
        <v>36.9193</v>
      </c>
      <c r="O29" s="166">
        <v>0</v>
      </c>
      <c r="P29" s="166">
        <v>-69.337000000000003</v>
      </c>
      <c r="Q29" s="166">
        <v>63.8</v>
      </c>
      <c r="R29" s="166">
        <v>19.872</v>
      </c>
      <c r="S29" s="166">
        <v>-63.8</v>
      </c>
      <c r="T29" s="166">
        <v>14.923999999999999</v>
      </c>
      <c r="U29" s="166">
        <v>58.069200000000002</v>
      </c>
      <c r="V29" s="167"/>
      <c r="W29" s="166">
        <v>23.283200000000001</v>
      </c>
      <c r="X29" s="166">
        <v>38.6008</v>
      </c>
      <c r="Y29" s="166">
        <v>5.6614000000000004</v>
      </c>
      <c r="Z29" s="166">
        <v>5.0152000000000001</v>
      </c>
      <c r="AA29" s="166">
        <v>5.5724999999999998</v>
      </c>
      <c r="AB29" s="167"/>
      <c r="AC29" s="167"/>
      <c r="AD29" s="166">
        <v>-73.510000000000005</v>
      </c>
      <c r="AE29" s="166">
        <v>-74.02</v>
      </c>
      <c r="AF29" s="167"/>
      <c r="AG29" s="166">
        <v>0</v>
      </c>
      <c r="AH29" s="166">
        <v>68.2</v>
      </c>
      <c r="AI29" s="166">
        <v>18.577000000000002</v>
      </c>
      <c r="AJ29" s="166">
        <v>0.22700000000000001</v>
      </c>
      <c r="AK29" s="166">
        <v>-71.89</v>
      </c>
      <c r="AL29" s="168">
        <v>-73.13</v>
      </c>
      <c r="AM29" s="166">
        <v>-43.44</v>
      </c>
      <c r="AN29" s="166">
        <v>74.209999999999994</v>
      </c>
      <c r="AO29" s="166">
        <v>74.63</v>
      </c>
      <c r="AP29" s="166">
        <v>18.527699999999999</v>
      </c>
      <c r="AQ29" s="166">
        <v>0.66339999999999999</v>
      </c>
      <c r="AR29" s="166">
        <v>76.8352</v>
      </c>
      <c r="AS29" s="166">
        <v>79.469200000000001</v>
      </c>
      <c r="AT29" s="166">
        <v>49.617600000000003</v>
      </c>
      <c r="AU29" s="166">
        <v>-64.2684</v>
      </c>
      <c r="AV29" s="166">
        <v>-63.840699999999998</v>
      </c>
      <c r="AW29" s="166">
        <v>29.1782</v>
      </c>
      <c r="AX29" s="166">
        <v>29.494700000000002</v>
      </c>
      <c r="AY29" s="166">
        <v>82.953900000000004</v>
      </c>
      <c r="AZ29" s="166">
        <v>85.124200000000002</v>
      </c>
      <c r="BA29" s="166">
        <v>18.1998</v>
      </c>
      <c r="BB29" s="166">
        <v>12.127800000000001</v>
      </c>
      <c r="BC29" s="166">
        <v>-531.36890000000005</v>
      </c>
      <c r="BD29" s="166">
        <v>-15.0464</v>
      </c>
      <c r="BE29" s="166">
        <v>-12.4</v>
      </c>
      <c r="BF29" s="166">
        <v>-12.5</v>
      </c>
      <c r="BG29" s="166">
        <v>68.642600000000002</v>
      </c>
      <c r="BH29" s="166">
        <v>68.387799999999999</v>
      </c>
      <c r="BI29" s="166">
        <v>-8.9672999999999998</v>
      </c>
      <c r="BJ29" s="167"/>
      <c r="BK29" s="166">
        <v>-64.764600000000002</v>
      </c>
      <c r="BL29" s="166">
        <v>12.3347</v>
      </c>
      <c r="BM29" s="166">
        <v>0</v>
      </c>
      <c r="BN29" s="166">
        <v>0</v>
      </c>
      <c r="BO29" s="166">
        <v>560.56380000000001</v>
      </c>
      <c r="BP29" s="166">
        <v>206.82390000000001</v>
      </c>
      <c r="BQ29" s="166">
        <v>206.4271</v>
      </c>
      <c r="BR29" s="166">
        <v>-577.20399999999995</v>
      </c>
      <c r="BS29" s="166">
        <v>689.82929999999999</v>
      </c>
      <c r="BT29" s="167"/>
      <c r="BU29" s="166">
        <v>-58.161700000000003</v>
      </c>
      <c r="BV29" s="166">
        <v>60.257899999999999</v>
      </c>
      <c r="BW29" s="166">
        <v>119.3954</v>
      </c>
      <c r="BX29" s="166">
        <v>42.5</v>
      </c>
      <c r="BY29" s="166">
        <v>0</v>
      </c>
      <c r="BZ29" s="166">
        <v>81.11</v>
      </c>
      <c r="CA29" s="166">
        <v>62.99</v>
      </c>
      <c r="CB29" s="166">
        <v>-66.974400000000003</v>
      </c>
      <c r="CC29" s="166">
        <v>-66.438500000000005</v>
      </c>
      <c r="CD29" s="166">
        <v>125.1058</v>
      </c>
      <c r="CE29" s="166">
        <v>125.363</v>
      </c>
      <c r="CF29" s="166">
        <v>8.7218999999999998</v>
      </c>
      <c r="CG29" s="166">
        <v>-137.78280000000001</v>
      </c>
      <c r="CH29" s="166">
        <v>-136.214</v>
      </c>
      <c r="CI29" s="166">
        <v>17.4605</v>
      </c>
      <c r="CJ29" s="166">
        <v>0</v>
      </c>
      <c r="CK29" s="166">
        <v>20.526499999999999</v>
      </c>
      <c r="CL29" s="166">
        <v>28.077000000000002</v>
      </c>
      <c r="CM29" s="166">
        <v>137.69999999999999</v>
      </c>
      <c r="CN29" s="166">
        <v>123.5</v>
      </c>
      <c r="CO29" s="166">
        <v>-18.46</v>
      </c>
      <c r="CP29" s="166">
        <v>73.246200000000002</v>
      </c>
      <c r="CQ29" s="166">
        <v>73.518100000000004</v>
      </c>
      <c r="CR29" s="166">
        <v>72.342399999999998</v>
      </c>
      <c r="CS29" s="166">
        <v>6.9642999999999997</v>
      </c>
      <c r="CT29" s="166">
        <v>7.5491999999999999</v>
      </c>
      <c r="CU29" s="166">
        <v>20.417000000000002</v>
      </c>
      <c r="CV29" s="166">
        <v>-93.239000000000004</v>
      </c>
      <c r="CW29" s="166">
        <v>29.161000000000001</v>
      </c>
      <c r="CX29" s="166">
        <v>14.449199999999999</v>
      </c>
      <c r="CY29" s="166">
        <v>86.69</v>
      </c>
      <c r="CZ29" s="166">
        <v>45.12</v>
      </c>
      <c r="DA29" s="166">
        <v>56.0229</v>
      </c>
      <c r="DB29" s="166">
        <v>53.3249</v>
      </c>
      <c r="DC29" s="166">
        <v>-35.736800000000002</v>
      </c>
      <c r="DD29" s="167"/>
      <c r="DE29" s="167"/>
      <c r="DF29" s="166">
        <v>0</v>
      </c>
      <c r="DG29" s="166">
        <v>-92.0274</v>
      </c>
      <c r="DH29" s="167"/>
      <c r="DI29" s="167"/>
      <c r="DJ29" s="166">
        <v>-112.7</v>
      </c>
      <c r="DK29" s="166">
        <v>-112.7</v>
      </c>
      <c r="DL29" s="166">
        <v>22.881799999999998</v>
      </c>
      <c r="DM29" s="166">
        <v>72.2</v>
      </c>
      <c r="DN29" s="166">
        <v>70.760000000000005</v>
      </c>
      <c r="DO29" s="166">
        <v>97.18</v>
      </c>
      <c r="DP29" s="166">
        <v>71.760000000000005</v>
      </c>
      <c r="DQ29" s="166">
        <v>-9.69</v>
      </c>
      <c r="DR29" s="166">
        <v>74.167500000000004</v>
      </c>
      <c r="DS29" s="166">
        <v>92.302700000000002</v>
      </c>
      <c r="DT29" s="166">
        <v>-26.19</v>
      </c>
      <c r="DU29" s="166">
        <v>-26.55</v>
      </c>
      <c r="DV29" s="166">
        <v>112.39</v>
      </c>
      <c r="DW29" s="166">
        <v>74.19</v>
      </c>
      <c r="DX29" s="166">
        <v>93.236400000000003</v>
      </c>
      <c r="DY29" s="166">
        <v>92.2727</v>
      </c>
      <c r="DZ29" s="166">
        <v>0</v>
      </c>
      <c r="EA29" s="166">
        <v>-49.027299999999997</v>
      </c>
      <c r="EB29" s="166">
        <v>238.214</v>
      </c>
      <c r="EC29" s="166">
        <v>183.82749999999999</v>
      </c>
      <c r="ED29" s="166">
        <v>178.92080000000001</v>
      </c>
      <c r="EE29" s="166">
        <v>180.58279999999999</v>
      </c>
      <c r="EF29" s="166">
        <v>92.862899999999996</v>
      </c>
      <c r="EG29" s="166">
        <v>69.298699999999997</v>
      </c>
      <c r="EH29" s="166">
        <v>-30.736000000000001</v>
      </c>
      <c r="EI29" s="166">
        <v>588.91499999999996</v>
      </c>
      <c r="EJ29" s="166">
        <v>70.924300000000002</v>
      </c>
      <c r="EK29" s="167"/>
      <c r="EL29" s="166">
        <v>-34.839100000000002</v>
      </c>
      <c r="EM29" s="166">
        <v>-32.822099999999999</v>
      </c>
      <c r="EN29" s="167"/>
      <c r="EO29" s="166">
        <v>-4.7942</v>
      </c>
      <c r="EP29" s="166">
        <v>-4.1855000000000002</v>
      </c>
      <c r="EQ29" s="166">
        <v>110.64</v>
      </c>
      <c r="ER29" s="166">
        <v>-83.897499999999994</v>
      </c>
      <c r="ES29" s="166">
        <v>-85.274600000000007</v>
      </c>
      <c r="ET29" s="166">
        <v>-30.799700000000001</v>
      </c>
      <c r="EU29" s="166">
        <v>0</v>
      </c>
      <c r="EV29" s="166">
        <v>-6.11</v>
      </c>
      <c r="EW29" s="166">
        <v>96.9</v>
      </c>
      <c r="EX29" s="166">
        <v>12.936500000000001</v>
      </c>
      <c r="EY29" s="166">
        <v>-63.160600000000002</v>
      </c>
      <c r="EZ29" s="166">
        <v>-35.164700000000003</v>
      </c>
      <c r="FA29" s="166">
        <v>-34.202399999999997</v>
      </c>
      <c r="FB29" s="166">
        <v>6.9877000000000002</v>
      </c>
      <c r="FC29" s="166">
        <v>-68.598699999999994</v>
      </c>
      <c r="FD29" s="166">
        <v>34.903799999999997</v>
      </c>
      <c r="FE29" s="166">
        <v>24.1433</v>
      </c>
      <c r="FF29" s="166">
        <v>25.065000000000001</v>
      </c>
      <c r="FG29" s="167"/>
      <c r="FH29" s="166">
        <v>38.860399999999998</v>
      </c>
      <c r="FI29" s="166">
        <v>39.369999999999997</v>
      </c>
      <c r="FJ29" s="166">
        <v>37.872999999999998</v>
      </c>
      <c r="FK29" s="166">
        <v>66.480199999999996</v>
      </c>
      <c r="FL29" s="166">
        <v>67.317400000000006</v>
      </c>
      <c r="FM29" s="166">
        <v>-13.229100000000001</v>
      </c>
      <c r="FN29" s="166">
        <v>0</v>
      </c>
      <c r="FO29" s="166">
        <v>52.802599999999998</v>
      </c>
      <c r="FP29" s="166">
        <v>-22.418600000000001</v>
      </c>
      <c r="FQ29" s="166">
        <v>-11.6715</v>
      </c>
      <c r="FR29" s="166">
        <v>3.0853999999999999</v>
      </c>
      <c r="FS29" s="166">
        <v>-20.89</v>
      </c>
      <c r="FT29" s="167"/>
      <c r="FU29" s="166">
        <v>1.0562</v>
      </c>
      <c r="FV29" s="166">
        <v>1.29</v>
      </c>
      <c r="FW29" s="166">
        <v>18.7</v>
      </c>
      <c r="FX29" s="166">
        <v>0</v>
      </c>
      <c r="FY29" s="167"/>
      <c r="FZ29" s="166">
        <v>-9.8840000000000003</v>
      </c>
      <c r="GA29" s="166">
        <v>4.3959999999999999</v>
      </c>
      <c r="GB29" s="166">
        <v>11.0479</v>
      </c>
      <c r="GC29" s="166">
        <v>34.65</v>
      </c>
      <c r="GD29" s="166">
        <v>13.6614</v>
      </c>
      <c r="GE29" s="166">
        <v>20.6404</v>
      </c>
      <c r="GF29" s="166">
        <v>15.74</v>
      </c>
      <c r="GG29" s="166">
        <v>79.406499999999994</v>
      </c>
      <c r="GH29" s="166">
        <v>27.7</v>
      </c>
      <c r="GI29" s="166">
        <v>-20.340599999999998</v>
      </c>
      <c r="GJ29" s="166">
        <v>-3.1899000000000002</v>
      </c>
      <c r="GK29" s="166">
        <v>-3.1768999999999998</v>
      </c>
      <c r="GL29" s="166">
        <v>2.1457000000000002</v>
      </c>
      <c r="GM29" s="167"/>
      <c r="GN29" s="167"/>
      <c r="GO29" s="166">
        <v>-15.402699999999999</v>
      </c>
      <c r="GP29" s="166">
        <v>-37.8628</v>
      </c>
      <c r="GQ29" s="166">
        <v>10.533200000000001</v>
      </c>
      <c r="GR29" s="166">
        <v>39.759399999999999</v>
      </c>
      <c r="GS29" s="166">
        <v>12.376099999999999</v>
      </c>
      <c r="GT29" s="166">
        <v>12.4344</v>
      </c>
      <c r="GU29" s="166">
        <v>-128.8853</v>
      </c>
      <c r="GV29" s="166">
        <v>-30.288</v>
      </c>
      <c r="GW29" s="166">
        <v>31.6812</v>
      </c>
      <c r="GX29" s="166">
        <v>-71.545400000000001</v>
      </c>
      <c r="GY29" s="166">
        <v>10.466799999999999</v>
      </c>
      <c r="GZ29" s="166">
        <v>13.821199999999999</v>
      </c>
      <c r="HA29" s="166">
        <v>13.5031</v>
      </c>
      <c r="HB29" s="166">
        <v>12.242000000000001</v>
      </c>
      <c r="HC29" s="166">
        <v>128.0566</v>
      </c>
      <c r="HD29" s="166">
        <v>127.9375</v>
      </c>
      <c r="HE29" s="166">
        <v>245.2</v>
      </c>
      <c r="HF29" s="166">
        <v>-243.91800000000001</v>
      </c>
      <c r="HG29" s="166">
        <v>-462.12639999999999</v>
      </c>
      <c r="HH29" s="166">
        <v>462.10070000000002</v>
      </c>
      <c r="HI29" s="166">
        <v>263.8861</v>
      </c>
      <c r="HJ29" s="166">
        <v>-125.5992</v>
      </c>
      <c r="HK29" s="166">
        <v>-123.40219999999999</v>
      </c>
      <c r="HL29" s="166">
        <v>-54.5214</v>
      </c>
      <c r="HM29" s="166">
        <v>-45.123100000000001</v>
      </c>
      <c r="HN29" s="166">
        <v>79.324700000000007</v>
      </c>
      <c r="HO29" s="166">
        <v>75.398300000000006</v>
      </c>
      <c r="HP29" s="167"/>
      <c r="HQ29" s="167"/>
      <c r="HR29" s="166">
        <v>28.688500000000001</v>
      </c>
      <c r="HS29" s="166">
        <v>28.413799999999998</v>
      </c>
      <c r="HT29" s="166">
        <v>-47.935000000000002</v>
      </c>
      <c r="HU29" s="166">
        <v>-47.2515</v>
      </c>
      <c r="HV29" s="166">
        <v>-18.149999999999999</v>
      </c>
      <c r="HW29" s="166">
        <v>-18.04</v>
      </c>
      <c r="HX29" s="166">
        <v>35.200000000000003</v>
      </c>
      <c r="HY29" s="166">
        <v>35</v>
      </c>
      <c r="HZ29" s="166">
        <v>20.797599999999999</v>
      </c>
      <c r="IA29" s="166">
        <v>-51.28</v>
      </c>
      <c r="IB29" s="166">
        <v>-280.63200000000001</v>
      </c>
      <c r="IC29" s="166">
        <v>67.236900000000006</v>
      </c>
      <c r="ID29" s="166">
        <v>66.422499999999999</v>
      </c>
      <c r="IE29" s="166">
        <v>11.6</v>
      </c>
      <c r="IF29" s="166">
        <v>8</v>
      </c>
      <c r="IG29" s="166">
        <v>-28.4</v>
      </c>
      <c r="IH29" s="166">
        <v>-33.799999999999997</v>
      </c>
      <c r="II29" s="166">
        <v>1.3290999999999999</v>
      </c>
      <c r="IJ29" s="167"/>
      <c r="IK29" s="166">
        <v>-255.6611</v>
      </c>
      <c r="IL29" s="166">
        <v>-46.837499999999999</v>
      </c>
      <c r="IM29" s="166">
        <v>146.84479999999999</v>
      </c>
      <c r="IN29" s="166">
        <v>-17.242799999999999</v>
      </c>
      <c r="IO29" s="166">
        <v>-65.952299999999994</v>
      </c>
      <c r="IP29" s="166">
        <v>21.027000000000001</v>
      </c>
      <c r="IQ29" s="166">
        <v>-26.5121</v>
      </c>
      <c r="IR29" s="166">
        <v>0</v>
      </c>
      <c r="IS29" s="166">
        <v>-108.7979</v>
      </c>
      <c r="IT29" s="166">
        <v>24.872399999999999</v>
      </c>
      <c r="IU29" s="166">
        <v>209.048</v>
      </c>
      <c r="IV29" s="166">
        <v>208.09209999999999</v>
      </c>
      <c r="IW29" s="166">
        <v>0</v>
      </c>
      <c r="IX29" s="166">
        <v>-144.5651</v>
      </c>
      <c r="IY29" s="166">
        <v>111.0146</v>
      </c>
      <c r="IZ29" s="166">
        <v>-26.274000000000001</v>
      </c>
      <c r="JA29" s="166">
        <v>27.1736</v>
      </c>
      <c r="JB29" s="166">
        <v>-7.4611999999999998</v>
      </c>
      <c r="JC29" s="166">
        <v>20.29</v>
      </c>
      <c r="JD29" s="166">
        <v>17.12</v>
      </c>
      <c r="JE29" s="166">
        <v>1.504</v>
      </c>
      <c r="JF29" s="166">
        <v>1.5129999999999999</v>
      </c>
      <c r="JG29" s="166">
        <v>-17.52</v>
      </c>
      <c r="JH29" s="166">
        <v>-5.04</v>
      </c>
      <c r="JI29" s="167"/>
      <c r="JJ29" s="166">
        <v>4.8356000000000003</v>
      </c>
      <c r="JK29" s="166">
        <v>-25.194199999999999</v>
      </c>
      <c r="JL29" s="166">
        <v>-14.970599999999999</v>
      </c>
      <c r="JM29" s="166">
        <v>6.8</v>
      </c>
      <c r="JN29" s="166">
        <v>28.305</v>
      </c>
      <c r="JO29" s="166">
        <v>28.381</v>
      </c>
      <c r="JP29" s="166">
        <v>8.1798999999999999</v>
      </c>
      <c r="JQ29" s="167"/>
      <c r="JR29" s="166">
        <v>50.701799999999999</v>
      </c>
      <c r="JS29" s="166">
        <v>50.489199999999997</v>
      </c>
      <c r="JT29" s="166">
        <v>52.4617</v>
      </c>
      <c r="JU29" s="167"/>
      <c r="JV29" s="166">
        <v>-9.3000000000000007</v>
      </c>
      <c r="JW29" s="166">
        <v>23.732299999999999</v>
      </c>
      <c r="JX29" s="166">
        <v>8.43</v>
      </c>
      <c r="JY29" s="167"/>
      <c r="JZ29" s="166">
        <v>-43.314799999999998</v>
      </c>
      <c r="KA29" s="166">
        <v>79.610799999999998</v>
      </c>
      <c r="KB29" s="166">
        <v>55.634</v>
      </c>
      <c r="KC29" s="166">
        <v>-42.517200000000003</v>
      </c>
      <c r="KD29" s="166">
        <v>-77.017499999999998</v>
      </c>
      <c r="KE29" s="166">
        <v>43.591799999999999</v>
      </c>
      <c r="KF29" s="166">
        <v>33.3977</v>
      </c>
      <c r="KG29" s="166">
        <v>-4.0999999999999996</v>
      </c>
      <c r="KH29" s="166">
        <v>4.3</v>
      </c>
      <c r="KI29" s="166">
        <v>-191.55250000000001</v>
      </c>
      <c r="KJ29" s="166">
        <v>331.21379999999999</v>
      </c>
    </row>
    <row r="30" spans="1:296" ht="18" customHeight="1" x14ac:dyDescent="0.3">
      <c r="A30" s="162" t="s">
        <v>67</v>
      </c>
      <c r="B30" s="162" t="s">
        <v>829</v>
      </c>
      <c r="C30" s="166">
        <v>0</v>
      </c>
      <c r="D30" s="167"/>
      <c r="E30" s="166">
        <v>21.039400000000001</v>
      </c>
      <c r="F30" s="166">
        <v>-30.087499999999999</v>
      </c>
      <c r="G30" s="166">
        <v>-32.421599999999998</v>
      </c>
      <c r="H30" s="166">
        <v>36.1509</v>
      </c>
      <c r="I30" s="167"/>
      <c r="J30" s="166">
        <v>54.215499999999999</v>
      </c>
      <c r="K30" s="166">
        <v>-112.59569999999999</v>
      </c>
      <c r="L30" s="166">
        <v>76.261499999999998</v>
      </c>
      <c r="M30" s="166">
        <v>38.782800000000002</v>
      </c>
      <c r="N30" s="166">
        <v>37.870100000000001</v>
      </c>
      <c r="O30" s="166">
        <v>-4.4400000000000004</v>
      </c>
      <c r="P30" s="166">
        <v>-71.385000000000005</v>
      </c>
      <c r="Q30" s="166">
        <v>66</v>
      </c>
      <c r="R30" s="166">
        <v>20.7</v>
      </c>
      <c r="S30" s="166">
        <v>-66</v>
      </c>
      <c r="T30" s="166">
        <v>14.6409</v>
      </c>
      <c r="U30" s="166">
        <v>60.531999999999996</v>
      </c>
      <c r="V30" s="167"/>
      <c r="W30" s="166">
        <v>24.495799999999999</v>
      </c>
      <c r="X30" s="166">
        <v>39.532899999999998</v>
      </c>
      <c r="Y30" s="166">
        <v>5.6184000000000003</v>
      </c>
      <c r="Z30" s="166">
        <v>5.0499000000000001</v>
      </c>
      <c r="AA30" s="166">
        <v>5.6097000000000001</v>
      </c>
      <c r="AB30" s="167"/>
      <c r="AC30" s="167"/>
      <c r="AD30" s="166">
        <v>-75.569999999999993</v>
      </c>
      <c r="AE30" s="166">
        <v>-75.95</v>
      </c>
      <c r="AF30" s="167"/>
      <c r="AG30" s="166">
        <v>4.4400000000000004</v>
      </c>
      <c r="AH30" s="166">
        <v>70.400000000000006</v>
      </c>
      <c r="AI30" s="166">
        <v>17.547999999999998</v>
      </c>
      <c r="AJ30" s="166">
        <v>0.218</v>
      </c>
      <c r="AK30" s="166">
        <v>-73.010000000000005</v>
      </c>
      <c r="AL30" s="166">
        <v>-72.849999999999994</v>
      </c>
      <c r="AM30" s="166">
        <v>-44.29</v>
      </c>
      <c r="AN30" s="166">
        <v>74.06</v>
      </c>
      <c r="AO30" s="166">
        <v>74.41</v>
      </c>
      <c r="AP30" s="166">
        <v>18.429500000000001</v>
      </c>
      <c r="AQ30" s="166">
        <v>0.5716</v>
      </c>
      <c r="AR30" s="166">
        <v>78.431700000000006</v>
      </c>
      <c r="AS30" s="166">
        <v>81.671599999999998</v>
      </c>
      <c r="AT30" s="166">
        <v>55.044899999999998</v>
      </c>
      <c r="AU30" s="166">
        <v>-62.731000000000002</v>
      </c>
      <c r="AV30" s="166">
        <v>-62.306600000000003</v>
      </c>
      <c r="AW30" s="166">
        <v>7.8890000000000002</v>
      </c>
      <c r="AX30" s="166">
        <v>8.1670999999999996</v>
      </c>
      <c r="AY30" s="166">
        <v>89.453199999999995</v>
      </c>
      <c r="AZ30" s="166">
        <v>90.419499999999999</v>
      </c>
      <c r="BA30" s="166">
        <v>3.4331999999999998</v>
      </c>
      <c r="BB30" s="166">
        <v>2.8708</v>
      </c>
      <c r="BC30" s="166">
        <v>-537.00869999999998</v>
      </c>
      <c r="BD30" s="166">
        <v>-15.550800000000001</v>
      </c>
      <c r="BE30" s="166">
        <v>-12.3</v>
      </c>
      <c r="BF30" s="166">
        <v>-12.2</v>
      </c>
      <c r="BG30" s="166">
        <v>68.193299999999994</v>
      </c>
      <c r="BH30" s="166">
        <v>67.635199999999998</v>
      </c>
      <c r="BI30" s="166">
        <v>-9.3674999999999997</v>
      </c>
      <c r="BJ30" s="167"/>
      <c r="BK30" s="166">
        <v>-65.742199999999997</v>
      </c>
      <c r="BL30" s="166">
        <v>12.846399999999999</v>
      </c>
      <c r="BM30" s="166">
        <v>0</v>
      </c>
      <c r="BN30" s="166">
        <v>-0.53859999999999997</v>
      </c>
      <c r="BO30" s="166">
        <v>575.64</v>
      </c>
      <c r="BP30" s="166">
        <v>210.8218</v>
      </c>
      <c r="BQ30" s="166">
        <v>212.25620000000001</v>
      </c>
      <c r="BR30" s="166">
        <v>-583.851</v>
      </c>
      <c r="BS30" s="166">
        <v>700.69259999999997</v>
      </c>
      <c r="BT30" s="167"/>
      <c r="BU30" s="166">
        <v>-61.04</v>
      </c>
      <c r="BV30" s="166">
        <v>64.194999999999993</v>
      </c>
      <c r="BW30" s="166">
        <v>121.3613</v>
      </c>
      <c r="BX30" s="166">
        <v>44.51</v>
      </c>
      <c r="BY30" s="166">
        <v>0</v>
      </c>
      <c r="BZ30" s="166">
        <v>81.92</v>
      </c>
      <c r="CA30" s="166">
        <v>63.15</v>
      </c>
      <c r="CB30" s="166">
        <v>-67.912099999999995</v>
      </c>
      <c r="CC30" s="166">
        <v>-67.644099999999995</v>
      </c>
      <c r="CD30" s="166">
        <v>124.4533</v>
      </c>
      <c r="CE30" s="166">
        <v>125.70820000000001</v>
      </c>
      <c r="CF30" s="166">
        <v>7.7111999999999998</v>
      </c>
      <c r="CG30" s="166">
        <v>-142.4263</v>
      </c>
      <c r="CH30" s="166">
        <v>-144.00239999999999</v>
      </c>
      <c r="CI30" s="166">
        <v>17.900099999999998</v>
      </c>
      <c r="CJ30" s="166">
        <v>0</v>
      </c>
      <c r="CK30" s="167"/>
      <c r="CL30" s="166">
        <v>28.914000000000001</v>
      </c>
      <c r="CM30" s="166">
        <v>138.69999999999999</v>
      </c>
      <c r="CN30" s="166">
        <v>125.2</v>
      </c>
      <c r="CO30" s="166">
        <v>-18.57</v>
      </c>
      <c r="CP30" s="166">
        <v>73.895399999999995</v>
      </c>
      <c r="CQ30" s="166">
        <v>72.366399999999999</v>
      </c>
      <c r="CR30" s="166">
        <v>72.094300000000004</v>
      </c>
      <c r="CS30" s="166">
        <v>8.3605999999999998</v>
      </c>
      <c r="CT30" s="166">
        <v>9.0456000000000003</v>
      </c>
      <c r="CU30" s="166">
        <v>20.717400000000001</v>
      </c>
      <c r="CV30" s="166">
        <v>-96.367800000000003</v>
      </c>
      <c r="CW30" s="166">
        <v>31.5427</v>
      </c>
      <c r="CX30" s="166">
        <v>14.82</v>
      </c>
      <c r="CY30" s="166">
        <v>87.12</v>
      </c>
      <c r="CZ30" s="166">
        <v>45.7</v>
      </c>
      <c r="DA30" s="166">
        <v>57.429200000000002</v>
      </c>
      <c r="DB30" s="166">
        <v>54.4968</v>
      </c>
      <c r="DC30" s="166">
        <v>-36.474499999999999</v>
      </c>
      <c r="DD30" s="167"/>
      <c r="DE30" s="167"/>
      <c r="DF30" s="166">
        <v>0</v>
      </c>
      <c r="DG30" s="166">
        <v>-94.344800000000006</v>
      </c>
      <c r="DH30" s="167"/>
      <c r="DI30" s="167"/>
      <c r="DJ30" s="166">
        <v>-115.3</v>
      </c>
      <c r="DK30" s="166">
        <v>-113.8</v>
      </c>
      <c r="DL30" s="166">
        <v>22.898299999999999</v>
      </c>
      <c r="DM30" s="166">
        <v>74.099999999999994</v>
      </c>
      <c r="DN30" s="166">
        <v>71.400000000000006</v>
      </c>
      <c r="DO30" s="166">
        <v>99.22</v>
      </c>
      <c r="DP30" s="166">
        <v>73.23</v>
      </c>
      <c r="DQ30" s="166">
        <v>-9.8699999999999992</v>
      </c>
      <c r="DR30" s="166">
        <v>74.136499999999998</v>
      </c>
      <c r="DS30" s="166">
        <v>93.8553</v>
      </c>
      <c r="DT30" s="166">
        <v>-24.3</v>
      </c>
      <c r="DU30" s="166">
        <v>-24.67</v>
      </c>
      <c r="DV30" s="166">
        <v>107.95</v>
      </c>
      <c r="DW30" s="166">
        <v>77.010000000000005</v>
      </c>
      <c r="DX30" s="166">
        <v>95.290899999999993</v>
      </c>
      <c r="DY30" s="166">
        <v>93.2</v>
      </c>
      <c r="DZ30" s="166">
        <v>0</v>
      </c>
      <c r="EA30" s="166">
        <v>-49.545499999999997</v>
      </c>
      <c r="EB30" s="166">
        <v>239.078</v>
      </c>
      <c r="EC30" s="166">
        <v>185.37520000000001</v>
      </c>
      <c r="ED30" s="166">
        <v>180.4727</v>
      </c>
      <c r="EE30" s="166">
        <v>181.0872</v>
      </c>
      <c r="EF30" s="166">
        <v>89.622600000000006</v>
      </c>
      <c r="EG30" s="166">
        <v>67.492500000000007</v>
      </c>
      <c r="EH30" s="166">
        <v>-30.817</v>
      </c>
      <c r="EI30" s="166">
        <v>589.33749999999998</v>
      </c>
      <c r="EJ30" s="166">
        <v>58.082999999999998</v>
      </c>
      <c r="EK30" s="167"/>
      <c r="EL30" s="166">
        <v>-35.292200000000001</v>
      </c>
      <c r="EM30" s="166">
        <v>-32.697000000000003</v>
      </c>
      <c r="EN30" s="167"/>
      <c r="EO30" s="166">
        <v>-9.7355</v>
      </c>
      <c r="EP30" s="166">
        <v>-8.8173999999999992</v>
      </c>
      <c r="EQ30" s="166">
        <v>150.58799999999999</v>
      </c>
      <c r="ER30" s="166">
        <v>-85.977400000000003</v>
      </c>
      <c r="ES30" s="166">
        <v>-87.599599999999995</v>
      </c>
      <c r="ET30" s="166">
        <v>-31.390799999999999</v>
      </c>
      <c r="EU30" s="166">
        <v>0</v>
      </c>
      <c r="EV30" s="166">
        <v>-7.18</v>
      </c>
      <c r="EW30" s="166">
        <v>115.6</v>
      </c>
      <c r="EX30" s="166">
        <v>13.182399999999999</v>
      </c>
      <c r="EY30" s="166">
        <v>-69.227900000000005</v>
      </c>
      <c r="EZ30" s="166">
        <v>-34.115499999999997</v>
      </c>
      <c r="FA30" s="166">
        <v>-33.325499999999998</v>
      </c>
      <c r="FB30" s="166">
        <v>4.2343000000000002</v>
      </c>
      <c r="FC30" s="166">
        <v>-71.158100000000005</v>
      </c>
      <c r="FD30" s="166">
        <v>30.406400000000001</v>
      </c>
      <c r="FE30" s="166">
        <v>23.8386</v>
      </c>
      <c r="FF30" s="166">
        <v>24.799299999999999</v>
      </c>
      <c r="FG30" s="167"/>
      <c r="FH30" s="166">
        <v>39.618499999999997</v>
      </c>
      <c r="FI30" s="166">
        <v>39.461599999999997</v>
      </c>
      <c r="FJ30" s="166">
        <v>37.7804</v>
      </c>
      <c r="FK30" s="166">
        <v>68.6571</v>
      </c>
      <c r="FL30" s="166">
        <v>68.154700000000005</v>
      </c>
      <c r="FM30" s="166">
        <v>-3.0142000000000002</v>
      </c>
      <c r="FN30" s="166">
        <v>0</v>
      </c>
      <c r="FO30" s="166">
        <v>53.172199999999997</v>
      </c>
      <c r="FP30" s="166">
        <v>-17.1935</v>
      </c>
      <c r="FQ30" s="166">
        <v>0</v>
      </c>
      <c r="FR30" s="166">
        <v>5.5975999999999999</v>
      </c>
      <c r="FS30" s="166">
        <v>-15.49</v>
      </c>
      <c r="FT30" s="167"/>
      <c r="FU30" s="166">
        <v>1.0904</v>
      </c>
      <c r="FV30" s="166">
        <v>1.34</v>
      </c>
      <c r="FW30" s="166">
        <v>18.350000000000001</v>
      </c>
      <c r="FX30" s="166">
        <v>0</v>
      </c>
      <c r="FY30" s="167"/>
      <c r="FZ30" s="168">
        <v>-9.8834999999999997</v>
      </c>
      <c r="GA30" s="166">
        <v>4.306</v>
      </c>
      <c r="GB30" s="167"/>
      <c r="GC30" s="166">
        <v>38.65</v>
      </c>
      <c r="GD30" s="166">
        <v>9.1143999999999998</v>
      </c>
      <c r="GE30" s="166">
        <v>16.498999999999999</v>
      </c>
      <c r="GF30" s="166">
        <v>16.13</v>
      </c>
      <c r="GG30" s="166">
        <v>82.8767</v>
      </c>
      <c r="GH30" s="166">
        <v>28</v>
      </c>
      <c r="GI30" s="166">
        <v>-20.228000000000002</v>
      </c>
      <c r="GJ30" s="166">
        <v>-3.944</v>
      </c>
      <c r="GK30" s="166">
        <v>-3.8001999999999998</v>
      </c>
      <c r="GL30" s="166">
        <v>2.1857000000000002</v>
      </c>
      <c r="GM30" s="167"/>
      <c r="GN30" s="167"/>
      <c r="GO30" s="166">
        <v>-16.379000000000001</v>
      </c>
      <c r="GP30" s="166">
        <v>-38.143799999999999</v>
      </c>
      <c r="GQ30" s="166">
        <v>12.6744</v>
      </c>
      <c r="GR30" s="166">
        <v>40.228900000000003</v>
      </c>
      <c r="GS30" s="166">
        <v>10.813800000000001</v>
      </c>
      <c r="GT30" s="166">
        <v>11.846399999999999</v>
      </c>
      <c r="GU30" s="166">
        <v>-128.0359</v>
      </c>
      <c r="GV30" s="166">
        <v>-30.720600000000001</v>
      </c>
      <c r="GW30" s="166">
        <v>32.289700000000003</v>
      </c>
      <c r="GX30" s="166">
        <v>-73.832599999999999</v>
      </c>
      <c r="GY30" s="166">
        <v>11.9475</v>
      </c>
      <c r="GZ30" s="166">
        <v>13.87</v>
      </c>
      <c r="HA30" s="166">
        <v>13.481999999999999</v>
      </c>
      <c r="HB30" s="166">
        <v>13.6652</v>
      </c>
      <c r="HC30" s="166">
        <v>128.04759999999999</v>
      </c>
      <c r="HD30" s="166">
        <v>126</v>
      </c>
      <c r="HE30" s="166">
        <v>249.8</v>
      </c>
      <c r="HF30" s="166">
        <v>-247.3947</v>
      </c>
      <c r="HG30" s="166">
        <v>-457.98500000000001</v>
      </c>
      <c r="HH30" s="166">
        <v>461.58139999999997</v>
      </c>
      <c r="HI30" s="166">
        <v>250.64670000000001</v>
      </c>
      <c r="HJ30" s="166">
        <v>-123.25190000000001</v>
      </c>
      <c r="HK30" s="166">
        <v>-121.10720000000001</v>
      </c>
      <c r="HL30" s="166">
        <v>-52.750700000000002</v>
      </c>
      <c r="HM30" s="166">
        <v>-42.490900000000003</v>
      </c>
      <c r="HN30" s="166">
        <v>77.472200000000001</v>
      </c>
      <c r="HO30" s="166">
        <v>75.916399999999996</v>
      </c>
      <c r="HP30" s="166">
        <v>-80.123999999999995</v>
      </c>
      <c r="HQ30" s="166">
        <v>-76.404200000000003</v>
      </c>
      <c r="HR30" s="166">
        <v>29.073</v>
      </c>
      <c r="HS30" s="166">
        <v>29.3477</v>
      </c>
      <c r="HT30" s="166">
        <v>-49.758299999999998</v>
      </c>
      <c r="HU30" s="166">
        <v>-50.372900000000001</v>
      </c>
      <c r="HV30" s="166">
        <v>-23.51</v>
      </c>
      <c r="HW30" s="166">
        <v>-23.54</v>
      </c>
      <c r="HX30" s="166">
        <v>34.700000000000003</v>
      </c>
      <c r="HY30" s="166">
        <v>34.799999999999997</v>
      </c>
      <c r="HZ30" s="166">
        <v>20.859500000000001</v>
      </c>
      <c r="IA30" s="166">
        <v>-52.32</v>
      </c>
      <c r="IB30" s="166">
        <v>-278.41609999999997</v>
      </c>
      <c r="IC30" s="166">
        <v>64.044499999999999</v>
      </c>
      <c r="ID30" s="166">
        <v>64.410300000000007</v>
      </c>
      <c r="IE30" s="166">
        <v>11.6</v>
      </c>
      <c r="IF30" s="166">
        <v>9.1</v>
      </c>
      <c r="IG30" s="166">
        <v>-27.6</v>
      </c>
      <c r="IH30" s="166">
        <v>-32.799999999999997</v>
      </c>
      <c r="II30" s="167"/>
      <c r="IJ30" s="167"/>
      <c r="IK30" s="166">
        <v>-245.90209999999999</v>
      </c>
      <c r="IL30" s="166">
        <v>-35.141500000000001</v>
      </c>
      <c r="IM30" s="166">
        <v>142.8853</v>
      </c>
      <c r="IN30" s="166">
        <v>-23.088799999999999</v>
      </c>
      <c r="IO30" s="166">
        <v>-59.012300000000003</v>
      </c>
      <c r="IP30" s="166">
        <v>23.0761</v>
      </c>
      <c r="IQ30" s="166">
        <v>-32.2637</v>
      </c>
      <c r="IR30" s="166">
        <v>0</v>
      </c>
      <c r="IS30" s="166">
        <v>-108.45140000000001</v>
      </c>
      <c r="IT30" s="166">
        <v>30.672799999999999</v>
      </c>
      <c r="IU30" s="166">
        <v>207.15790000000001</v>
      </c>
      <c r="IV30" s="166">
        <v>206.4272</v>
      </c>
      <c r="IW30" s="166">
        <v>0</v>
      </c>
      <c r="IX30" s="166">
        <v>-141.233</v>
      </c>
      <c r="IY30" s="166">
        <v>108.9526</v>
      </c>
      <c r="IZ30" s="166">
        <v>-25.067699999999999</v>
      </c>
      <c r="JA30" s="166">
        <v>24.973600000000001</v>
      </c>
      <c r="JB30" s="166">
        <v>-7.7523</v>
      </c>
      <c r="JC30" s="166">
        <v>22.164999999999999</v>
      </c>
      <c r="JD30" s="166">
        <v>17.12</v>
      </c>
      <c r="JE30" s="166">
        <v>1.419</v>
      </c>
      <c r="JF30" s="166">
        <v>1.4139999999999999</v>
      </c>
      <c r="JG30" s="166">
        <v>-17.12</v>
      </c>
      <c r="JH30" s="166">
        <v>-6</v>
      </c>
      <c r="JI30" s="167"/>
      <c r="JJ30" s="166">
        <v>5.6565000000000003</v>
      </c>
      <c r="JK30" s="166">
        <v>-23.964300000000001</v>
      </c>
      <c r="JL30" s="166">
        <v>-14.882099999999999</v>
      </c>
      <c r="JM30" s="166">
        <v>4.7</v>
      </c>
      <c r="JN30" s="166">
        <v>27.242999999999999</v>
      </c>
      <c r="JO30" s="166">
        <v>26.774000000000001</v>
      </c>
      <c r="JP30" s="167"/>
      <c r="JQ30" s="167"/>
      <c r="JR30" s="166">
        <v>49.337699999999998</v>
      </c>
      <c r="JS30" s="166">
        <v>50.143799999999999</v>
      </c>
      <c r="JT30" s="166">
        <v>50.426299999999998</v>
      </c>
      <c r="JU30" s="167"/>
      <c r="JV30" s="166">
        <v>-9.8000000000000007</v>
      </c>
      <c r="JW30" s="166">
        <v>23.0227</v>
      </c>
      <c r="JX30" s="166">
        <v>8.94</v>
      </c>
      <c r="JY30" s="167"/>
      <c r="JZ30" s="166">
        <v>-40.9206</v>
      </c>
      <c r="KA30" s="166">
        <v>78.089100000000002</v>
      </c>
      <c r="KB30" s="166">
        <v>53.588000000000001</v>
      </c>
      <c r="KC30" s="166">
        <v>-40.012099999999997</v>
      </c>
      <c r="KD30" s="166">
        <v>-76.658799999999999</v>
      </c>
      <c r="KE30" s="166">
        <v>41.642099999999999</v>
      </c>
      <c r="KF30" s="166">
        <v>34.520400000000002</v>
      </c>
      <c r="KG30" s="166">
        <v>-3.9</v>
      </c>
      <c r="KH30" s="166">
        <v>3.7</v>
      </c>
      <c r="KI30" s="166">
        <v>-205.61109999999999</v>
      </c>
      <c r="KJ30" s="166">
        <v>346.69499999999999</v>
      </c>
    </row>
    <row r="31" spans="1:296" ht="18" customHeight="1" x14ac:dyDescent="0.3">
      <c r="A31" s="162" t="s">
        <v>67</v>
      </c>
      <c r="B31" s="162" t="s">
        <v>830</v>
      </c>
      <c r="C31" s="166">
        <v>0</v>
      </c>
      <c r="D31" s="167"/>
      <c r="E31" s="166">
        <v>21.608899999999998</v>
      </c>
      <c r="F31" s="166">
        <v>-31.912199999999999</v>
      </c>
      <c r="G31" s="166">
        <v>-31.045999999999999</v>
      </c>
      <c r="H31" s="166">
        <v>36.574800000000003</v>
      </c>
      <c r="I31" s="167"/>
      <c r="J31" s="166">
        <v>56.4876</v>
      </c>
      <c r="K31" s="166">
        <v>-100.4404</v>
      </c>
      <c r="L31" s="166">
        <v>78.419300000000007</v>
      </c>
      <c r="M31" s="166">
        <v>39.1768</v>
      </c>
      <c r="N31" s="166">
        <v>38.528500000000001</v>
      </c>
      <c r="O31" s="166">
        <v>-2.2200000000000002</v>
      </c>
      <c r="P31" s="166">
        <v>-73.197999999999993</v>
      </c>
      <c r="Q31" s="166">
        <v>66</v>
      </c>
      <c r="R31" s="166">
        <v>21.527999999999999</v>
      </c>
      <c r="S31" s="166">
        <v>-66</v>
      </c>
      <c r="T31" s="166">
        <v>14.351100000000001</v>
      </c>
      <c r="U31" s="166">
        <v>50.754399999999997</v>
      </c>
      <c r="V31" s="167"/>
      <c r="W31" s="166">
        <v>24.7775</v>
      </c>
      <c r="X31" s="166">
        <v>40.678600000000003</v>
      </c>
      <c r="Y31" s="166">
        <v>5.7807000000000004</v>
      </c>
      <c r="Z31" s="166">
        <v>5.0659000000000001</v>
      </c>
      <c r="AA31" s="166">
        <v>6.0324999999999998</v>
      </c>
      <c r="AB31" s="167"/>
      <c r="AC31" s="167"/>
      <c r="AD31" s="166">
        <v>-74.069999999999993</v>
      </c>
      <c r="AE31" s="166">
        <v>-74.19</v>
      </c>
      <c r="AF31" s="167"/>
      <c r="AG31" s="166">
        <v>2.2200000000000002</v>
      </c>
      <c r="AH31" s="166">
        <v>72.599999999999994</v>
      </c>
      <c r="AI31" s="166">
        <v>17.042000000000002</v>
      </c>
      <c r="AJ31" s="166">
        <v>0.21199999999999999</v>
      </c>
      <c r="AK31" s="166">
        <v>-74.86</v>
      </c>
      <c r="AL31" s="166">
        <v>-75.31</v>
      </c>
      <c r="AM31" s="166">
        <v>-44.6</v>
      </c>
      <c r="AN31" s="166">
        <v>76.42</v>
      </c>
      <c r="AO31" s="166">
        <v>76.290000000000006</v>
      </c>
      <c r="AP31" s="166">
        <v>19.2453</v>
      </c>
      <c r="AQ31" s="166">
        <v>0.68230000000000002</v>
      </c>
      <c r="AR31" s="166">
        <v>78.916399999999996</v>
      </c>
      <c r="AS31" s="166">
        <v>82.156800000000004</v>
      </c>
      <c r="AT31" s="166">
        <v>53.482999999999997</v>
      </c>
      <c r="AU31" s="166">
        <v>-61.054200000000002</v>
      </c>
      <c r="AV31" s="166">
        <v>-61.037199999999999</v>
      </c>
      <c r="AW31" s="166">
        <v>25.0792</v>
      </c>
      <c r="AX31" s="166">
        <v>23.470700000000001</v>
      </c>
      <c r="AY31" s="166">
        <v>84.819900000000004</v>
      </c>
      <c r="AZ31" s="166">
        <v>87.169399999999996</v>
      </c>
      <c r="BA31" s="166">
        <v>18.224799999999998</v>
      </c>
      <c r="BB31" s="166">
        <v>19.3888</v>
      </c>
      <c r="BC31" s="166">
        <v>-559.8913</v>
      </c>
      <c r="BD31" s="166">
        <v>-15.013299999999999</v>
      </c>
      <c r="BE31" s="166">
        <v>-13.1</v>
      </c>
      <c r="BF31" s="166">
        <v>-13</v>
      </c>
      <c r="BG31" s="166">
        <v>66.584000000000003</v>
      </c>
      <c r="BH31" s="166">
        <v>66.802099999999996</v>
      </c>
      <c r="BI31" s="166">
        <v>-9.4855</v>
      </c>
      <c r="BJ31" s="167"/>
      <c r="BK31" s="166">
        <v>-64.174400000000006</v>
      </c>
      <c r="BL31" s="166">
        <v>12.062099999999999</v>
      </c>
      <c r="BM31" s="166">
        <v>0</v>
      </c>
      <c r="BN31" s="166">
        <v>-0.5615</v>
      </c>
      <c r="BO31" s="166">
        <v>593.98159999999996</v>
      </c>
      <c r="BP31" s="166">
        <v>226.6609</v>
      </c>
      <c r="BQ31" s="166">
        <v>226.26419999999999</v>
      </c>
      <c r="BR31" s="166">
        <v>-597.98990000000003</v>
      </c>
      <c r="BS31" s="166">
        <v>732.25980000000004</v>
      </c>
      <c r="BT31" s="167"/>
      <c r="BU31" s="166">
        <v>-49.820599999999999</v>
      </c>
      <c r="BV31" s="166">
        <v>51.186799999999998</v>
      </c>
      <c r="BW31" s="166">
        <v>123.44710000000001</v>
      </c>
      <c r="BX31" s="166">
        <v>45.41</v>
      </c>
      <c r="BY31" s="166">
        <v>0</v>
      </c>
      <c r="BZ31" s="166">
        <v>83.6</v>
      </c>
      <c r="CA31" s="166">
        <v>63.87</v>
      </c>
      <c r="CB31" s="166">
        <v>-73.404300000000006</v>
      </c>
      <c r="CC31" s="166">
        <v>-73.404300000000006</v>
      </c>
      <c r="CD31" s="166">
        <v>127.4888</v>
      </c>
      <c r="CE31" s="166">
        <v>129.53970000000001</v>
      </c>
      <c r="CF31" s="166">
        <v>8.5726999999999993</v>
      </c>
      <c r="CG31" s="166">
        <v>-148.8801</v>
      </c>
      <c r="CH31" s="166">
        <v>-149.51220000000001</v>
      </c>
      <c r="CI31" s="166">
        <v>14.477399999999999</v>
      </c>
      <c r="CJ31" s="166">
        <v>0</v>
      </c>
      <c r="CK31" s="167"/>
      <c r="CL31" s="166">
        <v>28.097000000000001</v>
      </c>
      <c r="CM31" s="166">
        <v>141.6</v>
      </c>
      <c r="CN31" s="166">
        <v>127.1</v>
      </c>
      <c r="CO31" s="166">
        <v>-19.23</v>
      </c>
      <c r="CP31" s="166">
        <v>72.951899999999995</v>
      </c>
      <c r="CQ31" s="166">
        <v>72.245599999999996</v>
      </c>
      <c r="CR31" s="166">
        <v>71.0244</v>
      </c>
      <c r="CS31" s="166">
        <v>7.6211000000000002</v>
      </c>
      <c r="CT31" s="166">
        <v>7.0587999999999997</v>
      </c>
      <c r="CU31" s="166">
        <v>34.049500000000002</v>
      </c>
      <c r="CV31" s="166">
        <v>-109.7996</v>
      </c>
      <c r="CW31" s="166">
        <v>45.473399999999998</v>
      </c>
      <c r="CX31" s="166">
        <v>15.0336</v>
      </c>
      <c r="CY31" s="166">
        <v>88.44</v>
      </c>
      <c r="CZ31" s="166">
        <v>46.82</v>
      </c>
      <c r="DA31" s="166">
        <v>58.8354</v>
      </c>
      <c r="DB31" s="166">
        <v>55.668599999999998</v>
      </c>
      <c r="DC31" s="166">
        <v>-37.603000000000002</v>
      </c>
      <c r="DD31" s="167"/>
      <c r="DE31" s="167"/>
      <c r="DF31" s="166">
        <v>0</v>
      </c>
      <c r="DG31" s="166">
        <v>-104.14239999999999</v>
      </c>
      <c r="DH31" s="167"/>
      <c r="DI31" s="167"/>
      <c r="DJ31" s="166">
        <v>-118</v>
      </c>
      <c r="DK31" s="166">
        <v>-118.2</v>
      </c>
      <c r="DL31" s="166">
        <v>23.106999999999999</v>
      </c>
      <c r="DM31" s="166">
        <v>74.900000000000006</v>
      </c>
      <c r="DN31" s="166">
        <v>72.64</v>
      </c>
      <c r="DO31" s="166">
        <v>101.36</v>
      </c>
      <c r="DP31" s="166">
        <v>74.72</v>
      </c>
      <c r="DQ31" s="166">
        <v>-9.9700000000000006</v>
      </c>
      <c r="DR31" s="166">
        <v>75.236999999999995</v>
      </c>
      <c r="DS31" s="166">
        <v>101.7133</v>
      </c>
      <c r="DT31" s="166">
        <v>-24.59</v>
      </c>
      <c r="DU31" s="166">
        <v>-25.13</v>
      </c>
      <c r="DV31" s="166">
        <v>110.05</v>
      </c>
      <c r="DW31" s="166">
        <v>78.75</v>
      </c>
      <c r="DX31" s="166">
        <v>102.36360000000001</v>
      </c>
      <c r="DY31" s="166">
        <v>101.3818</v>
      </c>
      <c r="DZ31" s="166">
        <v>0</v>
      </c>
      <c r="EA31" s="166">
        <v>-52.054499999999997</v>
      </c>
      <c r="EB31" s="166">
        <v>245.40119999999999</v>
      </c>
      <c r="EC31" s="166">
        <v>192.63480000000001</v>
      </c>
      <c r="ED31" s="166">
        <v>186.48330000000001</v>
      </c>
      <c r="EE31" s="166">
        <v>189.46369999999999</v>
      </c>
      <c r="EF31" s="166">
        <v>66.127899999999997</v>
      </c>
      <c r="EG31" s="166">
        <v>41.7682</v>
      </c>
      <c r="EH31" s="166">
        <v>-32.694000000000003</v>
      </c>
      <c r="EI31" s="166">
        <v>608.46730000000002</v>
      </c>
      <c r="EJ31" s="166">
        <v>16.9694</v>
      </c>
      <c r="EK31" s="167"/>
      <c r="EL31" s="166">
        <v>-34.004399999999997</v>
      </c>
      <c r="EM31" s="166">
        <v>-31.860199999999999</v>
      </c>
      <c r="EN31" s="167"/>
      <c r="EO31" s="166">
        <v>0.1663</v>
      </c>
      <c r="EP31" s="166">
        <v>0.25359999999999999</v>
      </c>
      <c r="EQ31" s="166">
        <v>44.591999999999999</v>
      </c>
      <c r="ER31" s="166">
        <v>-71.944199999999995</v>
      </c>
      <c r="ES31" s="166">
        <v>-73.240399999999994</v>
      </c>
      <c r="ET31" s="166">
        <v>1.4695</v>
      </c>
      <c r="EU31" s="166">
        <v>0</v>
      </c>
      <c r="EV31" s="166">
        <v>-14.32</v>
      </c>
      <c r="EW31" s="166">
        <v>1</v>
      </c>
      <c r="EX31" s="166">
        <v>13.664300000000001</v>
      </c>
      <c r="EY31" s="166">
        <v>-54.270099999999999</v>
      </c>
      <c r="EZ31" s="166">
        <v>-34.925600000000003</v>
      </c>
      <c r="FA31" s="166">
        <v>-34.302300000000002</v>
      </c>
      <c r="FB31" s="166">
        <v>5.1260000000000003</v>
      </c>
      <c r="FC31" s="166">
        <v>-39.6479</v>
      </c>
      <c r="FD31" s="166">
        <v>4.5522</v>
      </c>
      <c r="FE31" s="166">
        <v>24.614699999999999</v>
      </c>
      <c r="FF31" s="166">
        <v>25.060400000000001</v>
      </c>
      <c r="FG31" s="167"/>
      <c r="FH31" s="166">
        <v>38.847799999999999</v>
      </c>
      <c r="FI31" s="166">
        <v>39.269199999999998</v>
      </c>
      <c r="FJ31" s="166">
        <v>38.006599999999999</v>
      </c>
      <c r="FK31" s="166">
        <v>73.680800000000005</v>
      </c>
      <c r="FL31" s="166">
        <v>74.015699999999995</v>
      </c>
      <c r="FM31" s="166">
        <v>9.8798999999999992</v>
      </c>
      <c r="FN31" s="166">
        <v>0</v>
      </c>
      <c r="FO31" s="166">
        <v>55.909799999999997</v>
      </c>
      <c r="FP31" s="166">
        <v>-7.8632</v>
      </c>
      <c r="FQ31" s="166">
        <v>0</v>
      </c>
      <c r="FR31" s="166">
        <v>14.0426</v>
      </c>
      <c r="FS31" s="166">
        <v>-14.71</v>
      </c>
      <c r="FT31" s="167"/>
      <c r="FU31" s="166">
        <v>1.0915999999999999</v>
      </c>
      <c r="FV31" s="166">
        <v>1.31</v>
      </c>
      <c r="FW31" s="166">
        <v>20.100000000000001</v>
      </c>
      <c r="FX31" s="166">
        <v>12.2456</v>
      </c>
      <c r="FY31" s="167"/>
      <c r="FZ31" s="166">
        <v>-9.8829999999999991</v>
      </c>
      <c r="GA31" s="166">
        <v>4.3360000000000003</v>
      </c>
      <c r="GB31" s="166">
        <v>12.9777</v>
      </c>
      <c r="GC31" s="166">
        <v>40.69</v>
      </c>
      <c r="GD31" s="166">
        <v>1.9420999999999999</v>
      </c>
      <c r="GE31" s="166">
        <v>8.1576000000000004</v>
      </c>
      <c r="GF31" s="168">
        <v>16.024999999999999</v>
      </c>
      <c r="GG31" s="166">
        <v>83.660799999999995</v>
      </c>
      <c r="GH31" s="166">
        <v>28</v>
      </c>
      <c r="GI31" s="166">
        <v>-20.7425</v>
      </c>
      <c r="GJ31" s="166">
        <v>-3.3553999999999999</v>
      </c>
      <c r="GK31" s="166">
        <v>-3.5800999999999998</v>
      </c>
      <c r="GL31" s="166">
        <v>2.2513000000000001</v>
      </c>
      <c r="GM31" s="167"/>
      <c r="GN31" s="167"/>
      <c r="GO31" s="168">
        <v>-16.237200000000001</v>
      </c>
      <c r="GP31" s="166">
        <v>-39.190600000000003</v>
      </c>
      <c r="GQ31" s="166">
        <v>12.9274</v>
      </c>
      <c r="GR31" s="166">
        <v>41.471899999999998</v>
      </c>
      <c r="GS31" s="166">
        <v>14.324999999999999</v>
      </c>
      <c r="GT31" s="166">
        <v>14.789300000000001</v>
      </c>
      <c r="GU31" s="166">
        <v>-134.8741</v>
      </c>
      <c r="GV31" s="166">
        <v>-31.349599999999999</v>
      </c>
      <c r="GW31" s="166">
        <v>32.1858</v>
      </c>
      <c r="GX31" s="166">
        <v>-74.771699999999996</v>
      </c>
      <c r="GY31" s="166">
        <v>11.738300000000001</v>
      </c>
      <c r="GZ31" s="166">
        <v>14.0068</v>
      </c>
      <c r="HA31" s="166">
        <v>13.7773</v>
      </c>
      <c r="HB31" s="166">
        <v>13.236599999999999</v>
      </c>
      <c r="HC31" s="166">
        <v>126.7316</v>
      </c>
      <c r="HD31" s="166">
        <v>125.92659999999999</v>
      </c>
      <c r="HE31" s="166">
        <v>274.5</v>
      </c>
      <c r="HF31" s="166">
        <v>-274.36410000000001</v>
      </c>
      <c r="HG31" s="166">
        <v>-500.56119999999999</v>
      </c>
      <c r="HH31" s="166">
        <v>500.32940000000002</v>
      </c>
      <c r="HI31" s="166">
        <v>238.24440000000001</v>
      </c>
      <c r="HJ31" s="166">
        <v>-121.8135</v>
      </c>
      <c r="HK31" s="166">
        <v>-121.502</v>
      </c>
      <c r="HL31" s="166">
        <v>-54.149099999999997</v>
      </c>
      <c r="HM31" s="166">
        <v>-44.715699999999998</v>
      </c>
      <c r="HN31" s="166">
        <v>78.049099999999996</v>
      </c>
      <c r="HO31" s="166">
        <v>75.868099999999998</v>
      </c>
      <c r="HP31" s="167"/>
      <c r="HQ31" s="167"/>
      <c r="HR31" s="166">
        <v>30.2486</v>
      </c>
      <c r="HS31" s="166">
        <v>30.435300000000002</v>
      </c>
      <c r="HT31" s="166">
        <v>-49.47</v>
      </c>
      <c r="HU31" s="166">
        <v>-49.819499999999998</v>
      </c>
      <c r="HV31" s="166">
        <v>-22.95</v>
      </c>
      <c r="HW31" s="166">
        <v>-22.78</v>
      </c>
      <c r="HX31" s="166">
        <v>32.6</v>
      </c>
      <c r="HY31" s="166">
        <v>32.6</v>
      </c>
      <c r="HZ31" s="166">
        <v>21.021899999999999</v>
      </c>
      <c r="IA31" s="166">
        <v>-52.32</v>
      </c>
      <c r="IB31" s="166">
        <v>-279.17180000000002</v>
      </c>
      <c r="IC31" s="166">
        <v>64.692300000000003</v>
      </c>
      <c r="ID31" s="166">
        <v>65.388199999999998</v>
      </c>
      <c r="IE31" s="166">
        <v>11.8</v>
      </c>
      <c r="IF31" s="166">
        <v>9.1</v>
      </c>
      <c r="IG31" s="166">
        <v>-30.2</v>
      </c>
      <c r="IH31" s="166">
        <v>-35</v>
      </c>
      <c r="II31" s="167"/>
      <c r="IJ31" s="167"/>
      <c r="IK31" s="166">
        <v>-235.59610000000001</v>
      </c>
      <c r="IL31" s="166">
        <v>5.6971999999999996</v>
      </c>
      <c r="IM31" s="166">
        <v>134.5909</v>
      </c>
      <c r="IN31" s="166">
        <v>-25.8659</v>
      </c>
      <c r="IO31" s="166">
        <v>-42.218000000000004</v>
      </c>
      <c r="IP31" s="166">
        <v>26.713799999999999</v>
      </c>
      <c r="IQ31" s="166">
        <v>-34.204999999999998</v>
      </c>
      <c r="IR31" s="166">
        <v>0</v>
      </c>
      <c r="IS31" s="166">
        <v>-105.3293</v>
      </c>
      <c r="IT31" s="166">
        <v>33.809100000000001</v>
      </c>
      <c r="IU31" s="166">
        <v>207.155</v>
      </c>
      <c r="IV31" s="166">
        <v>205.6926</v>
      </c>
      <c r="IW31" s="166">
        <v>0</v>
      </c>
      <c r="IX31" s="166">
        <v>-133.70849999999999</v>
      </c>
      <c r="IY31" s="166">
        <v>109.87690000000001</v>
      </c>
      <c r="IZ31" s="166">
        <v>-20.554500000000001</v>
      </c>
      <c r="JA31" s="166">
        <v>20.562899999999999</v>
      </c>
      <c r="JB31" s="166">
        <v>-7.593</v>
      </c>
      <c r="JC31" s="166">
        <v>22.219000000000001</v>
      </c>
      <c r="JD31" s="166">
        <v>16.399999999999999</v>
      </c>
      <c r="JE31" s="166">
        <v>1.4890000000000001</v>
      </c>
      <c r="JF31" s="166">
        <v>1.4730000000000001</v>
      </c>
      <c r="JG31" s="166">
        <v>-16.32</v>
      </c>
      <c r="JH31" s="166">
        <v>-5.92</v>
      </c>
      <c r="JI31" s="167"/>
      <c r="JJ31" s="166">
        <v>5.3330000000000002</v>
      </c>
      <c r="JK31" s="166">
        <v>-23.408899999999999</v>
      </c>
      <c r="JL31" s="166">
        <v>-14.4427</v>
      </c>
      <c r="JM31" s="166">
        <v>4.2</v>
      </c>
      <c r="JN31" s="166">
        <v>23.53</v>
      </c>
      <c r="JO31" s="166">
        <v>23.132999999999999</v>
      </c>
      <c r="JP31" s="166">
        <v>8.1758000000000006</v>
      </c>
      <c r="JQ31" s="167"/>
      <c r="JR31" s="166">
        <v>49.7727</v>
      </c>
      <c r="JS31" s="166">
        <v>51.314900000000002</v>
      </c>
      <c r="JT31" s="166">
        <v>50.982300000000002</v>
      </c>
      <c r="JU31" s="167"/>
      <c r="JV31" s="166">
        <v>-8.5</v>
      </c>
      <c r="JW31" s="166">
        <v>22.637699999999999</v>
      </c>
      <c r="JX31" s="166">
        <v>9.11</v>
      </c>
      <c r="JY31" s="167"/>
      <c r="JZ31" s="166">
        <v>-41.526800000000001</v>
      </c>
      <c r="KA31" s="166">
        <v>79.771900000000002</v>
      </c>
      <c r="KB31" s="166">
        <v>55.631700000000002</v>
      </c>
      <c r="KC31" s="166">
        <v>-41.4925</v>
      </c>
      <c r="KD31" s="166">
        <v>-78.155799999999999</v>
      </c>
      <c r="KE31" s="166">
        <v>43.953600000000002</v>
      </c>
      <c r="KF31" s="166">
        <v>33.893799999999999</v>
      </c>
      <c r="KG31" s="166">
        <v>-5.2</v>
      </c>
      <c r="KH31" s="166">
        <v>5.0999999999999996</v>
      </c>
      <c r="KI31" s="166">
        <v>-257.96339999999998</v>
      </c>
      <c r="KJ31" s="166">
        <v>392.66699999999997</v>
      </c>
    </row>
    <row r="32" spans="1:296" ht="18" customHeight="1" x14ac:dyDescent="0.3">
      <c r="A32" s="162" t="s">
        <v>67</v>
      </c>
      <c r="B32" s="162" t="s">
        <v>831</v>
      </c>
      <c r="C32" s="169">
        <v>0</v>
      </c>
      <c r="D32" s="170"/>
      <c r="E32" s="169">
        <v>21.592400000000001</v>
      </c>
      <c r="F32" s="169">
        <v>-31.911999999999999</v>
      </c>
      <c r="G32" s="169">
        <v>-30.724699999999999</v>
      </c>
      <c r="H32" s="169">
        <v>36.692900000000002</v>
      </c>
      <c r="I32" s="170"/>
      <c r="J32" s="169">
        <v>57.097700000000003</v>
      </c>
      <c r="K32" s="169">
        <v>-101.2011</v>
      </c>
      <c r="L32" s="169">
        <v>77.452399999999997</v>
      </c>
      <c r="M32" s="169">
        <v>39.194800000000001</v>
      </c>
      <c r="N32" s="169">
        <v>38.096400000000003</v>
      </c>
      <c r="O32" s="169">
        <v>-4.4400000000000004</v>
      </c>
      <c r="P32" s="169">
        <v>-72.715999999999994</v>
      </c>
      <c r="Q32" s="169">
        <v>66</v>
      </c>
      <c r="R32" s="169">
        <v>20.7</v>
      </c>
      <c r="S32" s="169">
        <v>-66</v>
      </c>
      <c r="T32" s="169">
        <v>14.541</v>
      </c>
      <c r="U32" s="169">
        <v>50.987200000000001</v>
      </c>
      <c r="V32" s="170"/>
      <c r="W32" s="169">
        <v>24.986999999999998</v>
      </c>
      <c r="X32" s="169">
        <v>41.087499999999999</v>
      </c>
      <c r="Y32" s="169">
        <v>5.7393000000000001</v>
      </c>
      <c r="Z32" s="169">
        <v>5.1866000000000003</v>
      </c>
      <c r="AA32" s="169">
        <v>5.7979000000000003</v>
      </c>
      <c r="AB32" s="170"/>
      <c r="AC32" s="170"/>
      <c r="AD32" s="169">
        <v>-75.41</v>
      </c>
      <c r="AE32" s="169">
        <v>-74.64</v>
      </c>
      <c r="AF32" s="170"/>
      <c r="AG32" s="169">
        <v>4.4400000000000004</v>
      </c>
      <c r="AH32" s="169">
        <v>70.400000000000006</v>
      </c>
      <c r="AI32" s="169">
        <v>15.635</v>
      </c>
      <c r="AJ32" s="169">
        <v>0.20799999999999999</v>
      </c>
      <c r="AK32" s="169">
        <v>-75.760000000000005</v>
      </c>
      <c r="AL32" s="169">
        <v>-76.52</v>
      </c>
      <c r="AM32" s="169">
        <v>-42.68</v>
      </c>
      <c r="AN32" s="169">
        <v>77.56</v>
      </c>
      <c r="AO32" s="169">
        <v>76.95</v>
      </c>
      <c r="AP32" s="169">
        <v>19.106100000000001</v>
      </c>
      <c r="AQ32" s="169">
        <v>0.13300000000000001</v>
      </c>
      <c r="AR32" s="169">
        <v>80.056200000000004</v>
      </c>
      <c r="AS32" s="169">
        <v>81.481899999999996</v>
      </c>
      <c r="AT32" s="169">
        <v>55.5274</v>
      </c>
      <c r="AU32" s="169">
        <v>-65.006699999999995</v>
      </c>
      <c r="AV32" s="169">
        <v>-63.4923</v>
      </c>
      <c r="AW32" s="169">
        <v>20.751000000000001</v>
      </c>
      <c r="AX32" s="169">
        <v>22.950600000000001</v>
      </c>
      <c r="AY32" s="169">
        <v>87.145600000000002</v>
      </c>
      <c r="AZ32" s="169">
        <v>90.284099999999995</v>
      </c>
      <c r="BA32" s="169">
        <v>19.607800000000001</v>
      </c>
      <c r="BB32" s="169">
        <v>18.306100000000001</v>
      </c>
      <c r="BC32" s="169">
        <v>-542.2124</v>
      </c>
      <c r="BD32" s="169">
        <v>-15.487299999999999</v>
      </c>
      <c r="BE32" s="169">
        <v>-12.1</v>
      </c>
      <c r="BF32" s="169">
        <v>-12.1</v>
      </c>
      <c r="BG32" s="169">
        <v>70.195499999999996</v>
      </c>
      <c r="BH32" s="169">
        <v>68.488200000000006</v>
      </c>
      <c r="BI32" s="169">
        <v>-9.3672000000000004</v>
      </c>
      <c r="BJ32" s="170"/>
      <c r="BK32" s="169">
        <v>-66.447400000000002</v>
      </c>
      <c r="BL32" s="169">
        <v>12.614800000000001</v>
      </c>
      <c r="BM32" s="169">
        <v>0</v>
      </c>
      <c r="BN32" s="169">
        <v>-0.59119999999999995</v>
      </c>
      <c r="BO32" s="169">
        <v>580.43129999999996</v>
      </c>
      <c r="BP32" s="169">
        <v>221.99160000000001</v>
      </c>
      <c r="BQ32" s="169">
        <v>220.49619999999999</v>
      </c>
      <c r="BR32" s="169">
        <v>-591.27589999999998</v>
      </c>
      <c r="BS32" s="169">
        <v>724.31</v>
      </c>
      <c r="BT32" s="170"/>
      <c r="BU32" s="169">
        <v>-55.433100000000003</v>
      </c>
      <c r="BV32" s="169">
        <v>57.383699999999997</v>
      </c>
      <c r="BW32" s="169">
        <v>123.0479</v>
      </c>
      <c r="BX32" s="169">
        <v>44.08</v>
      </c>
      <c r="BY32" s="169">
        <v>0</v>
      </c>
      <c r="BZ32" s="169">
        <v>83.54</v>
      </c>
      <c r="CA32" s="169">
        <v>63.49</v>
      </c>
      <c r="CB32" s="169">
        <v>-71.796800000000005</v>
      </c>
      <c r="CC32" s="169">
        <v>-70.323300000000003</v>
      </c>
      <c r="CD32" s="169">
        <v>128.17490000000001</v>
      </c>
      <c r="CE32" s="169">
        <v>127.7604</v>
      </c>
      <c r="CF32" s="169">
        <v>8.1069999999999993</v>
      </c>
      <c r="CG32" s="169">
        <v>-149.33590000000001</v>
      </c>
      <c r="CH32" s="169">
        <v>-149.59450000000001</v>
      </c>
      <c r="CI32" s="169">
        <v>16.391400000000001</v>
      </c>
      <c r="CJ32" s="169">
        <v>0</v>
      </c>
      <c r="CK32" s="170"/>
      <c r="CL32" s="171">
        <v>28.243500000000001</v>
      </c>
      <c r="CM32" s="169">
        <v>143.69999999999999</v>
      </c>
      <c r="CN32" s="169">
        <v>128.19999999999999</v>
      </c>
      <c r="CO32" s="169">
        <v>-19.02</v>
      </c>
      <c r="CP32" s="169">
        <v>74.167699999999996</v>
      </c>
      <c r="CQ32" s="169">
        <v>73.348200000000006</v>
      </c>
      <c r="CR32" s="169">
        <v>72.225700000000003</v>
      </c>
      <c r="CS32" s="169">
        <v>8.7576000000000001</v>
      </c>
      <c r="CT32" s="169">
        <v>9.8972999999999995</v>
      </c>
      <c r="CU32" s="169">
        <v>23.2165</v>
      </c>
      <c r="CV32" s="169">
        <v>-101.0181</v>
      </c>
      <c r="CW32" s="169">
        <v>33.566299999999998</v>
      </c>
      <c r="CX32" s="169">
        <v>15.404500000000001</v>
      </c>
      <c r="CY32" s="169">
        <v>87.95</v>
      </c>
      <c r="CZ32" s="169">
        <v>46.9</v>
      </c>
      <c r="DA32" s="169">
        <v>58.8354</v>
      </c>
      <c r="DB32" s="169">
        <v>56.254600000000003</v>
      </c>
      <c r="DC32" s="169">
        <v>-37.132899999999999</v>
      </c>
      <c r="DD32" s="170"/>
      <c r="DE32" s="170"/>
      <c r="DF32" s="169">
        <v>0</v>
      </c>
      <c r="DG32" s="169">
        <v>-99.677999999999997</v>
      </c>
      <c r="DH32" s="170"/>
      <c r="DI32" s="170"/>
      <c r="DJ32" s="169">
        <v>-119.5</v>
      </c>
      <c r="DK32" s="169">
        <v>-118.6</v>
      </c>
      <c r="DL32" s="169">
        <v>22.629100000000001</v>
      </c>
      <c r="DM32" s="169">
        <v>76.599999999999994</v>
      </c>
      <c r="DN32" s="169">
        <v>73.400000000000006</v>
      </c>
      <c r="DO32" s="169">
        <v>103.48</v>
      </c>
      <c r="DP32" s="169">
        <v>76.349999999999994</v>
      </c>
      <c r="DQ32" s="169">
        <v>-10.1</v>
      </c>
      <c r="DR32" s="169">
        <v>71.733999999999995</v>
      </c>
      <c r="DS32" s="169">
        <v>97.197999999999993</v>
      </c>
      <c r="DT32" s="169">
        <v>-27.61</v>
      </c>
      <c r="DU32" s="169">
        <v>-28.18</v>
      </c>
      <c r="DV32" s="169">
        <v>117.34</v>
      </c>
      <c r="DW32" s="169">
        <v>77.959999999999994</v>
      </c>
      <c r="DX32" s="169">
        <v>98.436400000000006</v>
      </c>
      <c r="DY32" s="169">
        <v>97.127300000000005</v>
      </c>
      <c r="DZ32" s="169">
        <v>0</v>
      </c>
      <c r="EA32" s="169">
        <v>-51.072699999999998</v>
      </c>
      <c r="EB32" s="169">
        <v>247.16560000000001</v>
      </c>
      <c r="EC32" s="169">
        <v>192.7749</v>
      </c>
      <c r="ED32" s="169">
        <v>187.17310000000001</v>
      </c>
      <c r="EE32" s="169">
        <v>191.28790000000001</v>
      </c>
      <c r="EF32" s="169">
        <v>90.584400000000002</v>
      </c>
      <c r="EG32" s="169">
        <v>67.570999999999998</v>
      </c>
      <c r="EH32" s="169">
        <v>-30.431000000000001</v>
      </c>
      <c r="EI32" s="169">
        <v>601.38390000000004</v>
      </c>
      <c r="EJ32" s="169">
        <v>31.432200000000002</v>
      </c>
      <c r="EK32" s="170"/>
      <c r="EL32" s="169">
        <v>-33.061799999999998</v>
      </c>
      <c r="EM32" s="169">
        <v>-30.883199999999999</v>
      </c>
      <c r="EN32" s="170"/>
      <c r="EO32" s="169">
        <v>-10.5848</v>
      </c>
      <c r="EP32" s="169">
        <v>-9.7944999999999993</v>
      </c>
      <c r="EQ32" s="169">
        <v>145.97999999999999</v>
      </c>
      <c r="ER32" s="169">
        <v>-83.021100000000004</v>
      </c>
      <c r="ES32" s="169">
        <v>-84.669300000000007</v>
      </c>
      <c r="ET32" s="169">
        <v>-25.755700000000001</v>
      </c>
      <c r="EU32" s="169">
        <v>0</v>
      </c>
      <c r="EV32" s="169">
        <v>-15.53</v>
      </c>
      <c r="EW32" s="169">
        <v>96.4</v>
      </c>
      <c r="EX32" s="169">
        <v>13.8087</v>
      </c>
      <c r="EY32" s="169">
        <v>-76.195800000000006</v>
      </c>
      <c r="EZ32" s="169">
        <v>-33.556199999999997</v>
      </c>
      <c r="FA32" s="169">
        <v>-32.991799999999998</v>
      </c>
      <c r="FB32" s="169">
        <v>3.2902</v>
      </c>
      <c r="FC32" s="169">
        <v>-64.6631</v>
      </c>
      <c r="FD32" s="169">
        <v>30.849399999999999</v>
      </c>
      <c r="FE32" s="169">
        <v>24.5883</v>
      </c>
      <c r="FF32" s="169">
        <v>24.227699999999999</v>
      </c>
      <c r="FG32" s="170"/>
      <c r="FH32" s="169">
        <v>38.927300000000002</v>
      </c>
      <c r="FI32" s="169">
        <v>40.739899999999999</v>
      </c>
      <c r="FJ32" s="169">
        <v>38.180900000000001</v>
      </c>
      <c r="FK32" s="169">
        <v>70.164199999999994</v>
      </c>
      <c r="FL32" s="169">
        <v>71.336399999999998</v>
      </c>
      <c r="FM32" s="169">
        <v>0.33489999999999998</v>
      </c>
      <c r="FN32" s="169">
        <v>0</v>
      </c>
      <c r="FO32" s="169">
        <v>54.725200000000001</v>
      </c>
      <c r="FP32" s="169">
        <v>-15.954700000000001</v>
      </c>
      <c r="FQ32" s="169">
        <v>0</v>
      </c>
      <c r="FR32" s="169">
        <v>7.2748999999999997</v>
      </c>
      <c r="FS32" s="169">
        <v>-16.87</v>
      </c>
      <c r="FT32" s="170"/>
      <c r="FU32" s="169">
        <v>1.127</v>
      </c>
      <c r="FV32" s="169">
        <v>1.34</v>
      </c>
      <c r="FW32" s="169">
        <v>18.309999999999999</v>
      </c>
      <c r="FX32" s="169">
        <v>0</v>
      </c>
      <c r="FY32" s="170"/>
      <c r="FZ32" s="169">
        <v>-9.8819999999999997</v>
      </c>
      <c r="GA32" s="169">
        <v>4.2450000000000001</v>
      </c>
      <c r="GB32" s="170"/>
      <c r="GC32" s="169">
        <v>37.49</v>
      </c>
      <c r="GD32" s="169">
        <v>6.9810999999999996</v>
      </c>
      <c r="GE32" s="169">
        <v>15.287599999999999</v>
      </c>
      <c r="GF32" s="169">
        <v>15.92</v>
      </c>
      <c r="GG32" s="169">
        <v>80.721500000000006</v>
      </c>
      <c r="GH32" s="169">
        <v>27.8</v>
      </c>
      <c r="GI32" s="169">
        <v>-20.3124</v>
      </c>
      <c r="GJ32" s="169">
        <v>-3.5847000000000002</v>
      </c>
      <c r="GK32" s="169">
        <v>-3.4899</v>
      </c>
      <c r="GL32" s="169">
        <v>2.2667000000000002</v>
      </c>
      <c r="GM32" s="170"/>
      <c r="GN32" s="170"/>
      <c r="GO32" s="169">
        <v>-16.095400000000001</v>
      </c>
      <c r="GP32" s="169">
        <v>-38.368299999999998</v>
      </c>
      <c r="GQ32" s="169">
        <v>12.2354</v>
      </c>
      <c r="GR32" s="169">
        <v>39.815899999999999</v>
      </c>
      <c r="GS32" s="169">
        <v>13.097799999999999</v>
      </c>
      <c r="GT32" s="169">
        <v>11.328200000000001</v>
      </c>
      <c r="GU32" s="169">
        <v>-130.9836</v>
      </c>
      <c r="GV32" s="169">
        <v>-29.828099999999999</v>
      </c>
      <c r="GW32" s="169">
        <v>31.665700000000001</v>
      </c>
      <c r="GX32" s="169">
        <v>-71.34</v>
      </c>
      <c r="GY32" s="169">
        <v>11.329599999999999</v>
      </c>
      <c r="GZ32" s="169">
        <v>14.192299999999999</v>
      </c>
      <c r="HA32" s="169">
        <v>13.661300000000001</v>
      </c>
      <c r="HB32" s="169">
        <v>12.9374</v>
      </c>
      <c r="HC32" s="169">
        <v>133.76009999999999</v>
      </c>
      <c r="HD32" s="169">
        <v>131.31950000000001</v>
      </c>
      <c r="HE32" s="169">
        <v>277</v>
      </c>
      <c r="HF32" s="169">
        <v>-276.43720000000002</v>
      </c>
      <c r="HG32" s="169">
        <v>-485.12580000000003</v>
      </c>
      <c r="HH32" s="169">
        <v>486.85640000000001</v>
      </c>
      <c r="HI32" s="169">
        <v>243.09110000000001</v>
      </c>
      <c r="HJ32" s="169">
        <v>-129.2148</v>
      </c>
      <c r="HK32" s="169">
        <v>-126.80240000000001</v>
      </c>
      <c r="HL32" s="169">
        <v>-51.380299999999998</v>
      </c>
      <c r="HM32" s="169">
        <v>-41.303400000000003</v>
      </c>
      <c r="HN32" s="169">
        <v>79.231499999999997</v>
      </c>
      <c r="HO32" s="169">
        <v>78.59</v>
      </c>
      <c r="HP32" s="170"/>
      <c r="HQ32" s="170"/>
      <c r="HR32" s="169">
        <v>29.4026</v>
      </c>
      <c r="HS32" s="169">
        <v>29.3367</v>
      </c>
      <c r="HT32" s="169">
        <v>-50.098700000000001</v>
      </c>
      <c r="HU32" s="169">
        <v>-50.876100000000001</v>
      </c>
      <c r="HV32" s="169">
        <v>-27.94</v>
      </c>
      <c r="HW32" s="169">
        <v>-27.85</v>
      </c>
      <c r="HX32" s="169">
        <v>48.8</v>
      </c>
      <c r="HY32" s="169">
        <v>48.9</v>
      </c>
      <c r="HZ32" s="169">
        <v>21.186399999999999</v>
      </c>
      <c r="IA32" s="169">
        <v>-54</v>
      </c>
      <c r="IB32" s="169">
        <v>-289.71870000000001</v>
      </c>
      <c r="IC32" s="169">
        <v>62.494500000000002</v>
      </c>
      <c r="ID32" s="169">
        <v>62.183900000000001</v>
      </c>
      <c r="IE32" s="169">
        <v>12.2</v>
      </c>
      <c r="IF32" s="169">
        <v>19.100000000000001</v>
      </c>
      <c r="IG32" s="169">
        <v>-29.3</v>
      </c>
      <c r="IH32" s="169">
        <v>-34.700000000000003</v>
      </c>
      <c r="II32" s="170"/>
      <c r="IJ32" s="170"/>
      <c r="IK32" s="169">
        <v>-240.33869999999999</v>
      </c>
      <c r="IL32" s="169">
        <v>-7.7497999999999996</v>
      </c>
      <c r="IM32" s="169">
        <v>170.78100000000001</v>
      </c>
      <c r="IN32" s="169">
        <v>-8.5798000000000005</v>
      </c>
      <c r="IO32" s="169">
        <v>-35.084400000000002</v>
      </c>
      <c r="IP32" s="169">
        <v>10.6066</v>
      </c>
      <c r="IQ32" s="169">
        <v>-21.780799999999999</v>
      </c>
      <c r="IR32" s="169">
        <v>0</v>
      </c>
      <c r="IS32" s="169">
        <v>-115.1456</v>
      </c>
      <c r="IT32" s="169">
        <v>18.813500000000001</v>
      </c>
      <c r="IU32" s="169">
        <v>216.2167</v>
      </c>
      <c r="IV32" s="169">
        <v>217.29939999999999</v>
      </c>
      <c r="IW32" s="169">
        <v>0</v>
      </c>
      <c r="IX32" s="169">
        <v>-162.9999</v>
      </c>
      <c r="IY32" s="169">
        <v>115.0758</v>
      </c>
      <c r="IZ32" s="169">
        <v>-39.496499999999997</v>
      </c>
      <c r="JA32" s="169">
        <v>42.949800000000003</v>
      </c>
      <c r="JB32" s="169">
        <v>-7.1974999999999998</v>
      </c>
      <c r="JC32" s="169">
        <v>21.683</v>
      </c>
      <c r="JD32" s="169">
        <v>21.6</v>
      </c>
      <c r="JE32" s="169">
        <v>1.46</v>
      </c>
      <c r="JF32" s="169">
        <v>1.448</v>
      </c>
      <c r="JG32" s="169">
        <v>-21.6</v>
      </c>
      <c r="JH32" s="169">
        <v>-0.96</v>
      </c>
      <c r="JI32" s="170"/>
      <c r="JJ32" s="169">
        <v>0.99639999999999995</v>
      </c>
      <c r="JK32" s="169">
        <v>-27.129000000000001</v>
      </c>
      <c r="JL32" s="169">
        <v>-15.645099999999999</v>
      </c>
      <c r="JM32" s="169">
        <v>12.9</v>
      </c>
      <c r="JN32" s="169">
        <v>49.017000000000003</v>
      </c>
      <c r="JO32" s="169">
        <v>50.555</v>
      </c>
      <c r="JP32" s="170"/>
      <c r="JQ32" s="170"/>
      <c r="JR32" s="169">
        <v>51.393999999999998</v>
      </c>
      <c r="JS32" s="169">
        <v>51.181899999999999</v>
      </c>
      <c r="JT32" s="169">
        <v>50.860300000000002</v>
      </c>
      <c r="JU32" s="170"/>
      <c r="JV32" s="169">
        <v>-18.100000000000001</v>
      </c>
      <c r="JW32" s="169">
        <v>22.569600000000001</v>
      </c>
      <c r="JX32" s="169">
        <v>9.01</v>
      </c>
      <c r="JY32" s="170"/>
      <c r="JZ32" s="169">
        <v>-40.776899999999998</v>
      </c>
      <c r="KA32" s="169">
        <v>78.222700000000003</v>
      </c>
      <c r="KB32" s="169">
        <v>53.183399999999999</v>
      </c>
      <c r="KC32" s="169">
        <v>-39.3446</v>
      </c>
      <c r="KD32" s="169">
        <v>-76.817700000000002</v>
      </c>
      <c r="KE32" s="169">
        <v>40.811799999999998</v>
      </c>
      <c r="KF32" s="169">
        <v>35.999299999999998</v>
      </c>
      <c r="KG32" s="169">
        <v>3.9</v>
      </c>
      <c r="KH32" s="169">
        <v>-4</v>
      </c>
      <c r="KI32" s="169">
        <v>-237.11369999999999</v>
      </c>
      <c r="KJ32" s="169">
        <v>378.89859999999999</v>
      </c>
    </row>
    <row r="33" spans="1:296" ht="18" customHeight="1" x14ac:dyDescent="0.3">
      <c r="A33" s="162" t="s">
        <v>67</v>
      </c>
      <c r="B33" s="162" t="s">
        <v>832</v>
      </c>
      <c r="C33" s="163">
        <v>0</v>
      </c>
      <c r="D33" s="164"/>
      <c r="E33" s="163">
        <v>21.362200000000001</v>
      </c>
      <c r="F33" s="163">
        <v>-30.708500000000001</v>
      </c>
      <c r="G33" s="163">
        <v>-30.6326</v>
      </c>
      <c r="H33" s="163">
        <v>37.095399999999998</v>
      </c>
      <c r="I33" s="164"/>
      <c r="J33" s="163">
        <v>56.912100000000002</v>
      </c>
      <c r="K33" s="163">
        <v>-103.4038</v>
      </c>
      <c r="L33" s="163">
        <v>77.950199999999995</v>
      </c>
      <c r="M33" s="163">
        <v>39.090800000000002</v>
      </c>
      <c r="N33" s="163">
        <v>38.416600000000003</v>
      </c>
      <c r="O33" s="163">
        <v>-4.4400000000000004</v>
      </c>
      <c r="P33" s="163">
        <v>-68.992000000000004</v>
      </c>
      <c r="Q33" s="163">
        <v>63.8</v>
      </c>
      <c r="R33" s="163">
        <v>19.872</v>
      </c>
      <c r="S33" s="163">
        <v>-61.6</v>
      </c>
      <c r="T33" s="163">
        <v>14.6279</v>
      </c>
      <c r="U33" s="163">
        <v>53.753</v>
      </c>
      <c r="V33" s="164"/>
      <c r="W33" s="163">
        <v>23.481000000000002</v>
      </c>
      <c r="X33" s="163">
        <v>38.776000000000003</v>
      </c>
      <c r="Y33" s="163">
        <v>5.6280000000000001</v>
      </c>
      <c r="Z33" s="163">
        <v>4.1506999999999996</v>
      </c>
      <c r="AA33" s="163">
        <v>5.2941000000000003</v>
      </c>
      <c r="AB33" s="164"/>
      <c r="AC33" s="164"/>
      <c r="AD33" s="163">
        <v>-74.59</v>
      </c>
      <c r="AE33" s="163">
        <v>-74.56</v>
      </c>
      <c r="AF33" s="164"/>
      <c r="AG33" s="163">
        <v>4.4400000000000004</v>
      </c>
      <c r="AH33" s="163">
        <v>68.2</v>
      </c>
      <c r="AI33" s="163">
        <v>17.581</v>
      </c>
      <c r="AJ33" s="163">
        <v>0.219</v>
      </c>
      <c r="AK33" s="163">
        <v>-70.83</v>
      </c>
      <c r="AL33" s="163">
        <v>-71.040000000000006</v>
      </c>
      <c r="AM33" s="163">
        <v>-52.53</v>
      </c>
      <c r="AN33" s="163">
        <v>71.819999999999993</v>
      </c>
      <c r="AO33" s="163">
        <v>72.34</v>
      </c>
      <c r="AP33" s="163">
        <v>18.601199999999999</v>
      </c>
      <c r="AQ33" s="163">
        <v>0.47599999999999998</v>
      </c>
      <c r="AR33" s="163">
        <v>76.519900000000007</v>
      </c>
      <c r="AS33" s="163">
        <v>79.2881</v>
      </c>
      <c r="AT33" s="163">
        <v>55.797499999999999</v>
      </c>
      <c r="AU33" s="163">
        <v>-55.408799999999999</v>
      </c>
      <c r="AV33" s="163">
        <v>-55.069200000000002</v>
      </c>
      <c r="AW33" s="163">
        <v>6.2545999999999999</v>
      </c>
      <c r="AX33" s="163">
        <v>6.2290999999999999</v>
      </c>
      <c r="AY33" s="163">
        <v>87.007999999999996</v>
      </c>
      <c r="AZ33" s="163">
        <v>88.155699999999996</v>
      </c>
      <c r="BA33" s="163">
        <v>1.1185</v>
      </c>
      <c r="BB33" s="163">
        <v>6.7900000000000002E-2</v>
      </c>
      <c r="BC33" s="163">
        <v>-525.46249999999998</v>
      </c>
      <c r="BD33" s="163">
        <v>-12.4025</v>
      </c>
      <c r="BE33" s="163">
        <v>-12.1</v>
      </c>
      <c r="BF33" s="163">
        <v>-12.1</v>
      </c>
      <c r="BG33" s="163">
        <v>60.410400000000003</v>
      </c>
      <c r="BH33" s="163">
        <v>59.484200000000001</v>
      </c>
      <c r="BI33" s="163">
        <v>-9.3796999999999997</v>
      </c>
      <c r="BJ33" s="164"/>
      <c r="BK33" s="163">
        <v>-51.200800000000001</v>
      </c>
      <c r="BL33" s="163">
        <v>11.1785</v>
      </c>
      <c r="BM33" s="163">
        <v>0</v>
      </c>
      <c r="BN33" s="163">
        <v>-1.3075000000000001</v>
      </c>
      <c r="BO33" s="163">
        <v>564.83640000000003</v>
      </c>
      <c r="BP33" s="163">
        <v>230.29259999999999</v>
      </c>
      <c r="BQ33" s="163">
        <v>230.04839999999999</v>
      </c>
      <c r="BR33" s="163">
        <v>-591.61249999999995</v>
      </c>
      <c r="BS33" s="163">
        <v>721.02660000000003</v>
      </c>
      <c r="BT33" s="164"/>
      <c r="BU33" s="163">
        <v>-42.9392</v>
      </c>
      <c r="BV33" s="163">
        <v>44.913200000000003</v>
      </c>
      <c r="BW33" s="163">
        <v>119.595</v>
      </c>
      <c r="BX33" s="163">
        <v>43.52</v>
      </c>
      <c r="BY33" s="163">
        <v>0</v>
      </c>
      <c r="BZ33" s="165">
        <v>82.1</v>
      </c>
      <c r="CA33" s="163">
        <v>62.85</v>
      </c>
      <c r="CB33" s="163">
        <v>-79.030500000000004</v>
      </c>
      <c r="CC33" s="163">
        <v>-77.690899999999999</v>
      </c>
      <c r="CD33" s="163">
        <v>129.70359999999999</v>
      </c>
      <c r="CE33" s="163">
        <v>131.29470000000001</v>
      </c>
      <c r="CF33" s="163">
        <v>8.8425999999999991</v>
      </c>
      <c r="CG33" s="163">
        <v>-145.11959999999999</v>
      </c>
      <c r="CH33" s="163">
        <v>-145.5309</v>
      </c>
      <c r="CI33" s="163">
        <v>12.044600000000001</v>
      </c>
      <c r="CJ33" s="163">
        <v>0</v>
      </c>
      <c r="CK33" s="164"/>
      <c r="CL33" s="163">
        <v>28.39</v>
      </c>
      <c r="CM33" s="163">
        <v>142.1</v>
      </c>
      <c r="CN33" s="163">
        <v>127.3</v>
      </c>
      <c r="CO33" s="163">
        <v>-19.239999999999998</v>
      </c>
      <c r="CP33" s="163">
        <v>73.288600000000002</v>
      </c>
      <c r="CQ33" s="163">
        <v>72.694000000000003</v>
      </c>
      <c r="CR33" s="163">
        <v>72.6023</v>
      </c>
      <c r="CS33" s="163">
        <v>9.4985999999999997</v>
      </c>
      <c r="CT33" s="163">
        <v>9.9148999999999994</v>
      </c>
      <c r="CU33" s="163">
        <v>34.700899999999997</v>
      </c>
      <c r="CV33" s="163">
        <v>-110.99550000000001</v>
      </c>
      <c r="CW33" s="163">
        <v>45.491999999999997</v>
      </c>
      <c r="CX33" s="163">
        <v>14.6599</v>
      </c>
      <c r="CY33" s="163">
        <v>87.91</v>
      </c>
      <c r="CZ33" s="163">
        <v>46.17</v>
      </c>
      <c r="DA33" s="163">
        <v>58.8354</v>
      </c>
      <c r="DB33" s="163">
        <v>55.668599999999998</v>
      </c>
      <c r="DC33" s="163">
        <v>-36.078299999999999</v>
      </c>
      <c r="DD33" s="164"/>
      <c r="DE33" s="164"/>
      <c r="DF33" s="163">
        <v>0</v>
      </c>
      <c r="DG33" s="163">
        <v>-92.752399999999994</v>
      </c>
      <c r="DH33" s="164"/>
      <c r="DI33" s="164"/>
      <c r="DJ33" s="163">
        <v>-119.4</v>
      </c>
      <c r="DK33" s="163">
        <v>-120.2</v>
      </c>
      <c r="DL33" s="163">
        <v>22.162199999999999</v>
      </c>
      <c r="DM33" s="163">
        <v>77.5</v>
      </c>
      <c r="DN33" s="163">
        <v>72.2</v>
      </c>
      <c r="DO33" s="163">
        <v>104.56</v>
      </c>
      <c r="DP33" s="163">
        <v>77.12</v>
      </c>
      <c r="DQ33" s="163">
        <v>-9.19</v>
      </c>
      <c r="DR33" s="163">
        <v>70.137500000000003</v>
      </c>
      <c r="DS33" s="163">
        <v>91.907700000000006</v>
      </c>
      <c r="DT33" s="163">
        <v>-28.1</v>
      </c>
      <c r="DU33" s="163">
        <v>-28.55</v>
      </c>
      <c r="DV33" s="163">
        <v>119.49</v>
      </c>
      <c r="DW33" s="163">
        <v>77.989999999999995</v>
      </c>
      <c r="DX33" s="163">
        <v>91.709100000000007</v>
      </c>
      <c r="DY33" s="163">
        <v>90.236400000000003</v>
      </c>
      <c r="DZ33" s="163">
        <v>0</v>
      </c>
      <c r="EA33" s="163">
        <v>-59.309100000000001</v>
      </c>
      <c r="EB33" s="163">
        <v>239.8518</v>
      </c>
      <c r="EC33" s="163">
        <v>187.0016</v>
      </c>
      <c r="ED33" s="163">
        <v>183.21100000000001</v>
      </c>
      <c r="EE33" s="163">
        <v>185.9924</v>
      </c>
      <c r="EF33" s="163">
        <v>88.815700000000007</v>
      </c>
      <c r="EG33" s="163">
        <v>67.605599999999995</v>
      </c>
      <c r="EH33" s="163">
        <v>-29.658000000000001</v>
      </c>
      <c r="EI33" s="163">
        <v>604.0453</v>
      </c>
      <c r="EJ33" s="163">
        <v>8.0056999999999992</v>
      </c>
      <c r="EK33" s="164"/>
      <c r="EL33" s="163">
        <v>-32.531199999999998</v>
      </c>
      <c r="EM33" s="163">
        <v>-30.055599999999998</v>
      </c>
      <c r="EN33" s="164"/>
      <c r="EO33" s="163">
        <v>-19.8767</v>
      </c>
      <c r="EP33" s="163">
        <v>-18.681699999999999</v>
      </c>
      <c r="EQ33" s="163">
        <v>178.23599999999999</v>
      </c>
      <c r="ER33" s="163">
        <v>-87.495199999999997</v>
      </c>
      <c r="ES33" s="163">
        <v>-88.729799999999997</v>
      </c>
      <c r="ET33" s="163">
        <v>-24.892399999999999</v>
      </c>
      <c r="EU33" s="163">
        <v>15.8</v>
      </c>
      <c r="EV33" s="163">
        <v>-14.79</v>
      </c>
      <c r="EW33" s="163">
        <v>107.5</v>
      </c>
      <c r="EX33" s="163">
        <v>13.502000000000001</v>
      </c>
      <c r="EY33" s="163">
        <v>-93.474000000000004</v>
      </c>
      <c r="EZ33" s="163">
        <v>-33.200200000000002</v>
      </c>
      <c r="FA33" s="163">
        <v>-32.299100000000003</v>
      </c>
      <c r="FB33" s="163">
        <v>2.4727000000000001</v>
      </c>
      <c r="FC33" s="163">
        <v>-63.222999999999999</v>
      </c>
      <c r="FD33" s="163">
        <v>29.082799999999999</v>
      </c>
      <c r="FE33" s="163">
        <v>23.968399999999999</v>
      </c>
      <c r="FF33" s="163">
        <v>25.404399999999999</v>
      </c>
      <c r="FG33" s="164"/>
      <c r="FH33" s="163">
        <v>38.273400000000002</v>
      </c>
      <c r="FI33" s="163">
        <v>38.837899999999998</v>
      </c>
      <c r="FJ33" s="163">
        <v>37.5366</v>
      </c>
      <c r="FK33" s="163">
        <v>78.202100000000002</v>
      </c>
      <c r="FL33" s="163">
        <v>79.541700000000006</v>
      </c>
      <c r="FM33" s="163">
        <v>-12.056900000000001</v>
      </c>
      <c r="FN33" s="163">
        <v>0</v>
      </c>
      <c r="FO33" s="163">
        <v>62.302599999999998</v>
      </c>
      <c r="FP33" s="163">
        <v>-20.7301</v>
      </c>
      <c r="FQ33" s="163">
        <v>-13.1691</v>
      </c>
      <c r="FR33" s="163">
        <v>4.2718999999999996</v>
      </c>
      <c r="FS33" s="163">
        <v>-20.64</v>
      </c>
      <c r="FT33" s="164"/>
      <c r="FU33" s="163">
        <v>1.0562</v>
      </c>
      <c r="FV33" s="163">
        <v>1.34</v>
      </c>
      <c r="FW33" s="163">
        <v>19.03</v>
      </c>
      <c r="FX33" s="163">
        <v>0</v>
      </c>
      <c r="FY33" s="164"/>
      <c r="FZ33" s="163">
        <v>-10</v>
      </c>
      <c r="GA33" s="163">
        <v>3.956</v>
      </c>
      <c r="GB33" s="164"/>
      <c r="GC33" s="163">
        <v>35.01</v>
      </c>
      <c r="GD33" s="163">
        <v>13.867599999999999</v>
      </c>
      <c r="GE33" s="163">
        <v>18.9711</v>
      </c>
      <c r="GF33" s="163">
        <v>15.76</v>
      </c>
      <c r="GG33" s="163">
        <v>79.037400000000005</v>
      </c>
      <c r="GH33" s="163">
        <v>23</v>
      </c>
      <c r="GI33" s="163">
        <v>-19.6754</v>
      </c>
      <c r="GJ33" s="163">
        <v>-3.1655000000000002</v>
      </c>
      <c r="GK33" s="163">
        <v>-3.0223</v>
      </c>
      <c r="GL33" s="163">
        <v>2.2046999999999999</v>
      </c>
      <c r="GM33" s="164"/>
      <c r="GN33" s="164"/>
      <c r="GO33" s="163">
        <v>-16.364999999999998</v>
      </c>
      <c r="GP33" s="163">
        <v>-37.235999999999997</v>
      </c>
      <c r="GQ33" s="163">
        <v>12.9506</v>
      </c>
      <c r="GR33" s="163">
        <v>38.963700000000003</v>
      </c>
      <c r="GS33" s="163">
        <v>12.3696</v>
      </c>
      <c r="GT33" s="163">
        <v>12.5997</v>
      </c>
      <c r="GU33" s="163">
        <v>-129.81700000000001</v>
      </c>
      <c r="GV33" s="163">
        <v>-28.536200000000001</v>
      </c>
      <c r="GW33" s="163">
        <v>30.5991</v>
      </c>
      <c r="GX33" s="163">
        <v>-67.472300000000004</v>
      </c>
      <c r="GY33" s="163">
        <v>11.200699999999999</v>
      </c>
      <c r="GZ33" s="163">
        <v>13.6259</v>
      </c>
      <c r="HA33" s="163">
        <v>13.3659</v>
      </c>
      <c r="HB33" s="163">
        <v>12.802099999999999</v>
      </c>
      <c r="HC33" s="163">
        <v>128.5754</v>
      </c>
      <c r="HD33" s="163">
        <v>130.22550000000001</v>
      </c>
      <c r="HE33" s="163">
        <v>274.10000000000002</v>
      </c>
      <c r="HF33" s="163">
        <v>-276.399</v>
      </c>
      <c r="HG33" s="163">
        <v>-483.46640000000002</v>
      </c>
      <c r="HH33" s="163">
        <v>489.78809999999999</v>
      </c>
      <c r="HI33" s="163">
        <v>225.71530000000001</v>
      </c>
      <c r="HJ33" s="163">
        <v>-125.7358</v>
      </c>
      <c r="HK33" s="163">
        <v>-123.8032</v>
      </c>
      <c r="HL33" s="163">
        <v>-51.507899999999999</v>
      </c>
      <c r="HM33" s="163">
        <v>-41.482199999999999</v>
      </c>
      <c r="HN33" s="163">
        <v>76.474199999999996</v>
      </c>
      <c r="HO33" s="163">
        <v>75.610799999999998</v>
      </c>
      <c r="HP33" s="164"/>
      <c r="HQ33" s="164"/>
      <c r="HR33" s="163">
        <v>29.5015</v>
      </c>
      <c r="HS33" s="163">
        <v>29.215800000000002</v>
      </c>
      <c r="HT33" s="163">
        <v>-46.672499999999999</v>
      </c>
      <c r="HU33" s="163">
        <v>-47.2393</v>
      </c>
      <c r="HV33" s="163">
        <v>-24.65</v>
      </c>
      <c r="HW33" s="163">
        <v>-24.69</v>
      </c>
      <c r="HX33" s="163">
        <v>48.9</v>
      </c>
      <c r="HY33" s="163">
        <v>48.8</v>
      </c>
      <c r="HZ33" s="163">
        <v>20.776199999999999</v>
      </c>
      <c r="IA33" s="163">
        <v>-58.08</v>
      </c>
      <c r="IB33" s="163">
        <v>-290.95600000000002</v>
      </c>
      <c r="IC33" s="163">
        <v>65.852900000000005</v>
      </c>
      <c r="ID33" s="163">
        <v>65.560500000000005</v>
      </c>
      <c r="IE33" s="163">
        <v>11.6</v>
      </c>
      <c r="IF33" s="163">
        <v>16</v>
      </c>
      <c r="IG33" s="163">
        <v>-29.3</v>
      </c>
      <c r="IH33" s="163">
        <v>-34.799999999999997</v>
      </c>
      <c r="II33" s="163">
        <v>1.3920999999999999</v>
      </c>
      <c r="IJ33" s="163">
        <v>1.0817000000000001</v>
      </c>
      <c r="IK33" s="163">
        <v>-220.9366</v>
      </c>
      <c r="IL33" s="163">
        <v>13.8546</v>
      </c>
      <c r="IM33" s="163">
        <v>170.85230000000001</v>
      </c>
      <c r="IN33" s="163">
        <v>-10.934699999999999</v>
      </c>
      <c r="IO33" s="163">
        <v>-18.282599999999999</v>
      </c>
      <c r="IP33" s="163">
        <v>9.5505999999999993</v>
      </c>
      <c r="IQ33" s="163">
        <v>-22.191299999999998</v>
      </c>
      <c r="IR33" s="163">
        <v>0</v>
      </c>
      <c r="IS33" s="163">
        <v>-119.02809999999999</v>
      </c>
      <c r="IT33" s="163">
        <v>16.298500000000001</v>
      </c>
      <c r="IU33" s="163">
        <v>219.17509999999999</v>
      </c>
      <c r="IV33" s="163">
        <v>219.0163</v>
      </c>
      <c r="IW33" s="163">
        <v>0</v>
      </c>
      <c r="IX33" s="163">
        <v>-164.3201</v>
      </c>
      <c r="IY33" s="163">
        <v>119.9667</v>
      </c>
      <c r="IZ33" s="163">
        <v>-38.519300000000001</v>
      </c>
      <c r="JA33" s="163">
        <v>41.113999999999997</v>
      </c>
      <c r="JB33" s="163">
        <v>-7.8045</v>
      </c>
      <c r="JC33" s="163">
        <v>21.042000000000002</v>
      </c>
      <c r="JD33" s="163">
        <v>21.04</v>
      </c>
      <c r="JE33" s="163">
        <v>1.48</v>
      </c>
      <c r="JF33" s="163">
        <v>1.4850000000000001</v>
      </c>
      <c r="JG33" s="163">
        <v>-20.56</v>
      </c>
      <c r="JH33" s="163">
        <v>-0.32</v>
      </c>
      <c r="JI33" s="164"/>
      <c r="JJ33" s="163">
        <v>-0.2029</v>
      </c>
      <c r="JK33" s="163">
        <v>-26.924499999999998</v>
      </c>
      <c r="JL33" s="163">
        <v>-16.64</v>
      </c>
      <c r="JM33" s="163">
        <v>15.6</v>
      </c>
      <c r="JN33" s="163">
        <v>50.212000000000003</v>
      </c>
      <c r="JO33" s="163">
        <v>50.051000000000002</v>
      </c>
      <c r="JP33" s="164"/>
      <c r="JQ33" s="164"/>
      <c r="JR33" s="163">
        <v>50.055</v>
      </c>
      <c r="JS33" s="163">
        <v>48.574800000000003</v>
      </c>
      <c r="JT33" s="163">
        <v>49.1892</v>
      </c>
      <c r="JU33" s="164"/>
      <c r="JV33" s="163">
        <v>-15.7</v>
      </c>
      <c r="JW33" s="163">
        <v>23.991900000000001</v>
      </c>
      <c r="JX33" s="163">
        <v>8.8000000000000007</v>
      </c>
      <c r="JY33" s="164"/>
      <c r="JZ33" s="163">
        <v>-38.142200000000003</v>
      </c>
      <c r="KA33" s="163">
        <v>76.310900000000004</v>
      </c>
      <c r="KB33" s="163">
        <v>52.674100000000003</v>
      </c>
      <c r="KC33" s="163">
        <v>-37.561100000000003</v>
      </c>
      <c r="KD33" s="163">
        <v>-75.076700000000002</v>
      </c>
      <c r="KE33" s="163">
        <v>41.394599999999997</v>
      </c>
      <c r="KF33" s="163">
        <v>34.8675</v>
      </c>
      <c r="KG33" s="163">
        <v>1.4</v>
      </c>
      <c r="KH33" s="163">
        <v>-1.6</v>
      </c>
      <c r="KI33" s="163">
        <v>-256.33499999999998</v>
      </c>
      <c r="KJ33" s="163">
        <v>394.29629999999997</v>
      </c>
    </row>
    <row r="34" spans="1:296" ht="18" customHeight="1" x14ac:dyDescent="0.3">
      <c r="A34" s="162" t="s">
        <v>67</v>
      </c>
      <c r="B34" s="162" t="s">
        <v>833</v>
      </c>
      <c r="C34" s="166">
        <v>0</v>
      </c>
      <c r="D34" s="167"/>
      <c r="E34" s="166">
        <v>21.093800000000002</v>
      </c>
      <c r="F34" s="166">
        <v>-30.683399999999999</v>
      </c>
      <c r="G34" s="166">
        <v>-30.677099999999999</v>
      </c>
      <c r="H34" s="168">
        <v>36.743699999999997</v>
      </c>
      <c r="I34" s="167"/>
      <c r="J34" s="166">
        <v>55.418799999999997</v>
      </c>
      <c r="K34" s="166">
        <v>-100.22190000000001</v>
      </c>
      <c r="L34" s="166">
        <v>75.036900000000003</v>
      </c>
      <c r="M34" s="166">
        <v>37.620899999999999</v>
      </c>
      <c r="N34" s="166">
        <v>36.801299999999998</v>
      </c>
      <c r="O34" s="166">
        <v>-11.1</v>
      </c>
      <c r="P34" s="166">
        <v>-68.665999999999997</v>
      </c>
      <c r="Q34" s="166">
        <v>61.6</v>
      </c>
      <c r="R34" s="166">
        <v>20.7</v>
      </c>
      <c r="S34" s="166">
        <v>-61.6</v>
      </c>
      <c r="T34" s="166">
        <v>14.85</v>
      </c>
      <c r="U34" s="166">
        <v>52.505000000000003</v>
      </c>
      <c r="V34" s="167"/>
      <c r="W34" s="166">
        <v>23.332000000000001</v>
      </c>
      <c r="X34" s="166">
        <v>38.286799999999999</v>
      </c>
      <c r="Y34" s="166">
        <v>5.5122</v>
      </c>
      <c r="Z34" s="166">
        <v>5.0547000000000004</v>
      </c>
      <c r="AA34" s="166">
        <v>6.4965000000000002</v>
      </c>
      <c r="AB34" s="167"/>
      <c r="AC34" s="167"/>
      <c r="AD34" s="166">
        <v>-74.63</v>
      </c>
      <c r="AE34" s="166">
        <v>-74.709999999999994</v>
      </c>
      <c r="AF34" s="167"/>
      <c r="AG34" s="166">
        <v>11.1</v>
      </c>
      <c r="AH34" s="166">
        <v>66</v>
      </c>
      <c r="AI34" s="166">
        <v>16.007000000000001</v>
      </c>
      <c r="AJ34" s="166">
        <v>0.21099999999999999</v>
      </c>
      <c r="AK34" s="166">
        <v>-67.989999999999995</v>
      </c>
      <c r="AL34" s="166">
        <v>-68.66</v>
      </c>
      <c r="AM34" s="166">
        <v>-55.9</v>
      </c>
      <c r="AN34" s="166">
        <v>69.430000000000007</v>
      </c>
      <c r="AO34" s="166">
        <v>69.81</v>
      </c>
      <c r="AP34" s="166">
        <v>17.615400000000001</v>
      </c>
      <c r="AQ34" s="166">
        <v>1.0119</v>
      </c>
      <c r="AR34" s="166">
        <v>74.188599999999994</v>
      </c>
      <c r="AS34" s="166">
        <v>76.444699999999997</v>
      </c>
      <c r="AT34" s="166">
        <v>56.7879</v>
      </c>
      <c r="AU34" s="166">
        <v>-50.733699999999999</v>
      </c>
      <c r="AV34" s="166">
        <v>-50.968400000000003</v>
      </c>
      <c r="AW34" s="166">
        <v>7.0545</v>
      </c>
      <c r="AX34" s="166">
        <v>7.6269999999999998</v>
      </c>
      <c r="AY34" s="166">
        <v>84.9863</v>
      </c>
      <c r="AZ34" s="166">
        <v>86.7774</v>
      </c>
      <c r="BA34" s="166">
        <v>1.9603999999999999</v>
      </c>
      <c r="BB34" s="166">
        <v>0.77629999999999999</v>
      </c>
      <c r="BC34" s="166">
        <v>-532.72590000000002</v>
      </c>
      <c r="BD34" s="166">
        <v>-10.351100000000001</v>
      </c>
      <c r="BE34" s="166">
        <v>-12.5</v>
      </c>
      <c r="BF34" s="166">
        <v>-12.3</v>
      </c>
      <c r="BG34" s="166">
        <v>56.4133</v>
      </c>
      <c r="BH34" s="166">
        <v>55.562199999999997</v>
      </c>
      <c r="BI34" s="166">
        <v>-9.0418000000000003</v>
      </c>
      <c r="BJ34" s="167"/>
      <c r="BK34" s="166">
        <v>-46.411999999999999</v>
      </c>
      <c r="BL34" s="166">
        <v>5.4715999999999996</v>
      </c>
      <c r="BM34" s="166">
        <v>0</v>
      </c>
      <c r="BN34" s="166">
        <v>-0.66469999999999996</v>
      </c>
      <c r="BO34" s="166">
        <v>569.59730000000002</v>
      </c>
      <c r="BP34" s="166">
        <v>237.28129999999999</v>
      </c>
      <c r="BQ34" s="166">
        <v>237.80019999999999</v>
      </c>
      <c r="BR34" s="166">
        <v>-617.33090000000004</v>
      </c>
      <c r="BS34" s="166">
        <v>720.54859999999996</v>
      </c>
      <c r="BT34" s="167"/>
      <c r="BU34" s="166">
        <v>-40.830599999999997</v>
      </c>
      <c r="BV34" s="166">
        <v>43.345700000000001</v>
      </c>
      <c r="BW34" s="166">
        <v>115.87260000000001</v>
      </c>
      <c r="BX34" s="166">
        <v>40.96</v>
      </c>
      <c r="BY34" s="166">
        <v>0</v>
      </c>
      <c r="BZ34" s="166">
        <v>80.66</v>
      </c>
      <c r="CA34" s="166">
        <v>62.12</v>
      </c>
      <c r="CB34" s="166">
        <v>-74.341999999999999</v>
      </c>
      <c r="CC34" s="166">
        <v>-73.806200000000004</v>
      </c>
      <c r="CD34" s="166">
        <v>126.3082</v>
      </c>
      <c r="CE34" s="166">
        <v>127.2075</v>
      </c>
      <c r="CF34" s="166">
        <v>10.2349</v>
      </c>
      <c r="CG34" s="166">
        <v>-144.61089999999999</v>
      </c>
      <c r="CH34" s="166">
        <v>-145.07980000000001</v>
      </c>
      <c r="CI34" s="166">
        <v>9.7219999999999995</v>
      </c>
      <c r="CJ34" s="166">
        <v>0</v>
      </c>
      <c r="CK34" s="167"/>
      <c r="CL34" s="166">
        <v>28.724</v>
      </c>
      <c r="CM34" s="166">
        <v>142.19999999999999</v>
      </c>
      <c r="CN34" s="166">
        <v>128.80000000000001</v>
      </c>
      <c r="CO34" s="166">
        <v>-19.28</v>
      </c>
      <c r="CP34" s="166">
        <v>73.698300000000003</v>
      </c>
      <c r="CQ34" s="166">
        <v>72.653999999999996</v>
      </c>
      <c r="CR34" s="166">
        <v>73.239500000000007</v>
      </c>
      <c r="CS34" s="166">
        <v>7.7449000000000003</v>
      </c>
      <c r="CT34" s="166">
        <v>8.4198000000000004</v>
      </c>
      <c r="CU34" s="166">
        <v>48.431699999999999</v>
      </c>
      <c r="CV34" s="166">
        <v>-117.86539999999999</v>
      </c>
      <c r="CW34" s="166">
        <v>55.450800000000001</v>
      </c>
      <c r="CX34" s="166">
        <v>14.5192</v>
      </c>
      <c r="CY34" s="166">
        <v>82.59</v>
      </c>
      <c r="CZ34" s="166">
        <v>43.91</v>
      </c>
      <c r="DA34" s="166">
        <v>58.132300000000001</v>
      </c>
      <c r="DB34" s="166">
        <v>55.082700000000003</v>
      </c>
      <c r="DC34" s="166">
        <v>-35.255299999999998</v>
      </c>
      <c r="DD34" s="167"/>
      <c r="DE34" s="167"/>
      <c r="DF34" s="166">
        <v>0</v>
      </c>
      <c r="DG34" s="166">
        <v>-89.296400000000006</v>
      </c>
      <c r="DH34" s="167"/>
      <c r="DI34" s="167"/>
      <c r="DJ34" s="166">
        <v>-118.2</v>
      </c>
      <c r="DK34" s="166">
        <v>-119.4</v>
      </c>
      <c r="DL34" s="166">
        <v>22.129200000000001</v>
      </c>
      <c r="DM34" s="168">
        <v>77.05</v>
      </c>
      <c r="DN34" s="166">
        <v>72.06</v>
      </c>
      <c r="DO34" s="168">
        <v>104.56</v>
      </c>
      <c r="DP34" s="168">
        <v>76.715000000000003</v>
      </c>
      <c r="DQ34" s="166">
        <v>-9.27</v>
      </c>
      <c r="DR34" s="166">
        <v>70.664500000000004</v>
      </c>
      <c r="DS34" s="166">
        <v>88.472499999999997</v>
      </c>
      <c r="DT34" s="166">
        <v>-27.7</v>
      </c>
      <c r="DU34" s="166">
        <v>-28.07</v>
      </c>
      <c r="DV34" s="166">
        <v>117.26</v>
      </c>
      <c r="DW34" s="166">
        <v>75.69</v>
      </c>
      <c r="DX34" s="166">
        <v>88</v>
      </c>
      <c r="DY34" s="166">
        <v>88.2</v>
      </c>
      <c r="DZ34" s="166">
        <v>0</v>
      </c>
      <c r="EA34" s="166">
        <v>-55.790900000000001</v>
      </c>
      <c r="EB34" s="166">
        <v>238.8314</v>
      </c>
      <c r="EC34" s="166">
        <v>187.39080000000001</v>
      </c>
      <c r="ED34" s="166">
        <v>181.36940000000001</v>
      </c>
      <c r="EE34" s="166">
        <v>183.66290000000001</v>
      </c>
      <c r="EF34" s="166">
        <v>84.128600000000006</v>
      </c>
      <c r="EG34" s="166">
        <v>61.549500000000002</v>
      </c>
      <c r="EH34" s="166">
        <v>-30.253</v>
      </c>
      <c r="EI34" s="166">
        <v>632.87840000000006</v>
      </c>
      <c r="EJ34" s="166">
        <v>-13.808400000000001</v>
      </c>
      <c r="EK34" s="167"/>
      <c r="EL34" s="166">
        <v>-32.7376</v>
      </c>
      <c r="EM34" s="166">
        <v>-29.3584</v>
      </c>
      <c r="EN34" s="167"/>
      <c r="EO34" s="166">
        <v>-26.2927</v>
      </c>
      <c r="EP34" s="166">
        <v>-23.1662</v>
      </c>
      <c r="EQ34" s="166">
        <v>150.58799999999999</v>
      </c>
      <c r="ER34" s="166">
        <v>-82.114099999999993</v>
      </c>
      <c r="ES34" s="166">
        <v>-83.603999999999999</v>
      </c>
      <c r="ET34" s="166">
        <v>-19.456600000000002</v>
      </c>
      <c r="EU34" s="166">
        <v>0</v>
      </c>
      <c r="EV34" s="166">
        <v>-21.69</v>
      </c>
      <c r="EW34" s="166">
        <v>105.2</v>
      </c>
      <c r="EX34" s="166">
        <v>13.5207</v>
      </c>
      <c r="EY34" s="166">
        <v>-104.9922</v>
      </c>
      <c r="EZ34" s="166">
        <v>-33.059699999999999</v>
      </c>
      <c r="FA34" s="166">
        <v>-31.980599999999999</v>
      </c>
      <c r="FB34" s="166">
        <v>3.7574999999999998</v>
      </c>
      <c r="FC34" s="166">
        <v>-56.521700000000003</v>
      </c>
      <c r="FD34" s="166">
        <v>25.5901</v>
      </c>
      <c r="FE34" s="166">
        <v>24.049800000000001</v>
      </c>
      <c r="FF34" s="166">
        <v>24.703499999999998</v>
      </c>
      <c r="FG34" s="167"/>
      <c r="FH34" s="166">
        <v>39.685400000000001</v>
      </c>
      <c r="FI34" s="166">
        <v>39.330399999999997</v>
      </c>
      <c r="FJ34" s="166">
        <v>37.951000000000001</v>
      </c>
      <c r="FK34" s="166">
        <v>73.848200000000006</v>
      </c>
      <c r="FL34" s="166">
        <v>74.3506</v>
      </c>
      <c r="FM34" s="166">
        <v>-4.1863999999999999</v>
      </c>
      <c r="FN34" s="166">
        <v>0</v>
      </c>
      <c r="FO34" s="166">
        <v>58.946199999999997</v>
      </c>
      <c r="FP34" s="166">
        <v>-14.782500000000001</v>
      </c>
      <c r="FQ34" s="166">
        <v>0</v>
      </c>
      <c r="FR34" s="166">
        <v>1.6938</v>
      </c>
      <c r="FS34" s="166">
        <v>-20.02</v>
      </c>
      <c r="FT34" s="167"/>
      <c r="FU34" s="166">
        <v>1.0562</v>
      </c>
      <c r="FV34" s="166">
        <v>1.38</v>
      </c>
      <c r="FW34" s="166">
        <v>17.7</v>
      </c>
      <c r="FX34" s="166">
        <v>0</v>
      </c>
      <c r="FY34" s="167"/>
      <c r="FZ34" s="166">
        <v>-10.101000000000001</v>
      </c>
      <c r="GA34" s="166">
        <v>1.258</v>
      </c>
      <c r="GB34" s="167"/>
      <c r="GC34" s="166">
        <v>34.07</v>
      </c>
      <c r="GD34" s="166">
        <v>6.0659000000000001</v>
      </c>
      <c r="GE34" s="166">
        <v>14.4337</v>
      </c>
      <c r="GF34" s="168">
        <v>15.435</v>
      </c>
      <c r="GG34" s="166">
        <v>78.403099999999995</v>
      </c>
      <c r="GH34" s="166">
        <v>22.5</v>
      </c>
      <c r="GI34" s="166">
        <v>-20.521599999999999</v>
      </c>
      <c r="GJ34" s="166">
        <v>-2.9478</v>
      </c>
      <c r="GK34" s="166">
        <v>-2.8856000000000002</v>
      </c>
      <c r="GL34" s="166">
        <v>2.1987999999999999</v>
      </c>
      <c r="GM34" s="167"/>
      <c r="GN34" s="167"/>
      <c r="GO34" s="166">
        <v>-16.022500000000001</v>
      </c>
      <c r="GP34" s="166">
        <v>-37.385199999999998</v>
      </c>
      <c r="GQ34" s="166">
        <v>12.161300000000001</v>
      </c>
      <c r="GR34" s="166">
        <v>39.213099999999997</v>
      </c>
      <c r="GS34" s="166">
        <v>12.837999999999999</v>
      </c>
      <c r="GT34" s="166">
        <v>13.255000000000001</v>
      </c>
      <c r="GU34" s="166">
        <v>-131.3674</v>
      </c>
      <c r="GV34" s="166">
        <v>-28.906199999999998</v>
      </c>
      <c r="GW34" s="166">
        <v>30.906199999999998</v>
      </c>
      <c r="GX34" s="166">
        <v>-68.4786</v>
      </c>
      <c r="GY34" s="166">
        <v>11.043200000000001</v>
      </c>
      <c r="GZ34" s="166">
        <v>13.088800000000001</v>
      </c>
      <c r="HA34" s="166">
        <v>12.764699999999999</v>
      </c>
      <c r="HB34" s="166">
        <v>12.7958</v>
      </c>
      <c r="HC34" s="166">
        <v>117.10290000000001</v>
      </c>
      <c r="HD34" s="166">
        <v>116.9117</v>
      </c>
      <c r="HE34" s="166">
        <v>220.4</v>
      </c>
      <c r="HF34" s="166">
        <v>-218.34309999999999</v>
      </c>
      <c r="HG34" s="166">
        <v>-413.52859999999998</v>
      </c>
      <c r="HH34" s="166">
        <v>414.91649999999998</v>
      </c>
      <c r="HI34" s="166">
        <v>164.83760000000001</v>
      </c>
      <c r="HJ34" s="166">
        <v>-115.26</v>
      </c>
      <c r="HK34" s="166">
        <v>-111.31140000000001</v>
      </c>
      <c r="HL34" s="166">
        <v>-51.263199999999998</v>
      </c>
      <c r="HM34" s="166">
        <v>-41.325000000000003</v>
      </c>
      <c r="HN34" s="166">
        <v>74.865099999999998</v>
      </c>
      <c r="HO34" s="166">
        <v>76.343299999999999</v>
      </c>
      <c r="HP34" s="166">
        <v>-70.414900000000003</v>
      </c>
      <c r="HQ34" s="166">
        <v>-70.421899999999994</v>
      </c>
      <c r="HR34" s="166">
        <v>28.567599999999999</v>
      </c>
      <c r="HS34" s="166">
        <v>27.655799999999999</v>
      </c>
      <c r="HT34" s="166">
        <v>-40.880600000000001</v>
      </c>
      <c r="HU34" s="166">
        <v>-40.175400000000003</v>
      </c>
      <c r="HV34" s="166">
        <v>-26.31</v>
      </c>
      <c r="HW34" s="166">
        <v>-26.13</v>
      </c>
      <c r="HX34" s="166">
        <v>46.1</v>
      </c>
      <c r="HY34" s="166">
        <v>45.7</v>
      </c>
      <c r="HZ34" s="166">
        <v>21.064599999999999</v>
      </c>
      <c r="IA34" s="166">
        <v>-56.72</v>
      </c>
      <c r="IB34" s="166">
        <v>-286.58730000000003</v>
      </c>
      <c r="IC34" s="166">
        <v>67.036199999999994</v>
      </c>
      <c r="ID34" s="166">
        <v>66.758700000000005</v>
      </c>
      <c r="IE34" s="168">
        <v>11.6</v>
      </c>
      <c r="IF34" s="166">
        <v>14.8</v>
      </c>
      <c r="IG34" s="166">
        <v>-26.7</v>
      </c>
      <c r="IH34" s="166">
        <v>-30.9</v>
      </c>
      <c r="II34" s="167"/>
      <c r="IJ34" s="166">
        <v>1.2371000000000001</v>
      </c>
      <c r="IK34" s="166">
        <v>-160.13509999999999</v>
      </c>
      <c r="IL34" s="166">
        <v>32.410299999999999</v>
      </c>
      <c r="IM34" s="166">
        <v>159.1525</v>
      </c>
      <c r="IN34" s="166">
        <v>-18.148399999999999</v>
      </c>
      <c r="IO34" s="166">
        <v>4.4478999999999997</v>
      </c>
      <c r="IP34" s="166">
        <v>12.707800000000001</v>
      </c>
      <c r="IQ34" s="166">
        <v>-22.575600000000001</v>
      </c>
      <c r="IR34" s="166">
        <v>0</v>
      </c>
      <c r="IS34" s="166">
        <v>-111.5654</v>
      </c>
      <c r="IT34" s="166">
        <v>26.898399999999999</v>
      </c>
      <c r="IU34" s="166">
        <v>218.6027</v>
      </c>
      <c r="IV34" s="166">
        <v>219.67689999999999</v>
      </c>
      <c r="IW34" s="166">
        <v>0</v>
      </c>
      <c r="IX34" s="166">
        <v>-155.5446</v>
      </c>
      <c r="IY34" s="166">
        <v>112.3455</v>
      </c>
      <c r="IZ34" s="166">
        <v>-39.001399999999997</v>
      </c>
      <c r="JA34" s="166">
        <v>36.496099999999998</v>
      </c>
      <c r="JB34" s="166">
        <v>-7.7523</v>
      </c>
      <c r="JC34" s="166">
        <v>7.8170000000000002</v>
      </c>
      <c r="JD34" s="166">
        <v>22.16</v>
      </c>
      <c r="JE34" s="166">
        <v>1.5</v>
      </c>
      <c r="JF34" s="166">
        <v>1.492</v>
      </c>
      <c r="JG34" s="166">
        <v>-21.44</v>
      </c>
      <c r="JH34" s="166">
        <v>0.16</v>
      </c>
      <c r="JI34" s="167"/>
      <c r="JJ34" s="166">
        <v>-0.32200000000000001</v>
      </c>
      <c r="JK34" s="166">
        <v>-25.487100000000002</v>
      </c>
      <c r="JL34" s="166">
        <v>-18.162800000000001</v>
      </c>
      <c r="JM34" s="166">
        <v>16</v>
      </c>
      <c r="JN34" s="166">
        <v>50.978999999999999</v>
      </c>
      <c r="JO34" s="166">
        <v>51.625</v>
      </c>
      <c r="JP34" s="167"/>
      <c r="JQ34" s="167"/>
      <c r="JR34" s="166">
        <v>48.450899999999997</v>
      </c>
      <c r="JS34" s="166">
        <v>48.819499999999998</v>
      </c>
      <c r="JT34" s="166">
        <v>49.277200000000001</v>
      </c>
      <c r="JU34" s="167"/>
      <c r="JV34" s="166">
        <v>-12.9</v>
      </c>
      <c r="JW34" s="166">
        <v>27.845800000000001</v>
      </c>
      <c r="JX34" s="166">
        <v>8.61</v>
      </c>
      <c r="JY34" s="167"/>
      <c r="JZ34" s="166">
        <v>-40.824399999999997</v>
      </c>
      <c r="KA34" s="166">
        <v>77.112099999999998</v>
      </c>
      <c r="KB34" s="166">
        <v>52.7498</v>
      </c>
      <c r="KC34" s="166">
        <v>-39.833599999999997</v>
      </c>
      <c r="KD34" s="166">
        <v>-75.199200000000005</v>
      </c>
      <c r="KE34" s="166">
        <v>39.636099999999999</v>
      </c>
      <c r="KF34" s="166">
        <v>34.243600000000001</v>
      </c>
      <c r="KG34" s="166">
        <v>-0.8</v>
      </c>
      <c r="KH34" s="166">
        <v>0.9</v>
      </c>
      <c r="KI34" s="166">
        <v>-247.23849999999999</v>
      </c>
      <c r="KJ34" s="166">
        <v>375.76280000000003</v>
      </c>
    </row>
    <row r="35" spans="1:296" ht="18" customHeight="1" x14ac:dyDescent="0.3">
      <c r="A35" s="162" t="s">
        <v>67</v>
      </c>
      <c r="B35" s="162" t="s">
        <v>834</v>
      </c>
      <c r="C35" s="166">
        <v>0</v>
      </c>
      <c r="D35" s="167"/>
      <c r="E35" s="166">
        <v>20.6172</v>
      </c>
      <c r="F35" s="166">
        <v>-31.261099999999999</v>
      </c>
      <c r="G35" s="166">
        <v>-30.651700000000002</v>
      </c>
      <c r="H35" s="166">
        <v>36.392000000000003</v>
      </c>
      <c r="I35" s="167"/>
      <c r="J35" s="166">
        <v>54.7806</v>
      </c>
      <c r="K35" s="166">
        <v>-102.84520000000001</v>
      </c>
      <c r="L35" s="166">
        <v>72.438999999999993</v>
      </c>
      <c r="M35" s="166">
        <v>36.7669</v>
      </c>
      <c r="N35" s="166">
        <v>35.854999999999997</v>
      </c>
      <c r="O35" s="166">
        <v>-24.42</v>
      </c>
      <c r="P35" s="166">
        <v>-67.805999999999997</v>
      </c>
      <c r="Q35" s="166">
        <v>61.6</v>
      </c>
      <c r="R35" s="166">
        <v>20.7</v>
      </c>
      <c r="S35" s="168">
        <v>-62.7</v>
      </c>
      <c r="T35" s="166">
        <v>15.2098</v>
      </c>
      <c r="U35" s="166">
        <v>51.733800000000002</v>
      </c>
      <c r="V35" s="167"/>
      <c r="W35" s="166">
        <v>22.297499999999999</v>
      </c>
      <c r="X35" s="166">
        <v>37.157200000000003</v>
      </c>
      <c r="Y35" s="166">
        <v>4.0933999999999999</v>
      </c>
      <c r="Z35" s="166">
        <v>5.4715999999999996</v>
      </c>
      <c r="AA35" s="166">
        <v>5.7488999999999999</v>
      </c>
      <c r="AB35" s="167"/>
      <c r="AC35" s="167"/>
      <c r="AD35" s="166">
        <v>-80.25</v>
      </c>
      <c r="AE35" s="166">
        <v>-80.17</v>
      </c>
      <c r="AF35" s="167"/>
      <c r="AG35" s="166">
        <v>24.42</v>
      </c>
      <c r="AH35" s="168">
        <v>67.099999999999994</v>
      </c>
      <c r="AI35" s="166">
        <v>17.059999999999999</v>
      </c>
      <c r="AJ35" s="166">
        <v>0.217</v>
      </c>
      <c r="AK35" s="166">
        <v>-77.099999999999994</v>
      </c>
      <c r="AL35" s="166">
        <v>-77.03</v>
      </c>
      <c r="AM35" s="166">
        <v>-54</v>
      </c>
      <c r="AN35" s="166">
        <v>78.25</v>
      </c>
      <c r="AO35" s="166">
        <v>78.25</v>
      </c>
      <c r="AP35" s="166">
        <v>17.453299999999999</v>
      </c>
      <c r="AQ35" s="166">
        <v>1.3801000000000001</v>
      </c>
      <c r="AR35" s="166">
        <v>73.579899999999995</v>
      </c>
      <c r="AS35" s="166">
        <v>76.147900000000007</v>
      </c>
      <c r="AT35" s="166">
        <v>59.194000000000003</v>
      </c>
      <c r="AU35" s="166">
        <v>-54.433700000000002</v>
      </c>
      <c r="AV35" s="166">
        <v>-54.204700000000003</v>
      </c>
      <c r="AW35" s="166">
        <v>6.4317000000000002</v>
      </c>
      <c r="AX35" s="166">
        <v>6.3338999999999999</v>
      </c>
      <c r="AY35" s="166">
        <v>88.055999999999997</v>
      </c>
      <c r="AZ35" s="166">
        <v>89.353300000000004</v>
      </c>
      <c r="BA35" s="166">
        <v>0.47060000000000002</v>
      </c>
      <c r="BB35" s="166">
        <v>-0.97660000000000002</v>
      </c>
      <c r="BC35" s="166">
        <v>-536.16560000000004</v>
      </c>
      <c r="BD35" s="166">
        <v>-13.808999999999999</v>
      </c>
      <c r="BE35" s="166">
        <v>-11.8</v>
      </c>
      <c r="BF35" s="166">
        <v>-11.9</v>
      </c>
      <c r="BG35" s="166">
        <v>59.659700000000001</v>
      </c>
      <c r="BH35" s="166">
        <v>58.891399999999997</v>
      </c>
      <c r="BI35" s="166">
        <v>-9.1716999999999995</v>
      </c>
      <c r="BJ35" s="167"/>
      <c r="BK35" s="166">
        <v>-40.823599999999999</v>
      </c>
      <c r="BL35" s="166">
        <v>7.5369000000000002</v>
      </c>
      <c r="BM35" s="166">
        <v>0</v>
      </c>
      <c r="BN35" s="166">
        <v>0</v>
      </c>
      <c r="BO35" s="166">
        <v>573.71730000000002</v>
      </c>
      <c r="BP35" s="166">
        <v>229.8348</v>
      </c>
      <c r="BQ35" s="166">
        <v>230.2621</v>
      </c>
      <c r="BR35" s="166">
        <v>-626.84870000000001</v>
      </c>
      <c r="BS35" s="166">
        <v>707.37469999999996</v>
      </c>
      <c r="BT35" s="167"/>
      <c r="BU35" s="166">
        <v>-55.147300000000001</v>
      </c>
      <c r="BV35" s="166">
        <v>56.249899999999997</v>
      </c>
      <c r="BW35" s="168">
        <v>116.9504</v>
      </c>
      <c r="BX35" s="166">
        <v>42.2</v>
      </c>
      <c r="BY35" s="166">
        <v>0</v>
      </c>
      <c r="BZ35" s="166">
        <v>80.64</v>
      </c>
      <c r="CA35" s="166">
        <v>62.53</v>
      </c>
      <c r="CB35" s="166">
        <v>-73.002399999999994</v>
      </c>
      <c r="CC35" s="166">
        <v>-71.528899999999993</v>
      </c>
      <c r="CD35" s="166">
        <v>126.104</v>
      </c>
      <c r="CE35" s="166">
        <v>126.85680000000001</v>
      </c>
      <c r="CF35" s="166">
        <v>7.3978000000000002</v>
      </c>
      <c r="CG35" s="166">
        <v>-150.10570000000001</v>
      </c>
      <c r="CH35" s="166">
        <v>-150.20910000000001</v>
      </c>
      <c r="CI35" s="166">
        <v>8.2186000000000003</v>
      </c>
      <c r="CJ35" s="166">
        <v>0</v>
      </c>
      <c r="CK35" s="167"/>
      <c r="CL35" s="166">
        <v>28.481999999999999</v>
      </c>
      <c r="CM35" s="166">
        <v>141.19999999999999</v>
      </c>
      <c r="CN35" s="166">
        <v>127</v>
      </c>
      <c r="CO35" s="166">
        <v>-18.850000000000001</v>
      </c>
      <c r="CP35" s="166">
        <v>71.0916</v>
      </c>
      <c r="CQ35" s="166">
        <v>71.089600000000004</v>
      </c>
      <c r="CR35" s="166">
        <v>70.970699999999994</v>
      </c>
      <c r="CS35" s="166">
        <v>4.4794</v>
      </c>
      <c r="CT35" s="166">
        <v>5.1910999999999996</v>
      </c>
      <c r="CU35" s="166">
        <v>45.898600000000002</v>
      </c>
      <c r="CV35" s="166">
        <v>-113.4492</v>
      </c>
      <c r="CW35" s="166">
        <v>54.659700000000001</v>
      </c>
      <c r="CX35" s="166">
        <v>14.7957</v>
      </c>
      <c r="CY35" s="166">
        <v>82.08</v>
      </c>
      <c r="CZ35" s="166">
        <v>43.08</v>
      </c>
      <c r="DA35" s="166">
        <v>56.726100000000002</v>
      </c>
      <c r="DB35" s="166">
        <v>53.910800000000002</v>
      </c>
      <c r="DC35" s="166">
        <v>-35.353900000000003</v>
      </c>
      <c r="DD35" s="167"/>
      <c r="DE35" s="167"/>
      <c r="DF35" s="166">
        <v>0</v>
      </c>
      <c r="DG35" s="166">
        <v>-91.312200000000004</v>
      </c>
      <c r="DH35" s="167"/>
      <c r="DI35" s="167"/>
      <c r="DJ35" s="166">
        <v>-113.2</v>
      </c>
      <c r="DK35" s="166">
        <v>-115.6</v>
      </c>
      <c r="DL35" s="166">
        <v>21.882000000000001</v>
      </c>
      <c r="DM35" s="166">
        <v>76.599999999999994</v>
      </c>
      <c r="DN35" s="166">
        <v>72.459999999999994</v>
      </c>
      <c r="DO35" s="168">
        <v>103.51</v>
      </c>
      <c r="DP35" s="166">
        <v>76.31</v>
      </c>
      <c r="DQ35" s="166">
        <v>-9.61</v>
      </c>
      <c r="DR35" s="166">
        <v>71.331000000000003</v>
      </c>
      <c r="DS35" s="166">
        <v>90.467600000000004</v>
      </c>
      <c r="DT35" s="166">
        <v>-27.85</v>
      </c>
      <c r="DU35" s="166">
        <v>-28.26</v>
      </c>
      <c r="DV35" s="166">
        <v>116.56</v>
      </c>
      <c r="DW35" s="166">
        <v>75.64</v>
      </c>
      <c r="DX35" s="166">
        <v>89.709100000000007</v>
      </c>
      <c r="DY35" s="166">
        <v>90.527299999999997</v>
      </c>
      <c r="DZ35" s="166">
        <v>0</v>
      </c>
      <c r="EA35" s="166">
        <v>-55.318199999999997</v>
      </c>
      <c r="EB35" s="166">
        <v>237.44720000000001</v>
      </c>
      <c r="EC35" s="166">
        <v>185.8278</v>
      </c>
      <c r="ED35" s="166">
        <v>179.84649999999999</v>
      </c>
      <c r="EE35" s="166">
        <v>182.88409999999999</v>
      </c>
      <c r="EF35" s="166">
        <v>82.158500000000004</v>
      </c>
      <c r="EG35" s="166">
        <v>54.243899999999996</v>
      </c>
      <c r="EH35" s="166">
        <v>-30.65</v>
      </c>
      <c r="EI35" s="166">
        <v>639.45920000000001</v>
      </c>
      <c r="EJ35" s="166">
        <v>3.6488999999999998</v>
      </c>
      <c r="EK35" s="167"/>
      <c r="EL35" s="166">
        <v>-34.113799999999998</v>
      </c>
      <c r="EM35" s="166">
        <v>-30.529699999999998</v>
      </c>
      <c r="EN35" s="167"/>
      <c r="EO35" s="166">
        <v>-28.019500000000001</v>
      </c>
      <c r="EP35" s="166">
        <v>-26.043299999999999</v>
      </c>
      <c r="EQ35" s="166">
        <v>164.41200000000001</v>
      </c>
      <c r="ER35" s="166">
        <v>-79.443600000000004</v>
      </c>
      <c r="ES35" s="166">
        <v>-82.048699999999997</v>
      </c>
      <c r="ET35" s="166">
        <v>-22.4436</v>
      </c>
      <c r="EU35" s="166">
        <v>0</v>
      </c>
      <c r="EV35" s="166">
        <v>-22.54</v>
      </c>
      <c r="EW35" s="166">
        <v>104.8</v>
      </c>
      <c r="EX35" s="166">
        <v>13.4941</v>
      </c>
      <c r="EY35" s="166">
        <v>-107.7105</v>
      </c>
      <c r="EZ35" s="166">
        <v>-33.203200000000002</v>
      </c>
      <c r="FA35" s="166">
        <v>-32.834400000000002</v>
      </c>
      <c r="FB35" s="166">
        <v>3.4367999999999999</v>
      </c>
      <c r="FC35" s="166">
        <v>-55.824300000000001</v>
      </c>
      <c r="FD35" s="166">
        <v>21.323799999999999</v>
      </c>
      <c r="FE35" s="166">
        <v>23.688099999999999</v>
      </c>
      <c r="FF35" s="166">
        <v>25.312799999999999</v>
      </c>
      <c r="FG35" s="167"/>
      <c r="FH35" s="166">
        <v>39.1631</v>
      </c>
      <c r="FI35" s="166">
        <v>39.104799999999997</v>
      </c>
      <c r="FJ35" s="166">
        <v>38.239199999999997</v>
      </c>
      <c r="FK35" s="166">
        <v>72.341099999999997</v>
      </c>
      <c r="FL35" s="166">
        <v>71.838800000000006</v>
      </c>
      <c r="FM35" s="166">
        <v>-34.663499999999999</v>
      </c>
      <c r="FN35" s="166">
        <v>0</v>
      </c>
      <c r="FO35" s="166">
        <v>58.440800000000003</v>
      </c>
      <c r="FP35" s="166">
        <v>-33.174700000000001</v>
      </c>
      <c r="FQ35" s="166">
        <v>-22.989599999999999</v>
      </c>
      <c r="FR35" s="166">
        <v>-7.8718000000000004</v>
      </c>
      <c r="FS35" s="166">
        <v>-20.79</v>
      </c>
      <c r="FT35" s="167"/>
      <c r="FU35" s="166">
        <v>0.99280000000000002</v>
      </c>
      <c r="FV35" s="166">
        <v>1.37</v>
      </c>
      <c r="FW35" s="166">
        <v>19.760000000000002</v>
      </c>
      <c r="FX35" s="166">
        <v>0</v>
      </c>
      <c r="FY35" s="167"/>
      <c r="FZ35" s="166">
        <v>-10.02</v>
      </c>
      <c r="GA35" s="166">
        <v>1.29</v>
      </c>
      <c r="GB35" s="167"/>
      <c r="GC35" s="166">
        <v>30.16</v>
      </c>
      <c r="GD35" s="166">
        <v>23.579499999999999</v>
      </c>
      <c r="GE35" s="166">
        <v>32.155000000000001</v>
      </c>
      <c r="GF35" s="166">
        <v>15.11</v>
      </c>
      <c r="GG35" s="166">
        <v>72.129900000000006</v>
      </c>
      <c r="GH35" s="166">
        <v>23.1</v>
      </c>
      <c r="GI35" s="166">
        <v>-11.1</v>
      </c>
      <c r="GJ35" s="166">
        <v>-8.4533000000000005</v>
      </c>
      <c r="GK35" s="166">
        <v>-8.8938000000000006</v>
      </c>
      <c r="GL35" s="166">
        <v>2.1663000000000001</v>
      </c>
      <c r="GM35" s="167"/>
      <c r="GN35" s="167"/>
      <c r="GO35" s="166">
        <v>-16.549700000000001</v>
      </c>
      <c r="GP35" s="166">
        <v>-27.613199999999999</v>
      </c>
      <c r="GQ35" s="166">
        <v>11.4575</v>
      </c>
      <c r="GR35" s="166">
        <v>28.444500000000001</v>
      </c>
      <c r="GS35" s="166">
        <v>12.104799999999999</v>
      </c>
      <c r="GT35" s="166">
        <v>12.756600000000001</v>
      </c>
      <c r="GU35" s="166">
        <v>-120.59139999999999</v>
      </c>
      <c r="GV35" s="166">
        <v>-30.094799999999999</v>
      </c>
      <c r="GW35" s="166">
        <v>32.310600000000001</v>
      </c>
      <c r="GX35" s="166">
        <v>-30.815799999999999</v>
      </c>
      <c r="GY35" s="166">
        <v>11.0907</v>
      </c>
      <c r="GZ35" s="166">
        <v>12.991099999999999</v>
      </c>
      <c r="HA35" s="166">
        <v>12.627599999999999</v>
      </c>
      <c r="HB35" s="166">
        <v>12.5281</v>
      </c>
      <c r="HC35" s="166">
        <v>117.51909999999999</v>
      </c>
      <c r="HD35" s="166">
        <v>118.2839</v>
      </c>
      <c r="HE35" s="166">
        <v>199.1</v>
      </c>
      <c r="HF35" s="166">
        <v>-198.57480000000001</v>
      </c>
      <c r="HG35" s="166">
        <v>-395.06139999999999</v>
      </c>
      <c r="HH35" s="166">
        <v>394.38549999999998</v>
      </c>
      <c r="HI35" s="166">
        <v>154.7424</v>
      </c>
      <c r="HJ35" s="166">
        <v>-116.73480000000001</v>
      </c>
      <c r="HK35" s="166">
        <v>-113.0532</v>
      </c>
      <c r="HL35" s="166">
        <v>-52.305599999999998</v>
      </c>
      <c r="HM35" s="166">
        <v>-43.280099999999997</v>
      </c>
      <c r="HN35" s="166">
        <v>79.497299999999996</v>
      </c>
      <c r="HO35" s="166">
        <v>79.046300000000002</v>
      </c>
      <c r="HP35" s="167"/>
      <c r="HQ35" s="167"/>
      <c r="HR35" s="166">
        <v>26.0078</v>
      </c>
      <c r="HS35" s="166">
        <v>25.908899999999999</v>
      </c>
      <c r="HT35" s="166">
        <v>-40.446300000000001</v>
      </c>
      <c r="HU35" s="166">
        <v>-41.146000000000001</v>
      </c>
      <c r="HV35" s="166">
        <v>-23.59</v>
      </c>
      <c r="HW35" s="166">
        <v>-23.33</v>
      </c>
      <c r="HX35" s="166">
        <v>46.9</v>
      </c>
      <c r="HY35" s="166">
        <v>46.2</v>
      </c>
      <c r="HZ35" s="166">
        <v>20.633099999999999</v>
      </c>
      <c r="IA35" s="166">
        <v>-53.04</v>
      </c>
      <c r="IB35" s="166">
        <v>-280.40719999999999</v>
      </c>
      <c r="IC35" s="166">
        <v>62.8919</v>
      </c>
      <c r="ID35" s="166">
        <v>62.615000000000002</v>
      </c>
      <c r="IE35" s="168">
        <v>11.6</v>
      </c>
      <c r="IF35" s="166">
        <v>13.4</v>
      </c>
      <c r="IG35" s="166">
        <v>-25</v>
      </c>
      <c r="IH35" s="166">
        <v>-29.2</v>
      </c>
      <c r="II35" s="166">
        <v>1.3920999999999999</v>
      </c>
      <c r="IJ35" s="166">
        <v>1.2371000000000001</v>
      </c>
      <c r="IK35" s="166">
        <v>-148.3579</v>
      </c>
      <c r="IL35" s="166">
        <v>20.505299999999998</v>
      </c>
      <c r="IM35" s="166">
        <v>160.9375</v>
      </c>
      <c r="IN35" s="166">
        <v>-9.7407000000000004</v>
      </c>
      <c r="IO35" s="166">
        <v>9.5937000000000001</v>
      </c>
      <c r="IP35" s="166">
        <v>13.428900000000001</v>
      </c>
      <c r="IQ35" s="166">
        <v>-20.363399999999999</v>
      </c>
      <c r="IR35" s="166">
        <v>0</v>
      </c>
      <c r="IS35" s="166">
        <v>-105.17440000000001</v>
      </c>
      <c r="IT35" s="166">
        <v>19.669799999999999</v>
      </c>
      <c r="IU35" s="166">
        <v>222.37450000000001</v>
      </c>
      <c r="IV35" s="166">
        <v>218.8622</v>
      </c>
      <c r="IW35" s="166">
        <v>0</v>
      </c>
      <c r="IX35" s="166">
        <v>-153.36009999999999</v>
      </c>
      <c r="IY35" s="166">
        <v>108.04219999999999</v>
      </c>
      <c r="IZ35" s="166">
        <v>-42.28</v>
      </c>
      <c r="JA35" s="166">
        <v>42.668700000000001</v>
      </c>
      <c r="JB35" s="166">
        <v>-6.7497999999999996</v>
      </c>
      <c r="JC35" s="166">
        <v>2.8780000000000001</v>
      </c>
      <c r="JD35" s="166">
        <v>22.48</v>
      </c>
      <c r="JE35" s="166">
        <v>1.3859999999999999</v>
      </c>
      <c r="JF35" s="166">
        <v>1.3740000000000001</v>
      </c>
      <c r="JG35" s="166">
        <v>-22</v>
      </c>
      <c r="JH35" s="166">
        <v>0</v>
      </c>
      <c r="JI35" s="167"/>
      <c r="JJ35" s="166">
        <v>-0.52639999999999998</v>
      </c>
      <c r="JK35" s="166">
        <v>-25.548200000000001</v>
      </c>
      <c r="JL35" s="166">
        <v>-17.927800000000001</v>
      </c>
      <c r="JM35" s="166">
        <v>15.9</v>
      </c>
      <c r="JN35" s="166">
        <v>51.4</v>
      </c>
      <c r="JO35" s="166">
        <v>52.183999999999997</v>
      </c>
      <c r="JP35" s="167"/>
      <c r="JQ35" s="167"/>
      <c r="JR35" s="166">
        <v>51.674700000000001</v>
      </c>
      <c r="JS35" s="166">
        <v>51.3474</v>
      </c>
      <c r="JT35" s="166">
        <v>52.578600000000002</v>
      </c>
      <c r="JU35" s="167"/>
      <c r="JV35" s="166">
        <v>-14.5</v>
      </c>
      <c r="JW35" s="166">
        <v>29.034800000000001</v>
      </c>
      <c r="JX35" s="166">
        <v>8.74</v>
      </c>
      <c r="JY35" s="167"/>
      <c r="JZ35" s="166">
        <v>-42.551000000000002</v>
      </c>
      <c r="KA35" s="166">
        <v>77.748500000000007</v>
      </c>
      <c r="KB35" s="166">
        <v>53.592300000000002</v>
      </c>
      <c r="KC35" s="166">
        <v>-41.492199999999997</v>
      </c>
      <c r="KD35" s="166">
        <v>-76.074299999999994</v>
      </c>
      <c r="KE35" s="166">
        <v>42.022500000000001</v>
      </c>
      <c r="KF35" s="166">
        <v>33.606099999999998</v>
      </c>
      <c r="KG35" s="166">
        <v>0</v>
      </c>
      <c r="KH35" s="166">
        <v>-0.3</v>
      </c>
      <c r="KI35" s="166">
        <v>-241.3372</v>
      </c>
      <c r="KJ35" s="166">
        <v>331.50970000000001</v>
      </c>
    </row>
    <row r="36" spans="1:296" ht="18" customHeight="1" x14ac:dyDescent="0.3">
      <c r="A36" s="162" t="s">
        <v>67</v>
      </c>
      <c r="B36" s="162" t="s">
        <v>835</v>
      </c>
      <c r="C36" s="166">
        <v>0</v>
      </c>
      <c r="D36" s="167"/>
      <c r="E36" s="166">
        <v>20.537500000000001</v>
      </c>
      <c r="F36" s="166">
        <v>-30.363600000000002</v>
      </c>
      <c r="G36" s="166">
        <v>-30.723700000000001</v>
      </c>
      <c r="H36" s="168">
        <v>36.623199999999997</v>
      </c>
      <c r="I36" s="167"/>
      <c r="J36" s="166">
        <v>56.435200000000002</v>
      </c>
      <c r="K36" s="166">
        <v>-117.6224</v>
      </c>
      <c r="L36" s="166">
        <v>73.38</v>
      </c>
      <c r="M36" s="166">
        <v>37.170900000000003</v>
      </c>
      <c r="N36" s="166">
        <v>36.216799999999999</v>
      </c>
      <c r="O36" s="166">
        <v>-13.32</v>
      </c>
      <c r="P36" s="166">
        <v>-68.91</v>
      </c>
      <c r="Q36" s="166">
        <v>63.8</v>
      </c>
      <c r="R36" s="166">
        <v>20.7</v>
      </c>
      <c r="S36" s="166">
        <v>-63.8</v>
      </c>
      <c r="T36" s="166">
        <v>15.0366</v>
      </c>
      <c r="U36" s="166">
        <v>67.987799999999993</v>
      </c>
      <c r="V36" s="167"/>
      <c r="W36" s="166">
        <v>22.204000000000001</v>
      </c>
      <c r="X36" s="166">
        <v>36.984200000000001</v>
      </c>
      <c r="Y36" s="166">
        <v>4.2736999999999998</v>
      </c>
      <c r="Z36" s="166">
        <v>5.3354999999999997</v>
      </c>
      <c r="AA36" s="166">
        <v>6.0471000000000004</v>
      </c>
      <c r="AB36" s="167"/>
      <c r="AC36" s="167"/>
      <c r="AD36" s="166">
        <v>-78.83</v>
      </c>
      <c r="AE36" s="166">
        <v>-78.569999999999993</v>
      </c>
      <c r="AF36" s="167"/>
      <c r="AG36" s="166">
        <v>13.32</v>
      </c>
      <c r="AH36" s="166">
        <v>68.2</v>
      </c>
      <c r="AI36" s="166">
        <v>16.748999999999999</v>
      </c>
      <c r="AJ36" s="166">
        <v>0.216</v>
      </c>
      <c r="AK36" s="166">
        <v>-76.38</v>
      </c>
      <c r="AL36" s="166">
        <v>-77.17</v>
      </c>
      <c r="AM36" s="166">
        <v>-29.7</v>
      </c>
      <c r="AN36" s="166">
        <v>77.02</v>
      </c>
      <c r="AO36" s="166">
        <v>77.58</v>
      </c>
      <c r="AP36" s="166">
        <v>18.0259</v>
      </c>
      <c r="AQ36" s="166">
        <v>0.54849999999999999</v>
      </c>
      <c r="AR36" s="166">
        <v>73.959199999999996</v>
      </c>
      <c r="AS36" s="166">
        <v>77.039599999999993</v>
      </c>
      <c r="AT36" s="166">
        <v>41.68</v>
      </c>
      <c r="AU36" s="166">
        <v>-56.866999999999997</v>
      </c>
      <c r="AV36" s="166">
        <v>-56.517400000000002</v>
      </c>
      <c r="AW36" s="166">
        <v>29.486899999999999</v>
      </c>
      <c r="AX36" s="166">
        <v>27.191199999999998</v>
      </c>
      <c r="AY36" s="166">
        <v>78.7149</v>
      </c>
      <c r="AZ36" s="166">
        <v>80.191800000000001</v>
      </c>
      <c r="BA36" s="166">
        <v>22.464300000000001</v>
      </c>
      <c r="BB36" s="166">
        <v>21.725999999999999</v>
      </c>
      <c r="BC36" s="166">
        <v>-528.39179999999999</v>
      </c>
      <c r="BD36" s="166">
        <v>-14.8947</v>
      </c>
      <c r="BE36" s="166">
        <v>-12.3</v>
      </c>
      <c r="BF36" s="166">
        <v>-12.3</v>
      </c>
      <c r="BG36" s="166">
        <v>62.656700000000001</v>
      </c>
      <c r="BH36" s="166">
        <v>62.960900000000002</v>
      </c>
      <c r="BI36" s="166">
        <v>-9.1150000000000002</v>
      </c>
      <c r="BJ36" s="167"/>
      <c r="BK36" s="166">
        <v>-39.850299999999997</v>
      </c>
      <c r="BL36" s="166">
        <v>8.1075999999999997</v>
      </c>
      <c r="BM36" s="166">
        <v>0</v>
      </c>
      <c r="BN36" s="166">
        <v>-0.64980000000000004</v>
      </c>
      <c r="BO36" s="166">
        <v>565.93510000000003</v>
      </c>
      <c r="BP36" s="166">
        <v>226.3252</v>
      </c>
      <c r="BQ36" s="166">
        <v>226.41669999999999</v>
      </c>
      <c r="BR36" s="166">
        <v>-609.83460000000002</v>
      </c>
      <c r="BS36" s="166">
        <v>712.70039999999995</v>
      </c>
      <c r="BT36" s="167"/>
      <c r="BU36" s="166">
        <v>-59.563400000000001</v>
      </c>
      <c r="BV36" s="166">
        <v>61.568800000000003</v>
      </c>
      <c r="BW36" s="166">
        <v>118.0282</v>
      </c>
      <c r="BX36" s="166">
        <v>42.66</v>
      </c>
      <c r="BY36" s="166">
        <v>0</v>
      </c>
      <c r="BZ36" s="166">
        <v>81.48</v>
      </c>
      <c r="CA36" s="166">
        <v>62.53</v>
      </c>
      <c r="CB36" s="166">
        <v>-74.475999999999999</v>
      </c>
      <c r="CC36" s="166">
        <v>-74.877799999999993</v>
      </c>
      <c r="CD36" s="166">
        <v>130.07910000000001</v>
      </c>
      <c r="CE36" s="166">
        <v>131.06989999999999</v>
      </c>
      <c r="CF36" s="166">
        <v>6.6486999999999998</v>
      </c>
      <c r="CG36" s="166">
        <v>-149.23920000000001</v>
      </c>
      <c r="CH36" s="166">
        <v>-150.40180000000001</v>
      </c>
      <c r="CI36" s="166">
        <v>6.8407</v>
      </c>
      <c r="CJ36" s="166">
        <v>0</v>
      </c>
      <c r="CK36" s="166">
        <v>20.906199999999998</v>
      </c>
      <c r="CL36" s="166">
        <v>27.634</v>
      </c>
      <c r="CM36" s="166">
        <v>142.80000000000001</v>
      </c>
      <c r="CN36" s="166">
        <v>128.1</v>
      </c>
      <c r="CO36" s="166">
        <v>-19.34</v>
      </c>
      <c r="CP36" s="166">
        <v>71.333399999999997</v>
      </c>
      <c r="CQ36" s="166">
        <v>71.134500000000003</v>
      </c>
      <c r="CR36" s="166">
        <v>70.561300000000003</v>
      </c>
      <c r="CS36" s="166">
        <v>4.4284999999999997</v>
      </c>
      <c r="CT36" s="166">
        <v>5.4132999999999996</v>
      </c>
      <c r="CU36" s="166">
        <v>41.978099999999998</v>
      </c>
      <c r="CV36" s="166">
        <v>-112.4436</v>
      </c>
      <c r="CW36" s="166">
        <v>51.046100000000003</v>
      </c>
      <c r="CX36" s="166">
        <v>14.8249</v>
      </c>
      <c r="CY36" s="166">
        <v>85.51</v>
      </c>
      <c r="CZ36" s="166">
        <v>44.55</v>
      </c>
      <c r="DA36" s="168">
        <v>57.429200000000002</v>
      </c>
      <c r="DB36" s="168">
        <v>54.4968</v>
      </c>
      <c r="DC36" s="166">
        <v>-35.6404</v>
      </c>
      <c r="DD36" s="167"/>
      <c r="DE36" s="167"/>
      <c r="DF36" s="166">
        <v>0</v>
      </c>
      <c r="DG36" s="166">
        <v>-90.200699999999998</v>
      </c>
      <c r="DH36" s="167"/>
      <c r="DI36" s="167"/>
      <c r="DJ36" s="166">
        <v>-115.7</v>
      </c>
      <c r="DK36" s="166">
        <v>-115.6</v>
      </c>
      <c r="DL36" s="166">
        <v>22.442299999999999</v>
      </c>
      <c r="DM36" s="166">
        <v>75.8</v>
      </c>
      <c r="DN36" s="166">
        <v>71.319999999999993</v>
      </c>
      <c r="DO36" s="166">
        <v>102.46</v>
      </c>
      <c r="DP36" s="166">
        <v>75.540000000000006</v>
      </c>
      <c r="DQ36" s="166">
        <v>-9.4</v>
      </c>
      <c r="DR36" s="166">
        <v>73.129000000000005</v>
      </c>
      <c r="DS36" s="166">
        <v>87.88</v>
      </c>
      <c r="DT36" s="166">
        <v>-27.82</v>
      </c>
      <c r="DU36" s="166">
        <v>-28.15</v>
      </c>
      <c r="DV36" s="166">
        <v>116.3</v>
      </c>
      <c r="DW36" s="166">
        <v>76.7</v>
      </c>
      <c r="DX36" s="166">
        <v>89.090900000000005</v>
      </c>
      <c r="DY36" s="166">
        <v>87.4</v>
      </c>
      <c r="DZ36" s="166">
        <v>0</v>
      </c>
      <c r="EA36" s="166">
        <v>-57.681800000000003</v>
      </c>
      <c r="EB36" s="166">
        <v>236.10120000000001</v>
      </c>
      <c r="EC36" s="166">
        <v>184.30459999999999</v>
      </c>
      <c r="ED36" s="166">
        <v>179.7878</v>
      </c>
      <c r="EE36" s="166">
        <v>182.0411</v>
      </c>
      <c r="EF36" s="166">
        <v>80.437700000000007</v>
      </c>
      <c r="EG36" s="166">
        <v>55.562199999999997</v>
      </c>
      <c r="EH36" s="166">
        <v>-30.771000000000001</v>
      </c>
      <c r="EI36" s="166">
        <v>623.68349999999998</v>
      </c>
      <c r="EJ36" s="166">
        <v>2.4434999999999998</v>
      </c>
      <c r="EK36" s="167"/>
      <c r="EL36" s="166">
        <v>-32.852800000000002</v>
      </c>
      <c r="EM36" s="166">
        <v>-30.701899999999998</v>
      </c>
      <c r="EN36" s="167"/>
      <c r="EO36" s="166">
        <v>-25.4361</v>
      </c>
      <c r="EP36" s="166">
        <v>-26.023499999999999</v>
      </c>
      <c r="EQ36" s="166">
        <v>156.732</v>
      </c>
      <c r="ER36" s="166">
        <v>-77.246899999999997</v>
      </c>
      <c r="ES36" s="166">
        <v>-77.928600000000003</v>
      </c>
      <c r="ET36" s="166">
        <v>-17.0352</v>
      </c>
      <c r="EU36" s="166">
        <v>0</v>
      </c>
      <c r="EV36" s="166">
        <v>-21.99</v>
      </c>
      <c r="EW36" s="166">
        <v>86.1</v>
      </c>
      <c r="EX36" s="166">
        <v>13.351599999999999</v>
      </c>
      <c r="EY36" s="166">
        <v>-102.1122</v>
      </c>
      <c r="EZ36" s="166">
        <v>-34.234400000000001</v>
      </c>
      <c r="FA36" s="166">
        <v>-33.4236</v>
      </c>
      <c r="FB36" s="166">
        <v>4.3385999999999996</v>
      </c>
      <c r="FC36" s="166">
        <v>-52.991300000000003</v>
      </c>
      <c r="FD36" s="166">
        <v>21.751899999999999</v>
      </c>
      <c r="FE36" s="166">
        <v>23.661200000000001</v>
      </c>
      <c r="FF36" s="166">
        <v>25.38</v>
      </c>
      <c r="FG36" s="167"/>
      <c r="FH36" s="166">
        <v>39.487900000000003</v>
      </c>
      <c r="FI36" s="166">
        <v>40.729999999999997</v>
      </c>
      <c r="FJ36" s="166">
        <v>38.607300000000002</v>
      </c>
      <c r="FK36" s="166">
        <v>76.360100000000003</v>
      </c>
      <c r="FL36" s="166">
        <v>74.685500000000005</v>
      </c>
      <c r="FM36" s="166">
        <v>-39.017299999999999</v>
      </c>
      <c r="FN36" s="166">
        <v>0</v>
      </c>
      <c r="FO36" s="166">
        <v>61.704700000000003</v>
      </c>
      <c r="FP36" s="166">
        <v>-38.189399999999999</v>
      </c>
      <c r="FQ36" s="166">
        <v>-29.172799999999999</v>
      </c>
      <c r="FR36" s="166">
        <v>-6.8318000000000003</v>
      </c>
      <c r="FS36" s="166">
        <v>-19.760000000000002</v>
      </c>
      <c r="FT36" s="167"/>
      <c r="FU36" s="166">
        <v>1.0207999999999999</v>
      </c>
      <c r="FV36" s="166">
        <v>1.34</v>
      </c>
      <c r="FW36" s="166">
        <v>20.420000000000002</v>
      </c>
      <c r="FX36" s="166">
        <v>0</v>
      </c>
      <c r="FY36" s="167"/>
      <c r="FZ36" s="166">
        <v>-10.135</v>
      </c>
      <c r="GA36" s="166">
        <v>4.1669999999999998</v>
      </c>
      <c r="GB36" s="167"/>
      <c r="GC36" s="166">
        <v>32.26</v>
      </c>
      <c r="GD36" s="166">
        <v>29.960699999999999</v>
      </c>
      <c r="GE36" s="166">
        <v>36.566499999999998</v>
      </c>
      <c r="GF36" s="166">
        <v>14.52</v>
      </c>
      <c r="GG36" s="166">
        <v>73.140799999999999</v>
      </c>
      <c r="GH36" s="166">
        <v>20.7</v>
      </c>
      <c r="GI36" s="166">
        <v>-3.9571000000000001</v>
      </c>
      <c r="GJ36" s="166">
        <v>-11.9656</v>
      </c>
      <c r="GK36" s="166">
        <v>-12.7706</v>
      </c>
      <c r="GL36" s="166">
        <v>2.2088000000000001</v>
      </c>
      <c r="GM36" s="167"/>
      <c r="GN36" s="167"/>
      <c r="GO36" s="166">
        <v>-16.738800000000001</v>
      </c>
      <c r="GP36" s="166">
        <v>-21.586200000000002</v>
      </c>
      <c r="GQ36" s="166">
        <v>11.983599999999999</v>
      </c>
      <c r="GR36" s="166">
        <v>22.077999999999999</v>
      </c>
      <c r="GS36" s="166">
        <v>15.122199999999999</v>
      </c>
      <c r="GT36" s="166">
        <v>14.170299999999999</v>
      </c>
      <c r="GU36" s="166">
        <v>-114.3467</v>
      </c>
      <c r="GV36" s="166">
        <v>-31.036100000000001</v>
      </c>
      <c r="GW36" s="166">
        <v>33.456800000000001</v>
      </c>
      <c r="GX36" s="166">
        <v>-12.0672</v>
      </c>
      <c r="GY36" s="166">
        <v>11.2605</v>
      </c>
      <c r="GZ36" s="166">
        <v>12.942299999999999</v>
      </c>
      <c r="HA36" s="166">
        <v>12.5749</v>
      </c>
      <c r="HB36" s="166">
        <v>12.6571</v>
      </c>
      <c r="HC36" s="166">
        <v>120.8164</v>
      </c>
      <c r="HD36" s="166">
        <v>120.51439999999999</v>
      </c>
      <c r="HE36" s="166">
        <v>199.5</v>
      </c>
      <c r="HF36" s="166">
        <v>-200.16419999999999</v>
      </c>
      <c r="HG36" s="166">
        <v>-401.71550000000002</v>
      </c>
      <c r="HH36" s="166">
        <v>403.29750000000001</v>
      </c>
      <c r="HI36" s="166">
        <v>164.054</v>
      </c>
      <c r="HJ36" s="166">
        <v>-115.3443</v>
      </c>
      <c r="HK36" s="166">
        <v>-115.831</v>
      </c>
      <c r="HL36" s="166">
        <v>-56.769199999999998</v>
      </c>
      <c r="HM36" s="166">
        <v>-46.970300000000002</v>
      </c>
      <c r="HN36" s="166">
        <v>76.599900000000005</v>
      </c>
      <c r="HO36" s="166">
        <v>76.290599999999998</v>
      </c>
      <c r="HP36" s="167"/>
      <c r="HQ36" s="167"/>
      <c r="HR36" s="166">
        <v>30.699000000000002</v>
      </c>
      <c r="HS36" s="166">
        <v>30.116700000000002</v>
      </c>
      <c r="HT36" s="166">
        <v>-42.274700000000003</v>
      </c>
      <c r="HU36" s="166">
        <v>-42.0473</v>
      </c>
      <c r="HV36" s="166">
        <v>-23.9</v>
      </c>
      <c r="HW36" s="166">
        <v>-23.54</v>
      </c>
      <c r="HX36" s="166">
        <v>45.1</v>
      </c>
      <c r="HY36" s="166">
        <v>45.2</v>
      </c>
      <c r="HZ36" s="166">
        <v>20.695</v>
      </c>
      <c r="IA36" s="166">
        <v>-50</v>
      </c>
      <c r="IB36" s="166">
        <v>-298.04169999999999</v>
      </c>
      <c r="IC36" s="166">
        <v>71.581500000000005</v>
      </c>
      <c r="ID36" s="166">
        <v>71.999799999999993</v>
      </c>
      <c r="IE36" s="166">
        <v>11.6</v>
      </c>
      <c r="IF36" s="166">
        <v>12</v>
      </c>
      <c r="IG36" s="166">
        <v>-28.4</v>
      </c>
      <c r="IH36" s="166">
        <v>-33.799999999999997</v>
      </c>
      <c r="II36" s="166">
        <v>1.2907</v>
      </c>
      <c r="IJ36" s="167"/>
      <c r="IK36" s="166">
        <v>-155.83449999999999</v>
      </c>
      <c r="IL36" s="166">
        <v>18.350000000000001</v>
      </c>
      <c r="IM36" s="166">
        <v>167.0136</v>
      </c>
      <c r="IN36" s="166">
        <v>-11.774800000000001</v>
      </c>
      <c r="IO36" s="166">
        <v>7.4492000000000003</v>
      </c>
      <c r="IP36" s="166">
        <v>5.4957000000000003</v>
      </c>
      <c r="IQ36" s="166">
        <v>-18.276399999999999</v>
      </c>
      <c r="IR36" s="166">
        <v>0</v>
      </c>
      <c r="IS36" s="166">
        <v>-116.4131</v>
      </c>
      <c r="IT36" s="166">
        <v>17.495100000000001</v>
      </c>
      <c r="IU36" s="166">
        <v>220.89070000000001</v>
      </c>
      <c r="IV36" s="166">
        <v>220.96039999999999</v>
      </c>
      <c r="IW36" s="166">
        <v>0</v>
      </c>
      <c r="IX36" s="166">
        <v>-158.5086</v>
      </c>
      <c r="IY36" s="166">
        <v>121.1254</v>
      </c>
      <c r="IZ36" s="166">
        <v>-36.551000000000002</v>
      </c>
      <c r="JA36" s="166">
        <v>39.9193</v>
      </c>
      <c r="JB36" s="166">
        <v>-9.1228999999999996</v>
      </c>
      <c r="JC36" s="166">
        <v>5.0620000000000003</v>
      </c>
      <c r="JD36" s="166">
        <v>22.4</v>
      </c>
      <c r="JE36" s="166">
        <v>1.4490000000000001</v>
      </c>
      <c r="JF36" s="166">
        <v>1.4430000000000001</v>
      </c>
      <c r="JG36" s="166">
        <v>-21.92</v>
      </c>
      <c r="JH36" s="166">
        <v>-1.1200000000000001</v>
      </c>
      <c r="JI36" s="167"/>
      <c r="JJ36" s="166">
        <v>0.99639999999999995</v>
      </c>
      <c r="JK36" s="166">
        <v>-27.5105</v>
      </c>
      <c r="JL36" s="166">
        <v>-18.806699999999999</v>
      </c>
      <c r="JM36" s="166">
        <v>17.2</v>
      </c>
      <c r="JN36" s="166">
        <v>51.152999999999999</v>
      </c>
      <c r="JO36" s="166">
        <v>51.127000000000002</v>
      </c>
      <c r="JP36" s="167"/>
      <c r="JQ36" s="167"/>
      <c r="JR36" s="166">
        <v>52.159799999999997</v>
      </c>
      <c r="JS36" s="166">
        <v>49.920499999999997</v>
      </c>
      <c r="JT36" s="166">
        <v>50.605200000000004</v>
      </c>
      <c r="JU36" s="167"/>
      <c r="JV36" s="166">
        <v>-11</v>
      </c>
      <c r="JW36" s="166">
        <v>29.598800000000001</v>
      </c>
      <c r="JX36" s="166">
        <v>8.9499999999999993</v>
      </c>
      <c r="JY36" s="167"/>
      <c r="JZ36" s="166">
        <v>-46.681699999999999</v>
      </c>
      <c r="KA36" s="166">
        <v>80.753799999999998</v>
      </c>
      <c r="KB36" s="166">
        <v>58.413200000000003</v>
      </c>
      <c r="KC36" s="166">
        <v>-45.181899999999999</v>
      </c>
      <c r="KD36" s="166">
        <v>-78.791899999999998</v>
      </c>
      <c r="KE36" s="166">
        <v>46.572400000000002</v>
      </c>
      <c r="KF36" s="166">
        <v>32.955199999999998</v>
      </c>
      <c r="KG36" s="166">
        <v>-2.5</v>
      </c>
      <c r="KH36" s="166">
        <v>3.2</v>
      </c>
      <c r="KI36" s="166">
        <v>-236.58770000000001</v>
      </c>
      <c r="KJ36" s="166">
        <v>335.5231</v>
      </c>
    </row>
    <row r="37" spans="1:296" ht="18" customHeight="1" x14ac:dyDescent="0.3">
      <c r="A37" s="162" t="s">
        <v>67</v>
      </c>
      <c r="B37" s="162" t="s">
        <v>836</v>
      </c>
      <c r="C37" s="166">
        <v>0</v>
      </c>
      <c r="D37" s="167"/>
      <c r="E37" s="166">
        <v>16.383600000000001</v>
      </c>
      <c r="F37" s="166">
        <v>-25.376300000000001</v>
      </c>
      <c r="G37" s="166">
        <v>-29.786799999999999</v>
      </c>
      <c r="H37" s="166">
        <v>36.854300000000002</v>
      </c>
      <c r="I37" s="167"/>
      <c r="J37" s="166">
        <v>57.760100000000001</v>
      </c>
      <c r="K37" s="166">
        <v>-116.8591</v>
      </c>
      <c r="L37" s="166">
        <v>75.424700000000001</v>
      </c>
      <c r="M37" s="166">
        <v>37.952800000000003</v>
      </c>
      <c r="N37" s="166">
        <v>37.311999999999998</v>
      </c>
      <c r="O37" s="166">
        <v>-13.32</v>
      </c>
      <c r="P37" s="166">
        <v>-71.427000000000007</v>
      </c>
      <c r="Q37" s="166">
        <v>66</v>
      </c>
      <c r="R37" s="166">
        <v>21.527999999999999</v>
      </c>
      <c r="S37" s="166">
        <v>-66</v>
      </c>
      <c r="T37" s="166">
        <v>14.981999999999999</v>
      </c>
      <c r="U37" s="166">
        <v>69.017799999999994</v>
      </c>
      <c r="V37" s="167"/>
      <c r="W37" s="166">
        <v>22.9712</v>
      </c>
      <c r="X37" s="166">
        <v>38.214799999999997</v>
      </c>
      <c r="Y37" s="166">
        <v>4.1676000000000002</v>
      </c>
      <c r="Z37" s="166">
        <v>5.0433000000000003</v>
      </c>
      <c r="AA37" s="166">
        <v>6.3380999999999998</v>
      </c>
      <c r="AB37" s="167"/>
      <c r="AC37" s="167"/>
      <c r="AD37" s="166">
        <v>-81.84</v>
      </c>
      <c r="AE37" s="166">
        <v>-81.290000000000006</v>
      </c>
      <c r="AF37" s="167"/>
      <c r="AG37" s="166">
        <v>13.32</v>
      </c>
      <c r="AH37" s="166">
        <v>70.400000000000006</v>
      </c>
      <c r="AI37" s="166">
        <v>18.123000000000001</v>
      </c>
      <c r="AJ37" s="166">
        <v>0.22500000000000001</v>
      </c>
      <c r="AK37" s="166">
        <v>-74.959999999999994</v>
      </c>
      <c r="AL37" s="166">
        <v>-75.08</v>
      </c>
      <c r="AM37" s="166">
        <v>-24.85</v>
      </c>
      <c r="AN37" s="166">
        <v>75.92</v>
      </c>
      <c r="AO37" s="166">
        <v>76.180000000000007</v>
      </c>
      <c r="AP37" s="166">
        <v>18.640499999999999</v>
      </c>
      <c r="AQ37" s="166">
        <v>0.22489999999999999</v>
      </c>
      <c r="AR37" s="166">
        <v>75.543400000000005</v>
      </c>
      <c r="AS37" s="166">
        <v>78.034599999999998</v>
      </c>
      <c r="AT37" s="166">
        <v>36.2806</v>
      </c>
      <c r="AU37" s="166">
        <v>-61.096400000000003</v>
      </c>
      <c r="AV37" s="166">
        <v>-60.689799999999998</v>
      </c>
      <c r="AW37" s="166">
        <v>26.739899999999999</v>
      </c>
      <c r="AX37" s="166">
        <v>27.2119</v>
      </c>
      <c r="AY37" s="166">
        <v>77.936000000000007</v>
      </c>
      <c r="AZ37" s="166">
        <v>78.334299999999999</v>
      </c>
      <c r="BA37" s="166">
        <v>18.651599999999998</v>
      </c>
      <c r="BB37" s="166">
        <v>23.530200000000001</v>
      </c>
      <c r="BC37" s="166">
        <v>-518.99879999999996</v>
      </c>
      <c r="BD37" s="166">
        <v>-16.134399999999999</v>
      </c>
      <c r="BE37" s="166">
        <v>-11.6</v>
      </c>
      <c r="BF37" s="166">
        <v>-11.6</v>
      </c>
      <c r="BG37" s="166">
        <v>66.758399999999995</v>
      </c>
      <c r="BH37" s="166">
        <v>65.903800000000004</v>
      </c>
      <c r="BI37" s="166">
        <v>-9.2687000000000008</v>
      </c>
      <c r="BJ37" s="167"/>
      <c r="BK37" s="166">
        <v>-44.558700000000002</v>
      </c>
      <c r="BL37" s="166">
        <v>10.654299999999999</v>
      </c>
      <c r="BM37" s="166">
        <v>0</v>
      </c>
      <c r="BN37" s="166">
        <v>-1.258</v>
      </c>
      <c r="BO37" s="166">
        <v>551.80499999999995</v>
      </c>
      <c r="BP37" s="166">
        <v>232.1848</v>
      </c>
      <c r="BQ37" s="166">
        <v>230.59780000000001</v>
      </c>
      <c r="BR37" s="166">
        <v>-627.10500000000002</v>
      </c>
      <c r="BS37" s="166">
        <v>697.16660000000002</v>
      </c>
      <c r="BT37" s="167"/>
      <c r="BU37" s="166">
        <v>-39.814900000000002</v>
      </c>
      <c r="BV37" s="166">
        <v>41.970300000000002</v>
      </c>
      <c r="BW37" s="166">
        <v>125.8621</v>
      </c>
      <c r="BX37" s="166">
        <v>44.51</v>
      </c>
      <c r="BY37" s="166">
        <v>0</v>
      </c>
      <c r="BZ37" s="166">
        <v>83.99</v>
      </c>
      <c r="CA37" s="166">
        <v>64.569999999999993</v>
      </c>
      <c r="CB37" s="166">
        <v>-76.887200000000007</v>
      </c>
      <c r="CC37" s="166">
        <v>-77.155100000000004</v>
      </c>
      <c r="CD37" s="166">
        <v>131.95169999999999</v>
      </c>
      <c r="CE37" s="166">
        <v>133.67740000000001</v>
      </c>
      <c r="CF37" s="166">
        <v>5.5096999999999996</v>
      </c>
      <c r="CG37" s="166">
        <v>-142.96960000000001</v>
      </c>
      <c r="CH37" s="166">
        <v>-143.19159999999999</v>
      </c>
      <c r="CI37" s="166">
        <v>10.771599999999999</v>
      </c>
      <c r="CJ37" s="166">
        <v>0</v>
      </c>
      <c r="CK37" s="168">
        <v>20.7164</v>
      </c>
      <c r="CL37" s="166">
        <v>27.126000000000001</v>
      </c>
      <c r="CM37" s="166">
        <v>141.69999999999999</v>
      </c>
      <c r="CN37" s="166">
        <v>127.6</v>
      </c>
      <c r="CO37" s="166">
        <v>-19.600000000000001</v>
      </c>
      <c r="CP37" s="166">
        <v>76.554299999999998</v>
      </c>
      <c r="CQ37" s="166">
        <v>75.565100000000001</v>
      </c>
      <c r="CR37" s="166">
        <v>75.417900000000003</v>
      </c>
      <c r="CS37" s="166">
        <v>17.129799999999999</v>
      </c>
      <c r="CT37" s="166">
        <v>18.035900000000002</v>
      </c>
      <c r="CU37" s="166">
        <v>24.674800000000001</v>
      </c>
      <c r="CV37" s="166">
        <v>-108.99039999999999</v>
      </c>
      <c r="CW37" s="166">
        <v>32.034100000000002</v>
      </c>
      <c r="CX37" s="166">
        <v>15.0345</v>
      </c>
      <c r="CY37" s="166">
        <v>89.33</v>
      </c>
      <c r="CZ37" s="166">
        <v>47.26</v>
      </c>
      <c r="DA37" s="166">
        <v>58.132300000000001</v>
      </c>
      <c r="DB37" s="166">
        <v>55.082700000000003</v>
      </c>
      <c r="DC37" s="166">
        <v>-36.669699999999999</v>
      </c>
      <c r="DD37" s="167"/>
      <c r="DE37" s="167"/>
      <c r="DF37" s="166">
        <v>0</v>
      </c>
      <c r="DG37" s="166">
        <v>-96.203299999999999</v>
      </c>
      <c r="DH37" s="167"/>
      <c r="DI37" s="167"/>
      <c r="DJ37" s="166">
        <v>-122</v>
      </c>
      <c r="DK37" s="166">
        <v>-123.5</v>
      </c>
      <c r="DL37" s="166">
        <v>23.211400000000001</v>
      </c>
      <c r="DM37" s="166">
        <v>76.599999999999994</v>
      </c>
      <c r="DN37" s="166">
        <v>72.819999999999993</v>
      </c>
      <c r="DO37" s="166">
        <v>103.62</v>
      </c>
      <c r="DP37" s="166">
        <v>76.3</v>
      </c>
      <c r="DQ37" s="166">
        <v>-10.4</v>
      </c>
      <c r="DR37" s="166">
        <v>76.492500000000007</v>
      </c>
      <c r="DS37" s="166">
        <v>94.9529</v>
      </c>
      <c r="DT37" s="166">
        <v>-27.72</v>
      </c>
      <c r="DU37" s="166">
        <v>-28.08</v>
      </c>
      <c r="DV37" s="166">
        <v>121.5</v>
      </c>
      <c r="DW37" s="166">
        <v>78.510000000000005</v>
      </c>
      <c r="DX37" s="166">
        <v>95.290899999999993</v>
      </c>
      <c r="DY37" s="166">
        <v>94.054500000000004</v>
      </c>
      <c r="DZ37" s="166">
        <v>0</v>
      </c>
      <c r="EA37" s="166">
        <v>-59.2455</v>
      </c>
      <c r="EB37" s="166">
        <v>244.16419999999999</v>
      </c>
      <c r="EC37" s="166">
        <v>189.6447</v>
      </c>
      <c r="ED37" s="166">
        <v>183.5728</v>
      </c>
      <c r="EE37" s="166">
        <v>186.64500000000001</v>
      </c>
      <c r="EF37" s="166">
        <v>59.454099999999997</v>
      </c>
      <c r="EG37" s="166">
        <v>32.9392</v>
      </c>
      <c r="EH37" s="166">
        <v>-33.218000000000004</v>
      </c>
      <c r="EI37" s="166">
        <v>643.06439999999998</v>
      </c>
      <c r="EJ37" s="166">
        <v>8.8389000000000006</v>
      </c>
      <c r="EK37" s="167"/>
      <c r="EL37" s="166">
        <v>-33.645200000000003</v>
      </c>
      <c r="EM37" s="166">
        <v>-31.533000000000001</v>
      </c>
      <c r="EN37" s="167"/>
      <c r="EO37" s="166">
        <v>-14.7676</v>
      </c>
      <c r="EP37" s="166">
        <v>-13.9863</v>
      </c>
      <c r="EQ37" s="166">
        <v>49.2</v>
      </c>
      <c r="ER37" s="166">
        <v>-63.935600000000001</v>
      </c>
      <c r="ES37" s="166">
        <v>-65.113399999999999</v>
      </c>
      <c r="ET37" s="166">
        <v>8.6920000000000002</v>
      </c>
      <c r="EU37" s="166">
        <v>0</v>
      </c>
      <c r="EV37" s="166">
        <v>-16.97</v>
      </c>
      <c r="EW37" s="166">
        <v>1</v>
      </c>
      <c r="EX37" s="166">
        <v>13.4655</v>
      </c>
      <c r="EY37" s="166">
        <v>-82.966099999999997</v>
      </c>
      <c r="EZ37" s="166">
        <v>-34.308799999999998</v>
      </c>
      <c r="FA37" s="166">
        <v>-33.840000000000003</v>
      </c>
      <c r="FB37" s="166">
        <v>4.6696999999999997</v>
      </c>
      <c r="FC37" s="166">
        <v>-31.808800000000002</v>
      </c>
      <c r="FD37" s="166">
        <v>0</v>
      </c>
      <c r="FE37" s="166">
        <v>23.4056</v>
      </c>
      <c r="FF37" s="166">
        <v>23.996300000000002</v>
      </c>
      <c r="FG37" s="167"/>
      <c r="FH37" s="166">
        <v>40.0959</v>
      </c>
      <c r="FI37" s="166">
        <v>40.424999999999997</v>
      </c>
      <c r="FJ37" s="166">
        <v>40.2211</v>
      </c>
      <c r="FK37" s="166">
        <v>77.197400000000002</v>
      </c>
      <c r="FL37" s="166">
        <v>75.522800000000004</v>
      </c>
      <c r="FM37" s="166">
        <v>-41.026800000000001</v>
      </c>
      <c r="FN37" s="166">
        <v>0</v>
      </c>
      <c r="FO37" s="166">
        <v>63.007800000000003</v>
      </c>
      <c r="FP37" s="166">
        <v>-41.878100000000003</v>
      </c>
      <c r="FQ37" s="166">
        <v>-32.814999999999998</v>
      </c>
      <c r="FR37" s="166">
        <v>-8.3626000000000005</v>
      </c>
      <c r="FS37" s="166">
        <v>-20.98</v>
      </c>
      <c r="FT37" s="167"/>
      <c r="FU37" s="166">
        <v>1.0952999999999999</v>
      </c>
      <c r="FV37" s="166">
        <v>1.34</v>
      </c>
      <c r="FW37" s="166">
        <v>19.68</v>
      </c>
      <c r="FX37" s="166">
        <v>-9.1829000000000001</v>
      </c>
      <c r="FY37" s="167"/>
      <c r="FZ37" s="166">
        <v>-9.8409999999999993</v>
      </c>
      <c r="GA37" s="166">
        <v>4.2869999999999999</v>
      </c>
      <c r="GB37" s="167"/>
      <c r="GC37" s="166">
        <v>32.14</v>
      </c>
      <c r="GD37" s="166">
        <v>34.200600000000001</v>
      </c>
      <c r="GE37" s="166">
        <v>40.160600000000002</v>
      </c>
      <c r="GF37" s="166">
        <v>14.71</v>
      </c>
      <c r="GG37" s="166">
        <v>73.058400000000006</v>
      </c>
      <c r="GH37" s="166">
        <v>26.1</v>
      </c>
      <c r="GI37" s="166">
        <v>-2.7004000000000001</v>
      </c>
      <c r="GJ37" s="166">
        <v>-12.463800000000001</v>
      </c>
      <c r="GK37" s="166">
        <v>-13.319800000000001</v>
      </c>
      <c r="GL37" s="166">
        <v>2.1852999999999998</v>
      </c>
      <c r="GM37" s="167"/>
      <c r="GN37" s="167"/>
      <c r="GO37" s="166">
        <v>-17.775200000000002</v>
      </c>
      <c r="GP37" s="166">
        <v>-20.253499999999999</v>
      </c>
      <c r="GQ37" s="166">
        <v>11.5915</v>
      </c>
      <c r="GR37" s="166">
        <v>21.370200000000001</v>
      </c>
      <c r="GS37" s="166">
        <v>8.1507000000000005</v>
      </c>
      <c r="GT37" s="166">
        <v>8.2689000000000004</v>
      </c>
      <c r="GU37" s="166">
        <v>-106.2058</v>
      </c>
      <c r="GV37" s="166">
        <v>-31.501000000000001</v>
      </c>
      <c r="GW37" s="166">
        <v>32.9161</v>
      </c>
      <c r="GX37" s="166">
        <v>-14.5306</v>
      </c>
      <c r="GY37" s="166">
        <v>11.398999999999999</v>
      </c>
      <c r="GZ37" s="166">
        <v>13.186400000000001</v>
      </c>
      <c r="HA37" s="166">
        <v>12.7753</v>
      </c>
      <c r="HB37" s="166">
        <v>13.319900000000001</v>
      </c>
      <c r="HC37" s="166">
        <v>126.0342</v>
      </c>
      <c r="HD37" s="166">
        <v>125.7945</v>
      </c>
      <c r="HE37" s="166">
        <v>200.3</v>
      </c>
      <c r="HF37" s="166">
        <v>-200.56319999999999</v>
      </c>
      <c r="HG37" s="166">
        <v>-400.52699999999999</v>
      </c>
      <c r="HH37" s="166">
        <v>404.91460000000001</v>
      </c>
      <c r="HI37" s="166">
        <v>161.56659999999999</v>
      </c>
      <c r="HJ37" s="166">
        <v>-122.4652</v>
      </c>
      <c r="HK37" s="166">
        <v>-118.6887</v>
      </c>
      <c r="HL37" s="166">
        <v>-50.786499999999997</v>
      </c>
      <c r="HM37" s="166">
        <v>-39.592799999999997</v>
      </c>
      <c r="HN37" s="166">
        <v>77.792599999999993</v>
      </c>
      <c r="HO37" s="166">
        <v>78.255600000000001</v>
      </c>
      <c r="HP37" s="167"/>
      <c r="HQ37" s="167"/>
      <c r="HR37" s="166">
        <v>28.567599999999999</v>
      </c>
      <c r="HS37" s="166">
        <v>28.358899999999998</v>
      </c>
      <c r="HT37" s="166">
        <v>-51.694200000000002</v>
      </c>
      <c r="HU37" s="166">
        <v>-51.478900000000003</v>
      </c>
      <c r="HV37" s="166">
        <v>-30.84</v>
      </c>
      <c r="HW37" s="166">
        <v>-31.43</v>
      </c>
      <c r="HX37" s="166">
        <v>48.3</v>
      </c>
      <c r="HY37" s="166">
        <v>48.1</v>
      </c>
      <c r="HZ37" s="166">
        <v>20.6737</v>
      </c>
      <c r="IA37" s="166">
        <v>-46.48</v>
      </c>
      <c r="IB37" s="166">
        <v>-296.84129999999999</v>
      </c>
      <c r="IC37" s="166">
        <v>66.645499999999998</v>
      </c>
      <c r="ID37" s="166">
        <v>67.452799999999996</v>
      </c>
      <c r="IE37" s="166">
        <v>11.6</v>
      </c>
      <c r="IF37" s="166">
        <v>15.5</v>
      </c>
      <c r="IG37" s="166">
        <v>-27.5</v>
      </c>
      <c r="IH37" s="166">
        <v>-32.6</v>
      </c>
      <c r="II37" s="167"/>
      <c r="IJ37" s="166">
        <v>1.1289</v>
      </c>
      <c r="IK37" s="166">
        <v>-154.18530000000001</v>
      </c>
      <c r="IL37" s="166">
        <v>16.155899999999999</v>
      </c>
      <c r="IM37" s="166">
        <v>180.28049999999999</v>
      </c>
      <c r="IN37" s="166">
        <v>-5.5503999999999998</v>
      </c>
      <c r="IO37" s="166">
        <v>13.1327</v>
      </c>
      <c r="IP37" s="166">
        <v>4.4149000000000003</v>
      </c>
      <c r="IQ37" s="166">
        <v>-15.8063</v>
      </c>
      <c r="IR37" s="166">
        <v>0</v>
      </c>
      <c r="IS37" s="166">
        <v>-119.5115</v>
      </c>
      <c r="IT37" s="166">
        <v>14.3369</v>
      </c>
      <c r="IU37" s="166">
        <v>224.58109999999999</v>
      </c>
      <c r="IV37" s="166">
        <v>225.21520000000001</v>
      </c>
      <c r="IW37" s="166">
        <v>0</v>
      </c>
      <c r="IX37" s="166">
        <v>-172.0317</v>
      </c>
      <c r="IY37" s="166">
        <v>124.52419999999999</v>
      </c>
      <c r="IZ37" s="166">
        <v>-49.184899999999999</v>
      </c>
      <c r="JA37" s="166">
        <v>48.253399999999999</v>
      </c>
      <c r="JB37" s="166">
        <v>-7.9089</v>
      </c>
      <c r="JC37" s="166">
        <v>15.56</v>
      </c>
      <c r="JD37" s="166">
        <v>20.72</v>
      </c>
      <c r="JE37" s="166">
        <v>1.446</v>
      </c>
      <c r="JF37" s="166">
        <v>1.4390000000000001</v>
      </c>
      <c r="JG37" s="166">
        <v>-20.239999999999998</v>
      </c>
      <c r="JH37" s="166">
        <v>-1.76</v>
      </c>
      <c r="JI37" s="167"/>
      <c r="JJ37" s="166">
        <v>1.2039</v>
      </c>
      <c r="JK37" s="166">
        <v>-25.487100000000002</v>
      </c>
      <c r="JL37" s="166">
        <v>-18.3673</v>
      </c>
      <c r="JM37" s="166">
        <v>13.3</v>
      </c>
      <c r="JN37" s="166">
        <v>50</v>
      </c>
      <c r="JO37" s="166">
        <v>50.398000000000003</v>
      </c>
      <c r="JP37" s="167"/>
      <c r="JQ37" s="167"/>
      <c r="JR37" s="166">
        <v>50.872300000000003</v>
      </c>
      <c r="JS37" s="166">
        <v>51.575600000000001</v>
      </c>
      <c r="JT37" s="166">
        <v>51.588500000000003</v>
      </c>
      <c r="JU37" s="167"/>
      <c r="JV37" s="166">
        <v>-14.9</v>
      </c>
      <c r="JW37" s="166">
        <v>26.8614</v>
      </c>
      <c r="JX37" s="166">
        <v>9.33</v>
      </c>
      <c r="JY37" s="167"/>
      <c r="JZ37" s="166">
        <v>-39.2117</v>
      </c>
      <c r="KA37" s="166">
        <v>76.483500000000006</v>
      </c>
      <c r="KB37" s="166">
        <v>51.449399999999997</v>
      </c>
      <c r="KC37" s="166">
        <v>-38.665599999999998</v>
      </c>
      <c r="KD37" s="166">
        <v>-75.351200000000006</v>
      </c>
      <c r="KE37" s="166">
        <v>38.485399999999998</v>
      </c>
      <c r="KF37" s="166">
        <v>35.759300000000003</v>
      </c>
      <c r="KG37" s="166">
        <v>0.6</v>
      </c>
      <c r="KH37" s="166">
        <v>-1.6</v>
      </c>
      <c r="KI37" s="166">
        <v>-236.51230000000001</v>
      </c>
      <c r="KJ37" s="166">
        <v>329.75110000000001</v>
      </c>
    </row>
    <row r="38" spans="1:296" ht="18" customHeight="1" x14ac:dyDescent="0.3">
      <c r="A38" s="162" t="s">
        <v>67</v>
      </c>
      <c r="B38" s="162" t="s">
        <v>837</v>
      </c>
      <c r="C38" s="166">
        <v>0</v>
      </c>
      <c r="D38" s="167"/>
      <c r="E38" s="166">
        <v>14.283200000000001</v>
      </c>
      <c r="F38" s="166">
        <v>-22.918500000000002</v>
      </c>
      <c r="G38" s="166">
        <v>-30.031400000000001</v>
      </c>
      <c r="H38" s="166">
        <v>36.345599999999997</v>
      </c>
      <c r="I38" s="167"/>
      <c r="J38" s="166">
        <v>57.894399999999997</v>
      </c>
      <c r="K38" s="166">
        <v>-117.31019999999999</v>
      </c>
      <c r="L38" s="166">
        <v>73.538700000000006</v>
      </c>
      <c r="M38" s="166">
        <v>37.244900000000001</v>
      </c>
      <c r="N38" s="166">
        <v>36.441099999999999</v>
      </c>
      <c r="O38" s="166">
        <v>-24.42</v>
      </c>
      <c r="P38" s="166">
        <v>-71.004999999999995</v>
      </c>
      <c r="Q38" s="166">
        <v>66</v>
      </c>
      <c r="R38" s="166">
        <v>20.7</v>
      </c>
      <c r="S38" s="166">
        <v>-63.8</v>
      </c>
      <c r="T38" s="166">
        <v>14.7326</v>
      </c>
      <c r="U38" s="166">
        <v>68.173400000000001</v>
      </c>
      <c r="V38" s="167"/>
      <c r="W38" s="166">
        <v>22.5044</v>
      </c>
      <c r="X38" s="166">
        <v>37.2637</v>
      </c>
      <c r="Y38" s="166">
        <v>3.9068999999999998</v>
      </c>
      <c r="Z38" s="166">
        <v>4.8223000000000003</v>
      </c>
      <c r="AA38" s="166">
        <v>5.8042999999999996</v>
      </c>
      <c r="AB38" s="167"/>
      <c r="AC38" s="167"/>
      <c r="AD38" s="166">
        <v>-84.24</v>
      </c>
      <c r="AE38" s="166">
        <v>-84.19</v>
      </c>
      <c r="AF38" s="167"/>
      <c r="AG38" s="166">
        <v>24.42</v>
      </c>
      <c r="AH38" s="166">
        <v>70.400000000000006</v>
      </c>
      <c r="AI38" s="166">
        <v>16.004999999999999</v>
      </c>
      <c r="AJ38" s="166">
        <v>0.21099999999999999</v>
      </c>
      <c r="AK38" s="166">
        <v>-78.16</v>
      </c>
      <c r="AL38" s="166">
        <v>-77.86</v>
      </c>
      <c r="AM38" s="166">
        <v>-23.14</v>
      </c>
      <c r="AN38" s="166">
        <v>77.91</v>
      </c>
      <c r="AO38" s="166">
        <v>79.7</v>
      </c>
      <c r="AP38" s="166">
        <v>18.891200000000001</v>
      </c>
      <c r="AQ38" s="166">
        <v>-0.76060000000000005</v>
      </c>
      <c r="AR38" s="166">
        <v>75.284300000000002</v>
      </c>
      <c r="AS38" s="166">
        <v>79.053700000000006</v>
      </c>
      <c r="AT38" s="166">
        <v>39.272799999999997</v>
      </c>
      <c r="AU38" s="166">
        <v>-67.941999999999993</v>
      </c>
      <c r="AV38" s="166">
        <v>-66.873099999999994</v>
      </c>
      <c r="AW38" s="166">
        <v>32.200899999999997</v>
      </c>
      <c r="AX38" s="166">
        <v>29.0807</v>
      </c>
      <c r="AY38" s="166">
        <v>79.059799999999996</v>
      </c>
      <c r="AZ38" s="166">
        <v>80.1374</v>
      </c>
      <c r="BA38" s="166">
        <v>24.9605</v>
      </c>
      <c r="BB38" s="166">
        <v>28.6342</v>
      </c>
      <c r="BC38" s="166">
        <v>-519.71529999999996</v>
      </c>
      <c r="BD38" s="166">
        <v>-17.5808</v>
      </c>
      <c r="BE38" s="166">
        <v>-11.1</v>
      </c>
      <c r="BF38" s="166">
        <v>-11.2</v>
      </c>
      <c r="BG38" s="166">
        <v>73.819299999999998</v>
      </c>
      <c r="BH38" s="166">
        <v>72.036500000000004</v>
      </c>
      <c r="BI38" s="166">
        <v>-8.8536999999999999</v>
      </c>
      <c r="BJ38" s="167"/>
      <c r="BK38" s="166">
        <v>-57.1402</v>
      </c>
      <c r="BL38" s="166">
        <v>11.6158</v>
      </c>
      <c r="BM38" s="166">
        <v>0</v>
      </c>
      <c r="BN38" s="166">
        <v>-0.5948</v>
      </c>
      <c r="BO38" s="166">
        <v>558.51900000000001</v>
      </c>
      <c r="BP38" s="166">
        <v>217.99369999999999</v>
      </c>
      <c r="BQ38" s="166">
        <v>216.89500000000001</v>
      </c>
      <c r="BR38" s="166">
        <v>-623.90120000000002</v>
      </c>
      <c r="BS38" s="166">
        <v>676.42470000000003</v>
      </c>
      <c r="BT38" s="167"/>
      <c r="BU38" s="166">
        <v>-50.343499999999999</v>
      </c>
      <c r="BV38" s="166">
        <v>53.0837</v>
      </c>
      <c r="BW38" s="168">
        <v>125.8621</v>
      </c>
      <c r="BX38" s="166">
        <v>44.92</v>
      </c>
      <c r="BY38" s="166">
        <v>0</v>
      </c>
      <c r="BZ38" s="168">
        <v>84.424999999999997</v>
      </c>
      <c r="CA38" s="166">
        <v>64.510000000000005</v>
      </c>
      <c r="CB38" s="166">
        <v>-66.572500000000005</v>
      </c>
      <c r="CC38" s="166">
        <v>-66.974400000000003</v>
      </c>
      <c r="CD38" s="166">
        <v>126.4216</v>
      </c>
      <c r="CE38" s="166">
        <v>127.24</v>
      </c>
      <c r="CF38" s="166">
        <v>9.5891999999999999</v>
      </c>
      <c r="CG38" s="166">
        <v>-137.3125</v>
      </c>
      <c r="CH38" s="166">
        <v>-137.8313</v>
      </c>
      <c r="CI38" s="166">
        <v>13.7385</v>
      </c>
      <c r="CJ38" s="166">
        <v>0</v>
      </c>
      <c r="CK38" s="166">
        <v>20.526499999999999</v>
      </c>
      <c r="CL38" s="166">
        <v>27.408000000000001</v>
      </c>
      <c r="CM38" s="166">
        <v>137.5</v>
      </c>
      <c r="CN38" s="166">
        <v>123.7</v>
      </c>
      <c r="CO38" s="166">
        <v>-18.82</v>
      </c>
      <c r="CP38" s="166">
        <v>77.465999999999994</v>
      </c>
      <c r="CQ38" s="166">
        <v>77.392600000000002</v>
      </c>
      <c r="CR38" s="166">
        <v>77.693399999999997</v>
      </c>
      <c r="CS38" s="166">
        <v>18.167899999999999</v>
      </c>
      <c r="CT38" s="166">
        <v>18.393699999999999</v>
      </c>
      <c r="CU38" s="166">
        <v>11.68</v>
      </c>
      <c r="CV38" s="166">
        <v>-98.092399999999998</v>
      </c>
      <c r="CW38" s="166">
        <v>20.509599999999999</v>
      </c>
      <c r="CX38" s="166">
        <v>14.734299999999999</v>
      </c>
      <c r="CY38" s="166">
        <v>86.04</v>
      </c>
      <c r="CZ38" s="166">
        <v>45.64</v>
      </c>
      <c r="DA38" s="166">
        <v>58.8354</v>
      </c>
      <c r="DB38" s="166">
        <v>56.254600000000003</v>
      </c>
      <c r="DC38" s="166">
        <v>-37.837800000000001</v>
      </c>
      <c r="DD38" s="167"/>
      <c r="DE38" s="167"/>
      <c r="DF38" s="166">
        <v>0</v>
      </c>
      <c r="DG38" s="166">
        <v>-90.044700000000006</v>
      </c>
      <c r="DH38" s="167"/>
      <c r="DI38" s="167"/>
      <c r="DJ38" s="166">
        <v>-120.7</v>
      </c>
      <c r="DK38" s="166">
        <v>-120.1</v>
      </c>
      <c r="DL38" s="166">
        <v>23.3432</v>
      </c>
      <c r="DM38" s="166">
        <v>76.5</v>
      </c>
      <c r="DN38" s="166">
        <v>72.599999999999994</v>
      </c>
      <c r="DO38" s="168">
        <v>103.09</v>
      </c>
      <c r="DP38" s="166">
        <v>75.52</v>
      </c>
      <c r="DQ38" s="166">
        <v>-9.93</v>
      </c>
      <c r="DR38" s="166">
        <v>74.291499999999999</v>
      </c>
      <c r="DS38" s="166">
        <v>89.290099999999995</v>
      </c>
      <c r="DT38" s="166">
        <v>-28.53</v>
      </c>
      <c r="DU38" s="166">
        <v>-28.93</v>
      </c>
      <c r="DV38" s="166">
        <v>118.11</v>
      </c>
      <c r="DW38" s="166">
        <v>79.03</v>
      </c>
      <c r="DX38" s="166">
        <v>87.181799999999996</v>
      </c>
      <c r="DY38" s="166">
        <v>89.218199999999996</v>
      </c>
      <c r="DZ38" s="166">
        <v>0</v>
      </c>
      <c r="EA38" s="166">
        <v>-52.781799999999997</v>
      </c>
      <c r="EB38" s="166">
        <v>241.23650000000001</v>
      </c>
      <c r="EC38" s="166">
        <v>187.76140000000001</v>
      </c>
      <c r="ED38" s="166">
        <v>180.7799</v>
      </c>
      <c r="EE38" s="166">
        <v>183.59030000000001</v>
      </c>
      <c r="EF38" s="166">
        <v>84.018699999999995</v>
      </c>
      <c r="EG38" s="166">
        <v>59.500100000000003</v>
      </c>
      <c r="EH38" s="166">
        <v>-31.425000000000001</v>
      </c>
      <c r="EI38" s="166">
        <v>632.09059999999999</v>
      </c>
      <c r="EJ38" s="166">
        <v>28.8689</v>
      </c>
      <c r="EK38" s="167"/>
      <c r="EL38" s="166">
        <v>-34.222700000000003</v>
      </c>
      <c r="EM38" s="166">
        <v>-31.8873</v>
      </c>
      <c r="EN38" s="167"/>
      <c r="EO38" s="166">
        <v>-24.726600000000001</v>
      </c>
      <c r="EP38" s="166">
        <v>-23.4498</v>
      </c>
      <c r="EQ38" s="166">
        <v>147.51599999999999</v>
      </c>
      <c r="ER38" s="166">
        <v>-76.175899999999999</v>
      </c>
      <c r="ES38" s="166">
        <v>-77.500500000000002</v>
      </c>
      <c r="ET38" s="166">
        <v>-20.631499999999999</v>
      </c>
      <c r="EU38" s="166">
        <v>0</v>
      </c>
      <c r="EV38" s="166">
        <v>-9.07</v>
      </c>
      <c r="EW38" s="166">
        <v>111.7</v>
      </c>
      <c r="EX38" s="166">
        <v>13.188700000000001</v>
      </c>
      <c r="EY38" s="166">
        <v>-101.2517</v>
      </c>
      <c r="EZ38" s="166">
        <v>-36.036799999999999</v>
      </c>
      <c r="FA38" s="166">
        <v>-34.740200000000002</v>
      </c>
      <c r="FB38" s="166">
        <v>6.6996000000000002</v>
      </c>
      <c r="FC38" s="166">
        <v>-59.189700000000002</v>
      </c>
      <c r="FD38" s="166">
        <v>24.686499999999999</v>
      </c>
      <c r="FE38" s="166">
        <v>24.013500000000001</v>
      </c>
      <c r="FF38" s="166">
        <v>25.746700000000001</v>
      </c>
      <c r="FG38" s="167"/>
      <c r="FH38" s="166">
        <v>39.811999999999998</v>
      </c>
      <c r="FI38" s="166">
        <v>40.326099999999997</v>
      </c>
      <c r="FJ38" s="166">
        <v>39.672199999999997</v>
      </c>
      <c r="FK38" s="166">
        <v>67.484899999999996</v>
      </c>
      <c r="FL38" s="166">
        <v>66.480199999999996</v>
      </c>
      <c r="FM38" s="166">
        <v>-22.941500000000001</v>
      </c>
      <c r="FN38" s="166">
        <v>0</v>
      </c>
      <c r="FO38" s="166">
        <v>55.967599999999997</v>
      </c>
      <c r="FP38" s="166">
        <v>-38.001899999999999</v>
      </c>
      <c r="FQ38" s="166">
        <v>-34.436799999999998</v>
      </c>
      <c r="FR38" s="166">
        <v>14.5406</v>
      </c>
      <c r="FS38" s="166">
        <v>-27.03</v>
      </c>
      <c r="FT38" s="167"/>
      <c r="FU38" s="166">
        <v>1.0915999999999999</v>
      </c>
      <c r="FV38" s="166">
        <v>1.35</v>
      </c>
      <c r="FW38" s="166">
        <v>18.09</v>
      </c>
      <c r="FX38" s="166">
        <v>13.4855</v>
      </c>
      <c r="FY38" s="166">
        <v>6.7187000000000001</v>
      </c>
      <c r="FZ38" s="166">
        <v>-9.6199999999999992</v>
      </c>
      <c r="GA38" s="166">
        <v>4.0359999999999996</v>
      </c>
      <c r="GB38" s="167"/>
      <c r="GC38" s="166">
        <v>36.58</v>
      </c>
      <c r="GD38" s="166">
        <v>36.033299999999997</v>
      </c>
      <c r="GE38" s="166">
        <v>40.153300000000002</v>
      </c>
      <c r="GF38" s="166">
        <v>14.06</v>
      </c>
      <c r="GG38" s="166">
        <v>76.581599999999995</v>
      </c>
      <c r="GH38" s="166">
        <v>27.3</v>
      </c>
      <c r="GI38" s="166">
        <v>-1.8661000000000001</v>
      </c>
      <c r="GJ38" s="166">
        <v>-12.3977</v>
      </c>
      <c r="GK38" s="166">
        <v>-13.4079</v>
      </c>
      <c r="GL38" s="166">
        <v>2.2170000000000001</v>
      </c>
      <c r="GM38" s="167"/>
      <c r="GN38" s="167"/>
      <c r="GO38" s="166">
        <v>-17.9849</v>
      </c>
      <c r="GP38" s="166">
        <v>-19.653600000000001</v>
      </c>
      <c r="GQ38" s="166">
        <v>14.278600000000001</v>
      </c>
      <c r="GR38" s="166">
        <v>20.203399999999998</v>
      </c>
      <c r="GS38" s="166">
        <v>9.8370999999999995</v>
      </c>
      <c r="GT38" s="166">
        <v>10.049799999999999</v>
      </c>
      <c r="GU38" s="166">
        <v>-102.48399999999999</v>
      </c>
      <c r="GV38" s="166">
        <v>-31.6874</v>
      </c>
      <c r="GW38" s="166">
        <v>32.331499999999998</v>
      </c>
      <c r="GX38" s="166">
        <v>-14.523899999999999</v>
      </c>
      <c r="GY38" s="166">
        <v>7.6871</v>
      </c>
      <c r="GZ38" s="166">
        <v>13.508699999999999</v>
      </c>
      <c r="HA38" s="166">
        <v>13.133900000000001</v>
      </c>
      <c r="HB38" s="166">
        <v>9.2984000000000009</v>
      </c>
      <c r="HC38" s="166">
        <v>132.56059999999999</v>
      </c>
      <c r="HD38" s="166">
        <v>130.17910000000001</v>
      </c>
      <c r="HE38" s="166">
        <v>201.2</v>
      </c>
      <c r="HF38" s="166">
        <v>-199.85069999999999</v>
      </c>
      <c r="HG38" s="166">
        <v>-389.53579999999999</v>
      </c>
      <c r="HH38" s="166">
        <v>388.57139999999998</v>
      </c>
      <c r="HI38" s="166">
        <v>172.51759999999999</v>
      </c>
      <c r="HJ38" s="166">
        <v>-125.47790000000001</v>
      </c>
      <c r="HK38" s="166">
        <v>-126.0934</v>
      </c>
      <c r="HL38" s="166">
        <v>-49.851500000000001</v>
      </c>
      <c r="HM38" s="166">
        <v>-38.971499999999999</v>
      </c>
      <c r="HN38" s="166">
        <v>78.588800000000006</v>
      </c>
      <c r="HO38" s="166">
        <v>79.576300000000003</v>
      </c>
      <c r="HP38" s="167"/>
      <c r="HQ38" s="167"/>
      <c r="HR38" s="166">
        <v>27.5898</v>
      </c>
      <c r="HS38" s="166">
        <v>26.655999999999999</v>
      </c>
      <c r="HT38" s="166">
        <v>-60.061999999999998</v>
      </c>
      <c r="HU38" s="166">
        <v>-61.126399999999997</v>
      </c>
      <c r="HV38" s="166">
        <v>-31.2</v>
      </c>
      <c r="HW38" s="166">
        <v>-31.15</v>
      </c>
      <c r="HX38" s="166">
        <v>48.3</v>
      </c>
      <c r="HY38" s="166">
        <v>48.3</v>
      </c>
      <c r="HZ38" s="166">
        <v>21.002700000000001</v>
      </c>
      <c r="IA38" s="166">
        <v>-41.52</v>
      </c>
      <c r="IB38" s="166">
        <v>-302.70620000000002</v>
      </c>
      <c r="IC38" s="166">
        <v>67.181899999999999</v>
      </c>
      <c r="ID38" s="166">
        <v>66.8857</v>
      </c>
      <c r="IE38" s="166">
        <v>11.6</v>
      </c>
      <c r="IF38" s="166">
        <v>18.399999999999999</v>
      </c>
      <c r="IG38" s="166">
        <v>-25.9</v>
      </c>
      <c r="IH38" s="166">
        <v>-30.8</v>
      </c>
      <c r="II38" s="166">
        <v>1.3948</v>
      </c>
      <c r="IJ38" s="167"/>
      <c r="IK38" s="166">
        <v>-166.63669999999999</v>
      </c>
      <c r="IL38" s="166">
        <v>-5.9120999999999997</v>
      </c>
      <c r="IM38" s="166">
        <v>204.4367</v>
      </c>
      <c r="IN38" s="166">
        <v>12.243600000000001</v>
      </c>
      <c r="IO38" s="166">
        <v>15.2173</v>
      </c>
      <c r="IP38" s="166">
        <v>-13.3644</v>
      </c>
      <c r="IQ38" s="166">
        <v>1.3726</v>
      </c>
      <c r="IR38" s="166">
        <v>0</v>
      </c>
      <c r="IS38" s="166">
        <v>-128.6926</v>
      </c>
      <c r="IT38" s="166">
        <v>-3.6543000000000001</v>
      </c>
      <c r="IU38" s="166">
        <v>225.94990000000001</v>
      </c>
      <c r="IV38" s="166">
        <v>223.45320000000001</v>
      </c>
      <c r="IW38" s="166">
        <v>0</v>
      </c>
      <c r="IX38" s="166">
        <v>-196.1019</v>
      </c>
      <c r="IY38" s="166">
        <v>130.08260000000001</v>
      </c>
      <c r="IZ38" s="166">
        <v>-60.776400000000002</v>
      </c>
      <c r="JA38" s="166">
        <v>64.587100000000007</v>
      </c>
      <c r="JB38" s="166">
        <v>-8.0406999999999993</v>
      </c>
      <c r="JC38" s="166">
        <v>29.658000000000001</v>
      </c>
      <c r="JD38" s="166">
        <v>20.239999999999998</v>
      </c>
      <c r="JE38" s="166">
        <v>1.3740000000000001</v>
      </c>
      <c r="JF38" s="166">
        <v>1.349</v>
      </c>
      <c r="JG38" s="166">
        <v>-20.079999999999998</v>
      </c>
      <c r="JH38" s="166">
        <v>-1.84</v>
      </c>
      <c r="JI38" s="167"/>
      <c r="JJ38" s="166">
        <v>2.3148</v>
      </c>
      <c r="JK38" s="166">
        <v>-25.548200000000001</v>
      </c>
      <c r="JL38" s="166">
        <v>-17.167899999999999</v>
      </c>
      <c r="JM38" s="166">
        <v>11.9</v>
      </c>
      <c r="JN38" s="166">
        <v>53.109000000000002</v>
      </c>
      <c r="JO38" s="166">
        <v>53.308999999999997</v>
      </c>
      <c r="JP38" s="167"/>
      <c r="JQ38" s="167"/>
      <c r="JR38" s="166">
        <v>52.121699999999997</v>
      </c>
      <c r="JS38" s="166">
        <v>51.490200000000002</v>
      </c>
      <c r="JT38" s="166">
        <v>51.3551</v>
      </c>
      <c r="JU38" s="167"/>
      <c r="JV38" s="166">
        <v>-17.2</v>
      </c>
      <c r="JW38" s="166">
        <v>24.671500000000002</v>
      </c>
      <c r="JX38" s="166">
        <v>9.19</v>
      </c>
      <c r="JY38" s="167"/>
      <c r="JZ38" s="166">
        <v>-37.1008</v>
      </c>
      <c r="KA38" s="166">
        <v>77.035499999999999</v>
      </c>
      <c r="KB38" s="166">
        <v>50.103499999999997</v>
      </c>
      <c r="KC38" s="166">
        <v>-36.876300000000001</v>
      </c>
      <c r="KD38" s="166">
        <v>-74.415499999999994</v>
      </c>
      <c r="KE38" s="166">
        <v>38.280299999999997</v>
      </c>
      <c r="KF38" s="166">
        <v>36.754399999999997</v>
      </c>
      <c r="KG38" s="166">
        <v>3.3</v>
      </c>
      <c r="KH38" s="166">
        <v>-3</v>
      </c>
      <c r="KI38" s="166">
        <v>-215.07069999999999</v>
      </c>
      <c r="KJ38" s="166">
        <v>306.2518</v>
      </c>
    </row>
    <row r="39" spans="1:296" ht="18" customHeight="1" x14ac:dyDescent="0.3">
      <c r="A39" s="162" t="s">
        <v>67</v>
      </c>
      <c r="B39" s="162" t="s">
        <v>838</v>
      </c>
      <c r="C39" s="166">
        <v>0</v>
      </c>
      <c r="D39" s="167"/>
      <c r="E39" s="166">
        <v>13.619400000000001</v>
      </c>
      <c r="F39" s="166">
        <v>-22.388200000000001</v>
      </c>
      <c r="G39" s="166">
        <v>-30.0443</v>
      </c>
      <c r="H39" s="166">
        <v>36.3795</v>
      </c>
      <c r="I39" s="167"/>
      <c r="J39" s="168">
        <v>57.894399999999997</v>
      </c>
      <c r="K39" s="166">
        <v>-116.8408</v>
      </c>
      <c r="L39" s="166">
        <v>73.522599999999997</v>
      </c>
      <c r="M39" s="168">
        <v>37.244900000000001</v>
      </c>
      <c r="N39" s="166">
        <v>36.2622</v>
      </c>
      <c r="O39" s="166">
        <v>-24.42</v>
      </c>
      <c r="P39" s="166">
        <v>-72.328999999999994</v>
      </c>
      <c r="Q39" s="168">
        <v>66</v>
      </c>
      <c r="R39" s="166">
        <v>20.7</v>
      </c>
      <c r="S39" s="166">
        <v>-66</v>
      </c>
      <c r="T39" s="166">
        <v>14.8163</v>
      </c>
      <c r="U39" s="166">
        <v>68.528800000000004</v>
      </c>
      <c r="V39" s="167"/>
      <c r="W39" s="166">
        <v>22.6495</v>
      </c>
      <c r="X39" s="166">
        <v>37.718299999999999</v>
      </c>
      <c r="Y39" s="166">
        <v>3.9085999999999999</v>
      </c>
      <c r="Z39" s="166">
        <v>5.0216000000000003</v>
      </c>
      <c r="AA39" s="166">
        <v>6.0278999999999998</v>
      </c>
      <c r="AB39" s="167"/>
      <c r="AC39" s="167"/>
      <c r="AD39" s="166">
        <v>-84.33</v>
      </c>
      <c r="AE39" s="166">
        <v>-84.52</v>
      </c>
      <c r="AF39" s="167"/>
      <c r="AG39" s="166">
        <v>24.42</v>
      </c>
      <c r="AH39" s="166">
        <v>70.400000000000006</v>
      </c>
      <c r="AI39" s="166">
        <v>19.456</v>
      </c>
      <c r="AJ39" s="166">
        <v>0.23599999999999999</v>
      </c>
      <c r="AK39" s="166">
        <v>-76.36</v>
      </c>
      <c r="AL39" s="166">
        <v>-77.099999999999994</v>
      </c>
      <c r="AM39" s="166">
        <v>-26.63</v>
      </c>
      <c r="AN39" s="166">
        <v>76.989999999999995</v>
      </c>
      <c r="AO39" s="166">
        <v>77.760000000000005</v>
      </c>
      <c r="AP39" s="166">
        <v>19.3538</v>
      </c>
      <c r="AQ39" s="166">
        <v>-0.44190000000000002</v>
      </c>
      <c r="AR39" s="166">
        <v>76.784899999999993</v>
      </c>
      <c r="AS39" s="166">
        <v>79.835599999999999</v>
      </c>
      <c r="AT39" s="166">
        <v>38.261499999999998</v>
      </c>
      <c r="AU39" s="166">
        <v>-56.696399999999997</v>
      </c>
      <c r="AV39" s="166">
        <v>-56.847099999999998</v>
      </c>
      <c r="AW39" s="166">
        <v>22.470800000000001</v>
      </c>
      <c r="AX39" s="166">
        <v>28.304300000000001</v>
      </c>
      <c r="AY39" s="166">
        <v>77.670400000000001</v>
      </c>
      <c r="AZ39" s="166">
        <v>81.916200000000003</v>
      </c>
      <c r="BA39" s="166">
        <v>11.8977</v>
      </c>
      <c r="BB39" s="166">
        <v>16.12</v>
      </c>
      <c r="BC39" s="166">
        <v>-533.04259999999999</v>
      </c>
      <c r="BD39" s="166">
        <v>-16.074300000000001</v>
      </c>
      <c r="BE39" s="166">
        <v>-11.4</v>
      </c>
      <c r="BF39" s="166">
        <v>-11.2</v>
      </c>
      <c r="BG39" s="166">
        <v>63.235199999999999</v>
      </c>
      <c r="BH39" s="166">
        <v>61.466500000000003</v>
      </c>
      <c r="BI39" s="166">
        <v>-9.2720000000000002</v>
      </c>
      <c r="BJ39" s="167"/>
      <c r="BK39" s="166">
        <v>-37.657899999999998</v>
      </c>
      <c r="BL39" s="166">
        <v>10.7545</v>
      </c>
      <c r="BM39" s="166">
        <v>0</v>
      </c>
      <c r="BN39" s="166">
        <v>0</v>
      </c>
      <c r="BO39" s="166">
        <v>573.04589999999996</v>
      </c>
      <c r="BP39" s="166">
        <v>249.33619999999999</v>
      </c>
      <c r="BQ39" s="166">
        <v>246.7115</v>
      </c>
      <c r="BR39" s="166">
        <v>-640.16179999999997</v>
      </c>
      <c r="BS39" s="166">
        <v>733.16120000000001</v>
      </c>
      <c r="BT39" s="167"/>
      <c r="BU39" s="166">
        <v>-9.2543000000000006</v>
      </c>
      <c r="BV39" s="166">
        <v>10.6449</v>
      </c>
      <c r="BW39" s="168">
        <v>125.0737</v>
      </c>
      <c r="BX39" s="166">
        <v>45.86</v>
      </c>
      <c r="BY39" s="166">
        <v>0</v>
      </c>
      <c r="BZ39" s="166">
        <v>84.86</v>
      </c>
      <c r="CA39" s="166">
        <v>64.510000000000005</v>
      </c>
      <c r="CB39" s="166">
        <v>-80.370099999999994</v>
      </c>
      <c r="CC39" s="166">
        <v>-80.504000000000005</v>
      </c>
      <c r="CD39" s="166">
        <v>135.0789</v>
      </c>
      <c r="CE39" s="166">
        <v>135.35050000000001</v>
      </c>
      <c r="CF39" s="166">
        <v>9.0106000000000002</v>
      </c>
      <c r="CG39" s="166">
        <v>-142.1934</v>
      </c>
      <c r="CH39" s="166">
        <v>-142.13290000000001</v>
      </c>
      <c r="CI39" s="166">
        <v>10.313800000000001</v>
      </c>
      <c r="CJ39" s="166">
        <v>0</v>
      </c>
      <c r="CK39" s="168">
        <v>20.526499999999999</v>
      </c>
      <c r="CL39" s="168">
        <v>26.771000000000001</v>
      </c>
      <c r="CM39" s="166">
        <v>136.69999999999999</v>
      </c>
      <c r="CN39" s="166">
        <v>124.1</v>
      </c>
      <c r="CO39" s="166">
        <v>-19.329999999999998</v>
      </c>
      <c r="CP39" s="166">
        <v>75.287999999999997</v>
      </c>
      <c r="CQ39" s="166">
        <v>74.737700000000004</v>
      </c>
      <c r="CR39" s="166">
        <v>75.072999999999993</v>
      </c>
      <c r="CS39" s="166">
        <v>14.4757</v>
      </c>
      <c r="CT39" s="166">
        <v>15.1595</v>
      </c>
      <c r="CU39" s="166">
        <v>40.587800000000001</v>
      </c>
      <c r="CV39" s="166">
        <v>-124.4374</v>
      </c>
      <c r="CW39" s="166">
        <v>52.063800000000001</v>
      </c>
      <c r="CX39" s="166">
        <v>14.818300000000001</v>
      </c>
      <c r="CY39" s="166">
        <v>88</v>
      </c>
      <c r="CZ39" s="166">
        <v>46.12</v>
      </c>
      <c r="DA39" s="166">
        <v>59.538600000000002</v>
      </c>
      <c r="DB39" s="168">
        <v>56.254600000000003</v>
      </c>
      <c r="DC39" s="166">
        <v>-37.583100000000002</v>
      </c>
      <c r="DD39" s="167"/>
      <c r="DE39" s="167"/>
      <c r="DF39" s="166">
        <v>0</v>
      </c>
      <c r="DG39" s="166">
        <v>-107.9341</v>
      </c>
      <c r="DH39" s="167"/>
      <c r="DI39" s="167"/>
      <c r="DJ39" s="166">
        <v>-123.3</v>
      </c>
      <c r="DK39" s="166">
        <v>-122.4</v>
      </c>
      <c r="DL39" s="166">
        <v>23.749700000000001</v>
      </c>
      <c r="DM39" s="166">
        <v>75.7</v>
      </c>
      <c r="DN39" s="166">
        <v>72.52</v>
      </c>
      <c r="DO39" s="166">
        <v>102.56</v>
      </c>
      <c r="DP39" s="166">
        <v>74.760000000000005</v>
      </c>
      <c r="DQ39" s="166">
        <v>-10.45</v>
      </c>
      <c r="DR39" s="166">
        <v>71.563500000000005</v>
      </c>
      <c r="DS39" s="166">
        <v>106.6236</v>
      </c>
      <c r="DT39" s="166">
        <v>-28.52</v>
      </c>
      <c r="DU39" s="166">
        <v>-29.04</v>
      </c>
      <c r="DV39" s="166">
        <v>119.78</v>
      </c>
      <c r="DW39" s="166">
        <v>78.03</v>
      </c>
      <c r="DX39" s="166">
        <v>106.5818</v>
      </c>
      <c r="DY39" s="166">
        <v>106.43640000000001</v>
      </c>
      <c r="DZ39" s="166">
        <v>0</v>
      </c>
      <c r="EA39" s="166">
        <v>-57.490900000000003</v>
      </c>
      <c r="EB39" s="166">
        <v>249.42949999999999</v>
      </c>
      <c r="EC39" s="166">
        <v>195.86</v>
      </c>
      <c r="ED39" s="166">
        <v>189.53360000000001</v>
      </c>
      <c r="EE39" s="166">
        <v>192.50030000000001</v>
      </c>
      <c r="EF39" s="166">
        <v>73.560100000000006</v>
      </c>
      <c r="EG39" s="166">
        <v>46.806399999999996</v>
      </c>
      <c r="EH39" s="166">
        <v>-31.024999999999999</v>
      </c>
      <c r="EI39" s="166">
        <v>647.01310000000001</v>
      </c>
      <c r="EJ39" s="166">
        <v>-16.671099999999999</v>
      </c>
      <c r="EK39" s="167"/>
      <c r="EL39" s="166">
        <v>-34.200499999999998</v>
      </c>
      <c r="EM39" s="166">
        <v>-33.175699999999999</v>
      </c>
      <c r="EN39" s="167"/>
      <c r="EO39" s="166">
        <v>-35.021999999999998</v>
      </c>
      <c r="EP39" s="166">
        <v>-31.6221</v>
      </c>
      <c r="EQ39" s="166">
        <v>147.51599999999999</v>
      </c>
      <c r="ER39" s="166">
        <v>-78.846900000000005</v>
      </c>
      <c r="ES39" s="166">
        <v>-79.963300000000004</v>
      </c>
      <c r="ET39" s="166">
        <v>-10.1675</v>
      </c>
      <c r="EU39" s="166">
        <v>0</v>
      </c>
      <c r="EV39" s="166">
        <v>-15.81</v>
      </c>
      <c r="EW39" s="166">
        <v>107.9</v>
      </c>
      <c r="EX39" s="166">
        <v>13.0528</v>
      </c>
      <c r="EY39" s="166">
        <v>-120.4863</v>
      </c>
      <c r="EZ39" s="166">
        <v>-35.223199999999999</v>
      </c>
      <c r="FA39" s="166">
        <v>-34.268700000000003</v>
      </c>
      <c r="FB39" s="166">
        <v>6.4749999999999996</v>
      </c>
      <c r="FC39" s="166">
        <v>-43.751600000000003</v>
      </c>
      <c r="FD39" s="166">
        <v>13.7615</v>
      </c>
      <c r="FE39" s="166">
        <v>23.804300000000001</v>
      </c>
      <c r="FF39" s="166">
        <v>22.649100000000001</v>
      </c>
      <c r="FG39" s="167"/>
      <c r="FH39" s="166">
        <v>41.521299999999997</v>
      </c>
      <c r="FI39" s="166">
        <v>42.039499999999997</v>
      </c>
      <c r="FJ39" s="166">
        <v>40.721200000000003</v>
      </c>
      <c r="FK39" s="166">
        <v>81.216300000000004</v>
      </c>
      <c r="FL39" s="166">
        <v>80.379000000000005</v>
      </c>
      <c r="FM39" s="166">
        <v>-15.406000000000001</v>
      </c>
      <c r="FN39" s="166">
        <v>0</v>
      </c>
      <c r="FO39" s="166">
        <v>61.580300000000001</v>
      </c>
      <c r="FP39" s="166">
        <v>-30.877400000000002</v>
      </c>
      <c r="FQ39" s="166">
        <v>-27.783100000000001</v>
      </c>
      <c r="FR39" s="166">
        <v>13.6983</v>
      </c>
      <c r="FS39" s="166">
        <v>-27.79</v>
      </c>
      <c r="FT39" s="167"/>
      <c r="FU39" s="166">
        <v>1.1624000000000001</v>
      </c>
      <c r="FV39" s="166">
        <v>1.39</v>
      </c>
      <c r="FW39" s="166">
        <v>17.87</v>
      </c>
      <c r="FX39" s="166">
        <v>12.474299999999999</v>
      </c>
      <c r="FY39" s="167"/>
      <c r="FZ39" s="166">
        <v>-9.3049999999999997</v>
      </c>
      <c r="GA39" s="166">
        <v>4.1260000000000003</v>
      </c>
      <c r="GB39" s="167"/>
      <c r="GC39" s="166">
        <v>34.93</v>
      </c>
      <c r="GD39" s="166">
        <v>28.561</v>
      </c>
      <c r="GE39" s="166">
        <v>31.603000000000002</v>
      </c>
      <c r="GF39" s="166">
        <v>15.09</v>
      </c>
      <c r="GG39" s="166">
        <v>74.768500000000003</v>
      </c>
      <c r="GH39" s="166">
        <v>27.2</v>
      </c>
      <c r="GI39" s="166">
        <v>-3.2378999999999998</v>
      </c>
      <c r="GJ39" s="166">
        <v>-12.0634</v>
      </c>
      <c r="GK39" s="166">
        <v>-12.9025</v>
      </c>
      <c r="GL39" s="166">
        <v>2.2456999999999998</v>
      </c>
      <c r="GM39" s="167"/>
      <c r="GN39" s="167"/>
      <c r="GO39" s="166">
        <v>-17.7287</v>
      </c>
      <c r="GP39" s="166">
        <v>-21.0139</v>
      </c>
      <c r="GQ39" s="166">
        <v>13.1158</v>
      </c>
      <c r="GR39" s="166">
        <v>21.663900000000002</v>
      </c>
      <c r="GS39" s="166">
        <v>8.4438999999999993</v>
      </c>
      <c r="GT39" s="166">
        <v>8.4082000000000008</v>
      </c>
      <c r="GU39" s="166">
        <v>-110.5821</v>
      </c>
      <c r="GV39" s="166">
        <v>-31.903500000000001</v>
      </c>
      <c r="GW39" s="166">
        <v>32.610500000000002</v>
      </c>
      <c r="GX39" s="166">
        <v>-13.547499999999999</v>
      </c>
      <c r="GY39" s="166">
        <v>6.7489999999999997</v>
      </c>
      <c r="GZ39" s="166">
        <v>14.1435</v>
      </c>
      <c r="HA39" s="166">
        <v>13.7562</v>
      </c>
      <c r="HB39" s="166">
        <v>8.3856000000000002</v>
      </c>
      <c r="HC39" s="166">
        <v>133.16069999999999</v>
      </c>
      <c r="HD39" s="166">
        <v>134.37960000000001</v>
      </c>
      <c r="HE39" s="166">
        <v>276.2</v>
      </c>
      <c r="HF39" s="166">
        <v>-273.89339999999999</v>
      </c>
      <c r="HG39" s="166">
        <v>-479.52050000000003</v>
      </c>
      <c r="HH39" s="166">
        <v>483.81670000000003</v>
      </c>
      <c r="HI39" s="166">
        <v>181.22569999999999</v>
      </c>
      <c r="HJ39" s="166">
        <v>-126.8914</v>
      </c>
      <c r="HK39" s="166">
        <v>-126.5877</v>
      </c>
      <c r="HL39" s="166">
        <v>-52.8977</v>
      </c>
      <c r="HM39" s="166">
        <v>-42.104700000000001</v>
      </c>
      <c r="HN39" s="166">
        <v>79.608500000000006</v>
      </c>
      <c r="HO39" s="166">
        <v>77.756500000000003</v>
      </c>
      <c r="HP39" s="166">
        <v>-76.238</v>
      </c>
      <c r="HQ39" s="166">
        <v>-77.194900000000004</v>
      </c>
      <c r="HR39" s="166">
        <v>29.545400000000001</v>
      </c>
      <c r="HS39" s="166">
        <v>29.2927</v>
      </c>
      <c r="HT39" s="166">
        <v>-60.569899999999997</v>
      </c>
      <c r="HU39" s="166">
        <v>-59.784199999999998</v>
      </c>
      <c r="HV39" s="166">
        <v>-24.72</v>
      </c>
      <c r="HW39" s="166">
        <v>-24.68</v>
      </c>
      <c r="HX39" s="166">
        <v>47.9</v>
      </c>
      <c r="HY39" s="166">
        <v>46.2</v>
      </c>
      <c r="HZ39" s="166">
        <v>20.633099999999999</v>
      </c>
      <c r="IA39" s="166">
        <v>-34.799999999999997</v>
      </c>
      <c r="IB39" s="166">
        <v>-300.50659999999999</v>
      </c>
      <c r="IC39" s="166">
        <v>69.634399999999999</v>
      </c>
      <c r="ID39" s="166">
        <v>68.272900000000007</v>
      </c>
      <c r="IE39" s="166">
        <v>12.2</v>
      </c>
      <c r="IF39" s="166">
        <v>16</v>
      </c>
      <c r="IG39" s="166">
        <v>-28.4</v>
      </c>
      <c r="IH39" s="166">
        <v>-33.799999999999997</v>
      </c>
      <c r="II39" s="166">
        <v>1.2981</v>
      </c>
      <c r="IJ39" s="166">
        <v>1.2295</v>
      </c>
      <c r="IK39" s="166">
        <v>-177.22</v>
      </c>
      <c r="IL39" s="166">
        <v>42.356299999999997</v>
      </c>
      <c r="IM39" s="166">
        <v>215.9323</v>
      </c>
      <c r="IN39" s="166">
        <v>28.5975</v>
      </c>
      <c r="IO39" s="166">
        <v>41.789400000000001</v>
      </c>
      <c r="IP39" s="166">
        <v>-21.512</v>
      </c>
      <c r="IQ39" s="166">
        <v>15.11</v>
      </c>
      <c r="IR39" s="166">
        <v>0</v>
      </c>
      <c r="IS39" s="166">
        <v>-139.3852</v>
      </c>
      <c r="IT39" s="166">
        <v>-14.6487</v>
      </c>
      <c r="IU39" s="166">
        <v>220.54390000000001</v>
      </c>
      <c r="IV39" s="166">
        <v>221.30709999999999</v>
      </c>
      <c r="IW39" s="166">
        <v>0</v>
      </c>
      <c r="IX39" s="166">
        <v>-208.92259999999999</v>
      </c>
      <c r="IY39" s="166">
        <v>139.39169999999999</v>
      </c>
      <c r="IZ39" s="166">
        <v>-63.815199999999997</v>
      </c>
      <c r="JA39" s="166">
        <v>64.9529</v>
      </c>
      <c r="JB39" s="166">
        <v>-8.0406999999999993</v>
      </c>
      <c r="JC39" s="166">
        <v>19.125</v>
      </c>
      <c r="JD39" s="166">
        <v>20.56</v>
      </c>
      <c r="JE39" s="166">
        <v>1.3660000000000001</v>
      </c>
      <c r="JF39" s="166">
        <v>1.3640000000000001</v>
      </c>
      <c r="JG39" s="166">
        <v>-20.32</v>
      </c>
      <c r="JH39" s="166">
        <v>-3.04</v>
      </c>
      <c r="JI39" s="167"/>
      <c r="JJ39" s="166">
        <v>2.9007000000000001</v>
      </c>
      <c r="JK39" s="166">
        <v>-27.013000000000002</v>
      </c>
      <c r="JL39" s="166">
        <v>-18.3978</v>
      </c>
      <c r="JM39" s="166">
        <v>13.6</v>
      </c>
      <c r="JN39" s="166">
        <v>49.826999999999998</v>
      </c>
      <c r="JO39" s="166">
        <v>50.38</v>
      </c>
      <c r="JP39" s="167"/>
      <c r="JQ39" s="167"/>
      <c r="JR39" s="166">
        <v>51.279200000000003</v>
      </c>
      <c r="JS39" s="166">
        <v>51.057600000000001</v>
      </c>
      <c r="JT39" s="166">
        <v>51.411000000000001</v>
      </c>
      <c r="JU39" s="167"/>
      <c r="JV39" s="166">
        <v>-13.7</v>
      </c>
      <c r="JW39" s="166">
        <v>29.180499999999999</v>
      </c>
      <c r="JX39" s="166">
        <v>9.08</v>
      </c>
      <c r="JY39" s="167"/>
      <c r="JZ39" s="166">
        <v>-40.555</v>
      </c>
      <c r="KA39" s="166">
        <v>79.057100000000005</v>
      </c>
      <c r="KB39" s="166">
        <v>53.105800000000002</v>
      </c>
      <c r="KC39" s="166">
        <v>-39.119999999999997</v>
      </c>
      <c r="KD39" s="166">
        <v>-77.750100000000003</v>
      </c>
      <c r="KE39" s="166">
        <v>41.442500000000003</v>
      </c>
      <c r="KF39" s="166">
        <v>36.061199999999999</v>
      </c>
      <c r="KG39" s="166">
        <v>-0.4</v>
      </c>
      <c r="KH39" s="166">
        <v>-0.8</v>
      </c>
      <c r="KI39" s="166">
        <v>-300.37810000000002</v>
      </c>
      <c r="KJ39" s="166">
        <v>384.35669999999999</v>
      </c>
    </row>
    <row r="40" spans="1:296" ht="18" customHeight="1" x14ac:dyDescent="0.3">
      <c r="A40" s="162" t="s">
        <v>67</v>
      </c>
      <c r="B40" s="162" t="s">
        <v>839</v>
      </c>
      <c r="C40" s="169">
        <v>0</v>
      </c>
      <c r="D40" s="170"/>
      <c r="E40" s="169">
        <v>13.866400000000001</v>
      </c>
      <c r="F40" s="169">
        <v>-21.6557</v>
      </c>
      <c r="G40" s="169">
        <v>-30.268899999999999</v>
      </c>
      <c r="H40" s="171">
        <v>35.770699999999998</v>
      </c>
      <c r="I40" s="170"/>
      <c r="J40" s="171">
        <v>57.469900000000003</v>
      </c>
      <c r="K40" s="169">
        <v>-117.3909</v>
      </c>
      <c r="L40" s="171">
        <v>73.812200000000004</v>
      </c>
      <c r="M40" s="171">
        <v>37.346899999999998</v>
      </c>
      <c r="N40" s="169">
        <v>36.499600000000001</v>
      </c>
      <c r="O40" s="169">
        <v>-26.64</v>
      </c>
      <c r="P40" s="169">
        <v>-72.460999999999999</v>
      </c>
      <c r="Q40" s="169">
        <v>66</v>
      </c>
      <c r="R40" s="169">
        <v>19.872</v>
      </c>
      <c r="S40" s="169">
        <v>-66</v>
      </c>
      <c r="T40" s="169">
        <v>14.7403</v>
      </c>
      <c r="U40" s="169">
        <v>71.123199999999997</v>
      </c>
      <c r="V40" s="169">
        <v>16.2315</v>
      </c>
      <c r="W40" s="169">
        <v>16.087599999999998</v>
      </c>
      <c r="X40" s="169">
        <v>26.586099999999998</v>
      </c>
      <c r="Y40" s="169">
        <v>3.7242000000000002</v>
      </c>
      <c r="Z40" s="169">
        <v>5.0391000000000004</v>
      </c>
      <c r="AA40" s="169">
        <v>5.5202999999999998</v>
      </c>
      <c r="AB40" s="170"/>
      <c r="AC40" s="170"/>
      <c r="AD40" s="169">
        <v>-84.41</v>
      </c>
      <c r="AE40" s="169">
        <v>-84.79</v>
      </c>
      <c r="AF40" s="170"/>
      <c r="AG40" s="169">
        <v>26.64</v>
      </c>
      <c r="AH40" s="169">
        <v>70.400000000000006</v>
      </c>
      <c r="AI40" s="169">
        <v>20.341999999999999</v>
      </c>
      <c r="AJ40" s="169">
        <v>0.23899999999999999</v>
      </c>
      <c r="AK40" s="169">
        <v>-77.23</v>
      </c>
      <c r="AL40" s="169">
        <v>-77.97</v>
      </c>
      <c r="AM40" s="169">
        <v>-26.45</v>
      </c>
      <c r="AN40" s="169">
        <v>78.27</v>
      </c>
      <c r="AO40" s="169">
        <v>79.19</v>
      </c>
      <c r="AP40" s="169">
        <v>19.611999999999998</v>
      </c>
      <c r="AQ40" s="169">
        <v>-0.1275</v>
      </c>
      <c r="AR40" s="169">
        <v>74.577699999999993</v>
      </c>
      <c r="AS40" s="169">
        <v>76.927700000000002</v>
      </c>
      <c r="AT40" s="169">
        <v>41.432499999999997</v>
      </c>
      <c r="AU40" s="169">
        <v>-58.746600000000001</v>
      </c>
      <c r="AV40" s="169">
        <v>-58.8735</v>
      </c>
      <c r="AW40" s="169">
        <v>30.6875</v>
      </c>
      <c r="AX40" s="169">
        <v>27.8368</v>
      </c>
      <c r="AY40" s="169">
        <v>77.480900000000005</v>
      </c>
      <c r="AZ40" s="169">
        <v>79.762699999999995</v>
      </c>
      <c r="BA40" s="169">
        <v>23.464300000000001</v>
      </c>
      <c r="BB40" s="169">
        <v>27.958100000000002</v>
      </c>
      <c r="BC40" s="169">
        <v>-530.50229999999999</v>
      </c>
      <c r="BD40" s="169">
        <v>-17.114999999999998</v>
      </c>
      <c r="BE40" s="169">
        <v>-12.2</v>
      </c>
      <c r="BF40" s="169">
        <v>-12.2</v>
      </c>
      <c r="BG40" s="169">
        <v>64.738</v>
      </c>
      <c r="BH40" s="169">
        <v>62.2303</v>
      </c>
      <c r="BI40" s="169">
        <v>-9.2843999999999998</v>
      </c>
      <c r="BJ40" s="170"/>
      <c r="BK40" s="169">
        <v>-42.315600000000003</v>
      </c>
      <c r="BL40" s="169">
        <v>10.123100000000001</v>
      </c>
      <c r="BM40" s="169">
        <v>0</v>
      </c>
      <c r="BN40" s="169">
        <v>-2.0783</v>
      </c>
      <c r="BO40" s="169">
        <v>568.40700000000004</v>
      </c>
      <c r="BP40" s="169">
        <v>239.17349999999999</v>
      </c>
      <c r="BQ40" s="169">
        <v>238.83779999999999</v>
      </c>
      <c r="BR40" s="169">
        <v>-648.95650000000001</v>
      </c>
      <c r="BS40" s="169">
        <v>704.30859999999996</v>
      </c>
      <c r="BT40" s="170"/>
      <c r="BU40" s="169">
        <v>-17.1843</v>
      </c>
      <c r="BV40" s="169">
        <v>17.536799999999999</v>
      </c>
      <c r="BW40" s="171">
        <v>124.28530000000001</v>
      </c>
      <c r="BX40" s="169">
        <v>45.09</v>
      </c>
      <c r="BY40" s="169">
        <v>0</v>
      </c>
      <c r="BZ40" s="171">
        <v>84.394999999999996</v>
      </c>
      <c r="CA40" s="169">
        <v>63.13</v>
      </c>
      <c r="CB40" s="169">
        <v>-71.126999999999995</v>
      </c>
      <c r="CC40" s="169">
        <v>-70.457300000000004</v>
      </c>
      <c r="CD40" s="169">
        <v>133.6114</v>
      </c>
      <c r="CE40" s="169">
        <v>134.5692</v>
      </c>
      <c r="CF40" s="169">
        <v>10.461</v>
      </c>
      <c r="CG40" s="169">
        <v>-141.4462</v>
      </c>
      <c r="CH40" s="169">
        <v>-142.60329999999999</v>
      </c>
      <c r="CI40" s="169">
        <v>10.7399</v>
      </c>
      <c r="CJ40" s="169">
        <v>0</v>
      </c>
      <c r="CK40" s="171">
        <v>20.7164</v>
      </c>
      <c r="CL40" s="169">
        <v>26.134</v>
      </c>
      <c r="CM40" s="169">
        <v>138.6</v>
      </c>
      <c r="CN40" s="169">
        <v>125.2</v>
      </c>
      <c r="CO40" s="169">
        <v>-19.5</v>
      </c>
      <c r="CP40" s="169">
        <v>75.429400000000001</v>
      </c>
      <c r="CQ40" s="169">
        <v>75.418599999999998</v>
      </c>
      <c r="CR40" s="169">
        <v>73.0381</v>
      </c>
      <c r="CS40" s="169">
        <v>12.7867</v>
      </c>
      <c r="CT40" s="169">
        <v>13.3812</v>
      </c>
      <c r="CU40" s="169">
        <v>35.134</v>
      </c>
      <c r="CV40" s="169">
        <v>-117.0502</v>
      </c>
      <c r="CW40" s="169">
        <v>44.630299999999998</v>
      </c>
      <c r="CX40" s="169">
        <v>15.333500000000001</v>
      </c>
      <c r="CY40" s="169">
        <v>86.06</v>
      </c>
      <c r="CZ40" s="169">
        <v>46.22</v>
      </c>
      <c r="DA40" s="169">
        <v>58.8354</v>
      </c>
      <c r="DB40" s="169">
        <v>56.254600000000003</v>
      </c>
      <c r="DC40" s="169">
        <v>-37.515999999999998</v>
      </c>
      <c r="DD40" s="170"/>
      <c r="DE40" s="170"/>
      <c r="DF40" s="169">
        <v>0</v>
      </c>
      <c r="DG40" s="169">
        <v>-110.367</v>
      </c>
      <c r="DH40" s="170"/>
      <c r="DI40" s="170"/>
      <c r="DJ40" s="169">
        <v>-122.6</v>
      </c>
      <c r="DK40" s="169">
        <v>-121.6</v>
      </c>
      <c r="DL40" s="169">
        <v>23.716699999999999</v>
      </c>
      <c r="DM40" s="169">
        <v>74.900000000000006</v>
      </c>
      <c r="DN40" s="169">
        <v>71.94</v>
      </c>
      <c r="DO40" s="169">
        <v>101.48</v>
      </c>
      <c r="DP40" s="169">
        <v>73.97</v>
      </c>
      <c r="DQ40" s="169">
        <v>-10.25</v>
      </c>
      <c r="DR40" s="169">
        <v>72.632999999999996</v>
      </c>
      <c r="DS40" s="169">
        <v>108.55370000000001</v>
      </c>
      <c r="DT40" s="169">
        <v>-28.55</v>
      </c>
      <c r="DU40" s="169">
        <v>-28.72</v>
      </c>
      <c r="DV40" s="169">
        <v>120.75</v>
      </c>
      <c r="DW40" s="169">
        <v>78.05</v>
      </c>
      <c r="DX40" s="169">
        <v>111.74550000000001</v>
      </c>
      <c r="DY40" s="169">
        <v>107.5818</v>
      </c>
      <c r="DZ40" s="169">
        <v>0</v>
      </c>
      <c r="EA40" s="169">
        <v>-50.0182</v>
      </c>
      <c r="EB40" s="169">
        <v>250.22280000000001</v>
      </c>
      <c r="EC40" s="169">
        <v>197.87450000000001</v>
      </c>
      <c r="ED40" s="169">
        <v>191.83779999999999</v>
      </c>
      <c r="EE40" s="169">
        <v>194.18809999999999</v>
      </c>
      <c r="EF40" s="169">
        <v>87.087000000000003</v>
      </c>
      <c r="EG40" s="169">
        <v>63.883299999999998</v>
      </c>
      <c r="EH40" s="169">
        <v>-30.114999999999998</v>
      </c>
      <c r="EI40" s="169">
        <v>659.02229999999997</v>
      </c>
      <c r="EJ40" s="169">
        <v>31.963200000000001</v>
      </c>
      <c r="EK40" s="170"/>
      <c r="EL40" s="169">
        <v>-34.756599999999999</v>
      </c>
      <c r="EM40" s="169">
        <v>-33.320799999999998</v>
      </c>
      <c r="EN40" s="170"/>
      <c r="EO40" s="169">
        <v>-31.57</v>
      </c>
      <c r="EP40" s="169">
        <v>-28.915299999999998</v>
      </c>
      <c r="EQ40" s="169">
        <v>167.48400000000001</v>
      </c>
      <c r="ER40" s="169">
        <v>-78.755499999999998</v>
      </c>
      <c r="ES40" s="169">
        <v>-80.4191</v>
      </c>
      <c r="ET40" s="169">
        <v>-22.203399999999998</v>
      </c>
      <c r="EU40" s="169">
        <v>14.26</v>
      </c>
      <c r="EV40" s="169">
        <v>-14.79</v>
      </c>
      <c r="EW40" s="169">
        <v>117.4</v>
      </c>
      <c r="EX40" s="169">
        <v>12.392300000000001</v>
      </c>
      <c r="EY40" s="169">
        <v>-113.3848</v>
      </c>
      <c r="EZ40" s="169">
        <v>-35.593800000000002</v>
      </c>
      <c r="FA40" s="169">
        <v>-34.895899999999997</v>
      </c>
      <c r="FB40" s="169">
        <v>5.7169999999999996</v>
      </c>
      <c r="FC40" s="169">
        <v>-61.066600000000001</v>
      </c>
      <c r="FD40" s="169">
        <v>24.836600000000001</v>
      </c>
      <c r="FE40" s="169">
        <v>23.5123</v>
      </c>
      <c r="FF40" s="169">
        <v>21.7959</v>
      </c>
      <c r="FG40" s="170"/>
      <c r="FH40" s="169">
        <v>41.415500000000002</v>
      </c>
      <c r="FI40" s="169">
        <v>40.681600000000003</v>
      </c>
      <c r="FJ40" s="169">
        <v>40.339599999999997</v>
      </c>
      <c r="FK40" s="169">
        <v>72.508600000000001</v>
      </c>
      <c r="FL40" s="169">
        <v>72.341099999999997</v>
      </c>
      <c r="FM40" s="169">
        <v>-21.4344</v>
      </c>
      <c r="FN40" s="169">
        <v>0</v>
      </c>
      <c r="FO40" s="169">
        <v>53.486600000000003</v>
      </c>
      <c r="FP40" s="169">
        <v>-34.2639</v>
      </c>
      <c r="FQ40" s="169">
        <v>-31.238199999999999</v>
      </c>
      <c r="FR40" s="169">
        <v>12.511799999999999</v>
      </c>
      <c r="FS40" s="169">
        <v>-29.54</v>
      </c>
      <c r="FT40" s="170"/>
      <c r="FU40" s="169">
        <v>1.0732999999999999</v>
      </c>
      <c r="FV40" s="169">
        <v>1.37</v>
      </c>
      <c r="FW40" s="169">
        <v>18.809999999999999</v>
      </c>
      <c r="FX40" s="169">
        <v>9.9437999999999995</v>
      </c>
      <c r="FY40" s="170"/>
      <c r="FZ40" s="169">
        <v>-9.3089999999999993</v>
      </c>
      <c r="GA40" s="169">
        <v>4.2240000000000002</v>
      </c>
      <c r="GB40" s="170"/>
      <c r="GC40" s="169">
        <v>33.58</v>
      </c>
      <c r="GD40" s="169">
        <v>30.9346</v>
      </c>
      <c r="GE40" s="169">
        <v>34.517400000000002</v>
      </c>
      <c r="GF40" s="169">
        <v>14.77</v>
      </c>
      <c r="GG40" s="169">
        <v>73.088700000000003</v>
      </c>
      <c r="GH40" s="169">
        <v>30.5</v>
      </c>
      <c r="GI40" s="169">
        <v>-3.3169</v>
      </c>
      <c r="GJ40" s="169">
        <v>-11.954000000000001</v>
      </c>
      <c r="GK40" s="169">
        <v>-12.7578</v>
      </c>
      <c r="GL40" s="169">
        <v>2.2486000000000002</v>
      </c>
      <c r="GM40" s="170"/>
      <c r="GN40" s="170"/>
      <c r="GO40" s="169">
        <v>-18.0655</v>
      </c>
      <c r="GP40" s="169">
        <v>-20.814599999999999</v>
      </c>
      <c r="GQ40" s="169">
        <v>13.3782</v>
      </c>
      <c r="GR40" s="169">
        <v>21.5762</v>
      </c>
      <c r="GS40" s="169">
        <v>9.6423000000000005</v>
      </c>
      <c r="GT40" s="169">
        <v>9.5374999999999996</v>
      </c>
      <c r="GU40" s="169">
        <v>-108.7914</v>
      </c>
      <c r="GV40" s="169">
        <v>-31.740100000000002</v>
      </c>
      <c r="GW40" s="169">
        <v>31.869599999999998</v>
      </c>
      <c r="GX40" s="169">
        <v>-12.8119</v>
      </c>
      <c r="GY40" s="169">
        <v>6.5099</v>
      </c>
      <c r="GZ40" s="169">
        <v>14.436500000000001</v>
      </c>
      <c r="HA40" s="169">
        <v>13.935499999999999</v>
      </c>
      <c r="HB40" s="169">
        <v>8.1087000000000007</v>
      </c>
      <c r="HC40" s="169">
        <v>152.79900000000001</v>
      </c>
      <c r="HD40" s="169">
        <v>149.37809999999999</v>
      </c>
      <c r="HE40" s="169">
        <v>283.3</v>
      </c>
      <c r="HF40" s="169">
        <v>-282.64370000000002</v>
      </c>
      <c r="HG40" s="169">
        <v>-492.32729999999998</v>
      </c>
      <c r="HH40" s="169">
        <v>491.24860000000001</v>
      </c>
      <c r="HI40" s="169">
        <v>221.32910000000001</v>
      </c>
      <c r="HJ40" s="169">
        <v>-146.31219999999999</v>
      </c>
      <c r="HK40" s="169">
        <v>-143.8031</v>
      </c>
      <c r="HL40" s="169">
        <v>-53.0045</v>
      </c>
      <c r="HM40" s="169">
        <v>-41.894399999999997</v>
      </c>
      <c r="HN40" s="169">
        <v>80.305000000000007</v>
      </c>
      <c r="HO40" s="169">
        <v>79.496600000000001</v>
      </c>
      <c r="HP40" s="170"/>
      <c r="HQ40" s="170"/>
      <c r="HR40" s="169">
        <v>37.071199999999997</v>
      </c>
      <c r="HS40" s="169">
        <v>36.280200000000001</v>
      </c>
      <c r="HT40" s="169">
        <v>-62.597700000000003</v>
      </c>
      <c r="HU40" s="169">
        <v>-62.6661</v>
      </c>
      <c r="HV40" s="169">
        <v>-12.9</v>
      </c>
      <c r="HW40" s="169">
        <v>-10.88</v>
      </c>
      <c r="HX40" s="169">
        <v>47.1</v>
      </c>
      <c r="HY40" s="169">
        <v>47.4</v>
      </c>
      <c r="HZ40" s="169">
        <v>20.816800000000001</v>
      </c>
      <c r="IA40" s="169">
        <v>-12.88</v>
      </c>
      <c r="IB40" s="169">
        <v>-306.05829999999997</v>
      </c>
      <c r="IC40" s="169">
        <v>77.045500000000004</v>
      </c>
      <c r="ID40" s="169">
        <v>77.022800000000004</v>
      </c>
      <c r="IE40" s="169">
        <v>12.8</v>
      </c>
      <c r="IF40" s="169">
        <v>12.5</v>
      </c>
      <c r="IG40" s="169">
        <v>-36.1</v>
      </c>
      <c r="IH40" s="169">
        <v>-42.9</v>
      </c>
      <c r="II40" s="170"/>
      <c r="IJ40" s="169">
        <v>1.141</v>
      </c>
      <c r="IK40" s="169">
        <v>-216.36750000000001</v>
      </c>
      <c r="IL40" s="169">
        <v>-9.4688999999999997</v>
      </c>
      <c r="IM40" s="169">
        <v>281.52179999999998</v>
      </c>
      <c r="IN40" s="169">
        <v>78.771000000000001</v>
      </c>
      <c r="IO40" s="169">
        <v>50.1708</v>
      </c>
      <c r="IP40" s="169">
        <v>-76.679199999999994</v>
      </c>
      <c r="IQ40" s="169">
        <v>72.319100000000006</v>
      </c>
      <c r="IR40" s="169">
        <v>0</v>
      </c>
      <c r="IS40" s="169">
        <v>-184.274</v>
      </c>
      <c r="IT40" s="169">
        <v>-71.552199999999999</v>
      </c>
      <c r="IU40" s="169">
        <v>207.3672</v>
      </c>
      <c r="IV40" s="169">
        <v>209.9761</v>
      </c>
      <c r="IW40" s="169">
        <v>0</v>
      </c>
      <c r="IX40" s="169">
        <v>-272.07659999999998</v>
      </c>
      <c r="IY40" s="169">
        <v>190.67230000000001</v>
      </c>
      <c r="IZ40" s="169">
        <v>-83.423199999999994</v>
      </c>
      <c r="JA40" s="169">
        <v>82.428600000000003</v>
      </c>
      <c r="JB40" s="169">
        <v>-8.8317999999999994</v>
      </c>
      <c r="JC40" s="169">
        <v>19.187000000000001</v>
      </c>
      <c r="JD40" s="169">
        <v>21.36</v>
      </c>
      <c r="JE40" s="169">
        <v>1.284</v>
      </c>
      <c r="JF40" s="169">
        <v>1.278</v>
      </c>
      <c r="JG40" s="169">
        <v>-21.12</v>
      </c>
      <c r="JH40" s="169">
        <v>-1.84</v>
      </c>
      <c r="JI40" s="170"/>
      <c r="JJ40" s="169">
        <v>1.7594000000000001</v>
      </c>
      <c r="JK40" s="169">
        <v>-28.416899999999998</v>
      </c>
      <c r="JL40" s="169">
        <v>-18.162800000000001</v>
      </c>
      <c r="JM40" s="169">
        <v>15.6</v>
      </c>
      <c r="JN40" s="169">
        <v>50.250999999999998</v>
      </c>
      <c r="JO40" s="169">
        <v>50.101999999999997</v>
      </c>
      <c r="JP40" s="170"/>
      <c r="JQ40" s="170"/>
      <c r="JR40" s="169">
        <v>52.572000000000003</v>
      </c>
      <c r="JS40" s="169">
        <v>51.808</v>
      </c>
      <c r="JT40" s="169">
        <v>52.156999999999996</v>
      </c>
      <c r="JU40" s="170"/>
      <c r="JV40" s="169">
        <v>-9.8000000000000007</v>
      </c>
      <c r="JW40" s="169">
        <v>29.607700000000001</v>
      </c>
      <c r="JX40" s="169">
        <v>9.19</v>
      </c>
      <c r="JY40" s="170"/>
      <c r="JZ40" s="169">
        <v>-38.434100000000001</v>
      </c>
      <c r="KA40" s="169">
        <v>79.718299999999999</v>
      </c>
      <c r="KB40" s="169">
        <v>53.890099999999997</v>
      </c>
      <c r="KC40" s="169">
        <v>-38.470399999999998</v>
      </c>
      <c r="KD40" s="169">
        <v>-78.430499999999995</v>
      </c>
      <c r="KE40" s="169">
        <v>40.608899999999998</v>
      </c>
      <c r="KF40" s="169">
        <v>36.886400000000002</v>
      </c>
      <c r="KG40" s="169">
        <v>-3.6</v>
      </c>
      <c r="KH40" s="169">
        <v>2.7</v>
      </c>
      <c r="KI40" s="169">
        <v>-261.78559999999999</v>
      </c>
      <c r="KJ40" s="169">
        <v>332.50459999999998</v>
      </c>
    </row>
    <row r="41" spans="1:296" ht="18" customHeight="1" x14ac:dyDescent="0.3">
      <c r="A41" s="162" t="s">
        <v>67</v>
      </c>
      <c r="B41" s="162" t="s">
        <v>840</v>
      </c>
      <c r="C41" s="163">
        <v>0</v>
      </c>
      <c r="D41" s="164"/>
      <c r="E41" s="163">
        <v>13.293200000000001</v>
      </c>
      <c r="F41" s="163">
        <v>-21.739699999999999</v>
      </c>
      <c r="G41" s="163">
        <v>-31.017900000000001</v>
      </c>
      <c r="H41" s="163">
        <v>35.161900000000003</v>
      </c>
      <c r="I41" s="164"/>
      <c r="J41" s="163">
        <v>57.045299999999997</v>
      </c>
      <c r="K41" s="163">
        <v>-114.67570000000001</v>
      </c>
      <c r="L41" s="163">
        <v>74.101799999999997</v>
      </c>
      <c r="M41" s="163">
        <v>37.448900000000002</v>
      </c>
      <c r="N41" s="163">
        <v>36.647399999999998</v>
      </c>
      <c r="O41" s="163">
        <v>-26.64</v>
      </c>
      <c r="P41" s="163">
        <v>-71.396000000000001</v>
      </c>
      <c r="Q41" s="163">
        <v>66</v>
      </c>
      <c r="R41" s="163">
        <v>19.872</v>
      </c>
      <c r="S41" s="163">
        <v>-63.8</v>
      </c>
      <c r="T41" s="163">
        <v>14.2347</v>
      </c>
      <c r="U41" s="163">
        <v>69.194000000000003</v>
      </c>
      <c r="V41" s="163">
        <v>15.279400000000001</v>
      </c>
      <c r="W41" s="163">
        <v>15.7415</v>
      </c>
      <c r="X41" s="163">
        <v>25.721800000000002</v>
      </c>
      <c r="Y41" s="163">
        <v>1.8426</v>
      </c>
      <c r="Z41" s="163">
        <v>5.0406000000000004</v>
      </c>
      <c r="AA41" s="163">
        <v>5.6532</v>
      </c>
      <c r="AB41" s="164"/>
      <c r="AC41" s="164"/>
      <c r="AD41" s="163">
        <v>-85.46</v>
      </c>
      <c r="AE41" s="163">
        <v>-85.73</v>
      </c>
      <c r="AF41" s="164"/>
      <c r="AG41" s="163">
        <v>26.64</v>
      </c>
      <c r="AH41" s="163">
        <v>70.400000000000006</v>
      </c>
      <c r="AI41" s="163">
        <v>22.591999999999999</v>
      </c>
      <c r="AJ41" s="163">
        <v>0.25800000000000001</v>
      </c>
      <c r="AK41" s="163">
        <v>-79.16</v>
      </c>
      <c r="AL41" s="163">
        <v>-79.290000000000006</v>
      </c>
      <c r="AM41" s="163">
        <v>-23.63</v>
      </c>
      <c r="AN41" s="163">
        <v>80.260000000000005</v>
      </c>
      <c r="AO41" s="163">
        <v>79.540000000000006</v>
      </c>
      <c r="AP41" s="163">
        <v>19.9269</v>
      </c>
      <c r="AQ41" s="163">
        <v>-0.60370000000000001</v>
      </c>
      <c r="AR41" s="163">
        <v>73.931799999999996</v>
      </c>
      <c r="AS41" s="163">
        <v>76.404799999999994</v>
      </c>
      <c r="AT41" s="163">
        <v>42.114600000000003</v>
      </c>
      <c r="AU41" s="163">
        <v>-66.950400000000002</v>
      </c>
      <c r="AV41" s="163">
        <v>-66.356999999999999</v>
      </c>
      <c r="AW41" s="163">
        <v>25.470700000000001</v>
      </c>
      <c r="AX41" s="163">
        <v>32.904800000000002</v>
      </c>
      <c r="AY41" s="163">
        <v>79.901799999999994</v>
      </c>
      <c r="AZ41" s="163">
        <v>79.520399999999995</v>
      </c>
      <c r="BA41" s="163">
        <v>29.9316</v>
      </c>
      <c r="BB41" s="163">
        <v>17.7607</v>
      </c>
      <c r="BC41" s="163">
        <v>-520.22400000000005</v>
      </c>
      <c r="BD41" s="163">
        <v>-16.244</v>
      </c>
      <c r="BE41" s="163">
        <v>-12.6</v>
      </c>
      <c r="BF41" s="163">
        <v>-12.6</v>
      </c>
      <c r="BG41" s="163">
        <v>71.639300000000006</v>
      </c>
      <c r="BH41" s="163">
        <v>71.781899999999993</v>
      </c>
      <c r="BI41" s="163">
        <v>-8.7623999999999995</v>
      </c>
      <c r="BJ41" s="164"/>
      <c r="BK41" s="163">
        <v>-56.741999999999997</v>
      </c>
      <c r="BL41" s="163">
        <v>11.7712</v>
      </c>
      <c r="BM41" s="163">
        <v>0</v>
      </c>
      <c r="BN41" s="163">
        <v>-1.4876</v>
      </c>
      <c r="BO41" s="163">
        <v>549.21090000000004</v>
      </c>
      <c r="BP41" s="163">
        <v>207.3732</v>
      </c>
      <c r="BQ41" s="163">
        <v>207.40369999999999</v>
      </c>
      <c r="BR41" s="163">
        <v>-627.04010000000005</v>
      </c>
      <c r="BS41" s="163">
        <v>657.74519999999995</v>
      </c>
      <c r="BT41" s="164"/>
      <c r="BU41" s="163">
        <v>-19.403400000000001</v>
      </c>
      <c r="BV41" s="163">
        <v>19.791399999999999</v>
      </c>
      <c r="BW41" s="163">
        <v>124.28530000000001</v>
      </c>
      <c r="BX41" s="163">
        <v>44.11</v>
      </c>
      <c r="BY41" s="163">
        <v>0</v>
      </c>
      <c r="BZ41" s="163">
        <v>83.93</v>
      </c>
      <c r="CA41" s="163">
        <v>62.33</v>
      </c>
      <c r="CB41" s="163">
        <v>-55.588000000000001</v>
      </c>
      <c r="CC41" s="163">
        <v>-55.052199999999999</v>
      </c>
      <c r="CD41" s="163">
        <v>118.6536</v>
      </c>
      <c r="CE41" s="163">
        <v>120.251</v>
      </c>
      <c r="CF41" s="163">
        <v>13.496600000000001</v>
      </c>
      <c r="CG41" s="163">
        <v>-149.39779999999999</v>
      </c>
      <c r="CH41" s="163">
        <v>-149.2071</v>
      </c>
      <c r="CI41" s="163">
        <v>15.0054</v>
      </c>
      <c r="CJ41" s="163">
        <v>0</v>
      </c>
      <c r="CK41" s="165">
        <v>20.906199999999998</v>
      </c>
      <c r="CL41" s="163">
        <v>25.363</v>
      </c>
      <c r="CM41" s="163">
        <v>141.5</v>
      </c>
      <c r="CN41" s="163">
        <v>127.8</v>
      </c>
      <c r="CO41" s="163">
        <v>-19.11</v>
      </c>
      <c r="CP41" s="163">
        <v>73.457400000000007</v>
      </c>
      <c r="CQ41" s="163">
        <v>72.800700000000006</v>
      </c>
      <c r="CR41" s="163">
        <v>71.429000000000002</v>
      </c>
      <c r="CS41" s="163">
        <v>9.6106999999999996</v>
      </c>
      <c r="CT41" s="163">
        <v>9.6847999999999992</v>
      </c>
      <c r="CU41" s="163">
        <v>14.358700000000001</v>
      </c>
      <c r="CV41" s="163">
        <v>-89.499899999999997</v>
      </c>
      <c r="CW41" s="163">
        <v>21.1999</v>
      </c>
      <c r="CX41" s="163">
        <v>15.4389</v>
      </c>
      <c r="CY41" s="163">
        <v>91.81</v>
      </c>
      <c r="CZ41" s="163">
        <v>48.58</v>
      </c>
      <c r="DA41" s="165">
        <v>58.483899999999998</v>
      </c>
      <c r="DB41" s="163">
        <v>56.254600000000003</v>
      </c>
      <c r="DC41" s="163">
        <v>-37.837000000000003</v>
      </c>
      <c r="DD41" s="164"/>
      <c r="DE41" s="164"/>
      <c r="DF41" s="163">
        <v>0</v>
      </c>
      <c r="DG41" s="163">
        <v>-99.559799999999996</v>
      </c>
      <c r="DH41" s="164"/>
      <c r="DI41" s="164"/>
      <c r="DJ41" s="163">
        <v>-117.5</v>
      </c>
      <c r="DK41" s="163">
        <v>-116.5</v>
      </c>
      <c r="DL41" s="163">
        <v>23.2224</v>
      </c>
      <c r="DM41" s="163">
        <v>74.099999999999994</v>
      </c>
      <c r="DN41" s="163">
        <v>72.16</v>
      </c>
      <c r="DO41" s="163">
        <v>99.42</v>
      </c>
      <c r="DP41" s="163">
        <v>73.2</v>
      </c>
      <c r="DQ41" s="163">
        <v>-10.8</v>
      </c>
      <c r="DR41" s="163">
        <v>69.563999999999993</v>
      </c>
      <c r="DS41" s="163">
        <v>97.097999999999999</v>
      </c>
      <c r="DT41" s="163">
        <v>-28.02</v>
      </c>
      <c r="DU41" s="163">
        <v>-28.41</v>
      </c>
      <c r="DV41" s="163">
        <v>119.5</v>
      </c>
      <c r="DW41" s="163">
        <v>77.31</v>
      </c>
      <c r="DX41" s="163">
        <v>98.509100000000004</v>
      </c>
      <c r="DY41" s="163">
        <v>97.618200000000002</v>
      </c>
      <c r="DZ41" s="163">
        <v>-26.075700000000001</v>
      </c>
      <c r="EA41" s="163">
        <v>-26.127300000000002</v>
      </c>
      <c r="EB41" s="163">
        <v>242.08269999999999</v>
      </c>
      <c r="EC41" s="163">
        <v>189.4511</v>
      </c>
      <c r="ED41" s="163">
        <v>182.98</v>
      </c>
      <c r="EE41" s="163">
        <v>186.6917</v>
      </c>
      <c r="EF41" s="163">
        <v>96.276700000000005</v>
      </c>
      <c r="EG41" s="163">
        <v>74.231099999999998</v>
      </c>
      <c r="EH41" s="163">
        <v>-28.620999999999999</v>
      </c>
      <c r="EI41" s="163">
        <v>635.74130000000002</v>
      </c>
      <c r="EJ41" s="163">
        <v>153.82550000000001</v>
      </c>
      <c r="EK41" s="164"/>
      <c r="EL41" s="163">
        <v>-35.183799999999998</v>
      </c>
      <c r="EM41" s="163">
        <v>-32.862200000000001</v>
      </c>
      <c r="EN41" s="164"/>
      <c r="EO41" s="163">
        <v>-20.320699999999999</v>
      </c>
      <c r="EP41" s="163">
        <v>-18.380400000000002</v>
      </c>
      <c r="EQ41" s="163">
        <v>150.58799999999999</v>
      </c>
      <c r="ER41" s="163">
        <v>-67.866299999999995</v>
      </c>
      <c r="ES41" s="163">
        <v>-69.328699999999998</v>
      </c>
      <c r="ET41" s="163">
        <v>-32.490200000000002</v>
      </c>
      <c r="EU41" s="163">
        <v>0</v>
      </c>
      <c r="EV41" s="163">
        <v>-23.18</v>
      </c>
      <c r="EW41" s="163">
        <v>96.3</v>
      </c>
      <c r="EX41" s="163">
        <v>12.4947</v>
      </c>
      <c r="EY41" s="163">
        <v>-88.730900000000005</v>
      </c>
      <c r="EZ41" s="163">
        <v>-37.024999999999999</v>
      </c>
      <c r="FA41" s="163">
        <v>-36.183799999999998</v>
      </c>
      <c r="FB41" s="163">
        <v>7.9490999999999996</v>
      </c>
      <c r="FC41" s="163">
        <v>-71.729699999999994</v>
      </c>
      <c r="FD41" s="163">
        <v>36.856400000000001</v>
      </c>
      <c r="FE41" s="163">
        <v>24.1661</v>
      </c>
      <c r="FF41" s="163">
        <v>20.7424</v>
      </c>
      <c r="FG41" s="164"/>
      <c r="FH41" s="163">
        <v>41.2316</v>
      </c>
      <c r="FI41" s="163">
        <v>41.8553</v>
      </c>
      <c r="FJ41" s="163">
        <v>40.332799999999999</v>
      </c>
      <c r="FK41" s="163">
        <v>54.758200000000002</v>
      </c>
      <c r="FL41" s="163">
        <v>55.595500000000001</v>
      </c>
      <c r="FM41" s="163">
        <v>-45.883000000000003</v>
      </c>
      <c r="FN41" s="163">
        <v>27.9282</v>
      </c>
      <c r="FO41" s="163">
        <v>28.2807</v>
      </c>
      <c r="FP41" s="163">
        <v>-43.408999999999999</v>
      </c>
      <c r="FQ41" s="163">
        <v>-33.604599999999998</v>
      </c>
      <c r="FR41" s="163">
        <v>-4.7297000000000002</v>
      </c>
      <c r="FS41" s="163">
        <v>-24.32</v>
      </c>
      <c r="FT41" s="164"/>
      <c r="FU41" s="163">
        <v>1.1257999999999999</v>
      </c>
      <c r="FV41" s="163">
        <v>1.34</v>
      </c>
      <c r="FW41" s="163">
        <v>19.2</v>
      </c>
      <c r="FX41" s="163">
        <v>0</v>
      </c>
      <c r="FY41" s="164"/>
      <c r="FZ41" s="163">
        <v>-9.2200000000000006</v>
      </c>
      <c r="GA41" s="163">
        <v>4.3730000000000002</v>
      </c>
      <c r="GB41" s="163">
        <v>11.0411</v>
      </c>
      <c r="GC41" s="163">
        <v>30.96</v>
      </c>
      <c r="GD41" s="163">
        <v>36.542299999999997</v>
      </c>
      <c r="GE41" s="163">
        <v>44.315300000000001</v>
      </c>
      <c r="GF41" s="163">
        <v>14.32</v>
      </c>
      <c r="GG41" s="163">
        <v>72.0565</v>
      </c>
      <c r="GH41" s="163">
        <v>29.5</v>
      </c>
      <c r="GI41" s="163">
        <v>0</v>
      </c>
      <c r="GJ41" s="163">
        <v>-12.046799999999999</v>
      </c>
      <c r="GK41" s="163">
        <v>-12.8437</v>
      </c>
      <c r="GL41" s="163">
        <v>2.2595000000000001</v>
      </c>
      <c r="GM41" s="164"/>
      <c r="GN41" s="164"/>
      <c r="GO41" s="163">
        <v>-17.674700000000001</v>
      </c>
      <c r="GP41" s="163">
        <v>-19.901700000000002</v>
      </c>
      <c r="GQ41" s="163">
        <v>12.6516</v>
      </c>
      <c r="GR41" s="163">
        <v>20.197700000000001</v>
      </c>
      <c r="GS41" s="163">
        <v>12.305999999999999</v>
      </c>
      <c r="GT41" s="163">
        <v>12.873100000000001</v>
      </c>
      <c r="GU41" s="163">
        <v>-103.3497</v>
      </c>
      <c r="GV41" s="163">
        <v>-30.7029</v>
      </c>
      <c r="GW41" s="163">
        <v>30.435500000000001</v>
      </c>
      <c r="GX41" s="163">
        <v>-11.1187</v>
      </c>
      <c r="GY41" s="163">
        <v>6.7895000000000003</v>
      </c>
      <c r="GZ41" s="163">
        <v>14.2607</v>
      </c>
      <c r="HA41" s="163">
        <v>13.935499999999999</v>
      </c>
      <c r="HB41" s="163">
        <v>8.4446999999999992</v>
      </c>
      <c r="HC41" s="163">
        <v>190.5626</v>
      </c>
      <c r="HD41" s="163">
        <v>190.2371</v>
      </c>
      <c r="HE41" s="163">
        <v>280.8</v>
      </c>
      <c r="HF41" s="163">
        <v>-279.90390000000002</v>
      </c>
      <c r="HG41" s="163">
        <v>-485.46429999999998</v>
      </c>
      <c r="HH41" s="163">
        <v>488.15690000000001</v>
      </c>
      <c r="HI41" s="163">
        <v>316.30630000000002</v>
      </c>
      <c r="HJ41" s="163">
        <v>-181.2467</v>
      </c>
      <c r="HK41" s="163">
        <v>-179.5651</v>
      </c>
      <c r="HL41" s="163">
        <v>-49.478200000000001</v>
      </c>
      <c r="HM41" s="163">
        <v>-37.800600000000003</v>
      </c>
      <c r="HN41" s="163">
        <v>79.366900000000001</v>
      </c>
      <c r="HO41" s="163">
        <v>77.720100000000002</v>
      </c>
      <c r="HP41" s="163">
        <v>-124.7397</v>
      </c>
      <c r="HQ41" s="163">
        <v>-125.8359</v>
      </c>
      <c r="HR41" s="163">
        <v>46.519599999999997</v>
      </c>
      <c r="HS41" s="163">
        <v>46.343800000000002</v>
      </c>
      <c r="HT41" s="163">
        <v>-79.540999999999997</v>
      </c>
      <c r="HU41" s="163">
        <v>-79.497299999999996</v>
      </c>
      <c r="HV41" s="163">
        <v>18.22</v>
      </c>
      <c r="HW41" s="163">
        <v>18.41</v>
      </c>
      <c r="HX41" s="163">
        <v>47.9</v>
      </c>
      <c r="HY41" s="163">
        <v>47</v>
      </c>
      <c r="HZ41" s="163">
        <v>20.5519</v>
      </c>
      <c r="IA41" s="163">
        <v>16.079999999999998</v>
      </c>
      <c r="IB41" s="163">
        <v>-321.91910000000001</v>
      </c>
      <c r="IC41" s="163">
        <v>87.994900000000001</v>
      </c>
      <c r="ID41" s="163">
        <v>87.763999999999996</v>
      </c>
      <c r="IE41" s="163">
        <v>15</v>
      </c>
      <c r="IF41" s="163">
        <v>7.6</v>
      </c>
      <c r="IG41" s="163">
        <v>-46.4</v>
      </c>
      <c r="IH41" s="163">
        <v>-56.1</v>
      </c>
      <c r="II41" s="163">
        <v>1.4376</v>
      </c>
      <c r="IJ41" s="164"/>
      <c r="IK41" s="163">
        <v>-315.19119999999998</v>
      </c>
      <c r="IL41" s="163">
        <v>-130.68889999999999</v>
      </c>
      <c r="IM41" s="163">
        <v>412.76139999999998</v>
      </c>
      <c r="IN41" s="163">
        <v>191.55860000000001</v>
      </c>
      <c r="IO41" s="163">
        <v>65.135999999999996</v>
      </c>
      <c r="IP41" s="163">
        <v>-193.12540000000001</v>
      </c>
      <c r="IQ41" s="163">
        <v>188.65950000000001</v>
      </c>
      <c r="IR41" s="163">
        <v>0</v>
      </c>
      <c r="IS41" s="163">
        <v>-274.9348</v>
      </c>
      <c r="IT41" s="163">
        <v>-186.28989999999999</v>
      </c>
      <c r="IU41" s="163">
        <v>182.9128</v>
      </c>
      <c r="IV41" s="163">
        <v>181.51240000000001</v>
      </c>
      <c r="IW41" s="163">
        <v>0</v>
      </c>
      <c r="IX41" s="163">
        <v>-402.93259999999998</v>
      </c>
      <c r="IY41" s="163">
        <v>277.97070000000002</v>
      </c>
      <c r="IZ41" s="163">
        <v>-127.5307</v>
      </c>
      <c r="JA41" s="163">
        <v>130.6995</v>
      </c>
      <c r="JB41" s="163">
        <v>-8.5955999999999992</v>
      </c>
      <c r="JC41" s="163">
        <v>24.893999999999998</v>
      </c>
      <c r="JD41" s="163">
        <v>19.2</v>
      </c>
      <c r="JE41" s="163">
        <v>1.1459999999999999</v>
      </c>
      <c r="JF41" s="163">
        <v>1.1399999999999999</v>
      </c>
      <c r="JG41" s="163">
        <v>-18.88</v>
      </c>
      <c r="JH41" s="163">
        <v>-4.32</v>
      </c>
      <c r="JI41" s="164"/>
      <c r="JJ41" s="163">
        <v>4.3075999999999999</v>
      </c>
      <c r="JK41" s="163">
        <v>-32.695500000000003</v>
      </c>
      <c r="JL41" s="163">
        <v>-17.634799999999998</v>
      </c>
      <c r="JM41" s="163">
        <v>16.8</v>
      </c>
      <c r="JN41" s="163">
        <v>52.421999999999997</v>
      </c>
      <c r="JO41" s="163">
        <v>52.484000000000002</v>
      </c>
      <c r="JP41" s="163">
        <v>8.1186000000000007</v>
      </c>
      <c r="JQ41" s="163">
        <v>9.7148000000000003</v>
      </c>
      <c r="JR41" s="163">
        <v>52.253900000000002</v>
      </c>
      <c r="JS41" s="163">
        <v>51.364600000000003</v>
      </c>
      <c r="JT41" s="163">
        <v>51.978099999999998</v>
      </c>
      <c r="JU41" s="164"/>
      <c r="JV41" s="163">
        <v>-7.6</v>
      </c>
      <c r="JW41" s="163">
        <v>30.2849</v>
      </c>
      <c r="JX41" s="163">
        <v>9.09</v>
      </c>
      <c r="JY41" s="164"/>
      <c r="JZ41" s="163">
        <v>-33.636000000000003</v>
      </c>
      <c r="KA41" s="163">
        <v>77.533199999999994</v>
      </c>
      <c r="KB41" s="163">
        <v>49.261299999999999</v>
      </c>
      <c r="KC41" s="163">
        <v>-33.667200000000001</v>
      </c>
      <c r="KD41" s="163">
        <v>-76.713099999999997</v>
      </c>
      <c r="KE41" s="163">
        <v>36.493400000000001</v>
      </c>
      <c r="KF41" s="163">
        <v>39.062800000000003</v>
      </c>
      <c r="KG41" s="163">
        <v>-6.6</v>
      </c>
      <c r="KH41" s="163">
        <v>6</v>
      </c>
      <c r="KI41" s="163">
        <v>-159.8579</v>
      </c>
      <c r="KJ41" s="163">
        <v>240.41130000000001</v>
      </c>
    </row>
    <row r="42" spans="1:296" ht="18" customHeight="1" x14ac:dyDescent="0.3">
      <c r="A42" s="162" t="s">
        <v>67</v>
      </c>
      <c r="B42" s="162" t="s">
        <v>841</v>
      </c>
      <c r="C42" s="166">
        <v>0</v>
      </c>
      <c r="D42" s="167"/>
      <c r="E42" s="166">
        <v>12.965199999999999</v>
      </c>
      <c r="F42" s="166">
        <v>-20.754799999999999</v>
      </c>
      <c r="G42" s="166">
        <v>-30.464300000000001</v>
      </c>
      <c r="H42" s="166">
        <v>34.405700000000003</v>
      </c>
      <c r="I42" s="167"/>
      <c r="J42" s="166">
        <v>56.318399999999997</v>
      </c>
      <c r="K42" s="166">
        <v>-110.68300000000001</v>
      </c>
      <c r="L42" s="166">
        <v>72.986199999999997</v>
      </c>
      <c r="M42" s="166">
        <v>37.088900000000002</v>
      </c>
      <c r="N42" s="166">
        <v>36.217700000000001</v>
      </c>
      <c r="O42" s="166">
        <v>-24.42</v>
      </c>
      <c r="P42" s="166">
        <v>-70.225999999999999</v>
      </c>
      <c r="Q42" s="166">
        <v>63.8</v>
      </c>
      <c r="R42" s="166">
        <v>19.044</v>
      </c>
      <c r="S42" s="166">
        <v>-63.8</v>
      </c>
      <c r="T42" s="166">
        <v>14.1669</v>
      </c>
      <c r="U42" s="166">
        <v>66.224800000000002</v>
      </c>
      <c r="V42" s="166">
        <v>15.5395</v>
      </c>
      <c r="W42" s="166">
        <v>15.759</v>
      </c>
      <c r="X42" s="166">
        <v>25.569400000000002</v>
      </c>
      <c r="Y42" s="166">
        <v>1.833</v>
      </c>
      <c r="Z42" s="166">
        <v>5.8609</v>
      </c>
      <c r="AA42" s="166">
        <v>5.9318999999999997</v>
      </c>
      <c r="AB42" s="167"/>
      <c r="AC42" s="167"/>
      <c r="AD42" s="166">
        <v>-83.94</v>
      </c>
      <c r="AE42" s="166">
        <v>-83.65</v>
      </c>
      <c r="AF42" s="167"/>
      <c r="AG42" s="166">
        <v>24.42</v>
      </c>
      <c r="AH42" s="166">
        <v>68.2</v>
      </c>
      <c r="AI42" s="166">
        <v>24.05</v>
      </c>
      <c r="AJ42" s="166">
        <v>0.26500000000000001</v>
      </c>
      <c r="AK42" s="166">
        <v>-75.22</v>
      </c>
      <c r="AL42" s="166">
        <v>-75.41</v>
      </c>
      <c r="AM42" s="166">
        <v>-31.19</v>
      </c>
      <c r="AN42" s="166">
        <v>76.7</v>
      </c>
      <c r="AO42" s="166">
        <v>76.959999999999994</v>
      </c>
      <c r="AP42" s="166">
        <v>19.647500000000001</v>
      </c>
      <c r="AQ42" s="166">
        <v>-0.55349999999999999</v>
      </c>
      <c r="AR42" s="166">
        <v>73.559700000000007</v>
      </c>
      <c r="AS42" s="166">
        <v>76.0792</v>
      </c>
      <c r="AT42" s="166">
        <v>47.0762</v>
      </c>
      <c r="AU42" s="166">
        <v>-58.109400000000001</v>
      </c>
      <c r="AV42" s="166">
        <v>-58.723300000000002</v>
      </c>
      <c r="AW42" s="166">
        <v>7.8239000000000001</v>
      </c>
      <c r="AX42" s="166">
        <v>7.4577999999999998</v>
      </c>
      <c r="AY42" s="166">
        <v>82.819500000000005</v>
      </c>
      <c r="AZ42" s="166">
        <v>84.140900000000002</v>
      </c>
      <c r="BA42" s="166">
        <v>9.1212</v>
      </c>
      <c r="BB42" s="166">
        <v>8.6889000000000003</v>
      </c>
      <c r="BC42" s="166">
        <v>-513.68740000000003</v>
      </c>
      <c r="BD42" s="166">
        <v>-14.997199999999999</v>
      </c>
      <c r="BE42" s="166">
        <v>-11.7</v>
      </c>
      <c r="BF42" s="166">
        <v>-11.7</v>
      </c>
      <c r="BG42" s="166">
        <v>64.721699999999998</v>
      </c>
      <c r="BH42" s="166">
        <v>63.295999999999999</v>
      </c>
      <c r="BI42" s="166">
        <v>-8.9596999999999998</v>
      </c>
      <c r="BJ42" s="167"/>
      <c r="BK42" s="166">
        <v>-47.216099999999997</v>
      </c>
      <c r="BL42" s="166">
        <v>11.0299</v>
      </c>
      <c r="BM42" s="166">
        <v>0</v>
      </c>
      <c r="BN42" s="166">
        <v>-2.3561999999999999</v>
      </c>
      <c r="BO42" s="166">
        <v>549.51610000000005</v>
      </c>
      <c r="BP42" s="166">
        <v>207.15960000000001</v>
      </c>
      <c r="BQ42" s="166">
        <v>208.19720000000001</v>
      </c>
      <c r="BR42" s="166">
        <v>-611.8904</v>
      </c>
      <c r="BS42" s="166">
        <v>658.23</v>
      </c>
      <c r="BT42" s="167"/>
      <c r="BU42" s="166">
        <v>-23.005400000000002</v>
      </c>
      <c r="BV42" s="166">
        <v>24.263100000000001</v>
      </c>
      <c r="BW42" s="166">
        <v>122.1996</v>
      </c>
      <c r="BX42" s="166">
        <v>44.33</v>
      </c>
      <c r="BY42" s="166">
        <v>0</v>
      </c>
      <c r="BZ42" s="166">
        <v>83.07</v>
      </c>
      <c r="CA42" s="166">
        <v>62.36</v>
      </c>
      <c r="CB42" s="166">
        <v>-51.167400000000001</v>
      </c>
      <c r="CC42" s="166">
        <v>-51.033499999999997</v>
      </c>
      <c r="CD42" s="166">
        <v>110.7197</v>
      </c>
      <c r="CE42" s="166">
        <v>111.51390000000001</v>
      </c>
      <c r="CF42" s="166">
        <v>17.6571</v>
      </c>
      <c r="CG42" s="166">
        <v>-161.67019999999999</v>
      </c>
      <c r="CH42" s="166">
        <v>-160.3954</v>
      </c>
      <c r="CI42" s="166">
        <v>11.7257</v>
      </c>
      <c r="CJ42" s="166">
        <v>0</v>
      </c>
      <c r="CK42" s="166">
        <v>20.906199999999998</v>
      </c>
      <c r="CL42" s="166">
        <v>28.966000000000001</v>
      </c>
      <c r="CM42" s="166">
        <v>144.30000000000001</v>
      </c>
      <c r="CN42" s="166">
        <v>130.4</v>
      </c>
      <c r="CO42" s="166">
        <v>-19.12</v>
      </c>
      <c r="CP42" s="166">
        <v>69.597200000000001</v>
      </c>
      <c r="CQ42" s="166">
        <v>67.478399999999993</v>
      </c>
      <c r="CR42" s="166">
        <v>67.908000000000001</v>
      </c>
      <c r="CS42" s="166">
        <v>-3.1675</v>
      </c>
      <c r="CT42" s="166">
        <v>-2.9072</v>
      </c>
      <c r="CU42" s="166">
        <v>29.6845</v>
      </c>
      <c r="CV42" s="166">
        <v>-93.296899999999994</v>
      </c>
      <c r="CW42" s="166">
        <v>39.355600000000003</v>
      </c>
      <c r="CX42" s="166">
        <v>15.1858</v>
      </c>
      <c r="CY42" s="166">
        <v>93.47</v>
      </c>
      <c r="CZ42" s="166">
        <v>48.53</v>
      </c>
      <c r="DA42" s="166">
        <v>58.132300000000001</v>
      </c>
      <c r="DB42" s="166">
        <v>55.082700000000003</v>
      </c>
      <c r="DC42" s="166">
        <v>-36.8825</v>
      </c>
      <c r="DD42" s="167"/>
      <c r="DE42" s="167"/>
      <c r="DF42" s="166">
        <v>0</v>
      </c>
      <c r="DG42" s="166">
        <v>-100.0869</v>
      </c>
      <c r="DH42" s="167"/>
      <c r="DI42" s="167"/>
      <c r="DJ42" s="166">
        <v>-114.1</v>
      </c>
      <c r="DK42" s="166">
        <v>-113.8</v>
      </c>
      <c r="DL42" s="166">
        <v>23.0136</v>
      </c>
      <c r="DM42" s="166">
        <v>72.400000000000006</v>
      </c>
      <c r="DN42" s="166">
        <v>72.56</v>
      </c>
      <c r="DO42" s="166">
        <v>98.4</v>
      </c>
      <c r="DP42" s="166">
        <v>71.680000000000007</v>
      </c>
      <c r="DQ42" s="166">
        <v>-10.61</v>
      </c>
      <c r="DR42" s="166">
        <v>70.772999999999996</v>
      </c>
      <c r="DS42" s="166">
        <v>99.258099999999999</v>
      </c>
      <c r="DT42" s="166">
        <v>-28.09</v>
      </c>
      <c r="DU42" s="166">
        <v>-28.48</v>
      </c>
      <c r="DV42" s="166">
        <v>123.45</v>
      </c>
      <c r="DW42" s="166">
        <v>76.349999999999994</v>
      </c>
      <c r="DX42" s="166">
        <v>99.018199999999993</v>
      </c>
      <c r="DY42" s="166">
        <v>98.290899999999993</v>
      </c>
      <c r="DZ42" s="166">
        <v>-17.779900000000001</v>
      </c>
      <c r="EA42" s="166">
        <v>-17.2545</v>
      </c>
      <c r="EB42" s="166">
        <v>244.63849999999999</v>
      </c>
      <c r="EC42" s="166">
        <v>194.7936</v>
      </c>
      <c r="ED42" s="166">
        <v>186.40129999999999</v>
      </c>
      <c r="EE42" s="166">
        <v>191.12899999999999</v>
      </c>
      <c r="EF42" s="166">
        <v>77.0655</v>
      </c>
      <c r="EG42" s="166">
        <v>53.112400000000001</v>
      </c>
      <c r="EH42" s="166">
        <v>-30.295000000000002</v>
      </c>
      <c r="EI42" s="166">
        <v>623.15110000000004</v>
      </c>
      <c r="EJ42" s="166">
        <v>206.4659</v>
      </c>
      <c r="EK42" s="167"/>
      <c r="EL42" s="166">
        <v>-25.584800000000001</v>
      </c>
      <c r="EM42" s="166">
        <v>-23.665500000000002</v>
      </c>
      <c r="EN42" s="167"/>
      <c r="EO42" s="166">
        <v>-5.9724000000000004</v>
      </c>
      <c r="EP42" s="166">
        <v>-5.6182999999999996</v>
      </c>
      <c r="EQ42" s="166">
        <v>55.344000000000001</v>
      </c>
      <c r="ER42" s="166">
        <v>-46.59</v>
      </c>
      <c r="ES42" s="166">
        <v>-47.244300000000003</v>
      </c>
      <c r="ET42" s="166">
        <v>-12.2249</v>
      </c>
      <c r="EU42" s="166">
        <v>15.09</v>
      </c>
      <c r="EV42" s="166">
        <v>-14.47</v>
      </c>
      <c r="EW42" s="166">
        <v>1</v>
      </c>
      <c r="EX42" s="166">
        <v>11.833600000000001</v>
      </c>
      <c r="EY42" s="166">
        <v>-59.8063</v>
      </c>
      <c r="EZ42" s="166">
        <v>-36.829700000000003</v>
      </c>
      <c r="FA42" s="166">
        <v>-36.098100000000002</v>
      </c>
      <c r="FB42" s="166">
        <v>7.7267000000000001</v>
      </c>
      <c r="FC42" s="166">
        <v>-50.340899999999998</v>
      </c>
      <c r="FD42" s="166">
        <v>18.685199999999998</v>
      </c>
      <c r="FE42" s="166">
        <v>24.468699999999998</v>
      </c>
      <c r="FF42" s="166">
        <v>21.542899999999999</v>
      </c>
      <c r="FG42" s="167"/>
      <c r="FH42" s="166">
        <v>40.763199999999998</v>
      </c>
      <c r="FI42" s="166">
        <v>40.697000000000003</v>
      </c>
      <c r="FJ42" s="166">
        <v>39.643999999999998</v>
      </c>
      <c r="FK42" s="166">
        <v>49.902000000000001</v>
      </c>
      <c r="FL42" s="166">
        <v>49.902000000000001</v>
      </c>
      <c r="FM42" s="166">
        <v>-28.467600000000001</v>
      </c>
      <c r="FN42" s="166">
        <v>19.547799999999999</v>
      </c>
      <c r="FO42" s="166">
        <v>19.641300000000001</v>
      </c>
      <c r="FP42" s="166">
        <v>-36.7239</v>
      </c>
      <c r="FQ42" s="166">
        <v>-28.806999999999999</v>
      </c>
      <c r="FR42" s="166">
        <v>4.1327999999999996</v>
      </c>
      <c r="FS42" s="166">
        <v>-21.63</v>
      </c>
      <c r="FT42" s="167"/>
      <c r="FU42" s="166">
        <v>1.1966000000000001</v>
      </c>
      <c r="FV42" s="166">
        <v>1.38</v>
      </c>
      <c r="FW42" s="166">
        <v>18.87</v>
      </c>
      <c r="FX42" s="166">
        <v>0</v>
      </c>
      <c r="FY42" s="167"/>
      <c r="FZ42" s="168">
        <v>-9.2989999999999995</v>
      </c>
      <c r="GA42" s="166">
        <v>4.4889999999999999</v>
      </c>
      <c r="GB42" s="167"/>
      <c r="GC42" s="166">
        <v>34.56</v>
      </c>
      <c r="GD42" s="166">
        <v>29.826799999999999</v>
      </c>
      <c r="GE42" s="166">
        <v>35.397399999999998</v>
      </c>
      <c r="GF42" s="166">
        <v>14.62</v>
      </c>
      <c r="GG42" s="166">
        <v>74.474199999999996</v>
      </c>
      <c r="GH42" s="166">
        <v>30.9</v>
      </c>
      <c r="GI42" s="166">
        <v>0</v>
      </c>
      <c r="GJ42" s="166">
        <v>-12.0097</v>
      </c>
      <c r="GK42" s="166">
        <v>-12.874000000000001</v>
      </c>
      <c r="GL42" s="166">
        <v>2.2446999999999999</v>
      </c>
      <c r="GM42" s="167"/>
      <c r="GN42" s="167"/>
      <c r="GO42" s="166">
        <v>-18.0395</v>
      </c>
      <c r="GP42" s="166">
        <v>-17.990100000000002</v>
      </c>
      <c r="GQ42" s="166">
        <v>13.9201</v>
      </c>
      <c r="GR42" s="166">
        <v>18.8628</v>
      </c>
      <c r="GS42" s="166">
        <v>10.4665</v>
      </c>
      <c r="GT42" s="166">
        <v>10.6286</v>
      </c>
      <c r="GU42" s="166">
        <v>-101.9834</v>
      </c>
      <c r="GV42" s="166">
        <v>-30.2639</v>
      </c>
      <c r="GW42" s="166">
        <v>29.6585</v>
      </c>
      <c r="GX42" s="166">
        <v>-10.712199999999999</v>
      </c>
      <c r="GY42" s="166">
        <v>6.2887000000000004</v>
      </c>
      <c r="GZ42" s="166">
        <v>15.316599999999999</v>
      </c>
      <c r="HA42" s="166">
        <v>14.8742</v>
      </c>
      <c r="HB42" s="166">
        <v>7.9241999999999999</v>
      </c>
      <c r="HC42" s="166">
        <v>209.19980000000001</v>
      </c>
      <c r="HD42" s="166">
        <v>207.1645</v>
      </c>
      <c r="HE42" s="166">
        <v>277.39999999999998</v>
      </c>
      <c r="HF42" s="166">
        <v>-276.92329999999998</v>
      </c>
      <c r="HG42" s="166">
        <v>-481.14159999999998</v>
      </c>
      <c r="HH42" s="166">
        <v>482.27260000000001</v>
      </c>
      <c r="HI42" s="166">
        <v>375.31310000000002</v>
      </c>
      <c r="HJ42" s="166">
        <v>-198.125</v>
      </c>
      <c r="HK42" s="166">
        <v>-195.52209999999999</v>
      </c>
      <c r="HL42" s="166">
        <v>-46.160899999999998</v>
      </c>
      <c r="HM42" s="166">
        <v>-34.8416</v>
      </c>
      <c r="HN42" s="166">
        <v>78.711799999999997</v>
      </c>
      <c r="HO42" s="166">
        <v>79.225800000000007</v>
      </c>
      <c r="HP42" s="167"/>
      <c r="HQ42" s="167"/>
      <c r="HR42" s="166">
        <v>39.598100000000002</v>
      </c>
      <c r="HS42" s="166">
        <v>38.719200000000001</v>
      </c>
      <c r="HT42" s="166">
        <v>-59.6678</v>
      </c>
      <c r="HU42" s="166">
        <v>-60.151299999999999</v>
      </c>
      <c r="HV42" s="166">
        <v>108.14</v>
      </c>
      <c r="HW42" s="166">
        <v>107.22</v>
      </c>
      <c r="HX42" s="166">
        <v>24.7</v>
      </c>
      <c r="HY42" s="166">
        <v>25.2</v>
      </c>
      <c r="HZ42" s="168">
        <v>20.6951</v>
      </c>
      <c r="IA42" s="166">
        <v>36.64</v>
      </c>
      <c r="IB42" s="166">
        <v>-364.79109999999997</v>
      </c>
      <c r="IC42" s="166">
        <v>102.6067</v>
      </c>
      <c r="ID42" s="166">
        <v>102.3496</v>
      </c>
      <c r="IE42" s="166">
        <v>16.8</v>
      </c>
      <c r="IF42" s="166">
        <v>0.6</v>
      </c>
      <c r="IG42" s="166">
        <v>-37.799999999999997</v>
      </c>
      <c r="IH42" s="166">
        <v>-46.2</v>
      </c>
      <c r="II42" s="167"/>
      <c r="IJ42" s="167"/>
      <c r="IK42" s="166">
        <v>-369.46839999999997</v>
      </c>
      <c r="IL42" s="166">
        <v>-183.91069999999999</v>
      </c>
      <c r="IM42" s="166">
        <v>422.39550000000003</v>
      </c>
      <c r="IN42" s="166">
        <v>349.04739999999998</v>
      </c>
      <c r="IO42" s="166">
        <v>84.864999999999995</v>
      </c>
      <c r="IP42" s="166">
        <v>-338.12299999999999</v>
      </c>
      <c r="IQ42" s="166">
        <v>343.54109999999997</v>
      </c>
      <c r="IR42" s="166">
        <v>-163.83760000000001</v>
      </c>
      <c r="IS42" s="166">
        <v>-221.35820000000001</v>
      </c>
      <c r="IT42" s="166">
        <v>-337.55160000000001</v>
      </c>
      <c r="IU42" s="166">
        <v>94.590100000000007</v>
      </c>
      <c r="IV42" s="166">
        <v>92.7273</v>
      </c>
      <c r="IW42" s="166">
        <v>162.49459999999999</v>
      </c>
      <c r="IX42" s="166">
        <v>-407.46600000000001</v>
      </c>
      <c r="IY42" s="166">
        <v>223.68700000000001</v>
      </c>
      <c r="IZ42" s="166">
        <v>-187.12889999999999</v>
      </c>
      <c r="JA42" s="166">
        <v>186.00720000000001</v>
      </c>
      <c r="JB42" s="166">
        <v>-7.4611999999999998</v>
      </c>
      <c r="JC42" s="166">
        <v>21.096</v>
      </c>
      <c r="JD42" s="166">
        <v>17.920000000000002</v>
      </c>
      <c r="JE42" s="166">
        <v>1.1890000000000001</v>
      </c>
      <c r="JF42" s="166">
        <v>1.19</v>
      </c>
      <c r="JG42" s="166">
        <v>-17.920000000000002</v>
      </c>
      <c r="JH42" s="166">
        <v>-5.68</v>
      </c>
      <c r="JI42" s="167"/>
      <c r="JJ42" s="166">
        <v>5.1285999999999996</v>
      </c>
      <c r="JK42" s="166">
        <v>-29.1798</v>
      </c>
      <c r="JL42" s="166">
        <v>-15.5566</v>
      </c>
      <c r="JM42" s="166">
        <v>8.1</v>
      </c>
      <c r="JN42" s="166">
        <v>54.295000000000002</v>
      </c>
      <c r="JO42" s="166">
        <v>53.427999999999997</v>
      </c>
      <c r="JP42" s="166">
        <v>8.2030999999999992</v>
      </c>
      <c r="JQ42" s="166">
        <v>9.8216999999999999</v>
      </c>
      <c r="JR42" s="166">
        <v>52.561500000000002</v>
      </c>
      <c r="JS42" s="166">
        <v>51.3262</v>
      </c>
      <c r="JT42" s="166">
        <v>52.177199999999999</v>
      </c>
      <c r="JU42" s="167"/>
      <c r="JV42" s="166">
        <v>0.3</v>
      </c>
      <c r="JW42" s="166">
        <v>29.206399999999999</v>
      </c>
      <c r="JX42" s="166">
        <v>9.0399999999999991</v>
      </c>
      <c r="JY42" s="167"/>
      <c r="JZ42" s="166">
        <v>-31.6706</v>
      </c>
      <c r="KA42" s="166">
        <v>75.023200000000003</v>
      </c>
      <c r="KB42" s="166">
        <v>47.344200000000001</v>
      </c>
      <c r="KC42" s="166">
        <v>-31.550599999999999</v>
      </c>
      <c r="KD42" s="166">
        <v>-72.899799999999999</v>
      </c>
      <c r="KE42" s="166">
        <v>34.197000000000003</v>
      </c>
      <c r="KF42" s="166">
        <v>39.420400000000001</v>
      </c>
      <c r="KG42" s="166">
        <v>-14.2</v>
      </c>
      <c r="KH42" s="166">
        <v>15.1</v>
      </c>
      <c r="KI42" s="166">
        <v>-106.0283</v>
      </c>
      <c r="KJ42" s="166">
        <v>228.88229999999999</v>
      </c>
    </row>
    <row r="43" spans="1:296" ht="18" customHeight="1" x14ac:dyDescent="0.3">
      <c r="A43" s="162" t="s">
        <v>67</v>
      </c>
      <c r="B43" s="162" t="s">
        <v>842</v>
      </c>
      <c r="C43" s="166">
        <v>0</v>
      </c>
      <c r="D43" s="167"/>
      <c r="E43" s="166">
        <v>12.457700000000001</v>
      </c>
      <c r="F43" s="166">
        <v>-19.981200000000001</v>
      </c>
      <c r="G43" s="166">
        <v>-30.820599999999999</v>
      </c>
      <c r="H43" s="166">
        <v>33.987400000000001</v>
      </c>
      <c r="I43" s="167"/>
      <c r="J43" s="166">
        <v>53.287700000000001</v>
      </c>
      <c r="K43" s="166">
        <v>-100.785</v>
      </c>
      <c r="L43" s="166">
        <v>71.449100000000001</v>
      </c>
      <c r="M43" s="166">
        <v>36.172899999999998</v>
      </c>
      <c r="N43" s="166">
        <v>35.483400000000003</v>
      </c>
      <c r="O43" s="166">
        <v>-19.98</v>
      </c>
      <c r="P43" s="166">
        <v>-62.59</v>
      </c>
      <c r="Q43" s="166">
        <v>57.2</v>
      </c>
      <c r="R43" s="166">
        <v>13.247999999999999</v>
      </c>
      <c r="S43" s="166">
        <v>-55</v>
      </c>
      <c r="T43" s="166">
        <v>14.860200000000001</v>
      </c>
      <c r="U43" s="166">
        <v>57.692399999999999</v>
      </c>
      <c r="V43" s="166">
        <v>15.0162</v>
      </c>
      <c r="W43" s="166">
        <v>15.329499999999999</v>
      </c>
      <c r="X43" s="166">
        <v>25.2088</v>
      </c>
      <c r="Y43" s="166">
        <v>1.8075000000000001</v>
      </c>
      <c r="Z43" s="166">
        <v>5.1826999999999996</v>
      </c>
      <c r="AA43" s="166">
        <v>6.1958000000000002</v>
      </c>
      <c r="AB43" s="167"/>
      <c r="AC43" s="167"/>
      <c r="AD43" s="166">
        <v>-81.319999999999993</v>
      </c>
      <c r="AE43" s="166">
        <v>-81.650000000000006</v>
      </c>
      <c r="AF43" s="167"/>
      <c r="AG43" s="166">
        <v>19.98</v>
      </c>
      <c r="AH43" s="166">
        <v>61.6</v>
      </c>
      <c r="AI43" s="166">
        <v>24.5</v>
      </c>
      <c r="AJ43" s="166">
        <v>0.26500000000000001</v>
      </c>
      <c r="AK43" s="166">
        <v>-72.52</v>
      </c>
      <c r="AL43" s="166">
        <v>-73.010000000000005</v>
      </c>
      <c r="AM43" s="166">
        <v>-30.9</v>
      </c>
      <c r="AN43" s="166">
        <v>73.2</v>
      </c>
      <c r="AO43" s="166">
        <v>73.930000000000007</v>
      </c>
      <c r="AP43" s="166">
        <v>19.784600000000001</v>
      </c>
      <c r="AQ43" s="166">
        <v>-0.65380000000000005</v>
      </c>
      <c r="AR43" s="166">
        <v>72.000100000000003</v>
      </c>
      <c r="AS43" s="166">
        <v>75.190799999999996</v>
      </c>
      <c r="AT43" s="166">
        <v>48.1038</v>
      </c>
      <c r="AU43" s="166">
        <v>-59.369700000000002</v>
      </c>
      <c r="AV43" s="166">
        <v>-59.773299999999999</v>
      </c>
      <c r="AW43" s="166">
        <v>8.7396999999999991</v>
      </c>
      <c r="AX43" s="166">
        <v>8.7522000000000002</v>
      </c>
      <c r="AY43" s="166">
        <v>80.454700000000003</v>
      </c>
      <c r="AZ43" s="166">
        <v>82.042699999999996</v>
      </c>
      <c r="BA43" s="166">
        <v>6.1318999999999999</v>
      </c>
      <c r="BB43" s="166">
        <v>6.6412000000000004</v>
      </c>
      <c r="BC43" s="166">
        <v>-475.9049</v>
      </c>
      <c r="BD43" s="166">
        <v>-15.437200000000001</v>
      </c>
      <c r="BE43" s="166">
        <v>-12.4</v>
      </c>
      <c r="BF43" s="166">
        <v>-12.4</v>
      </c>
      <c r="BG43" s="166">
        <v>66.444299999999998</v>
      </c>
      <c r="BH43" s="166">
        <v>65.1785</v>
      </c>
      <c r="BI43" s="166">
        <v>-5.4194000000000004</v>
      </c>
      <c r="BJ43" s="167"/>
      <c r="BK43" s="166">
        <v>-45.4221</v>
      </c>
      <c r="BL43" s="166">
        <v>10.7178</v>
      </c>
      <c r="BM43" s="166">
        <v>10.872299999999999</v>
      </c>
      <c r="BN43" s="166">
        <v>7.4132999999999996</v>
      </c>
      <c r="BO43" s="166">
        <v>513.53480000000002</v>
      </c>
      <c r="BP43" s="166">
        <v>177.89230000000001</v>
      </c>
      <c r="BQ43" s="166">
        <v>176.458</v>
      </c>
      <c r="BR43" s="166">
        <v>-573.30110000000002</v>
      </c>
      <c r="BS43" s="166">
        <v>606.36080000000004</v>
      </c>
      <c r="BT43" s="167"/>
      <c r="BU43" s="166">
        <v>-43.306399999999996</v>
      </c>
      <c r="BV43" s="166">
        <v>45.464199999999998</v>
      </c>
      <c r="BW43" s="166">
        <v>122.4691</v>
      </c>
      <c r="BX43" s="166">
        <v>43.73</v>
      </c>
      <c r="BY43" s="166">
        <v>0</v>
      </c>
      <c r="BZ43" s="166">
        <v>83.96</v>
      </c>
      <c r="CA43" s="166">
        <v>61.71</v>
      </c>
      <c r="CB43" s="166">
        <v>-47.952500000000001</v>
      </c>
      <c r="CC43" s="166">
        <v>-48.086399999999998</v>
      </c>
      <c r="CD43" s="166">
        <v>111.2182</v>
      </c>
      <c r="CE43" s="166">
        <v>111.8866</v>
      </c>
      <c r="CF43" s="166">
        <v>18.391200000000001</v>
      </c>
      <c r="CG43" s="166">
        <v>-151.43770000000001</v>
      </c>
      <c r="CH43" s="166">
        <v>-151.56299999999999</v>
      </c>
      <c r="CI43" s="166">
        <v>5.5399999999999998E-2</v>
      </c>
      <c r="CJ43" s="166">
        <v>0</v>
      </c>
      <c r="CK43" s="168">
        <v>16.690899999999999</v>
      </c>
      <c r="CL43" s="168">
        <v>20.6785</v>
      </c>
      <c r="CM43" s="166">
        <v>145</v>
      </c>
      <c r="CN43" s="166">
        <v>132.6</v>
      </c>
      <c r="CO43" s="166">
        <v>-19.170000000000002</v>
      </c>
      <c r="CP43" s="166">
        <v>74.480900000000005</v>
      </c>
      <c r="CQ43" s="166">
        <v>72.605000000000004</v>
      </c>
      <c r="CR43" s="166">
        <v>72.331699999999998</v>
      </c>
      <c r="CS43" s="166">
        <v>-1.0711999999999999</v>
      </c>
      <c r="CT43" s="166">
        <v>-0.31859999999999999</v>
      </c>
      <c r="CU43" s="166">
        <v>20.899000000000001</v>
      </c>
      <c r="CV43" s="166">
        <v>-87.057000000000002</v>
      </c>
      <c r="CW43" s="166">
        <v>29.424099999999999</v>
      </c>
      <c r="CX43" s="166">
        <v>15.1676</v>
      </c>
      <c r="CY43" s="166">
        <v>89.55</v>
      </c>
      <c r="CZ43" s="166">
        <v>47.23</v>
      </c>
      <c r="DA43" s="166">
        <v>58.132300000000001</v>
      </c>
      <c r="DB43" s="166">
        <v>55.082700000000003</v>
      </c>
      <c r="DC43" s="166">
        <v>-37.573799999999999</v>
      </c>
      <c r="DD43" s="167"/>
      <c r="DE43" s="167"/>
      <c r="DF43" s="166">
        <v>0</v>
      </c>
      <c r="DG43" s="166">
        <v>-85.534099999999995</v>
      </c>
      <c r="DH43" s="167"/>
      <c r="DI43" s="167"/>
      <c r="DJ43" s="166">
        <v>-116.3</v>
      </c>
      <c r="DK43" s="166">
        <v>-115.7</v>
      </c>
      <c r="DL43" s="166">
        <v>22.9587</v>
      </c>
      <c r="DM43" s="166">
        <v>71.400000000000006</v>
      </c>
      <c r="DN43" s="166">
        <v>71.36</v>
      </c>
      <c r="DO43" s="166">
        <v>97.22</v>
      </c>
      <c r="DP43" s="166">
        <v>70.94</v>
      </c>
      <c r="DQ43" s="166">
        <v>-9.77</v>
      </c>
      <c r="DR43" s="166">
        <v>68.5565</v>
      </c>
      <c r="DS43" s="166">
        <v>84.864800000000002</v>
      </c>
      <c r="DT43" s="166">
        <v>-28.5</v>
      </c>
      <c r="DU43" s="166">
        <v>-28.9</v>
      </c>
      <c r="DV43" s="166">
        <v>125.33</v>
      </c>
      <c r="DW43" s="166">
        <v>77.3</v>
      </c>
      <c r="DX43" s="166">
        <v>86.018199999999993</v>
      </c>
      <c r="DY43" s="166">
        <v>84.618200000000002</v>
      </c>
      <c r="DZ43" s="166">
        <v>-20.05</v>
      </c>
      <c r="EA43" s="166">
        <v>-20.7636</v>
      </c>
      <c r="EB43" s="166">
        <v>235.65700000000001</v>
      </c>
      <c r="EC43" s="166">
        <v>184.70869999999999</v>
      </c>
      <c r="ED43" s="166">
        <v>179.2696</v>
      </c>
      <c r="EE43" s="166">
        <v>180.7687</v>
      </c>
      <c r="EF43" s="166">
        <v>111.1002</v>
      </c>
      <c r="EG43" s="166">
        <v>88.102999999999994</v>
      </c>
      <c r="EH43" s="166">
        <v>-28.245999999999999</v>
      </c>
      <c r="EI43" s="166">
        <v>583.72329999999999</v>
      </c>
      <c r="EJ43" s="166">
        <v>327.5265</v>
      </c>
      <c r="EK43" s="167"/>
      <c r="EL43" s="166">
        <v>-23.888300000000001</v>
      </c>
      <c r="EM43" s="166">
        <v>-22.1797</v>
      </c>
      <c r="EN43" s="167"/>
      <c r="EO43" s="166">
        <v>-7.1703000000000001</v>
      </c>
      <c r="EP43" s="166">
        <v>-6.2523999999999997</v>
      </c>
      <c r="EQ43" s="166">
        <v>170.55600000000001</v>
      </c>
      <c r="ER43" s="166">
        <v>-66.790800000000004</v>
      </c>
      <c r="ES43" s="166">
        <v>-67.862700000000004</v>
      </c>
      <c r="ET43" s="166">
        <v>-47.0535</v>
      </c>
      <c r="EU43" s="166">
        <v>14.86</v>
      </c>
      <c r="EV43" s="166">
        <v>-13.42</v>
      </c>
      <c r="EW43" s="166">
        <v>118.2</v>
      </c>
      <c r="EX43" s="166">
        <v>11.229900000000001</v>
      </c>
      <c r="EY43" s="166">
        <v>-60.066099999999999</v>
      </c>
      <c r="EZ43" s="166">
        <v>-39.072400000000002</v>
      </c>
      <c r="FA43" s="166">
        <v>-38.292499999999997</v>
      </c>
      <c r="FB43" s="166">
        <v>5.9886999999999997</v>
      </c>
      <c r="FC43" s="166">
        <v>-85.265699999999995</v>
      </c>
      <c r="FD43" s="166">
        <v>50.087200000000003</v>
      </c>
      <c r="FE43" s="166">
        <v>24.892600000000002</v>
      </c>
      <c r="FF43" s="166">
        <v>24.234300000000001</v>
      </c>
      <c r="FG43" s="167"/>
      <c r="FH43" s="166">
        <v>41.684800000000003</v>
      </c>
      <c r="FI43" s="166">
        <v>42.122399999999999</v>
      </c>
      <c r="FJ43" s="166">
        <v>40.447600000000001</v>
      </c>
      <c r="FK43" s="166">
        <v>47.892499999999998</v>
      </c>
      <c r="FL43" s="166">
        <v>47.390099999999997</v>
      </c>
      <c r="FM43" s="166">
        <v>-39.5197</v>
      </c>
      <c r="FN43" s="166">
        <v>22.302600000000002</v>
      </c>
      <c r="FO43" s="166">
        <v>22.875</v>
      </c>
      <c r="FP43" s="166">
        <v>-47.7395</v>
      </c>
      <c r="FQ43" s="166">
        <v>-37.837000000000003</v>
      </c>
      <c r="FR43" s="166">
        <v>-1.1700999999999999</v>
      </c>
      <c r="FS43" s="166">
        <v>-22.22</v>
      </c>
      <c r="FT43" s="167"/>
      <c r="FU43" s="166">
        <v>1.2564</v>
      </c>
      <c r="FV43" s="166">
        <v>1.35</v>
      </c>
      <c r="FW43" s="166">
        <v>18.07</v>
      </c>
      <c r="FX43" s="166">
        <v>0</v>
      </c>
      <c r="FY43" s="167"/>
      <c r="FZ43" s="166">
        <v>-9.3780000000000001</v>
      </c>
      <c r="GA43" s="166">
        <v>4.3280000000000003</v>
      </c>
      <c r="GB43" s="167"/>
      <c r="GC43" s="166">
        <v>33.08</v>
      </c>
      <c r="GD43" s="166">
        <v>38.734900000000003</v>
      </c>
      <c r="GE43" s="166">
        <v>45.952500000000001</v>
      </c>
      <c r="GF43" s="166">
        <v>14.88</v>
      </c>
      <c r="GG43" s="166">
        <v>71.876499999999993</v>
      </c>
      <c r="GH43" s="166">
        <v>29.2</v>
      </c>
      <c r="GI43" s="166">
        <v>2.0499000000000001</v>
      </c>
      <c r="GJ43" s="166">
        <v>-11.440200000000001</v>
      </c>
      <c r="GK43" s="166">
        <v>-12.170299999999999</v>
      </c>
      <c r="GL43" s="166">
        <v>2.3454000000000002</v>
      </c>
      <c r="GM43" s="167"/>
      <c r="GN43" s="167"/>
      <c r="GO43" s="166">
        <v>-19.9114</v>
      </c>
      <c r="GP43" s="166">
        <v>-16.764700000000001</v>
      </c>
      <c r="GQ43" s="166">
        <v>12.610900000000001</v>
      </c>
      <c r="GR43" s="166">
        <v>17.608699999999999</v>
      </c>
      <c r="GS43" s="166">
        <v>12.5707</v>
      </c>
      <c r="GT43" s="166">
        <v>12.3089</v>
      </c>
      <c r="GU43" s="166">
        <v>-97.066400000000002</v>
      </c>
      <c r="GV43" s="166">
        <v>-29.195</v>
      </c>
      <c r="GW43" s="166">
        <v>26.098700000000001</v>
      </c>
      <c r="GX43" s="166">
        <v>-6.4051999999999998</v>
      </c>
      <c r="GY43" s="166">
        <v>6.4767000000000001</v>
      </c>
      <c r="GZ43" s="166">
        <v>17.133099999999999</v>
      </c>
      <c r="HA43" s="166">
        <v>16.626300000000001</v>
      </c>
      <c r="HB43" s="166">
        <v>8.5571999999999999</v>
      </c>
      <c r="HC43" s="166">
        <v>157.62139999999999</v>
      </c>
      <c r="HD43" s="166">
        <v>159.33959999999999</v>
      </c>
      <c r="HE43" s="166">
        <v>278.7</v>
      </c>
      <c r="HF43" s="166">
        <v>-277.47730000000001</v>
      </c>
      <c r="HG43" s="166">
        <v>-514.01319999999998</v>
      </c>
      <c r="HH43" s="166">
        <v>517.73749999999995</v>
      </c>
      <c r="HI43" s="166">
        <v>500.87720000000002</v>
      </c>
      <c r="HJ43" s="166">
        <v>-151.28290000000001</v>
      </c>
      <c r="HK43" s="166">
        <v>-149.3253</v>
      </c>
      <c r="HL43" s="166">
        <v>-44.889699999999998</v>
      </c>
      <c r="HM43" s="166">
        <v>-32.738900000000001</v>
      </c>
      <c r="HN43" s="166">
        <v>75.382099999999994</v>
      </c>
      <c r="HO43" s="166">
        <v>75.237300000000005</v>
      </c>
      <c r="HP43" s="166">
        <v>-146.70840000000001</v>
      </c>
      <c r="HQ43" s="166">
        <v>-146.28620000000001</v>
      </c>
      <c r="HR43" s="166">
        <v>28.424800000000001</v>
      </c>
      <c r="HS43" s="166">
        <v>27.6448</v>
      </c>
      <c r="HT43" s="166">
        <v>-96.354600000000005</v>
      </c>
      <c r="HU43" s="166">
        <v>-96.149199999999993</v>
      </c>
      <c r="HV43" s="166">
        <v>82.04</v>
      </c>
      <c r="HW43" s="166">
        <v>82.12</v>
      </c>
      <c r="HX43" s="166">
        <v>43.7</v>
      </c>
      <c r="HY43" s="166">
        <v>42.5</v>
      </c>
      <c r="HZ43" s="166">
        <v>20.838200000000001</v>
      </c>
      <c r="IA43" s="166">
        <v>46.64</v>
      </c>
      <c r="IB43" s="166">
        <v>-407.53050000000002</v>
      </c>
      <c r="IC43" s="166">
        <v>99.867400000000004</v>
      </c>
      <c r="ID43" s="166">
        <v>99.574600000000004</v>
      </c>
      <c r="IE43" s="166">
        <v>18.5</v>
      </c>
      <c r="IF43" s="166">
        <v>18.7</v>
      </c>
      <c r="IG43" s="166">
        <v>-25.9</v>
      </c>
      <c r="IH43" s="166">
        <v>-31.5</v>
      </c>
      <c r="II43" s="166">
        <v>1.3765000000000001</v>
      </c>
      <c r="IJ43" s="166">
        <v>1.2481</v>
      </c>
      <c r="IK43" s="166">
        <v>-491.61070000000001</v>
      </c>
      <c r="IL43" s="166">
        <v>-298.3177</v>
      </c>
      <c r="IM43" s="166">
        <v>569.37540000000001</v>
      </c>
      <c r="IN43" s="166">
        <v>454.149</v>
      </c>
      <c r="IO43" s="166">
        <v>89.395700000000005</v>
      </c>
      <c r="IP43" s="166">
        <v>-437.5643</v>
      </c>
      <c r="IQ43" s="166">
        <v>439.20699999999999</v>
      </c>
      <c r="IR43" s="166">
        <v>-188.28450000000001</v>
      </c>
      <c r="IS43" s="166">
        <v>-250.47710000000001</v>
      </c>
      <c r="IT43" s="166">
        <v>-437.65050000000002</v>
      </c>
      <c r="IU43" s="166">
        <v>120.92189999999999</v>
      </c>
      <c r="IV43" s="166">
        <v>116.13930000000001</v>
      </c>
      <c r="IW43" s="166">
        <v>190.40440000000001</v>
      </c>
      <c r="IX43" s="166">
        <v>-548.88729999999998</v>
      </c>
      <c r="IY43" s="166">
        <v>264.6343</v>
      </c>
      <c r="IZ43" s="166">
        <v>-293.70249999999999</v>
      </c>
      <c r="JA43" s="166">
        <v>294.38420000000002</v>
      </c>
      <c r="JB43" s="166">
        <v>-7.1974999999999998</v>
      </c>
      <c r="JC43" s="166">
        <v>21.547000000000001</v>
      </c>
      <c r="JD43" s="166">
        <v>16.72</v>
      </c>
      <c r="JE43" s="166">
        <v>0.63</v>
      </c>
      <c r="JF43" s="166">
        <v>0.622</v>
      </c>
      <c r="JG43" s="166">
        <v>-16.64</v>
      </c>
      <c r="JH43" s="166">
        <v>-5.84</v>
      </c>
      <c r="JI43" s="167"/>
      <c r="JJ43" s="166">
        <v>5.8304999999999998</v>
      </c>
      <c r="JK43" s="166">
        <v>-24.8157</v>
      </c>
      <c r="JL43" s="166">
        <v>-16.258500000000002</v>
      </c>
      <c r="JM43" s="166">
        <v>5.2</v>
      </c>
      <c r="JN43" s="166">
        <v>54.389000000000003</v>
      </c>
      <c r="JO43" s="166">
        <v>54.976999999999997</v>
      </c>
      <c r="JP43" s="166">
        <v>8.2380999999999993</v>
      </c>
      <c r="JQ43" s="166">
        <v>9.8963000000000001</v>
      </c>
      <c r="JR43" s="166">
        <v>50.082799999999999</v>
      </c>
      <c r="JS43" s="166">
        <v>49.89</v>
      </c>
      <c r="JT43" s="166">
        <v>51.236800000000002</v>
      </c>
      <c r="JU43" s="167"/>
      <c r="JV43" s="166">
        <v>-19.3</v>
      </c>
      <c r="JW43" s="166">
        <v>26.537800000000001</v>
      </c>
      <c r="JX43" s="166">
        <v>10.58</v>
      </c>
      <c r="JY43" s="167"/>
      <c r="JZ43" s="166">
        <v>-29.550999999999998</v>
      </c>
      <c r="KA43" s="166">
        <v>74.534999999999997</v>
      </c>
      <c r="KB43" s="166">
        <v>45.3568</v>
      </c>
      <c r="KC43" s="166">
        <v>-29.2105</v>
      </c>
      <c r="KD43" s="166">
        <v>-72.9559</v>
      </c>
      <c r="KE43" s="166">
        <v>31.256599999999999</v>
      </c>
      <c r="KF43" s="166">
        <v>41.3474</v>
      </c>
      <c r="KG43" s="166">
        <v>5</v>
      </c>
      <c r="KH43" s="166">
        <v>-5</v>
      </c>
      <c r="KI43" s="166">
        <v>-7.7728999999999999</v>
      </c>
      <c r="KJ43" s="166">
        <v>175.07079999999999</v>
      </c>
    </row>
    <row r="44" spans="1:296" ht="18" customHeight="1" x14ac:dyDescent="0.3">
      <c r="A44" s="162" t="s">
        <v>67</v>
      </c>
      <c r="B44" s="162" t="s">
        <v>843</v>
      </c>
      <c r="C44" s="166">
        <v>0</v>
      </c>
      <c r="D44" s="167"/>
      <c r="E44" s="166">
        <v>12.308199999999999</v>
      </c>
      <c r="F44" s="166">
        <v>-19.362500000000001</v>
      </c>
      <c r="G44" s="166">
        <v>-30.781500000000001</v>
      </c>
      <c r="H44" s="166">
        <v>32.829099999999997</v>
      </c>
      <c r="I44" s="167"/>
      <c r="J44" s="166">
        <v>48.606499999999997</v>
      </c>
      <c r="K44" s="166">
        <v>-89.998699999999999</v>
      </c>
      <c r="L44" s="166">
        <v>67.568600000000004</v>
      </c>
      <c r="M44" s="166">
        <v>34.319000000000003</v>
      </c>
      <c r="N44" s="166">
        <v>33.5184</v>
      </c>
      <c r="O44" s="166">
        <v>-13.32</v>
      </c>
      <c r="P44" s="166">
        <v>-66.283000000000001</v>
      </c>
      <c r="Q44" s="166">
        <v>59.4</v>
      </c>
      <c r="R44" s="166">
        <v>14.076000000000001</v>
      </c>
      <c r="S44" s="166">
        <v>-59.4</v>
      </c>
      <c r="T44" s="166">
        <v>15.196099999999999</v>
      </c>
      <c r="U44" s="166">
        <v>50.726199999999999</v>
      </c>
      <c r="V44" s="166">
        <v>12.1023</v>
      </c>
      <c r="W44" s="166">
        <v>12.3409</v>
      </c>
      <c r="X44" s="166">
        <v>20.393599999999999</v>
      </c>
      <c r="Y44" s="166">
        <v>1.8119000000000001</v>
      </c>
      <c r="Z44" s="166">
        <v>0.72929999999999995</v>
      </c>
      <c r="AA44" s="166">
        <v>1.042</v>
      </c>
      <c r="AB44" s="167"/>
      <c r="AC44" s="167"/>
      <c r="AD44" s="166">
        <v>-80.63</v>
      </c>
      <c r="AE44" s="166">
        <v>-80.64</v>
      </c>
      <c r="AF44" s="167"/>
      <c r="AG44" s="166">
        <v>13.32</v>
      </c>
      <c r="AH44" s="166">
        <v>63.8</v>
      </c>
      <c r="AI44" s="166">
        <v>25.951000000000001</v>
      </c>
      <c r="AJ44" s="166">
        <v>0.28399999999999997</v>
      </c>
      <c r="AK44" s="166">
        <v>-69.38</v>
      </c>
      <c r="AL44" s="166">
        <v>-69.989999999999995</v>
      </c>
      <c r="AM44" s="166">
        <v>-33.35</v>
      </c>
      <c r="AN44" s="166">
        <v>70.78</v>
      </c>
      <c r="AO44" s="166">
        <v>71.05</v>
      </c>
      <c r="AP44" s="166">
        <v>19.789200000000001</v>
      </c>
      <c r="AQ44" s="166">
        <v>-1.1277999999999999</v>
      </c>
      <c r="AR44" s="166">
        <v>75.299099999999996</v>
      </c>
      <c r="AS44" s="166">
        <v>78.6096</v>
      </c>
      <c r="AT44" s="166">
        <v>42.1798</v>
      </c>
      <c r="AU44" s="166">
        <v>-53.430700000000002</v>
      </c>
      <c r="AV44" s="166">
        <v>-53.246699999999997</v>
      </c>
      <c r="AW44" s="166">
        <v>8.8996999999999993</v>
      </c>
      <c r="AX44" s="166">
        <v>8.8767999999999994</v>
      </c>
      <c r="AY44" s="166">
        <v>78.850899999999996</v>
      </c>
      <c r="AZ44" s="166">
        <v>80.414100000000005</v>
      </c>
      <c r="BA44" s="166">
        <v>9.7883999999999993</v>
      </c>
      <c r="BB44" s="166">
        <v>7.7575000000000003</v>
      </c>
      <c r="BC44" s="166">
        <v>-480.16410000000002</v>
      </c>
      <c r="BD44" s="166">
        <v>-25.8386</v>
      </c>
      <c r="BE44" s="166">
        <v>-4.0999999999999996</v>
      </c>
      <c r="BF44" s="166">
        <v>-4</v>
      </c>
      <c r="BG44" s="166">
        <v>59.417099999999998</v>
      </c>
      <c r="BH44" s="166">
        <v>58.607700000000001</v>
      </c>
      <c r="BI44" s="166">
        <v>-6.2046000000000001</v>
      </c>
      <c r="BJ44" s="167"/>
      <c r="BK44" s="166">
        <v>-32.970500000000001</v>
      </c>
      <c r="BL44" s="166">
        <v>10.2338</v>
      </c>
      <c r="BM44" s="166">
        <v>11.1632</v>
      </c>
      <c r="BN44" s="166">
        <v>7.6178999999999997</v>
      </c>
      <c r="BO44" s="166">
        <v>523.20920000000001</v>
      </c>
      <c r="BP44" s="166">
        <v>175.87809999999999</v>
      </c>
      <c r="BQ44" s="166">
        <v>174.96260000000001</v>
      </c>
      <c r="BR44" s="166">
        <v>-555.09630000000004</v>
      </c>
      <c r="BS44" s="166">
        <v>617.39840000000004</v>
      </c>
      <c r="BT44" s="167"/>
      <c r="BU44" s="166">
        <v>-29.026199999999999</v>
      </c>
      <c r="BV44" s="166">
        <v>29.896799999999999</v>
      </c>
      <c r="BW44" s="166">
        <v>126.6206</v>
      </c>
      <c r="BX44" s="166">
        <v>47.84</v>
      </c>
      <c r="BY44" s="166">
        <v>0</v>
      </c>
      <c r="BZ44" s="166">
        <v>89.46</v>
      </c>
      <c r="CA44" s="166">
        <v>56.02</v>
      </c>
      <c r="CB44" s="166">
        <v>-50.229700000000001</v>
      </c>
      <c r="CC44" s="166">
        <v>-50.095799999999997</v>
      </c>
      <c r="CD44" s="166">
        <v>105.9753</v>
      </c>
      <c r="CE44" s="166">
        <v>106.3028</v>
      </c>
      <c r="CF44" s="166">
        <v>22.781700000000001</v>
      </c>
      <c r="CG44" s="166">
        <v>-177.72130000000001</v>
      </c>
      <c r="CH44" s="166">
        <v>-176.95670000000001</v>
      </c>
      <c r="CI44" s="166">
        <v>-7.5399999999999995E-2</v>
      </c>
      <c r="CJ44" s="166">
        <v>0</v>
      </c>
      <c r="CK44" s="166">
        <v>12.4756</v>
      </c>
      <c r="CL44" s="166">
        <v>12.391</v>
      </c>
      <c r="CM44" s="166">
        <v>158.6</v>
      </c>
      <c r="CN44" s="166">
        <v>141.9</v>
      </c>
      <c r="CO44" s="166">
        <v>-19.96</v>
      </c>
      <c r="CP44" s="166">
        <v>69.667000000000002</v>
      </c>
      <c r="CQ44" s="166">
        <v>67.308800000000005</v>
      </c>
      <c r="CR44" s="166">
        <v>67.667100000000005</v>
      </c>
      <c r="CS44" s="166">
        <v>-11.363300000000001</v>
      </c>
      <c r="CT44" s="166">
        <v>-10.919499999999999</v>
      </c>
      <c r="CU44" s="166">
        <v>42.203299999999999</v>
      </c>
      <c r="CV44" s="166">
        <v>-100.858</v>
      </c>
      <c r="CW44" s="166">
        <v>52.427199999999999</v>
      </c>
      <c r="CX44" s="166">
        <v>17.3504</v>
      </c>
      <c r="CY44" s="166">
        <v>93.99</v>
      </c>
      <c r="CZ44" s="166">
        <v>49.53</v>
      </c>
      <c r="DA44" s="166">
        <v>61.413600000000002</v>
      </c>
      <c r="DB44" s="166">
        <v>58.305399999999999</v>
      </c>
      <c r="DC44" s="166">
        <v>-41.378999999999998</v>
      </c>
      <c r="DD44" s="167"/>
      <c r="DE44" s="167"/>
      <c r="DF44" s="166">
        <v>0</v>
      </c>
      <c r="DG44" s="166">
        <v>-92.0458</v>
      </c>
      <c r="DH44" s="167"/>
      <c r="DI44" s="167"/>
      <c r="DJ44" s="166">
        <v>-121.3</v>
      </c>
      <c r="DK44" s="166">
        <v>-121.4</v>
      </c>
      <c r="DL44" s="166">
        <v>23.398099999999999</v>
      </c>
      <c r="DM44" s="166">
        <v>74</v>
      </c>
      <c r="DN44" s="166">
        <v>77.739999999999995</v>
      </c>
      <c r="DO44" s="166">
        <v>99.48</v>
      </c>
      <c r="DP44" s="166">
        <v>73.13</v>
      </c>
      <c r="DQ44" s="166">
        <v>-10.77</v>
      </c>
      <c r="DR44" s="166">
        <v>61.938000000000002</v>
      </c>
      <c r="DS44" s="166">
        <v>91.002700000000004</v>
      </c>
      <c r="DT44" s="166">
        <v>-1.62</v>
      </c>
      <c r="DU44" s="166">
        <v>-1.56</v>
      </c>
      <c r="DV44" s="166">
        <v>79.58</v>
      </c>
      <c r="DW44" s="166">
        <v>80.88</v>
      </c>
      <c r="DX44" s="166">
        <v>91.654499999999999</v>
      </c>
      <c r="DY44" s="166">
        <v>90.618200000000002</v>
      </c>
      <c r="DZ44" s="166">
        <v>-19.067599999999999</v>
      </c>
      <c r="EA44" s="166">
        <v>-18.809100000000001</v>
      </c>
      <c r="EB44" s="166">
        <v>233.10589999999999</v>
      </c>
      <c r="EC44" s="166">
        <v>182.14340000000001</v>
      </c>
      <c r="ED44" s="166">
        <v>176.7132</v>
      </c>
      <c r="EE44" s="166">
        <v>179.25960000000001</v>
      </c>
      <c r="EF44" s="166">
        <v>79.734200000000001</v>
      </c>
      <c r="EG44" s="166">
        <v>55.778700000000001</v>
      </c>
      <c r="EH44" s="166">
        <v>-30.463000000000001</v>
      </c>
      <c r="EI44" s="166">
        <v>566.90940000000001</v>
      </c>
      <c r="EJ44" s="166">
        <v>315.23500000000001</v>
      </c>
      <c r="EK44" s="167"/>
      <c r="EL44" s="166">
        <v>-12.7102</v>
      </c>
      <c r="EM44" s="166">
        <v>-10.8954</v>
      </c>
      <c r="EN44" s="167"/>
      <c r="EO44" s="166">
        <v>15.498799999999999</v>
      </c>
      <c r="EP44" s="166">
        <v>13.550800000000001</v>
      </c>
      <c r="EQ44" s="166">
        <v>47.664000000000001</v>
      </c>
      <c r="ER44" s="166">
        <v>-50.3367</v>
      </c>
      <c r="ES44" s="166">
        <v>-51.487000000000002</v>
      </c>
      <c r="ET44" s="166">
        <v>-13.1212</v>
      </c>
      <c r="EU44" s="166">
        <v>0</v>
      </c>
      <c r="EV44" s="166">
        <v>-23.51</v>
      </c>
      <c r="EW44" s="166">
        <v>1</v>
      </c>
      <c r="EX44" s="166">
        <v>12.626200000000001</v>
      </c>
      <c r="EY44" s="166">
        <v>-21.536200000000001</v>
      </c>
      <c r="EZ44" s="166">
        <v>-40.155200000000001</v>
      </c>
      <c r="FA44" s="166">
        <v>-39.2988</v>
      </c>
      <c r="FB44" s="166">
        <v>5.9119000000000002</v>
      </c>
      <c r="FC44" s="166">
        <v>-51.329700000000003</v>
      </c>
      <c r="FD44" s="166">
        <v>20.949300000000001</v>
      </c>
      <c r="FE44" s="166">
        <v>25.7865</v>
      </c>
      <c r="FF44" s="166">
        <v>24.843699999999998</v>
      </c>
      <c r="FG44" s="167"/>
      <c r="FH44" s="166">
        <v>41.195399999999999</v>
      </c>
      <c r="FI44" s="166">
        <v>41.538499999999999</v>
      </c>
      <c r="FJ44" s="166">
        <v>40.197299999999998</v>
      </c>
      <c r="FK44" s="166">
        <v>49.3996</v>
      </c>
      <c r="FL44" s="166">
        <v>49.3996</v>
      </c>
      <c r="FM44" s="166">
        <v>-27.462800000000001</v>
      </c>
      <c r="FN44" s="166">
        <v>20.761299999999999</v>
      </c>
      <c r="FO44" s="166">
        <v>20.507000000000001</v>
      </c>
      <c r="FP44" s="166">
        <v>-31.7559</v>
      </c>
      <c r="FQ44" s="166">
        <v>-24.575600000000001</v>
      </c>
      <c r="FR44" s="166">
        <v>-0.97230000000000005</v>
      </c>
      <c r="FS44" s="166">
        <v>-21.42</v>
      </c>
      <c r="FT44" s="167"/>
      <c r="FU44" s="166">
        <v>1.6312</v>
      </c>
      <c r="FV44" s="166">
        <v>1.4</v>
      </c>
      <c r="FW44" s="166">
        <v>15.89</v>
      </c>
      <c r="FX44" s="166">
        <v>0</v>
      </c>
      <c r="FY44" s="167"/>
      <c r="FZ44" s="166">
        <v>-7.7080000000000002</v>
      </c>
      <c r="GA44" s="166">
        <v>0.76800000000000002</v>
      </c>
      <c r="GB44" s="166">
        <v>12.9642</v>
      </c>
      <c r="GC44" s="166">
        <v>31.53</v>
      </c>
      <c r="GD44" s="166">
        <v>24.3339</v>
      </c>
      <c r="GE44" s="166">
        <v>32.773899999999998</v>
      </c>
      <c r="GF44" s="166">
        <v>15.1</v>
      </c>
      <c r="GG44" s="166">
        <v>70.183800000000005</v>
      </c>
      <c r="GH44" s="166">
        <v>27.2</v>
      </c>
      <c r="GI44" s="166">
        <v>0</v>
      </c>
      <c r="GJ44" s="166">
        <v>-11.7714</v>
      </c>
      <c r="GK44" s="166">
        <v>-12.610099999999999</v>
      </c>
      <c r="GL44" s="166">
        <v>2.8500999999999999</v>
      </c>
      <c r="GM44" s="167"/>
      <c r="GN44" s="167"/>
      <c r="GO44" s="166">
        <v>-19.547999999999998</v>
      </c>
      <c r="GP44" s="166">
        <v>-21.862300000000001</v>
      </c>
      <c r="GQ44" s="166">
        <v>11.9015</v>
      </c>
      <c r="GR44" s="166">
        <v>22.640599999999999</v>
      </c>
      <c r="GS44" s="166">
        <v>12.205500000000001</v>
      </c>
      <c r="GT44" s="166">
        <v>11.2639</v>
      </c>
      <c r="GU44" s="166">
        <v>-97.9101</v>
      </c>
      <c r="GV44" s="166">
        <v>-30.125900000000001</v>
      </c>
      <c r="GW44" s="166">
        <v>26.520800000000001</v>
      </c>
      <c r="GX44" s="166">
        <v>-10.0601</v>
      </c>
      <c r="GY44" s="166">
        <v>5.2950999999999997</v>
      </c>
      <c r="GZ44" s="166">
        <v>19.291399999999999</v>
      </c>
      <c r="HA44" s="166">
        <v>18.630299999999998</v>
      </c>
      <c r="HB44" s="166">
        <v>7.7614000000000001</v>
      </c>
      <c r="HC44" s="166">
        <v>162.19890000000001</v>
      </c>
      <c r="HD44" s="166">
        <v>162.17599999999999</v>
      </c>
      <c r="HE44" s="166">
        <v>274.10000000000002</v>
      </c>
      <c r="HF44" s="166">
        <v>-273.0496</v>
      </c>
      <c r="HG44" s="166">
        <v>-538.3075</v>
      </c>
      <c r="HH44" s="166">
        <v>541.19460000000004</v>
      </c>
      <c r="HI44" s="166">
        <v>506.15010000000001</v>
      </c>
      <c r="HJ44" s="166">
        <v>-156.13220000000001</v>
      </c>
      <c r="HK44" s="166">
        <v>-154.35480000000001</v>
      </c>
      <c r="HL44" s="166">
        <v>-48.023200000000003</v>
      </c>
      <c r="HM44" s="166">
        <v>-37.294400000000003</v>
      </c>
      <c r="HN44" s="166">
        <v>79.371399999999994</v>
      </c>
      <c r="HO44" s="166">
        <v>78.037800000000004</v>
      </c>
      <c r="HP44" s="166">
        <v>-97.34</v>
      </c>
      <c r="HQ44" s="166">
        <v>-98.011700000000005</v>
      </c>
      <c r="HR44" s="166">
        <v>26.831800000000001</v>
      </c>
      <c r="HS44" s="166">
        <v>25.9419</v>
      </c>
      <c r="HT44" s="166">
        <v>-102.89109999999999</v>
      </c>
      <c r="HU44" s="166">
        <v>-104.3145</v>
      </c>
      <c r="HV44" s="166">
        <v>74.11</v>
      </c>
      <c r="HW44" s="166">
        <v>72.78</v>
      </c>
      <c r="HX44" s="166">
        <v>54.7</v>
      </c>
      <c r="HY44" s="166">
        <v>54.5</v>
      </c>
      <c r="HZ44" s="166">
        <v>20.49</v>
      </c>
      <c r="IA44" s="166">
        <v>49.68</v>
      </c>
      <c r="IB44" s="166">
        <v>-416.45929999999998</v>
      </c>
      <c r="IC44" s="166">
        <v>103.21250000000001</v>
      </c>
      <c r="ID44" s="166">
        <v>103.2572</v>
      </c>
      <c r="IE44" s="166">
        <v>17.899999999999999</v>
      </c>
      <c r="IF44" s="166">
        <v>28.5</v>
      </c>
      <c r="IG44" s="166">
        <v>-25.9</v>
      </c>
      <c r="IH44" s="166">
        <v>-31.5</v>
      </c>
      <c r="II44" s="166">
        <v>1.3765000000000001</v>
      </c>
      <c r="IJ44" s="166">
        <v>1.2481</v>
      </c>
      <c r="IK44" s="166">
        <v>-497.33699999999999</v>
      </c>
      <c r="IL44" s="166">
        <v>-279.9853</v>
      </c>
      <c r="IM44" s="166">
        <v>577.4076</v>
      </c>
      <c r="IN44" s="166">
        <v>459.7901</v>
      </c>
      <c r="IO44" s="166">
        <v>99.646000000000001</v>
      </c>
      <c r="IP44" s="166">
        <v>-443.38220000000001</v>
      </c>
      <c r="IQ44" s="166">
        <v>449.56830000000002</v>
      </c>
      <c r="IR44" s="166">
        <v>-192.81649999999999</v>
      </c>
      <c r="IS44" s="166">
        <v>-252.381</v>
      </c>
      <c r="IT44" s="166">
        <v>-445.06169999999997</v>
      </c>
      <c r="IU44" s="166">
        <v>122.4063</v>
      </c>
      <c r="IV44" s="166">
        <v>119.38209999999999</v>
      </c>
      <c r="IW44" s="166">
        <v>199.08420000000001</v>
      </c>
      <c r="IX44" s="166">
        <v>-558.9135</v>
      </c>
      <c r="IY44" s="166">
        <v>265.88130000000001</v>
      </c>
      <c r="IZ44" s="166">
        <v>-308.32749999999999</v>
      </c>
      <c r="JA44" s="166">
        <v>303.03890000000001</v>
      </c>
      <c r="JB44" s="166">
        <v>-6.7744999999999997</v>
      </c>
      <c r="JC44" s="166">
        <v>19.495000000000001</v>
      </c>
      <c r="JD44" s="166">
        <v>20.079999999999998</v>
      </c>
      <c r="JE44" s="166">
        <v>0.17699999999999999</v>
      </c>
      <c r="JF44" s="166">
        <v>0.16700000000000001</v>
      </c>
      <c r="JG44" s="166">
        <v>-19.2</v>
      </c>
      <c r="JH44" s="166">
        <v>-2.48</v>
      </c>
      <c r="JI44" s="167"/>
      <c r="JJ44" s="166">
        <v>2.4918</v>
      </c>
      <c r="JK44" s="166">
        <v>-30.293700000000001</v>
      </c>
      <c r="JL44" s="166">
        <v>-15.1751</v>
      </c>
      <c r="JM44" s="166">
        <v>11.8</v>
      </c>
      <c r="JN44" s="166">
        <v>54.212000000000003</v>
      </c>
      <c r="JO44" s="166">
        <v>54.128999999999998</v>
      </c>
      <c r="JP44" s="166">
        <v>0</v>
      </c>
      <c r="JQ44" s="166">
        <v>0</v>
      </c>
      <c r="JR44" s="166">
        <v>51.569099999999999</v>
      </c>
      <c r="JS44" s="166">
        <v>51.494300000000003</v>
      </c>
      <c r="JT44" s="166">
        <v>51.911099999999998</v>
      </c>
      <c r="JU44" s="167"/>
      <c r="JV44" s="166">
        <v>-28.6</v>
      </c>
      <c r="JW44" s="166">
        <v>25.752300000000002</v>
      </c>
      <c r="JX44" s="166">
        <v>11.4</v>
      </c>
      <c r="JY44" s="167"/>
      <c r="JZ44" s="166">
        <v>-31.563199999999998</v>
      </c>
      <c r="KA44" s="166">
        <v>74.002600000000001</v>
      </c>
      <c r="KB44" s="166">
        <v>48.201500000000003</v>
      </c>
      <c r="KC44" s="166">
        <v>-31.393899999999999</v>
      </c>
      <c r="KD44" s="166">
        <v>-73.061599999999999</v>
      </c>
      <c r="KE44" s="166">
        <v>36.623600000000003</v>
      </c>
      <c r="KF44" s="166">
        <v>36</v>
      </c>
      <c r="KG44" s="166">
        <v>14.2</v>
      </c>
      <c r="KH44" s="166">
        <v>-14.7</v>
      </c>
      <c r="KI44" s="166">
        <v>-30.914100000000001</v>
      </c>
      <c r="KJ44" s="166">
        <v>188.95689999999999</v>
      </c>
    </row>
    <row r="45" spans="1:296" ht="18" customHeight="1" x14ac:dyDescent="0.3">
      <c r="A45" s="162" t="s">
        <v>67</v>
      </c>
      <c r="B45" s="162" t="s">
        <v>844</v>
      </c>
      <c r="C45" s="166">
        <v>0</v>
      </c>
      <c r="D45" s="167"/>
      <c r="E45" s="166">
        <v>14.150499999999999</v>
      </c>
      <c r="F45" s="166">
        <v>-21.578600000000002</v>
      </c>
      <c r="G45" s="166">
        <v>-30.584800000000001</v>
      </c>
      <c r="H45" s="166">
        <v>34.645200000000003</v>
      </c>
      <c r="I45" s="167"/>
      <c r="J45" s="166">
        <v>53.5809</v>
      </c>
      <c r="K45" s="166">
        <v>-102.61279999999999</v>
      </c>
      <c r="L45" s="166">
        <v>75.130499999999998</v>
      </c>
      <c r="M45" s="166">
        <v>38.270800000000001</v>
      </c>
      <c r="N45" s="166">
        <v>37.2988</v>
      </c>
      <c r="O45" s="166">
        <v>-24.42</v>
      </c>
      <c r="P45" s="166">
        <v>-75.650999999999996</v>
      </c>
      <c r="Q45" s="166">
        <v>66</v>
      </c>
      <c r="R45" s="166">
        <v>19.044</v>
      </c>
      <c r="S45" s="166">
        <v>-66</v>
      </c>
      <c r="T45" s="166">
        <v>14.694699999999999</v>
      </c>
      <c r="U45" s="166">
        <v>56.2</v>
      </c>
      <c r="V45" s="166">
        <v>14.254200000000001</v>
      </c>
      <c r="W45" s="166">
        <v>14.6325</v>
      </c>
      <c r="X45" s="166">
        <v>24.316800000000001</v>
      </c>
      <c r="Y45" s="166">
        <v>1.7029000000000001</v>
      </c>
      <c r="Z45" s="166">
        <v>0.28970000000000001</v>
      </c>
      <c r="AA45" s="166">
        <v>1.0942000000000001</v>
      </c>
      <c r="AB45" s="167"/>
      <c r="AC45" s="167"/>
      <c r="AD45" s="166">
        <v>-91.04</v>
      </c>
      <c r="AE45" s="166">
        <v>-91.33</v>
      </c>
      <c r="AF45" s="167"/>
      <c r="AG45" s="166">
        <v>24.42</v>
      </c>
      <c r="AH45" s="166">
        <v>74.8</v>
      </c>
      <c r="AI45" s="166">
        <v>29.42</v>
      </c>
      <c r="AJ45" s="166">
        <v>0.30199999999999999</v>
      </c>
      <c r="AK45" s="166">
        <v>-80.73</v>
      </c>
      <c r="AL45" s="166">
        <v>-80.89</v>
      </c>
      <c r="AM45" s="166">
        <v>-33.729999999999997</v>
      </c>
      <c r="AN45" s="166">
        <v>82.01</v>
      </c>
      <c r="AO45" s="166">
        <v>82.43</v>
      </c>
      <c r="AP45" s="166">
        <v>22.404</v>
      </c>
      <c r="AQ45" s="166">
        <v>-3.6480999999999999</v>
      </c>
      <c r="AR45" s="166">
        <v>81.1006</v>
      </c>
      <c r="AS45" s="166">
        <v>84.562899999999999</v>
      </c>
      <c r="AT45" s="166">
        <v>52.371000000000002</v>
      </c>
      <c r="AU45" s="166">
        <v>-64.842200000000005</v>
      </c>
      <c r="AV45" s="166">
        <v>-65.016199999999998</v>
      </c>
      <c r="AW45" s="166">
        <v>2.6817000000000002</v>
      </c>
      <c r="AX45" s="166">
        <v>2.7664</v>
      </c>
      <c r="AY45" s="166">
        <v>89.838899999999995</v>
      </c>
      <c r="AZ45" s="166">
        <v>91.032700000000006</v>
      </c>
      <c r="BA45" s="166">
        <v>10.747400000000001</v>
      </c>
      <c r="BB45" s="166">
        <v>10.0474</v>
      </c>
      <c r="BC45" s="166">
        <v>-535.07860000000005</v>
      </c>
      <c r="BD45" s="166">
        <v>-27.2944</v>
      </c>
      <c r="BE45" s="166">
        <v>-5.4</v>
      </c>
      <c r="BF45" s="166">
        <v>-5.4</v>
      </c>
      <c r="BG45" s="166">
        <v>71.435900000000004</v>
      </c>
      <c r="BH45" s="166">
        <v>71.09</v>
      </c>
      <c r="BI45" s="166">
        <v>-6.4291999999999998</v>
      </c>
      <c r="BJ45" s="167"/>
      <c r="BK45" s="166">
        <v>-48.937800000000003</v>
      </c>
      <c r="BL45" s="166">
        <v>8.8615999999999993</v>
      </c>
      <c r="BM45" s="166">
        <v>12.031599999999999</v>
      </c>
      <c r="BN45" s="166">
        <v>8.2802000000000007</v>
      </c>
      <c r="BO45" s="166">
        <v>575.42629999999997</v>
      </c>
      <c r="BP45" s="166">
        <v>167.18029999999999</v>
      </c>
      <c r="BQ45" s="166">
        <v>167.51609999999999</v>
      </c>
      <c r="BR45" s="166">
        <v>-560.0942</v>
      </c>
      <c r="BS45" s="166">
        <v>646.1277</v>
      </c>
      <c r="BT45" s="167"/>
      <c r="BU45" s="166">
        <v>-42.514400000000002</v>
      </c>
      <c r="BV45" s="166">
        <v>43.538600000000002</v>
      </c>
      <c r="BW45" s="166">
        <v>117.1999</v>
      </c>
      <c r="BX45" s="166">
        <v>35.68</v>
      </c>
      <c r="BY45" s="166">
        <v>44.87</v>
      </c>
      <c r="BZ45" s="166">
        <v>81.25</v>
      </c>
      <c r="CA45" s="166">
        <v>92.82</v>
      </c>
      <c r="CB45" s="166">
        <v>-46.880800000000001</v>
      </c>
      <c r="CC45" s="166">
        <v>-48.220399999999998</v>
      </c>
      <c r="CD45" s="166">
        <v>108.9439</v>
      </c>
      <c r="CE45" s="166">
        <v>110.0608</v>
      </c>
      <c r="CF45" s="166">
        <v>22.851900000000001</v>
      </c>
      <c r="CG45" s="166">
        <v>-194.5744</v>
      </c>
      <c r="CH45" s="166">
        <v>-194.2132</v>
      </c>
      <c r="CI45" s="166">
        <v>1.1931</v>
      </c>
      <c r="CJ45" s="166">
        <v>0</v>
      </c>
      <c r="CK45" s="166">
        <v>12.4756</v>
      </c>
      <c r="CL45" s="166">
        <v>12.33</v>
      </c>
      <c r="CM45" s="166">
        <v>160.4</v>
      </c>
      <c r="CN45" s="166">
        <v>144.6</v>
      </c>
      <c r="CO45" s="166">
        <v>-19.350000000000001</v>
      </c>
      <c r="CP45" s="166">
        <v>62.689100000000003</v>
      </c>
      <c r="CQ45" s="166">
        <v>61.044699999999999</v>
      </c>
      <c r="CR45" s="166">
        <v>61.804900000000004</v>
      </c>
      <c r="CS45" s="166">
        <v>-10.245699999999999</v>
      </c>
      <c r="CT45" s="166">
        <v>-9.9962</v>
      </c>
      <c r="CU45" s="166">
        <v>39.051600000000001</v>
      </c>
      <c r="CV45" s="166">
        <v>-94.145700000000005</v>
      </c>
      <c r="CW45" s="166">
        <v>47.651899999999998</v>
      </c>
      <c r="CX45" s="166">
        <v>19.453499999999998</v>
      </c>
      <c r="CY45" s="166">
        <v>95.05</v>
      </c>
      <c r="CZ45" s="166">
        <v>49.57</v>
      </c>
      <c r="DA45" s="166">
        <v>60.944800000000001</v>
      </c>
      <c r="DB45" s="166">
        <v>57.7194</v>
      </c>
      <c r="DC45" s="166">
        <v>-40.883899999999997</v>
      </c>
      <c r="DD45" s="167"/>
      <c r="DE45" s="167"/>
      <c r="DF45" s="166">
        <v>0</v>
      </c>
      <c r="DG45" s="166">
        <v>-93.525999999999996</v>
      </c>
      <c r="DH45" s="167"/>
      <c r="DI45" s="167"/>
      <c r="DJ45" s="166">
        <v>-119.3</v>
      </c>
      <c r="DK45" s="166">
        <v>-119.8</v>
      </c>
      <c r="DL45" s="166">
        <v>23.112500000000001</v>
      </c>
      <c r="DM45" s="166">
        <v>72.400000000000006</v>
      </c>
      <c r="DN45" s="166">
        <v>78.52</v>
      </c>
      <c r="DO45" s="166">
        <v>98.52</v>
      </c>
      <c r="DP45" s="166">
        <v>71.63</v>
      </c>
      <c r="DQ45" s="166">
        <v>-10.6</v>
      </c>
      <c r="DR45" s="166">
        <v>60.728999999999999</v>
      </c>
      <c r="DS45" s="166">
        <v>93.702799999999996</v>
      </c>
      <c r="DT45" s="166">
        <v>-2.13</v>
      </c>
      <c r="DU45" s="166">
        <v>-2.08</v>
      </c>
      <c r="DV45" s="166">
        <v>81.69</v>
      </c>
      <c r="DW45" s="166">
        <v>80.180000000000007</v>
      </c>
      <c r="DX45" s="166">
        <v>93.509100000000004</v>
      </c>
      <c r="DY45" s="166">
        <v>91.981800000000007</v>
      </c>
      <c r="DZ45" s="166">
        <v>-17.480599999999999</v>
      </c>
      <c r="EA45" s="166">
        <v>-17.654499999999999</v>
      </c>
      <c r="EB45" s="166">
        <v>234.02369999999999</v>
      </c>
      <c r="EC45" s="166">
        <v>182.7697</v>
      </c>
      <c r="ED45" s="166">
        <v>176.7971</v>
      </c>
      <c r="EE45" s="166">
        <v>178.25470000000001</v>
      </c>
      <c r="EF45" s="166">
        <v>82.1738</v>
      </c>
      <c r="EG45" s="166">
        <v>55.534300000000002</v>
      </c>
      <c r="EH45" s="166">
        <v>-30.463000000000001</v>
      </c>
      <c r="EI45" s="166">
        <v>573.24130000000002</v>
      </c>
      <c r="EJ45" s="166">
        <v>315.60820000000001</v>
      </c>
      <c r="EK45" s="167"/>
      <c r="EL45" s="166">
        <v>-11.1389</v>
      </c>
      <c r="EM45" s="166">
        <v>-8.7577999999999996</v>
      </c>
      <c r="EN45" s="167"/>
      <c r="EO45" s="166">
        <v>14.839399999999999</v>
      </c>
      <c r="EP45" s="166">
        <v>13.917299999999999</v>
      </c>
      <c r="EQ45" s="166">
        <v>50.735999999999997</v>
      </c>
      <c r="ER45" s="166">
        <v>-49.099200000000003</v>
      </c>
      <c r="ES45" s="166">
        <v>-50.3187</v>
      </c>
      <c r="ET45" s="166">
        <v>-12.388299999999999</v>
      </c>
      <c r="EU45" s="166">
        <v>17.37</v>
      </c>
      <c r="EV45" s="166">
        <v>-14.36</v>
      </c>
      <c r="EW45" s="166">
        <v>0</v>
      </c>
      <c r="EX45" s="166">
        <v>13.0869</v>
      </c>
      <c r="EY45" s="166">
        <v>-25.641400000000001</v>
      </c>
      <c r="EZ45" s="166">
        <v>-40.297199999999997</v>
      </c>
      <c r="FA45" s="166">
        <v>-39.705800000000004</v>
      </c>
      <c r="FB45" s="166">
        <v>6.3853999999999997</v>
      </c>
      <c r="FC45" s="166">
        <v>-53.552799999999998</v>
      </c>
      <c r="FD45" s="166">
        <v>22.1</v>
      </c>
      <c r="FE45" s="166">
        <v>26.2423</v>
      </c>
      <c r="FF45" s="166">
        <v>25.962700000000002</v>
      </c>
      <c r="FG45" s="167"/>
      <c r="FH45" s="166">
        <v>40.148899999999998</v>
      </c>
      <c r="FI45" s="166">
        <v>40.619500000000002</v>
      </c>
      <c r="FJ45" s="166">
        <v>39.216999999999999</v>
      </c>
      <c r="FK45" s="166">
        <v>47.055199999999999</v>
      </c>
      <c r="FL45" s="166">
        <v>47.222700000000003</v>
      </c>
      <c r="FM45" s="166">
        <v>-25.118400000000001</v>
      </c>
      <c r="FN45" s="166">
        <v>19.773499999999999</v>
      </c>
      <c r="FO45" s="166">
        <v>19.646799999999999</v>
      </c>
      <c r="FP45" s="166">
        <v>-29.387</v>
      </c>
      <c r="FQ45" s="166">
        <v>-20.650500000000001</v>
      </c>
      <c r="FR45" s="166">
        <v>-3.1989000000000001</v>
      </c>
      <c r="FS45" s="166">
        <v>-20.02</v>
      </c>
      <c r="FT45" s="167"/>
      <c r="FU45" s="166">
        <v>1.7484</v>
      </c>
      <c r="FV45" s="166">
        <v>1.42</v>
      </c>
      <c r="FW45" s="166">
        <v>14.71</v>
      </c>
      <c r="FX45" s="166">
        <v>0</v>
      </c>
      <c r="FY45" s="167"/>
      <c r="FZ45" s="166">
        <v>-6.952</v>
      </c>
      <c r="GA45" s="166">
        <v>0.76400000000000001</v>
      </c>
      <c r="GB45" s="167"/>
      <c r="GC45" s="166">
        <v>31.6</v>
      </c>
      <c r="GD45" s="166">
        <v>21.858000000000001</v>
      </c>
      <c r="GE45" s="166">
        <v>29.972899999999999</v>
      </c>
      <c r="GF45" s="166">
        <v>15.57</v>
      </c>
      <c r="GG45" s="166">
        <v>71.730400000000003</v>
      </c>
      <c r="GH45" s="166">
        <v>25</v>
      </c>
      <c r="GI45" s="166">
        <v>-3.2160000000000002</v>
      </c>
      <c r="GJ45" s="166">
        <v>-13.1136</v>
      </c>
      <c r="GK45" s="166">
        <v>-13.965199999999999</v>
      </c>
      <c r="GL45" s="166">
        <v>3.1126999999999998</v>
      </c>
      <c r="GM45" s="167"/>
      <c r="GN45" s="167"/>
      <c r="GO45" s="166">
        <v>-19.1313</v>
      </c>
      <c r="GP45" s="166">
        <v>-28.659500000000001</v>
      </c>
      <c r="GQ45" s="166">
        <v>11.4695</v>
      </c>
      <c r="GR45" s="166">
        <v>29.658100000000001</v>
      </c>
      <c r="GS45" s="166">
        <v>9.3483000000000001</v>
      </c>
      <c r="GT45" s="166">
        <v>11.2157</v>
      </c>
      <c r="GU45" s="166">
        <v>-108.3262</v>
      </c>
      <c r="GV45" s="166">
        <v>-32.356200000000001</v>
      </c>
      <c r="GW45" s="166">
        <v>31.9787</v>
      </c>
      <c r="GX45" s="166">
        <v>-17.420100000000001</v>
      </c>
      <c r="GY45" s="166">
        <v>4.8937999999999997</v>
      </c>
      <c r="GZ45" s="166">
        <v>19.975000000000001</v>
      </c>
      <c r="HA45" s="166">
        <v>19.568999999999999</v>
      </c>
      <c r="HB45" s="166">
        <v>7.5175000000000001</v>
      </c>
      <c r="HC45" s="166">
        <v>165.5659</v>
      </c>
      <c r="HD45" s="166">
        <v>165.15880000000001</v>
      </c>
      <c r="HE45" s="166">
        <v>277</v>
      </c>
      <c r="HF45" s="166">
        <v>-276.17380000000003</v>
      </c>
      <c r="HG45" s="166">
        <v>-552.34289999999999</v>
      </c>
      <c r="HH45" s="166">
        <v>552.38599999999997</v>
      </c>
      <c r="HI45" s="166">
        <v>517.02859999999998</v>
      </c>
      <c r="HJ45" s="166">
        <v>-156.67910000000001</v>
      </c>
      <c r="HK45" s="166">
        <v>-155.10329999999999</v>
      </c>
      <c r="HL45" s="166">
        <v>-45.286999999999999</v>
      </c>
      <c r="HM45" s="166">
        <v>-33.021599999999999</v>
      </c>
      <c r="HN45" s="166">
        <v>74.515199999999993</v>
      </c>
      <c r="HO45" s="166">
        <v>74.429299999999998</v>
      </c>
      <c r="HP45" s="166">
        <v>-104.6347</v>
      </c>
      <c r="HQ45" s="167"/>
      <c r="HR45" s="166">
        <v>28.4907</v>
      </c>
      <c r="HS45" s="166">
        <v>27.6448</v>
      </c>
      <c r="HT45" s="166">
        <v>-98.523099999999999</v>
      </c>
      <c r="HU45" s="166">
        <v>-98.584199999999996</v>
      </c>
      <c r="HV45" s="166">
        <v>77.290000000000006</v>
      </c>
      <c r="HW45" s="166">
        <v>76.900000000000006</v>
      </c>
      <c r="HX45" s="166">
        <v>53.3</v>
      </c>
      <c r="HY45" s="166">
        <v>52.8</v>
      </c>
      <c r="HZ45" s="166">
        <v>20.757000000000001</v>
      </c>
      <c r="IA45" s="166">
        <v>48</v>
      </c>
      <c r="IB45" s="166">
        <v>-424.08929999999998</v>
      </c>
      <c r="IC45" s="167"/>
      <c r="ID45" s="167"/>
      <c r="IE45" s="166">
        <v>17.899999999999999</v>
      </c>
      <c r="IF45" s="166">
        <v>26.8</v>
      </c>
      <c r="IG45" s="166">
        <v>-27.5</v>
      </c>
      <c r="IH45" s="166">
        <v>-32.5</v>
      </c>
      <c r="II45" s="167"/>
      <c r="IJ45" s="167"/>
      <c r="IK45" s="166">
        <v>-504.37380000000002</v>
      </c>
      <c r="IL45" s="166">
        <v>-285.3134</v>
      </c>
      <c r="IM45" s="166">
        <v>580.54139999999995</v>
      </c>
      <c r="IN45" s="166">
        <v>465.91300000000001</v>
      </c>
      <c r="IO45" s="166">
        <v>99.238500000000002</v>
      </c>
      <c r="IP45" s="166">
        <v>-450.2296</v>
      </c>
      <c r="IQ45" s="166">
        <v>454.2045</v>
      </c>
      <c r="IR45" s="166">
        <v>-197.2774</v>
      </c>
      <c r="IS45" s="166">
        <v>-261.25689999999997</v>
      </c>
      <c r="IT45" s="166">
        <v>-445.99740000000003</v>
      </c>
      <c r="IU45" s="166">
        <v>122.48480000000001</v>
      </c>
      <c r="IV45" s="166">
        <v>119.1211</v>
      </c>
      <c r="IW45" s="166">
        <v>198.23609999999999</v>
      </c>
      <c r="IX45" s="166">
        <v>-562.846</v>
      </c>
      <c r="IY45" s="166">
        <v>265.57639999999998</v>
      </c>
      <c r="IZ45" s="166">
        <v>-301.38929999999999</v>
      </c>
      <c r="JA45" s="166">
        <v>303.50009999999997</v>
      </c>
      <c r="JB45" s="166">
        <v>-8.0681999999999992</v>
      </c>
      <c r="JC45" s="166">
        <v>13.494</v>
      </c>
      <c r="JD45" s="166">
        <v>20.48</v>
      </c>
      <c r="JE45" s="166">
        <v>0.14699999999999999</v>
      </c>
      <c r="JF45" s="166">
        <v>0.13300000000000001</v>
      </c>
      <c r="JG45" s="166">
        <v>-19.920000000000002</v>
      </c>
      <c r="JH45" s="166">
        <v>-1.1200000000000001</v>
      </c>
      <c r="JI45" s="167"/>
      <c r="JJ45" s="166">
        <v>1.9363999999999999</v>
      </c>
      <c r="JK45" s="166">
        <v>-28.593900000000001</v>
      </c>
      <c r="JL45" s="166">
        <v>-14.412100000000001</v>
      </c>
      <c r="JM45" s="166">
        <v>11.3</v>
      </c>
      <c r="JN45" s="166">
        <v>50.506999999999998</v>
      </c>
      <c r="JO45" s="166">
        <v>51.319000000000003</v>
      </c>
      <c r="JP45" s="167"/>
      <c r="JQ45" s="167"/>
      <c r="JR45" s="166">
        <v>49.2637</v>
      </c>
      <c r="JS45" s="166">
        <v>48.338200000000001</v>
      </c>
      <c r="JT45" s="166">
        <v>48.871000000000002</v>
      </c>
      <c r="JU45" s="167"/>
      <c r="JV45" s="166">
        <v>-26</v>
      </c>
      <c r="JW45" s="166">
        <v>27.417999999999999</v>
      </c>
      <c r="JX45" s="166">
        <v>11.54</v>
      </c>
      <c r="JY45" s="167"/>
      <c r="JZ45" s="166">
        <v>-32.5242</v>
      </c>
      <c r="KA45" s="166">
        <v>76.075100000000006</v>
      </c>
      <c r="KB45" s="166">
        <v>45.846499999999999</v>
      </c>
      <c r="KC45" s="166">
        <v>-31.604800000000001</v>
      </c>
      <c r="KD45" s="166">
        <v>-74.551100000000005</v>
      </c>
      <c r="KE45" s="166">
        <v>31.877800000000001</v>
      </c>
      <c r="KF45" s="166">
        <v>41.838000000000001</v>
      </c>
      <c r="KG45" s="166">
        <v>12.8</v>
      </c>
      <c r="KH45" s="166">
        <v>-11.6</v>
      </c>
      <c r="KI45" s="166">
        <v>-38.6492</v>
      </c>
      <c r="KJ45" s="166">
        <v>186.8108</v>
      </c>
    </row>
    <row r="46" spans="1:296" ht="18" customHeight="1" x14ac:dyDescent="0.3">
      <c r="A46" s="162" t="s">
        <v>67</v>
      </c>
      <c r="B46" s="162" t="s">
        <v>845</v>
      </c>
      <c r="C46" s="166">
        <v>0</v>
      </c>
      <c r="D46" s="167"/>
      <c r="E46" s="166">
        <v>14.4781</v>
      </c>
      <c r="F46" s="166">
        <v>-22.335699999999999</v>
      </c>
      <c r="G46" s="166">
        <v>-29.736000000000001</v>
      </c>
      <c r="H46" s="166">
        <v>37.360900000000001</v>
      </c>
      <c r="I46" s="167"/>
      <c r="J46" s="166">
        <v>56.152799999999999</v>
      </c>
      <c r="K46" s="166">
        <v>-110.9503</v>
      </c>
      <c r="L46" s="166">
        <v>78.140199999999993</v>
      </c>
      <c r="M46" s="166">
        <v>39.604799999999997</v>
      </c>
      <c r="N46" s="166">
        <v>38.7012</v>
      </c>
      <c r="O46" s="166">
        <v>0</v>
      </c>
      <c r="P46" s="166">
        <v>-78.287000000000006</v>
      </c>
      <c r="Q46" s="166">
        <v>68.2</v>
      </c>
      <c r="R46" s="166">
        <v>19.872</v>
      </c>
      <c r="S46" s="166">
        <v>-68.2</v>
      </c>
      <c r="T46" s="166">
        <v>14.290699999999999</v>
      </c>
      <c r="U46" s="166">
        <v>65.680000000000007</v>
      </c>
      <c r="V46" s="166">
        <v>14.186299999999999</v>
      </c>
      <c r="W46" s="166">
        <v>14.502000000000001</v>
      </c>
      <c r="X46" s="166">
        <v>23.7273</v>
      </c>
      <c r="Y46" s="166">
        <v>1.6316999999999999</v>
      </c>
      <c r="Z46" s="166">
        <v>0.27210000000000001</v>
      </c>
      <c r="AA46" s="166">
        <v>1.1575</v>
      </c>
      <c r="AB46" s="167"/>
      <c r="AC46" s="167"/>
      <c r="AD46" s="166">
        <v>-83.14</v>
      </c>
      <c r="AE46" s="166">
        <v>-83.32</v>
      </c>
      <c r="AF46" s="167"/>
      <c r="AG46" s="166">
        <v>0</v>
      </c>
      <c r="AH46" s="166">
        <v>77</v>
      </c>
      <c r="AI46" s="166">
        <v>28.233000000000001</v>
      </c>
      <c r="AJ46" s="166">
        <v>0.30599999999999999</v>
      </c>
      <c r="AK46" s="166">
        <v>-75.17</v>
      </c>
      <c r="AL46" s="166">
        <v>-75.099999999999994</v>
      </c>
      <c r="AM46" s="166">
        <v>-31.65</v>
      </c>
      <c r="AN46" s="166">
        <v>76.2</v>
      </c>
      <c r="AO46" s="166">
        <v>76.38</v>
      </c>
      <c r="AP46" s="166">
        <v>22.7347</v>
      </c>
      <c r="AQ46" s="166">
        <v>-4.0510999999999999</v>
      </c>
      <c r="AR46" s="166">
        <v>81.928299999999993</v>
      </c>
      <c r="AS46" s="166">
        <v>85.522199999999998</v>
      </c>
      <c r="AT46" s="166">
        <v>46.462699999999998</v>
      </c>
      <c r="AU46" s="166">
        <v>-58.478099999999998</v>
      </c>
      <c r="AV46" s="166">
        <v>-58.8536</v>
      </c>
      <c r="AW46" s="166">
        <v>2.4794999999999998</v>
      </c>
      <c r="AX46" s="166">
        <v>2.5941999999999998</v>
      </c>
      <c r="AY46" s="166">
        <v>86.647900000000007</v>
      </c>
      <c r="AZ46" s="166">
        <v>87.454599999999999</v>
      </c>
      <c r="BA46" s="166">
        <v>11.44</v>
      </c>
      <c r="BB46" s="166">
        <v>10.7287</v>
      </c>
      <c r="BC46" s="166">
        <v>-533.43799999999999</v>
      </c>
      <c r="BD46" s="166">
        <v>-24.800999999999998</v>
      </c>
      <c r="BE46" s="166">
        <v>-4.9000000000000004</v>
      </c>
      <c r="BF46" s="166">
        <v>-4.9000000000000004</v>
      </c>
      <c r="BG46" s="166">
        <v>65.9238</v>
      </c>
      <c r="BH46" s="166">
        <v>64.769599999999997</v>
      </c>
      <c r="BI46" s="166">
        <v>-7.4893000000000001</v>
      </c>
      <c r="BJ46" s="167"/>
      <c r="BK46" s="166">
        <v>-41.9863</v>
      </c>
      <c r="BL46" s="166">
        <v>8.3453999999999997</v>
      </c>
      <c r="BM46" s="166">
        <v>11.8682</v>
      </c>
      <c r="BN46" s="166">
        <v>8.0915999999999997</v>
      </c>
      <c r="BO46" s="166">
        <v>579.05799999999999</v>
      </c>
      <c r="BP46" s="166">
        <v>181.6156</v>
      </c>
      <c r="BQ46" s="166">
        <v>182.10390000000001</v>
      </c>
      <c r="BR46" s="166">
        <v>-585.38120000000004</v>
      </c>
      <c r="BS46" s="166">
        <v>654.06989999999996</v>
      </c>
      <c r="BT46" s="167"/>
      <c r="BU46" s="166">
        <v>-30.2042</v>
      </c>
      <c r="BV46" s="166">
        <v>32.017000000000003</v>
      </c>
      <c r="BW46" s="166">
        <v>118.4174</v>
      </c>
      <c r="BX46" s="166">
        <v>35.65</v>
      </c>
      <c r="BY46" s="166">
        <v>45.33</v>
      </c>
      <c r="BZ46" s="166">
        <v>81.23</v>
      </c>
      <c r="CA46" s="166">
        <v>92.76</v>
      </c>
      <c r="CB46" s="166">
        <v>-50.229700000000001</v>
      </c>
      <c r="CC46" s="166">
        <v>-50.899500000000003</v>
      </c>
      <c r="CD46" s="166">
        <v>106.968</v>
      </c>
      <c r="CE46" s="166">
        <v>107.9494</v>
      </c>
      <c r="CF46" s="166">
        <v>25.5807</v>
      </c>
      <c r="CG46" s="166">
        <v>-188.2098</v>
      </c>
      <c r="CH46" s="166">
        <v>-185.77959999999999</v>
      </c>
      <c r="CI46" s="166">
        <v>2.5185</v>
      </c>
      <c r="CJ46" s="166">
        <v>0</v>
      </c>
      <c r="CK46" s="166">
        <v>12.658899999999999</v>
      </c>
      <c r="CL46" s="168">
        <v>12.233000000000001</v>
      </c>
      <c r="CM46" s="166">
        <v>158.5</v>
      </c>
      <c r="CN46" s="166">
        <v>143.1</v>
      </c>
      <c r="CO46" s="166">
        <v>-19.32</v>
      </c>
      <c r="CP46" s="166">
        <v>63.625</v>
      </c>
      <c r="CQ46" s="166">
        <v>62.236400000000003</v>
      </c>
      <c r="CR46" s="166">
        <v>62.616599999999998</v>
      </c>
      <c r="CS46" s="166">
        <v>-9.0866000000000007</v>
      </c>
      <c r="CT46" s="166">
        <v>-8.7171000000000003</v>
      </c>
      <c r="CU46" s="166">
        <v>52.776800000000001</v>
      </c>
      <c r="CV46" s="166">
        <v>-107.4239</v>
      </c>
      <c r="CW46" s="166">
        <v>61.501899999999999</v>
      </c>
      <c r="CX46" s="166">
        <v>19.4985</v>
      </c>
      <c r="CY46" s="166">
        <v>89.43</v>
      </c>
      <c r="CZ46" s="166">
        <v>47.27</v>
      </c>
      <c r="DA46" s="166">
        <v>59.538600000000002</v>
      </c>
      <c r="DB46" s="166">
        <v>56.547499999999999</v>
      </c>
      <c r="DC46" s="166">
        <v>-40.414900000000003</v>
      </c>
      <c r="DD46" s="167"/>
      <c r="DE46" s="167"/>
      <c r="DF46" s="166">
        <v>0</v>
      </c>
      <c r="DG46" s="166">
        <v>-115.6609</v>
      </c>
      <c r="DH46" s="167"/>
      <c r="DI46" s="167"/>
      <c r="DJ46" s="166">
        <v>-119.8</v>
      </c>
      <c r="DK46" s="166">
        <v>-119.7</v>
      </c>
      <c r="DL46" s="166">
        <v>22.607099999999999</v>
      </c>
      <c r="DM46" s="166">
        <v>70.8</v>
      </c>
      <c r="DN46" s="166">
        <v>78.7</v>
      </c>
      <c r="DO46" s="166">
        <v>96.48</v>
      </c>
      <c r="DP46" s="166">
        <v>70.2</v>
      </c>
      <c r="DQ46" s="166">
        <v>-10.64</v>
      </c>
      <c r="DR46" s="166">
        <v>58.713999999999999</v>
      </c>
      <c r="DS46" s="166">
        <v>115.2465</v>
      </c>
      <c r="DT46" s="166">
        <v>-1.91</v>
      </c>
      <c r="DU46" s="166">
        <v>-1.84</v>
      </c>
      <c r="DV46" s="166">
        <v>81.790000000000006</v>
      </c>
      <c r="DW46" s="166">
        <v>77.34</v>
      </c>
      <c r="DX46" s="166">
        <v>114.1818</v>
      </c>
      <c r="DY46" s="166">
        <v>114.4545</v>
      </c>
      <c r="DZ46" s="166">
        <v>-16.282399999999999</v>
      </c>
      <c r="EA46" s="166">
        <v>-16.2818</v>
      </c>
      <c r="EB46" s="166">
        <v>239.60830000000001</v>
      </c>
      <c r="EC46" s="166">
        <v>193.3563</v>
      </c>
      <c r="ED46" s="166">
        <v>186.1001</v>
      </c>
      <c r="EE46" s="166">
        <v>189.1677</v>
      </c>
      <c r="EF46" s="166">
        <v>70.165999999999997</v>
      </c>
      <c r="EG46" s="166">
        <v>45.689700000000002</v>
      </c>
      <c r="EH46" s="166">
        <v>-30.12</v>
      </c>
      <c r="EI46" s="166">
        <v>600.6309</v>
      </c>
      <c r="EJ46" s="166">
        <v>307.1361</v>
      </c>
      <c r="EK46" s="167"/>
      <c r="EL46" s="166">
        <v>-11.9191</v>
      </c>
      <c r="EM46" s="166">
        <v>-9.5909999999999993</v>
      </c>
      <c r="EN46" s="167"/>
      <c r="EO46" s="166">
        <v>8.8201999999999998</v>
      </c>
      <c r="EP46" s="166">
        <v>9.0619999999999994</v>
      </c>
      <c r="EQ46" s="166">
        <v>26.16</v>
      </c>
      <c r="ER46" s="166">
        <v>-42.240299999999998</v>
      </c>
      <c r="ES46" s="166">
        <v>-43.398600000000002</v>
      </c>
      <c r="ET46" s="166">
        <v>-3.3582999999999998</v>
      </c>
      <c r="EU46" s="166">
        <v>0</v>
      </c>
      <c r="EV46" s="166">
        <v>-6.07</v>
      </c>
      <c r="EW46" s="166">
        <v>0</v>
      </c>
      <c r="EX46" s="166">
        <v>13.166600000000001</v>
      </c>
      <c r="EY46" s="166">
        <v>-37.3309</v>
      </c>
      <c r="EZ46" s="166">
        <v>-39.1905</v>
      </c>
      <c r="FA46" s="166">
        <v>-38.043100000000003</v>
      </c>
      <c r="FB46" s="166">
        <v>4.8602999999999996</v>
      </c>
      <c r="FC46" s="166">
        <v>-42.808700000000002</v>
      </c>
      <c r="FD46" s="166">
        <v>12.343999999999999</v>
      </c>
      <c r="FE46" s="166">
        <v>25.097100000000001</v>
      </c>
      <c r="FF46" s="166">
        <v>26.2272</v>
      </c>
      <c r="FG46" s="167"/>
      <c r="FH46" s="166">
        <v>39.629300000000001</v>
      </c>
      <c r="FI46" s="166">
        <v>40.4953</v>
      </c>
      <c r="FJ46" s="166">
        <v>39.025799999999997</v>
      </c>
      <c r="FK46" s="166">
        <v>50.906700000000001</v>
      </c>
      <c r="FL46" s="166">
        <v>51.074199999999998</v>
      </c>
      <c r="FM46" s="166">
        <v>-15.573399999999999</v>
      </c>
      <c r="FN46" s="166">
        <v>18.411799999999999</v>
      </c>
      <c r="FO46" s="166">
        <v>18.357500000000002</v>
      </c>
      <c r="FP46" s="166">
        <v>-20.1083</v>
      </c>
      <c r="FQ46" s="166">
        <v>-10.007899999999999</v>
      </c>
      <c r="FR46" s="166">
        <v>-3.8946999999999998</v>
      </c>
      <c r="FS46" s="166">
        <v>-20.97</v>
      </c>
      <c r="FT46" s="167"/>
      <c r="FU46" s="166">
        <v>1.7935000000000001</v>
      </c>
      <c r="FV46" s="166">
        <v>1.39</v>
      </c>
      <c r="FW46" s="166">
        <v>14.63</v>
      </c>
      <c r="FX46" s="166">
        <v>0</v>
      </c>
      <c r="FY46" s="166">
        <v>4.8015999999999996</v>
      </c>
      <c r="FZ46" s="166">
        <v>-6.8710000000000004</v>
      </c>
      <c r="GA46" s="166">
        <v>0.64200000000000002</v>
      </c>
      <c r="GB46" s="167"/>
      <c r="GC46" s="166">
        <v>29.51</v>
      </c>
      <c r="GD46" s="166">
        <v>10.4786</v>
      </c>
      <c r="GE46" s="166">
        <v>19.8796</v>
      </c>
      <c r="GF46" s="166">
        <v>16.07</v>
      </c>
      <c r="GG46" s="166">
        <v>70.947699999999998</v>
      </c>
      <c r="GH46" s="166">
        <v>25.1</v>
      </c>
      <c r="GI46" s="166">
        <v>-3.3039999999999998</v>
      </c>
      <c r="GJ46" s="166">
        <v>-13.483700000000001</v>
      </c>
      <c r="GK46" s="166">
        <v>-14.658799999999999</v>
      </c>
      <c r="GL46" s="166">
        <v>3.1825999999999999</v>
      </c>
      <c r="GM46" s="167"/>
      <c r="GN46" s="167"/>
      <c r="GO46" s="166">
        <v>-18.837700000000002</v>
      </c>
      <c r="GP46" s="166">
        <v>-29.343800000000002</v>
      </c>
      <c r="GQ46" s="166">
        <v>10.184699999999999</v>
      </c>
      <c r="GR46" s="166">
        <v>30.2318</v>
      </c>
      <c r="GS46" s="166">
        <v>10.9237</v>
      </c>
      <c r="GT46" s="166">
        <v>10.8904</v>
      </c>
      <c r="GU46" s="166">
        <v>-107.2317</v>
      </c>
      <c r="GV46" s="166">
        <v>-32.301400000000001</v>
      </c>
      <c r="GW46" s="166">
        <v>33.3245</v>
      </c>
      <c r="GX46" s="166">
        <v>-18.922899999999998</v>
      </c>
      <c r="GY46" s="166">
        <v>4.1089000000000002</v>
      </c>
      <c r="GZ46" s="166">
        <v>20.210599999999999</v>
      </c>
      <c r="HA46" s="168">
        <v>19.568999999999999</v>
      </c>
      <c r="HB46" s="166">
        <v>6.6736000000000004</v>
      </c>
      <c r="HC46" s="166">
        <v>161.9384</v>
      </c>
      <c r="HD46" s="166">
        <v>162.02199999999999</v>
      </c>
      <c r="HE46" s="166">
        <v>269.5</v>
      </c>
      <c r="HF46" s="166">
        <v>-262.42320000000001</v>
      </c>
      <c r="HG46" s="166">
        <v>-535.71939999999995</v>
      </c>
      <c r="HH46" s="166">
        <v>538.08960000000002</v>
      </c>
      <c r="HI46" s="166">
        <v>496.50240000000002</v>
      </c>
      <c r="HJ46" s="166">
        <v>-153.8837</v>
      </c>
      <c r="HK46" s="166">
        <v>-152.70740000000001</v>
      </c>
      <c r="HL46" s="166">
        <v>-45.754100000000001</v>
      </c>
      <c r="HM46" s="166">
        <v>-32.520899999999997</v>
      </c>
      <c r="HN46" s="166">
        <v>75.093900000000005</v>
      </c>
      <c r="HO46" s="166">
        <v>73.806600000000003</v>
      </c>
      <c r="HP46" s="167"/>
      <c r="HQ46" s="166">
        <v>-103.2171</v>
      </c>
      <c r="HR46" s="166">
        <v>27.6997</v>
      </c>
      <c r="HS46" s="166">
        <v>26.7988</v>
      </c>
      <c r="HT46" s="166">
        <v>-99.054500000000004</v>
      </c>
      <c r="HU46" s="166">
        <v>-99.238100000000003</v>
      </c>
      <c r="HV46" s="166">
        <v>71.92</v>
      </c>
      <c r="HW46" s="166">
        <v>70.680000000000007</v>
      </c>
      <c r="HX46" s="166">
        <v>53.8</v>
      </c>
      <c r="HY46" s="166">
        <v>53.9</v>
      </c>
      <c r="HZ46" s="166">
        <v>20.468599999999999</v>
      </c>
      <c r="IA46" s="166">
        <v>48.48</v>
      </c>
      <c r="IB46" s="166">
        <v>-413.3304</v>
      </c>
      <c r="IC46" s="167"/>
      <c r="ID46" s="167"/>
      <c r="IE46" s="166">
        <v>17.899999999999999</v>
      </c>
      <c r="IF46" s="166">
        <v>26.8</v>
      </c>
      <c r="IG46" s="166">
        <v>-25.9</v>
      </c>
      <c r="IH46" s="166">
        <v>-31.5</v>
      </c>
      <c r="II46" s="167"/>
      <c r="IJ46" s="167"/>
      <c r="IK46" s="166">
        <v>-490.04129999999998</v>
      </c>
      <c r="IL46" s="166">
        <v>-280.20740000000001</v>
      </c>
      <c r="IM46" s="166">
        <v>573.1508</v>
      </c>
      <c r="IN46" s="166">
        <v>450.49549999999999</v>
      </c>
      <c r="IO46" s="166">
        <v>99.839600000000004</v>
      </c>
      <c r="IP46" s="166">
        <v>-445.5992</v>
      </c>
      <c r="IQ46" s="166">
        <v>445.64269999999999</v>
      </c>
      <c r="IR46" s="166">
        <v>-199.03569999999999</v>
      </c>
      <c r="IS46" s="166">
        <v>-256.2867</v>
      </c>
      <c r="IT46" s="166">
        <v>-436.63339999999999</v>
      </c>
      <c r="IU46" s="166">
        <v>116.85209999999999</v>
      </c>
      <c r="IV46" s="166">
        <v>114.8783</v>
      </c>
      <c r="IW46" s="166">
        <v>197.1515</v>
      </c>
      <c r="IX46" s="166">
        <v>-548.35590000000002</v>
      </c>
      <c r="IY46" s="166">
        <v>263.68990000000002</v>
      </c>
      <c r="IZ46" s="166">
        <v>-294.95370000000003</v>
      </c>
      <c r="JA46" s="166">
        <v>301.12990000000002</v>
      </c>
      <c r="JB46" s="166">
        <v>-7.3815999999999997</v>
      </c>
      <c r="JC46" s="166">
        <v>13.629</v>
      </c>
      <c r="JD46" s="166">
        <v>19.84</v>
      </c>
      <c r="JE46" s="166">
        <v>0.04</v>
      </c>
      <c r="JF46" s="166">
        <v>2.3E-2</v>
      </c>
      <c r="JG46" s="166">
        <v>-19.84</v>
      </c>
      <c r="JH46" s="166">
        <v>-1.44</v>
      </c>
      <c r="JI46" s="167"/>
      <c r="JJ46" s="166">
        <v>2.2292999999999998</v>
      </c>
      <c r="JK46" s="166">
        <v>-28.416899999999998</v>
      </c>
      <c r="JL46" s="166">
        <v>-14.7936</v>
      </c>
      <c r="JM46" s="166">
        <v>11</v>
      </c>
      <c r="JN46" s="166">
        <v>50.100999999999999</v>
      </c>
      <c r="JO46" s="166">
        <v>49.805</v>
      </c>
      <c r="JP46" s="167"/>
      <c r="JQ46" s="167"/>
      <c r="JR46" s="166">
        <v>49.403100000000002</v>
      </c>
      <c r="JS46" s="166">
        <v>48.4878</v>
      </c>
      <c r="JT46" s="166">
        <v>48.604199999999999</v>
      </c>
      <c r="JU46" s="167"/>
      <c r="JV46" s="166">
        <v>-27.2</v>
      </c>
      <c r="JW46" s="166">
        <v>29.491399999999999</v>
      </c>
      <c r="JX46" s="166">
        <v>11.42</v>
      </c>
      <c r="JY46" s="167"/>
      <c r="JZ46" s="166">
        <v>-32.613700000000001</v>
      </c>
      <c r="KA46" s="166">
        <v>75.958600000000004</v>
      </c>
      <c r="KB46" s="166">
        <v>45.508699999999997</v>
      </c>
      <c r="KC46" s="166">
        <v>-32.248600000000003</v>
      </c>
      <c r="KD46" s="166">
        <v>-73.610299999999995</v>
      </c>
      <c r="KE46" s="166">
        <v>32.021599999999999</v>
      </c>
      <c r="KF46" s="166">
        <v>42.014200000000002</v>
      </c>
      <c r="KG46" s="166">
        <v>12.7</v>
      </c>
      <c r="KH46" s="166">
        <v>-13</v>
      </c>
      <c r="KI46" s="166">
        <v>-39.1845</v>
      </c>
      <c r="KJ46" s="166">
        <v>195.34710000000001</v>
      </c>
    </row>
    <row r="47" spans="1:296" ht="18" customHeight="1" x14ac:dyDescent="0.3">
      <c r="A47" s="162" t="s">
        <v>67</v>
      </c>
      <c r="B47" s="162" t="s">
        <v>846</v>
      </c>
      <c r="C47" s="166">
        <v>0</v>
      </c>
      <c r="D47" s="167"/>
      <c r="E47" s="166">
        <v>13.824400000000001</v>
      </c>
      <c r="F47" s="166">
        <v>-22.387</v>
      </c>
      <c r="G47" s="166">
        <v>-30.1511</v>
      </c>
      <c r="H47" s="166">
        <v>37.359699999999997</v>
      </c>
      <c r="I47" s="167"/>
      <c r="J47" s="168">
        <v>55.2455</v>
      </c>
      <c r="K47" s="166">
        <v>-109.86579999999999</v>
      </c>
      <c r="L47" s="168">
        <v>77.281000000000006</v>
      </c>
      <c r="M47" s="168">
        <v>39.200800000000001</v>
      </c>
      <c r="N47" s="168">
        <v>38.293500000000002</v>
      </c>
      <c r="O47" s="166">
        <v>6.66</v>
      </c>
      <c r="P47" s="166">
        <v>-76.587999999999994</v>
      </c>
      <c r="Q47" s="166">
        <v>68.2</v>
      </c>
      <c r="R47" s="166">
        <v>19.872</v>
      </c>
      <c r="S47" s="166">
        <v>-66</v>
      </c>
      <c r="T47" s="166">
        <v>14.666700000000001</v>
      </c>
      <c r="U47" s="166">
        <v>69.501800000000003</v>
      </c>
      <c r="V47" s="166">
        <v>13.9877</v>
      </c>
      <c r="W47" s="166">
        <v>14.033200000000001</v>
      </c>
      <c r="X47" s="166">
        <v>23.294</v>
      </c>
      <c r="Y47" s="166">
        <v>1.5384</v>
      </c>
      <c r="Z47" s="166">
        <v>0.15609999999999999</v>
      </c>
      <c r="AA47" s="166">
        <v>1.0693999999999999</v>
      </c>
      <c r="AB47" s="167"/>
      <c r="AC47" s="167"/>
      <c r="AD47" s="166">
        <v>-81.14</v>
      </c>
      <c r="AE47" s="166">
        <v>-81.27</v>
      </c>
      <c r="AF47" s="167"/>
      <c r="AG47" s="166">
        <v>-6.66</v>
      </c>
      <c r="AH47" s="166">
        <v>74.8</v>
      </c>
      <c r="AI47" s="166">
        <v>28.768000000000001</v>
      </c>
      <c r="AJ47" s="166">
        <v>0.30599999999999999</v>
      </c>
      <c r="AK47" s="166">
        <v>-73.58</v>
      </c>
      <c r="AL47" s="166">
        <v>-74.040000000000006</v>
      </c>
      <c r="AM47" s="166">
        <v>-28.09</v>
      </c>
      <c r="AN47" s="166">
        <v>74.72</v>
      </c>
      <c r="AO47" s="166">
        <v>75.61</v>
      </c>
      <c r="AP47" s="166">
        <v>23.9145</v>
      </c>
      <c r="AQ47" s="166">
        <v>-4.6067</v>
      </c>
      <c r="AR47" s="166">
        <v>82.736199999999997</v>
      </c>
      <c r="AS47" s="168">
        <v>84.607299999999995</v>
      </c>
      <c r="AT47" s="166">
        <v>36.219700000000003</v>
      </c>
      <c r="AU47" s="166">
        <v>-63.392200000000003</v>
      </c>
      <c r="AV47" s="166">
        <v>-63.244500000000002</v>
      </c>
      <c r="AW47" s="166">
        <v>3.6387999999999998</v>
      </c>
      <c r="AX47" s="166">
        <v>3.5133000000000001</v>
      </c>
      <c r="AY47" s="166">
        <v>81.787199999999999</v>
      </c>
      <c r="AZ47" s="166">
        <v>83.3446</v>
      </c>
      <c r="BA47" s="166">
        <v>12.2074</v>
      </c>
      <c r="BB47" s="166">
        <v>11.63</v>
      </c>
      <c r="BC47" s="166">
        <v>-486.8372</v>
      </c>
      <c r="BD47" s="166">
        <v>-29.513500000000001</v>
      </c>
      <c r="BE47" s="166">
        <v>-4.8</v>
      </c>
      <c r="BF47" s="166">
        <v>-4.8</v>
      </c>
      <c r="BG47" s="166">
        <v>70.543099999999995</v>
      </c>
      <c r="BH47" s="166">
        <v>68.743799999999993</v>
      </c>
      <c r="BI47" s="166">
        <v>-7.1635</v>
      </c>
      <c r="BJ47" s="167"/>
      <c r="BK47" s="166">
        <v>-48.416899999999998</v>
      </c>
      <c r="BL47" s="166">
        <v>10.863799999999999</v>
      </c>
      <c r="BM47" s="166">
        <v>12.2471</v>
      </c>
      <c r="BN47" s="166">
        <v>8.2748000000000008</v>
      </c>
      <c r="BO47" s="166">
        <v>530.50310000000002</v>
      </c>
      <c r="BP47" s="166">
        <v>162.8467</v>
      </c>
      <c r="BQ47" s="166">
        <v>162.8467</v>
      </c>
      <c r="BR47" s="166">
        <v>-539.81769999999995</v>
      </c>
      <c r="BS47" s="166">
        <v>604.55679999999995</v>
      </c>
      <c r="BT47" s="167"/>
      <c r="BU47" s="166">
        <v>-72.396799999999999</v>
      </c>
      <c r="BV47" s="166">
        <v>74.487300000000005</v>
      </c>
      <c r="BW47" s="166">
        <v>116.29170000000001</v>
      </c>
      <c r="BX47" s="166">
        <v>34.840000000000003</v>
      </c>
      <c r="BY47" s="166">
        <v>43.9</v>
      </c>
      <c r="BZ47" s="168">
        <v>81.23</v>
      </c>
      <c r="CA47" s="168">
        <v>92.295000000000002</v>
      </c>
      <c r="CB47" s="166">
        <v>-45.943100000000001</v>
      </c>
      <c r="CC47" s="166">
        <v>-45.541200000000003</v>
      </c>
      <c r="CD47" s="166">
        <v>113.0416</v>
      </c>
      <c r="CE47" s="166">
        <v>114.2779</v>
      </c>
      <c r="CF47" s="166">
        <v>21.801100000000002</v>
      </c>
      <c r="CG47" s="166">
        <v>-183.0872</v>
      </c>
      <c r="CH47" s="166">
        <v>-183.5059</v>
      </c>
      <c r="CI47" s="166">
        <v>3.8159000000000001</v>
      </c>
      <c r="CJ47" s="166">
        <v>0</v>
      </c>
      <c r="CK47" s="166">
        <v>12.658899999999999</v>
      </c>
      <c r="CL47" s="166">
        <v>12.135999999999999</v>
      </c>
      <c r="CM47" s="166">
        <v>155.69999999999999</v>
      </c>
      <c r="CN47" s="166">
        <v>140.4</v>
      </c>
      <c r="CO47" s="166">
        <v>-19.29</v>
      </c>
      <c r="CP47" s="166">
        <v>65.845500000000001</v>
      </c>
      <c r="CQ47" s="166">
        <v>64.001000000000005</v>
      </c>
      <c r="CR47" s="166">
        <v>63.704599999999999</v>
      </c>
      <c r="CS47" s="166">
        <v>0.68520000000000003</v>
      </c>
      <c r="CT47" s="166">
        <v>1.2198</v>
      </c>
      <c r="CU47" s="166">
        <v>22.049499999999998</v>
      </c>
      <c r="CV47" s="166">
        <v>-86.485699999999994</v>
      </c>
      <c r="CW47" s="166">
        <v>30.158899999999999</v>
      </c>
      <c r="CX47" s="166">
        <v>19.4377</v>
      </c>
      <c r="CY47" s="166">
        <v>87.04</v>
      </c>
      <c r="CZ47" s="166">
        <v>46.32</v>
      </c>
      <c r="DA47" s="166">
        <v>58.8354</v>
      </c>
      <c r="DB47" s="166">
        <v>55.961599999999997</v>
      </c>
      <c r="DC47" s="166">
        <v>-39.936599999999999</v>
      </c>
      <c r="DD47" s="167"/>
      <c r="DE47" s="167"/>
      <c r="DF47" s="166">
        <v>0</v>
      </c>
      <c r="DG47" s="166">
        <v>-75.578199999999995</v>
      </c>
      <c r="DH47" s="167"/>
      <c r="DI47" s="167"/>
      <c r="DJ47" s="166">
        <v>-119.6</v>
      </c>
      <c r="DK47" s="166">
        <v>-119.9</v>
      </c>
      <c r="DL47" s="168">
        <v>22.483499999999999</v>
      </c>
      <c r="DM47" s="166">
        <v>69.2</v>
      </c>
      <c r="DN47" s="166">
        <v>75.239999999999995</v>
      </c>
      <c r="DO47" s="166">
        <v>93.28</v>
      </c>
      <c r="DP47" s="166">
        <v>68.760000000000005</v>
      </c>
      <c r="DQ47" s="166">
        <v>-9.0500000000000007</v>
      </c>
      <c r="DR47" s="166">
        <v>58.063000000000002</v>
      </c>
      <c r="DS47" s="166">
        <v>75.369299999999996</v>
      </c>
      <c r="DT47" s="166">
        <v>-2.73</v>
      </c>
      <c r="DU47" s="166">
        <v>-2.68</v>
      </c>
      <c r="DV47" s="166">
        <v>83.72</v>
      </c>
      <c r="DW47" s="166">
        <v>80.03</v>
      </c>
      <c r="DX47" s="166">
        <v>75.472700000000003</v>
      </c>
      <c r="DY47" s="166">
        <v>74.654499999999999</v>
      </c>
      <c r="DZ47" s="166">
        <v>-29.1023</v>
      </c>
      <c r="EA47" s="166">
        <v>-29.9636</v>
      </c>
      <c r="EB47" s="166">
        <v>212.5574</v>
      </c>
      <c r="EC47" s="166">
        <v>164.17580000000001</v>
      </c>
      <c r="ED47" s="166">
        <v>157.7895</v>
      </c>
      <c r="EE47" s="166">
        <v>160.68629999999999</v>
      </c>
      <c r="EF47" s="166">
        <v>71.152500000000003</v>
      </c>
      <c r="EG47" s="166">
        <v>43.741900000000001</v>
      </c>
      <c r="EH47" s="166">
        <v>-30.4</v>
      </c>
      <c r="EI47" s="166">
        <v>548.35329999999999</v>
      </c>
      <c r="EJ47" s="166">
        <v>311.79860000000002</v>
      </c>
      <c r="EK47" s="167"/>
      <c r="EL47" s="166">
        <v>-19.973400000000002</v>
      </c>
      <c r="EM47" s="166">
        <v>-17.674299999999999</v>
      </c>
      <c r="EN47" s="167"/>
      <c r="EO47" s="166">
        <v>0.36940000000000001</v>
      </c>
      <c r="EP47" s="166">
        <v>0.39290000000000003</v>
      </c>
      <c r="EQ47" s="166">
        <v>35.375999999999998</v>
      </c>
      <c r="ER47" s="166">
        <v>-47.4101</v>
      </c>
      <c r="ES47" s="166">
        <v>-48.121499999999997</v>
      </c>
      <c r="ET47" s="166">
        <v>-0.71230000000000004</v>
      </c>
      <c r="EU47" s="166">
        <v>0</v>
      </c>
      <c r="EV47" s="166">
        <v>-14.67</v>
      </c>
      <c r="EW47" s="166">
        <v>0</v>
      </c>
      <c r="EX47" s="166">
        <v>13.0176</v>
      </c>
      <c r="EY47" s="166">
        <v>-53.430900000000001</v>
      </c>
      <c r="EZ47" s="166">
        <v>-38.991599999999998</v>
      </c>
      <c r="FA47" s="166">
        <v>-37.826900000000002</v>
      </c>
      <c r="FB47" s="166">
        <v>4.8433999999999999</v>
      </c>
      <c r="FC47" s="166">
        <v>-40.078400000000002</v>
      </c>
      <c r="FD47" s="166">
        <v>12.675800000000001</v>
      </c>
      <c r="FE47" s="166">
        <v>24.792899999999999</v>
      </c>
      <c r="FF47" s="166">
        <v>25.647600000000001</v>
      </c>
      <c r="FG47" s="167"/>
      <c r="FH47" s="166">
        <v>39.669400000000003</v>
      </c>
      <c r="FI47" s="166">
        <v>40.329000000000001</v>
      </c>
      <c r="FJ47" s="166">
        <v>39.4131</v>
      </c>
      <c r="FK47" s="166">
        <v>46.552900000000001</v>
      </c>
      <c r="FL47" s="166">
        <v>46.2179</v>
      </c>
      <c r="FM47" s="166">
        <v>-39.687100000000001</v>
      </c>
      <c r="FN47" s="166">
        <v>31.459299999999999</v>
      </c>
      <c r="FO47" s="166">
        <v>31.872399999999999</v>
      </c>
      <c r="FP47" s="166">
        <v>-41.213999999999999</v>
      </c>
      <c r="FQ47" s="166">
        <v>-28.98</v>
      </c>
      <c r="FR47" s="166">
        <v>-11.328900000000001</v>
      </c>
      <c r="FS47" s="166">
        <v>-22.71</v>
      </c>
      <c r="FT47" s="167"/>
      <c r="FU47" s="166">
        <v>1.7923</v>
      </c>
      <c r="FV47" s="166">
        <v>1.4</v>
      </c>
      <c r="FW47" s="166">
        <v>14.66</v>
      </c>
      <c r="FX47" s="166">
        <v>-12.204000000000001</v>
      </c>
      <c r="FY47" s="167"/>
      <c r="FZ47" s="166">
        <v>-6.7569999999999997</v>
      </c>
      <c r="GA47" s="166">
        <v>0.58799999999999997</v>
      </c>
      <c r="GB47" s="167"/>
      <c r="GC47" s="166">
        <v>29.34</v>
      </c>
      <c r="GD47" s="166">
        <v>30.414300000000001</v>
      </c>
      <c r="GE47" s="166">
        <v>40.741199999999999</v>
      </c>
      <c r="GF47" s="166">
        <v>15.77</v>
      </c>
      <c r="GG47" s="166">
        <v>72.254499999999993</v>
      </c>
      <c r="GH47" s="166">
        <v>25.7</v>
      </c>
      <c r="GI47" s="166">
        <v>-2.6909999999999998</v>
      </c>
      <c r="GJ47" s="166">
        <v>-13.632400000000001</v>
      </c>
      <c r="GK47" s="166">
        <v>-14.726699999999999</v>
      </c>
      <c r="GL47" s="166">
        <v>3.1953999999999998</v>
      </c>
      <c r="GM47" s="167"/>
      <c r="GN47" s="167"/>
      <c r="GO47" s="168">
        <v>-19.3203</v>
      </c>
      <c r="GP47" s="166">
        <v>-28.744</v>
      </c>
      <c r="GQ47" s="166">
        <v>10.707100000000001</v>
      </c>
      <c r="GR47" s="166">
        <v>29.3504</v>
      </c>
      <c r="GS47" s="166">
        <v>13.5945</v>
      </c>
      <c r="GT47" s="166">
        <v>11.887</v>
      </c>
      <c r="GU47" s="166">
        <v>-105.3083</v>
      </c>
      <c r="GV47" s="166">
        <v>-32.275300000000001</v>
      </c>
      <c r="GW47" s="166">
        <v>32.500500000000002</v>
      </c>
      <c r="GX47" s="166">
        <v>-18.997299999999999</v>
      </c>
      <c r="GY47" s="166">
        <v>4.3795999999999999</v>
      </c>
      <c r="GZ47" s="168">
        <v>20.0928</v>
      </c>
      <c r="HA47" s="168">
        <v>19.442499999999999</v>
      </c>
      <c r="HB47" s="166">
        <v>7.0477999999999996</v>
      </c>
      <c r="HC47" s="166">
        <v>156.31100000000001</v>
      </c>
      <c r="HD47" s="166">
        <v>156.07239999999999</v>
      </c>
      <c r="HE47" s="166">
        <v>224.6</v>
      </c>
      <c r="HF47" s="166">
        <v>-223.28270000000001</v>
      </c>
      <c r="HG47" s="166">
        <v>-486.89249999999998</v>
      </c>
      <c r="HH47" s="166">
        <v>491.76830000000001</v>
      </c>
      <c r="HI47" s="166">
        <v>485.87560000000002</v>
      </c>
      <c r="HJ47" s="166">
        <v>-149.6738</v>
      </c>
      <c r="HK47" s="166">
        <v>-147.15029999999999</v>
      </c>
      <c r="HL47" s="166">
        <v>-45.5715</v>
      </c>
      <c r="HM47" s="166">
        <v>-33.046900000000001</v>
      </c>
      <c r="HN47" s="166">
        <v>75.629499999999993</v>
      </c>
      <c r="HO47" s="166">
        <v>74.393199999999993</v>
      </c>
      <c r="HP47" s="167"/>
      <c r="HQ47" s="167"/>
      <c r="HR47" s="166">
        <v>29.534400000000002</v>
      </c>
      <c r="HS47" s="166">
        <v>29.468499999999999</v>
      </c>
      <c r="HT47" s="166">
        <v>-81.519599999999997</v>
      </c>
      <c r="HU47" s="166">
        <v>-81.587000000000003</v>
      </c>
      <c r="HV47" s="166">
        <v>72.42</v>
      </c>
      <c r="HW47" s="166">
        <v>71.209999999999994</v>
      </c>
      <c r="HX47" s="166">
        <v>52.1</v>
      </c>
      <c r="HY47" s="166">
        <v>54.1</v>
      </c>
      <c r="HZ47" s="166">
        <v>20.654499999999999</v>
      </c>
      <c r="IA47" s="166">
        <v>47.84</v>
      </c>
      <c r="IB47" s="166">
        <v>-406.4375</v>
      </c>
      <c r="IC47" s="167"/>
      <c r="ID47" s="167"/>
      <c r="IE47" s="166">
        <v>17.899999999999999</v>
      </c>
      <c r="IF47" s="166">
        <v>23.9</v>
      </c>
      <c r="IG47" s="166">
        <v>-28.4</v>
      </c>
      <c r="IH47" s="166">
        <v>-34.700000000000003</v>
      </c>
      <c r="II47" s="167"/>
      <c r="IJ47" s="167"/>
      <c r="IK47" s="166">
        <v>-478.17129999999997</v>
      </c>
      <c r="IL47" s="166">
        <v>-288.0523</v>
      </c>
      <c r="IM47" s="166">
        <v>538.2414</v>
      </c>
      <c r="IN47" s="166">
        <v>426.37189999999998</v>
      </c>
      <c r="IO47" s="166">
        <v>81.811000000000007</v>
      </c>
      <c r="IP47" s="166">
        <v>-419.48910000000001</v>
      </c>
      <c r="IQ47" s="166">
        <v>421.255</v>
      </c>
      <c r="IR47" s="166">
        <v>-194.91470000000001</v>
      </c>
      <c r="IS47" s="166">
        <v>-246.05699999999999</v>
      </c>
      <c r="IT47" s="166">
        <v>-414.8655</v>
      </c>
      <c r="IU47" s="166">
        <v>105.6482</v>
      </c>
      <c r="IV47" s="166">
        <v>107.0603</v>
      </c>
      <c r="IW47" s="166">
        <v>195.39840000000001</v>
      </c>
      <c r="IX47" s="166">
        <v>-520.00419999999997</v>
      </c>
      <c r="IY47" s="166">
        <v>256.935</v>
      </c>
      <c r="IZ47" s="166">
        <v>-274.9889</v>
      </c>
      <c r="JA47" s="166">
        <v>274.3107</v>
      </c>
      <c r="JB47" s="166">
        <v>-7.5133999999999999</v>
      </c>
      <c r="JC47" s="166">
        <v>13.401999999999999</v>
      </c>
      <c r="JD47" s="166">
        <v>25.04</v>
      </c>
      <c r="JE47" s="166">
        <v>-2E-3</v>
      </c>
      <c r="JF47" s="166">
        <v>-1.2999999999999999E-2</v>
      </c>
      <c r="JG47" s="166">
        <v>-24.64</v>
      </c>
      <c r="JH47" s="166">
        <v>1.28</v>
      </c>
      <c r="JI47" s="167"/>
      <c r="JJ47" s="166">
        <v>-1.9913000000000001</v>
      </c>
      <c r="JK47" s="166">
        <v>-27.391500000000001</v>
      </c>
      <c r="JL47" s="166">
        <v>-15.938000000000001</v>
      </c>
      <c r="JM47" s="166">
        <v>13.2</v>
      </c>
      <c r="JN47" s="166">
        <v>51.853999999999999</v>
      </c>
      <c r="JO47" s="166">
        <v>50.902999999999999</v>
      </c>
      <c r="JP47" s="167"/>
      <c r="JQ47" s="167"/>
      <c r="JR47" s="166">
        <v>48.384300000000003</v>
      </c>
      <c r="JS47" s="166">
        <v>47.441400000000002</v>
      </c>
      <c r="JT47" s="166">
        <v>48.575600000000001</v>
      </c>
      <c r="JU47" s="167"/>
      <c r="JV47" s="166">
        <v>-23.6</v>
      </c>
      <c r="JW47" s="166">
        <v>30.353100000000001</v>
      </c>
      <c r="JX47" s="166">
        <v>11.52</v>
      </c>
      <c r="JY47" s="167"/>
      <c r="JZ47" s="166">
        <v>-31.771100000000001</v>
      </c>
      <c r="KA47" s="166">
        <v>75.374600000000001</v>
      </c>
      <c r="KB47" s="166">
        <v>46.000599999999999</v>
      </c>
      <c r="KC47" s="166">
        <v>-31.165600000000001</v>
      </c>
      <c r="KD47" s="166">
        <v>-73.587000000000003</v>
      </c>
      <c r="KE47" s="166">
        <v>32.288899999999998</v>
      </c>
      <c r="KF47" s="166">
        <v>41.961399999999998</v>
      </c>
      <c r="KG47" s="166">
        <v>9.6</v>
      </c>
      <c r="KH47" s="166">
        <v>-10.8</v>
      </c>
      <c r="KI47" s="166">
        <v>-2.48</v>
      </c>
      <c r="KJ47" s="166">
        <v>178.12819999999999</v>
      </c>
    </row>
    <row r="48" spans="1:296" ht="18" customHeight="1" x14ac:dyDescent="0.3">
      <c r="A48" s="162" t="s">
        <v>67</v>
      </c>
      <c r="B48" s="162" t="s">
        <v>847</v>
      </c>
      <c r="C48" s="169">
        <v>0</v>
      </c>
      <c r="D48" s="170"/>
      <c r="E48" s="169">
        <v>14.2949</v>
      </c>
      <c r="F48" s="169">
        <v>-22.384799999999998</v>
      </c>
      <c r="G48" s="169">
        <v>-30.214500000000001</v>
      </c>
      <c r="H48" s="169">
        <v>36.960700000000003</v>
      </c>
      <c r="I48" s="170"/>
      <c r="J48" s="169">
        <v>54.338099999999997</v>
      </c>
      <c r="K48" s="169">
        <v>-107.9967</v>
      </c>
      <c r="L48" s="169">
        <v>76.421800000000005</v>
      </c>
      <c r="M48" s="169">
        <v>38.796799999999998</v>
      </c>
      <c r="N48" s="169">
        <v>37.8857</v>
      </c>
      <c r="O48" s="169">
        <v>11.1</v>
      </c>
      <c r="P48" s="169">
        <v>-74.108999999999995</v>
      </c>
      <c r="Q48" s="169">
        <v>66</v>
      </c>
      <c r="R48" s="169">
        <v>19.044</v>
      </c>
      <c r="S48" s="169">
        <v>-63.8</v>
      </c>
      <c r="T48" s="169">
        <v>14.803800000000001</v>
      </c>
      <c r="U48" s="169">
        <v>68.332800000000006</v>
      </c>
      <c r="V48" s="169">
        <v>13.838200000000001</v>
      </c>
      <c r="W48" s="169">
        <v>13.905099999999999</v>
      </c>
      <c r="X48" s="169">
        <v>22.976500000000001</v>
      </c>
      <c r="Y48" s="169">
        <v>1.8027</v>
      </c>
      <c r="Z48" s="169">
        <v>0.20699999999999999</v>
      </c>
      <c r="AA48" s="169">
        <v>0.995</v>
      </c>
      <c r="AB48" s="170"/>
      <c r="AC48" s="170"/>
      <c r="AD48" s="169">
        <v>-79.03</v>
      </c>
      <c r="AE48" s="169">
        <v>-79.08</v>
      </c>
      <c r="AF48" s="170"/>
      <c r="AG48" s="169">
        <v>-8.8800000000000008</v>
      </c>
      <c r="AH48" s="169">
        <v>72.599999999999994</v>
      </c>
      <c r="AI48" s="169">
        <v>29.262</v>
      </c>
      <c r="AJ48" s="169">
        <v>0.309</v>
      </c>
      <c r="AK48" s="169">
        <v>-70.650000000000006</v>
      </c>
      <c r="AL48" s="169">
        <v>-70.73</v>
      </c>
      <c r="AM48" s="169">
        <v>-26.92</v>
      </c>
      <c r="AN48" s="169">
        <v>71.260000000000005</v>
      </c>
      <c r="AO48" s="169">
        <v>72.150000000000006</v>
      </c>
      <c r="AP48" s="169">
        <v>23.965499999999999</v>
      </c>
      <c r="AQ48" s="169">
        <v>-3.4093</v>
      </c>
      <c r="AR48" s="169">
        <v>80.64</v>
      </c>
      <c r="AS48" s="169">
        <v>83.692300000000003</v>
      </c>
      <c r="AT48" s="169">
        <v>32.844200000000001</v>
      </c>
      <c r="AU48" s="169">
        <v>-63.228999999999999</v>
      </c>
      <c r="AV48" s="169">
        <v>-63.058</v>
      </c>
      <c r="AW48" s="169">
        <v>3.6080000000000001</v>
      </c>
      <c r="AX48" s="169">
        <v>4.1189</v>
      </c>
      <c r="AY48" s="169">
        <v>78.637799999999999</v>
      </c>
      <c r="AZ48" s="169">
        <v>80.632900000000006</v>
      </c>
      <c r="BA48" s="169">
        <v>11.273199999999999</v>
      </c>
      <c r="BB48" s="169">
        <v>10.3195</v>
      </c>
      <c r="BC48" s="169">
        <v>-463.33620000000002</v>
      </c>
      <c r="BD48" s="169">
        <v>-29.412299999999998</v>
      </c>
      <c r="BE48" s="169">
        <v>-5.0999999999999996</v>
      </c>
      <c r="BF48" s="169">
        <v>-5</v>
      </c>
      <c r="BG48" s="169">
        <v>70.051100000000005</v>
      </c>
      <c r="BH48" s="169">
        <v>69.524799999999999</v>
      </c>
      <c r="BI48" s="169">
        <v>-7.0393999999999997</v>
      </c>
      <c r="BJ48" s="170"/>
      <c r="BK48" s="169">
        <v>-49.957700000000003</v>
      </c>
      <c r="BL48" s="169">
        <v>10.9056</v>
      </c>
      <c r="BM48" s="169">
        <v>12.467700000000001</v>
      </c>
      <c r="BN48" s="169">
        <v>8.3910999999999998</v>
      </c>
      <c r="BO48" s="169">
        <v>506.14929999999998</v>
      </c>
      <c r="BP48" s="169">
        <v>160.1001</v>
      </c>
      <c r="BQ48" s="169">
        <v>159.154</v>
      </c>
      <c r="BR48" s="169">
        <v>-522.76070000000004</v>
      </c>
      <c r="BS48" s="169">
        <v>584.84050000000002</v>
      </c>
      <c r="BT48" s="170"/>
      <c r="BU48" s="169">
        <v>-78.506100000000004</v>
      </c>
      <c r="BV48" s="169">
        <v>80.552499999999995</v>
      </c>
      <c r="BW48" s="169">
        <v>118.3475</v>
      </c>
      <c r="BX48" s="169">
        <v>34.119999999999997</v>
      </c>
      <c r="BY48" s="169">
        <v>43.41</v>
      </c>
      <c r="BZ48" s="171">
        <v>80.814999999999998</v>
      </c>
      <c r="CA48" s="169">
        <v>91.83</v>
      </c>
      <c r="CB48" s="169">
        <v>-45.005400000000002</v>
      </c>
      <c r="CC48" s="169">
        <v>-44.335599999999999</v>
      </c>
      <c r="CD48" s="169">
        <v>112.1773</v>
      </c>
      <c r="CE48" s="169">
        <v>112.1306</v>
      </c>
      <c r="CF48" s="169">
        <v>20.616499999999998</v>
      </c>
      <c r="CG48" s="169">
        <v>-181.16560000000001</v>
      </c>
      <c r="CH48" s="169">
        <v>-180.2894</v>
      </c>
      <c r="CI48" s="169">
        <v>5.6563999999999997</v>
      </c>
      <c r="CJ48" s="169">
        <v>0</v>
      </c>
      <c r="CK48" s="169">
        <v>12.658899999999999</v>
      </c>
      <c r="CL48" s="171">
        <v>12.198499999999999</v>
      </c>
      <c r="CM48" s="169">
        <v>155.30000000000001</v>
      </c>
      <c r="CN48" s="169">
        <v>140.1</v>
      </c>
      <c r="CO48" s="169">
        <v>-19.559999999999999</v>
      </c>
      <c r="CP48" s="169">
        <v>66.183099999999996</v>
      </c>
      <c r="CQ48" s="169">
        <v>64.749700000000004</v>
      </c>
      <c r="CR48" s="169">
        <v>64.696399999999997</v>
      </c>
      <c r="CS48" s="169">
        <v>5.7903000000000002</v>
      </c>
      <c r="CT48" s="169">
        <v>6.8601000000000001</v>
      </c>
      <c r="CU48" s="169">
        <v>11.763</v>
      </c>
      <c r="CV48" s="169">
        <v>-80.925299999999993</v>
      </c>
      <c r="CW48" s="169">
        <v>18.880700000000001</v>
      </c>
      <c r="CX48" s="169">
        <v>19.397300000000001</v>
      </c>
      <c r="CY48" s="169">
        <v>90.87</v>
      </c>
      <c r="CZ48" s="169">
        <v>46.88</v>
      </c>
      <c r="DA48" s="169">
        <v>58.132300000000001</v>
      </c>
      <c r="DB48" s="169">
        <v>55.375700000000002</v>
      </c>
      <c r="DC48" s="169">
        <v>-39.892299999999999</v>
      </c>
      <c r="DD48" s="170"/>
      <c r="DE48" s="170"/>
      <c r="DF48" s="169">
        <v>0</v>
      </c>
      <c r="DG48" s="169">
        <v>-69.977500000000006</v>
      </c>
      <c r="DH48" s="170"/>
      <c r="DI48" s="170"/>
      <c r="DJ48" s="169">
        <v>-123</v>
      </c>
      <c r="DK48" s="169">
        <v>-121.6</v>
      </c>
      <c r="DL48" s="169">
        <v>22.3599</v>
      </c>
      <c r="DM48" s="169">
        <v>67.599999999999994</v>
      </c>
      <c r="DN48" s="169">
        <v>73.5</v>
      </c>
      <c r="DO48" s="169">
        <v>91.2</v>
      </c>
      <c r="DP48" s="169">
        <v>67.28</v>
      </c>
      <c r="DQ48" s="169">
        <v>-8.69</v>
      </c>
      <c r="DR48" s="169">
        <v>58.063000000000002</v>
      </c>
      <c r="DS48" s="169">
        <v>69.361400000000003</v>
      </c>
      <c r="DT48" s="169">
        <v>-3.14</v>
      </c>
      <c r="DU48" s="169">
        <v>-3.08</v>
      </c>
      <c r="DV48" s="169">
        <v>83.34</v>
      </c>
      <c r="DW48" s="169">
        <v>81.680000000000007</v>
      </c>
      <c r="DX48" s="169">
        <v>69.090900000000005</v>
      </c>
      <c r="DY48" s="169">
        <v>68.981800000000007</v>
      </c>
      <c r="DZ48" s="169">
        <v>-30.917100000000001</v>
      </c>
      <c r="EA48" s="169">
        <v>-31.0273</v>
      </c>
      <c r="EB48" s="169">
        <v>209.9426</v>
      </c>
      <c r="EC48" s="169">
        <v>158.85550000000001</v>
      </c>
      <c r="ED48" s="169">
        <v>152.9034</v>
      </c>
      <c r="EE48" s="169">
        <v>155.3331</v>
      </c>
      <c r="EF48" s="169">
        <v>70.105099999999993</v>
      </c>
      <c r="EG48" s="169">
        <v>42.909700000000001</v>
      </c>
      <c r="EH48" s="169">
        <v>-30.405999999999999</v>
      </c>
      <c r="EI48" s="169">
        <v>529.05100000000004</v>
      </c>
      <c r="EJ48" s="169">
        <v>338.3349</v>
      </c>
      <c r="EK48" s="170"/>
      <c r="EL48" s="169">
        <v>-20.209599999999998</v>
      </c>
      <c r="EM48" s="169">
        <v>-17.733699999999999</v>
      </c>
      <c r="EN48" s="170"/>
      <c r="EO48" s="169">
        <v>3.4346000000000001</v>
      </c>
      <c r="EP48" s="169">
        <v>3.1154000000000002</v>
      </c>
      <c r="EQ48" s="169">
        <v>33.840000000000003</v>
      </c>
      <c r="ER48" s="169">
        <v>-49.742699999999999</v>
      </c>
      <c r="ES48" s="169">
        <v>-51.1858</v>
      </c>
      <c r="ET48" s="169">
        <v>0.21970000000000001</v>
      </c>
      <c r="EU48" s="169">
        <v>0</v>
      </c>
      <c r="EV48" s="169">
        <v>-12.57</v>
      </c>
      <c r="EW48" s="169">
        <v>0</v>
      </c>
      <c r="EX48" s="169">
        <v>12.9178</v>
      </c>
      <c r="EY48" s="169">
        <v>-47.0745</v>
      </c>
      <c r="EZ48" s="169">
        <v>-40.248399999999997</v>
      </c>
      <c r="FA48" s="169">
        <v>-39.066800000000001</v>
      </c>
      <c r="FB48" s="169">
        <v>5.1055999999999999</v>
      </c>
      <c r="FC48" s="169">
        <v>-41.267800000000001</v>
      </c>
      <c r="FD48" s="169">
        <v>10.6312</v>
      </c>
      <c r="FE48" s="169">
        <v>25.3443</v>
      </c>
      <c r="FF48" s="169">
        <v>25.7197</v>
      </c>
      <c r="FG48" s="170"/>
      <c r="FH48" s="169">
        <v>40.081299999999999</v>
      </c>
      <c r="FI48" s="169">
        <v>40.448500000000003</v>
      </c>
      <c r="FJ48" s="169">
        <v>39.066400000000002</v>
      </c>
      <c r="FK48" s="169">
        <v>43.706099999999999</v>
      </c>
      <c r="FL48" s="169">
        <v>43.538600000000002</v>
      </c>
      <c r="FM48" s="169">
        <v>-42.031500000000001</v>
      </c>
      <c r="FN48" s="169">
        <v>33.442799999999998</v>
      </c>
      <c r="FO48" s="169">
        <v>33.2453</v>
      </c>
      <c r="FP48" s="169">
        <v>-40.410800000000002</v>
      </c>
      <c r="FQ48" s="169">
        <v>-27.0032</v>
      </c>
      <c r="FR48" s="169">
        <v>-14.104799999999999</v>
      </c>
      <c r="FS48" s="169">
        <v>-23.41</v>
      </c>
      <c r="FT48" s="170"/>
      <c r="FU48" s="169">
        <v>1.7472000000000001</v>
      </c>
      <c r="FV48" s="169">
        <v>1.4</v>
      </c>
      <c r="FW48" s="169">
        <v>16.41</v>
      </c>
      <c r="FX48" s="169">
        <v>-13.978199999999999</v>
      </c>
      <c r="FY48" s="170"/>
      <c r="FZ48" s="169">
        <v>-6.7290000000000001</v>
      </c>
      <c r="GA48" s="169">
        <v>0.69099999999999995</v>
      </c>
      <c r="GB48" s="170"/>
      <c r="GC48" s="169">
        <v>27.69</v>
      </c>
      <c r="GD48" s="169">
        <v>28.753399999999999</v>
      </c>
      <c r="GE48" s="169">
        <v>39.805599999999998</v>
      </c>
      <c r="GF48" s="169">
        <v>15.62</v>
      </c>
      <c r="GG48" s="169">
        <v>73.025999999999996</v>
      </c>
      <c r="GH48" s="169">
        <v>28</v>
      </c>
      <c r="GI48" s="169">
        <v>-1.4273</v>
      </c>
      <c r="GJ48" s="169">
        <v>-13.6509</v>
      </c>
      <c r="GK48" s="169">
        <v>-14.9581</v>
      </c>
      <c r="GL48" s="169">
        <v>3.1061999999999999</v>
      </c>
      <c r="GM48" s="170"/>
      <c r="GN48" s="170"/>
      <c r="GO48" s="169">
        <v>-19.802900000000001</v>
      </c>
      <c r="GP48" s="169">
        <v>-26.9039</v>
      </c>
      <c r="GQ48" s="169">
        <v>11.4992</v>
      </c>
      <c r="GR48" s="169">
        <v>27.778600000000001</v>
      </c>
      <c r="GS48" s="169">
        <v>13.7148</v>
      </c>
      <c r="GT48" s="169">
        <v>13.5184</v>
      </c>
      <c r="GU48" s="169">
        <v>-100.7437</v>
      </c>
      <c r="GV48" s="169">
        <v>-32.001800000000003</v>
      </c>
      <c r="GW48" s="169">
        <v>32.052399999999999</v>
      </c>
      <c r="GX48" s="169">
        <v>-18.082899999999999</v>
      </c>
      <c r="GY48" s="169">
        <v>4.3011999999999997</v>
      </c>
      <c r="GZ48" s="169">
        <v>19.975000000000001</v>
      </c>
      <c r="HA48" s="169">
        <v>19.315899999999999</v>
      </c>
      <c r="HB48" s="169">
        <v>6.7344999999999997</v>
      </c>
      <c r="HC48" s="169">
        <v>166.33750000000001</v>
      </c>
      <c r="HD48" s="169">
        <v>165.1173</v>
      </c>
      <c r="HE48" s="169">
        <v>276.60000000000002</v>
      </c>
      <c r="HF48" s="169">
        <v>-277.03370000000001</v>
      </c>
      <c r="HG48" s="169">
        <v>-555.46609999999998</v>
      </c>
      <c r="HH48" s="169">
        <v>554.74990000000003</v>
      </c>
      <c r="HI48" s="169">
        <v>543.69200000000001</v>
      </c>
      <c r="HJ48" s="169">
        <v>-157.39590000000001</v>
      </c>
      <c r="HK48" s="169">
        <v>-156.45570000000001</v>
      </c>
      <c r="HL48" s="169">
        <v>-46.4544</v>
      </c>
      <c r="HM48" s="169">
        <v>-34.198700000000002</v>
      </c>
      <c r="HN48" s="169">
        <v>75.141900000000007</v>
      </c>
      <c r="HO48" s="169">
        <v>78.974199999999996</v>
      </c>
      <c r="HP48" s="169">
        <v>-98.654200000000003</v>
      </c>
      <c r="HQ48" s="170"/>
      <c r="HR48" s="169">
        <v>28.5566</v>
      </c>
      <c r="HS48" s="169">
        <v>28.358899999999998</v>
      </c>
      <c r="HT48" s="169">
        <v>-82.333100000000002</v>
      </c>
      <c r="HU48" s="169">
        <v>-81.999099999999999</v>
      </c>
      <c r="HV48" s="169">
        <v>81.53</v>
      </c>
      <c r="HW48" s="169">
        <v>81.72</v>
      </c>
      <c r="HX48" s="169">
        <v>54</v>
      </c>
      <c r="HY48" s="169">
        <v>54</v>
      </c>
      <c r="HZ48" s="169">
        <v>20.6737</v>
      </c>
      <c r="IA48" s="169">
        <v>47.68</v>
      </c>
      <c r="IB48" s="169">
        <v>-407.50099999999998</v>
      </c>
      <c r="IC48" s="170"/>
      <c r="ID48" s="170"/>
      <c r="IE48" s="169">
        <v>17.899999999999999</v>
      </c>
      <c r="IF48" s="169">
        <v>24.4</v>
      </c>
      <c r="IG48" s="169">
        <v>-28.4</v>
      </c>
      <c r="IH48" s="169">
        <v>-34.700000000000003</v>
      </c>
      <c r="II48" s="170"/>
      <c r="IJ48" s="170"/>
      <c r="IK48" s="169">
        <v>-531.5838</v>
      </c>
      <c r="IL48" s="169">
        <v>-315.37759999999997</v>
      </c>
      <c r="IM48" s="169">
        <v>558.73329999999999</v>
      </c>
      <c r="IN48" s="169">
        <v>448.2713</v>
      </c>
      <c r="IO48" s="169">
        <v>64.790700000000001</v>
      </c>
      <c r="IP48" s="169">
        <v>-439.31939999999997</v>
      </c>
      <c r="IQ48" s="169">
        <v>437.9846</v>
      </c>
      <c r="IR48" s="169">
        <v>-188.75</v>
      </c>
      <c r="IS48" s="169">
        <v>-251.3784</v>
      </c>
      <c r="IT48" s="169">
        <v>-429.75909999999999</v>
      </c>
      <c r="IU48" s="169">
        <v>116.9961</v>
      </c>
      <c r="IV48" s="169">
        <v>118.38339999999999</v>
      </c>
      <c r="IW48" s="169">
        <v>191.49189999999999</v>
      </c>
      <c r="IX48" s="169">
        <v>-538.39729999999997</v>
      </c>
      <c r="IY48" s="169">
        <v>265.39030000000002</v>
      </c>
      <c r="IZ48" s="169">
        <v>-287.9785</v>
      </c>
      <c r="JA48" s="169">
        <v>287.6275</v>
      </c>
      <c r="JB48" s="169">
        <v>-7.1178999999999997</v>
      </c>
      <c r="JC48" s="169">
        <v>18.754999999999999</v>
      </c>
      <c r="JD48" s="169">
        <v>25.6</v>
      </c>
      <c r="JE48" s="169">
        <v>0.04</v>
      </c>
      <c r="JF48" s="169">
        <v>2.8000000000000001E-2</v>
      </c>
      <c r="JG48" s="169">
        <v>-23.92</v>
      </c>
      <c r="JH48" s="169">
        <v>1.1200000000000001</v>
      </c>
      <c r="JI48" s="170"/>
      <c r="JJ48" s="169">
        <v>-1.6097999999999999</v>
      </c>
      <c r="JK48" s="169">
        <v>-28.917400000000001</v>
      </c>
      <c r="JL48" s="169">
        <v>-16.170000000000002</v>
      </c>
      <c r="JM48" s="169">
        <v>16.3</v>
      </c>
      <c r="JN48" s="169">
        <v>55.683999999999997</v>
      </c>
      <c r="JO48" s="169">
        <v>55.353000000000002</v>
      </c>
      <c r="JP48" s="170"/>
      <c r="JQ48" s="170"/>
      <c r="JR48" s="169">
        <v>50.279000000000003</v>
      </c>
      <c r="JS48" s="169">
        <v>50.058100000000003</v>
      </c>
      <c r="JT48" s="169">
        <v>50.578000000000003</v>
      </c>
      <c r="JU48" s="170"/>
      <c r="JV48" s="169">
        <v>-24</v>
      </c>
      <c r="JW48" s="169">
        <v>31.3688</v>
      </c>
      <c r="JX48" s="169">
        <v>11.39</v>
      </c>
      <c r="JY48" s="170"/>
      <c r="JZ48" s="169">
        <v>-33.676900000000003</v>
      </c>
      <c r="KA48" s="169">
        <v>77.107699999999994</v>
      </c>
      <c r="KB48" s="169">
        <v>46.5764</v>
      </c>
      <c r="KC48" s="169">
        <v>-33.443899999999999</v>
      </c>
      <c r="KD48" s="169">
        <v>-74.316900000000004</v>
      </c>
      <c r="KE48" s="169">
        <v>33.0886</v>
      </c>
      <c r="KF48" s="169">
        <v>42.194699999999997</v>
      </c>
      <c r="KG48" s="169">
        <v>9.6</v>
      </c>
      <c r="KH48" s="169">
        <v>-10.1</v>
      </c>
      <c r="KI48" s="169">
        <v>-13.933999999999999</v>
      </c>
      <c r="KJ48" s="169">
        <v>164.29040000000001</v>
      </c>
    </row>
    <row r="49" spans="1:296" ht="18" customHeight="1" x14ac:dyDescent="0.3">
      <c r="A49" s="162" t="s">
        <v>67</v>
      </c>
      <c r="B49" s="162" t="s">
        <v>848</v>
      </c>
      <c r="C49" s="163">
        <v>0</v>
      </c>
      <c r="D49" s="164"/>
      <c r="E49" s="163">
        <v>13.753299999999999</v>
      </c>
      <c r="F49" s="163">
        <v>-22.377800000000001</v>
      </c>
      <c r="G49" s="163">
        <v>14.0451</v>
      </c>
      <c r="H49" s="163">
        <v>36.192999999999998</v>
      </c>
      <c r="I49" s="164"/>
      <c r="J49" s="163">
        <v>52.777200000000001</v>
      </c>
      <c r="K49" s="163">
        <v>-84.228899999999996</v>
      </c>
      <c r="L49" s="163">
        <v>75.581100000000006</v>
      </c>
      <c r="M49" s="163">
        <v>38.384799999999998</v>
      </c>
      <c r="N49" s="163">
        <v>37.481699999999996</v>
      </c>
      <c r="O49" s="163">
        <v>8.8800000000000008</v>
      </c>
      <c r="P49" s="163">
        <v>-76.180999999999997</v>
      </c>
      <c r="Q49" s="163">
        <v>68.2</v>
      </c>
      <c r="R49" s="163">
        <v>18.216000000000001</v>
      </c>
      <c r="S49" s="163">
        <v>-66</v>
      </c>
      <c r="T49" s="163">
        <v>14.5626</v>
      </c>
      <c r="U49" s="163">
        <v>46.9604</v>
      </c>
      <c r="V49" s="163">
        <v>13.074199999999999</v>
      </c>
      <c r="W49" s="163">
        <v>13.2837</v>
      </c>
      <c r="X49" s="163">
        <v>21.983899999999998</v>
      </c>
      <c r="Y49" s="163">
        <v>1.8127</v>
      </c>
      <c r="Z49" s="163">
        <v>0.28179999999999999</v>
      </c>
      <c r="AA49" s="163">
        <v>1.1077999999999999</v>
      </c>
      <c r="AB49" s="164"/>
      <c r="AC49" s="164"/>
      <c r="AD49" s="163">
        <v>-78.319999999999993</v>
      </c>
      <c r="AE49" s="163">
        <v>-78.31</v>
      </c>
      <c r="AF49" s="164"/>
      <c r="AG49" s="163">
        <v>-6.66</v>
      </c>
      <c r="AH49" s="163">
        <v>74.8</v>
      </c>
      <c r="AI49" s="163">
        <v>29.32</v>
      </c>
      <c r="AJ49" s="163">
        <v>0.311</v>
      </c>
      <c r="AK49" s="163">
        <v>-69.760000000000005</v>
      </c>
      <c r="AL49" s="163">
        <v>-69.47</v>
      </c>
      <c r="AM49" s="163">
        <v>-28.59</v>
      </c>
      <c r="AN49" s="163">
        <v>70.459999999999994</v>
      </c>
      <c r="AO49" s="163">
        <v>70.53</v>
      </c>
      <c r="AP49" s="163">
        <v>23.468599999999999</v>
      </c>
      <c r="AQ49" s="163">
        <v>-3.5554999999999999</v>
      </c>
      <c r="AR49" s="163">
        <v>80.668000000000006</v>
      </c>
      <c r="AS49" s="163">
        <v>83.746499999999997</v>
      </c>
      <c r="AT49" s="163">
        <v>34.664200000000001</v>
      </c>
      <c r="AU49" s="163">
        <v>-61.9255</v>
      </c>
      <c r="AV49" s="163">
        <v>-62.045499999999997</v>
      </c>
      <c r="AW49" s="163">
        <v>4.9802</v>
      </c>
      <c r="AX49" s="163">
        <v>5.1920000000000002</v>
      </c>
      <c r="AY49" s="163">
        <v>78.273799999999994</v>
      </c>
      <c r="AZ49" s="163">
        <v>78.908199999999994</v>
      </c>
      <c r="BA49" s="163">
        <v>11.9198</v>
      </c>
      <c r="BB49" s="163">
        <v>11.5891</v>
      </c>
      <c r="BC49" s="163">
        <v>-454.0772</v>
      </c>
      <c r="BD49" s="163">
        <v>-29.483599999999999</v>
      </c>
      <c r="BE49" s="163">
        <v>-5.2</v>
      </c>
      <c r="BF49" s="163">
        <v>-5.0999999999999996</v>
      </c>
      <c r="BG49" s="163">
        <v>68.362899999999996</v>
      </c>
      <c r="BH49" s="163">
        <v>68.035300000000007</v>
      </c>
      <c r="BI49" s="163">
        <v>-7.2069999999999999</v>
      </c>
      <c r="BJ49" s="164"/>
      <c r="BK49" s="163">
        <v>-50.900399999999998</v>
      </c>
      <c r="BL49" s="163">
        <v>10.734400000000001</v>
      </c>
      <c r="BM49" s="163">
        <v>13.016</v>
      </c>
      <c r="BN49" s="163">
        <v>8.7841000000000005</v>
      </c>
      <c r="BO49" s="163">
        <v>493.39260000000002</v>
      </c>
      <c r="BP49" s="163">
        <v>160.31370000000001</v>
      </c>
      <c r="BQ49" s="163">
        <v>159.55070000000001</v>
      </c>
      <c r="BR49" s="163">
        <v>-517.46339999999998</v>
      </c>
      <c r="BS49" s="163">
        <v>572.99839999999995</v>
      </c>
      <c r="BT49" s="164"/>
      <c r="BU49" s="163">
        <v>-67.253</v>
      </c>
      <c r="BV49" s="163">
        <v>68.985200000000006</v>
      </c>
      <c r="BW49" s="165">
        <v>117.4045</v>
      </c>
      <c r="BX49" s="163">
        <v>33.75</v>
      </c>
      <c r="BY49" s="163">
        <v>42.96</v>
      </c>
      <c r="BZ49" s="165">
        <v>80.400000000000006</v>
      </c>
      <c r="CA49" s="163">
        <v>91.69</v>
      </c>
      <c r="CB49" s="163">
        <v>-43.933700000000002</v>
      </c>
      <c r="CC49" s="163">
        <v>-43.799799999999998</v>
      </c>
      <c r="CD49" s="163">
        <v>112.7675</v>
      </c>
      <c r="CE49" s="163">
        <v>113.71559999999999</v>
      </c>
      <c r="CF49" s="163">
        <v>20.823899999999998</v>
      </c>
      <c r="CG49" s="163">
        <v>-172.79679999999999</v>
      </c>
      <c r="CH49" s="163">
        <v>-171.82900000000001</v>
      </c>
      <c r="CI49" s="163">
        <v>5.8399000000000001</v>
      </c>
      <c r="CJ49" s="163">
        <v>0</v>
      </c>
      <c r="CK49" s="163">
        <v>12.4756</v>
      </c>
      <c r="CL49" s="163">
        <v>12.260999999999999</v>
      </c>
      <c r="CM49" s="163">
        <v>150</v>
      </c>
      <c r="CN49" s="163">
        <v>134.80000000000001</v>
      </c>
      <c r="CO49" s="163">
        <v>-19.21</v>
      </c>
      <c r="CP49" s="163">
        <v>67.759200000000007</v>
      </c>
      <c r="CQ49" s="163">
        <v>65.730900000000005</v>
      </c>
      <c r="CR49" s="163">
        <v>65.488699999999994</v>
      </c>
      <c r="CS49" s="163">
        <v>8.3504000000000005</v>
      </c>
      <c r="CT49" s="163">
        <v>8.8261000000000003</v>
      </c>
      <c r="CU49" s="163">
        <v>1</v>
      </c>
      <c r="CV49" s="163">
        <v>-82.257499999999993</v>
      </c>
      <c r="CW49" s="163">
        <v>17.226400000000002</v>
      </c>
      <c r="CX49" s="163">
        <v>19.8781</v>
      </c>
      <c r="CY49" s="163">
        <v>91.25</v>
      </c>
      <c r="CZ49" s="163">
        <v>48.11</v>
      </c>
      <c r="DA49" s="163">
        <v>57.429200000000002</v>
      </c>
      <c r="DB49" s="163">
        <v>54.203800000000001</v>
      </c>
      <c r="DC49" s="163">
        <v>-40.080199999999998</v>
      </c>
      <c r="DD49" s="164"/>
      <c r="DE49" s="164"/>
      <c r="DF49" s="163">
        <v>0</v>
      </c>
      <c r="DG49" s="163">
        <v>-74.949100000000001</v>
      </c>
      <c r="DH49" s="164"/>
      <c r="DI49" s="164"/>
      <c r="DJ49" s="163">
        <v>-120.6</v>
      </c>
      <c r="DK49" s="163">
        <v>-122.3</v>
      </c>
      <c r="DL49" s="163">
        <v>22.5961</v>
      </c>
      <c r="DM49" s="163">
        <v>66.2</v>
      </c>
      <c r="DN49" s="163">
        <v>73.92</v>
      </c>
      <c r="DO49" s="163">
        <v>89.34</v>
      </c>
      <c r="DP49" s="163">
        <v>65.209999999999994</v>
      </c>
      <c r="DQ49" s="163">
        <v>-8.7899999999999991</v>
      </c>
      <c r="DR49" s="163">
        <v>58.636499999999998</v>
      </c>
      <c r="DS49" s="163">
        <v>72.786600000000007</v>
      </c>
      <c r="DT49" s="163">
        <v>-1.84</v>
      </c>
      <c r="DU49" s="163">
        <v>-1.79</v>
      </c>
      <c r="DV49" s="163">
        <v>85.4</v>
      </c>
      <c r="DW49" s="163">
        <v>81.680000000000007</v>
      </c>
      <c r="DX49" s="163">
        <v>72.709100000000007</v>
      </c>
      <c r="DY49" s="163">
        <v>74.181799999999996</v>
      </c>
      <c r="DZ49" s="163">
        <v>-28.885200000000001</v>
      </c>
      <c r="EA49" s="163">
        <v>-27.818200000000001</v>
      </c>
      <c r="EB49" s="163">
        <v>211.34979999999999</v>
      </c>
      <c r="EC49" s="163">
        <v>160.66130000000001</v>
      </c>
      <c r="ED49" s="163">
        <v>154.33189999999999</v>
      </c>
      <c r="EE49" s="163">
        <v>157.6849</v>
      </c>
      <c r="EF49" s="163">
        <v>73.966099999999997</v>
      </c>
      <c r="EG49" s="163">
        <v>47.0672</v>
      </c>
      <c r="EH49" s="163">
        <v>-30.997</v>
      </c>
      <c r="EI49" s="163">
        <v>530.05250000000001</v>
      </c>
      <c r="EJ49" s="163">
        <v>354.733</v>
      </c>
      <c r="EK49" s="164"/>
      <c r="EL49" s="163">
        <v>-20.1675</v>
      </c>
      <c r="EM49" s="163">
        <v>-18.091200000000001</v>
      </c>
      <c r="EN49" s="164"/>
      <c r="EO49" s="163">
        <v>10.5313</v>
      </c>
      <c r="EP49" s="163">
        <v>10.191700000000001</v>
      </c>
      <c r="EQ49" s="163">
        <v>32.304000000000002</v>
      </c>
      <c r="ER49" s="163">
        <v>-52.2532</v>
      </c>
      <c r="ES49" s="163">
        <v>-53.375999999999998</v>
      </c>
      <c r="ET49" s="163">
        <v>-4.4363000000000001</v>
      </c>
      <c r="EU49" s="163">
        <v>0</v>
      </c>
      <c r="EV49" s="163">
        <v>-11.5</v>
      </c>
      <c r="EW49" s="163">
        <v>0</v>
      </c>
      <c r="EX49" s="163">
        <v>12.5725</v>
      </c>
      <c r="EY49" s="163">
        <v>-30.842600000000001</v>
      </c>
      <c r="EZ49" s="163">
        <v>-40.901000000000003</v>
      </c>
      <c r="FA49" s="163">
        <v>-39.892600000000002</v>
      </c>
      <c r="FB49" s="163">
        <v>5.8609999999999998</v>
      </c>
      <c r="FC49" s="163">
        <v>-44.463099999999997</v>
      </c>
      <c r="FD49" s="163">
        <v>13.404299999999999</v>
      </c>
      <c r="FE49" s="163">
        <v>25.345400000000001</v>
      </c>
      <c r="FF49" s="163">
        <v>26.323699999999999</v>
      </c>
      <c r="FG49" s="164"/>
      <c r="FH49" s="163">
        <v>41.045200000000001</v>
      </c>
      <c r="FI49" s="163">
        <v>42.716900000000003</v>
      </c>
      <c r="FJ49" s="163">
        <v>41.144599999999997</v>
      </c>
      <c r="FK49" s="163">
        <v>44.710799999999999</v>
      </c>
      <c r="FL49" s="163">
        <v>44.040999999999997</v>
      </c>
      <c r="FM49" s="163">
        <v>-36.505499999999998</v>
      </c>
      <c r="FN49" s="163">
        <v>29.953800000000001</v>
      </c>
      <c r="FO49" s="163">
        <v>30.1143</v>
      </c>
      <c r="FP49" s="163">
        <v>-38.297600000000003</v>
      </c>
      <c r="FQ49" s="163">
        <v>-25.952000000000002</v>
      </c>
      <c r="FR49" s="163">
        <v>-8.0695999999999994</v>
      </c>
      <c r="FS49" s="163">
        <v>-19.899999999999999</v>
      </c>
      <c r="FT49" s="164"/>
      <c r="FU49" s="163">
        <v>1.724</v>
      </c>
      <c r="FV49" s="163">
        <v>1.32</v>
      </c>
      <c r="FW49" s="163">
        <v>18.399999999999999</v>
      </c>
      <c r="FX49" s="163">
        <v>-9.4388000000000005</v>
      </c>
      <c r="FY49" s="164"/>
      <c r="FZ49" s="163">
        <v>-7.1029999999999998</v>
      </c>
      <c r="GA49" s="163">
        <v>0.77300000000000002</v>
      </c>
      <c r="GB49" s="164"/>
      <c r="GC49" s="163">
        <v>31.64</v>
      </c>
      <c r="GD49" s="163">
        <v>26.8584</v>
      </c>
      <c r="GE49" s="163">
        <v>38.821399999999997</v>
      </c>
      <c r="GF49" s="165">
        <v>15.99</v>
      </c>
      <c r="GG49" s="163">
        <v>76.594099999999997</v>
      </c>
      <c r="GH49" s="163">
        <v>28.1</v>
      </c>
      <c r="GI49" s="163">
        <v>0</v>
      </c>
      <c r="GJ49" s="163">
        <v>-14.021000000000001</v>
      </c>
      <c r="GK49" s="163">
        <v>-15.136900000000001</v>
      </c>
      <c r="GL49" s="163">
        <v>3.0417999999999998</v>
      </c>
      <c r="GM49" s="164"/>
      <c r="GN49" s="164"/>
      <c r="GO49" s="163">
        <v>-19.433499999999999</v>
      </c>
      <c r="GP49" s="163">
        <v>-24.459900000000001</v>
      </c>
      <c r="GQ49" s="163">
        <v>10.3971</v>
      </c>
      <c r="GR49" s="163">
        <v>25.493300000000001</v>
      </c>
      <c r="GS49" s="163">
        <v>13.1435</v>
      </c>
      <c r="GT49" s="163">
        <v>12.243</v>
      </c>
      <c r="GU49" s="163">
        <v>-97.739400000000003</v>
      </c>
      <c r="GV49" s="163">
        <v>-30.944099999999999</v>
      </c>
      <c r="GW49" s="163">
        <v>31.322700000000001</v>
      </c>
      <c r="GX49" s="163">
        <v>-16.198899999999998</v>
      </c>
      <c r="GY49" s="163">
        <v>3.7442000000000002</v>
      </c>
      <c r="GZ49" s="163">
        <v>19.105799999999999</v>
      </c>
      <c r="HA49" s="163">
        <v>18.6936</v>
      </c>
      <c r="HB49" s="163">
        <v>6.1447000000000003</v>
      </c>
      <c r="HC49" s="163">
        <v>166.2662</v>
      </c>
      <c r="HD49" s="163">
        <v>166.45679999999999</v>
      </c>
      <c r="HE49" s="165">
        <v>256.89999999999998</v>
      </c>
      <c r="HF49" s="165">
        <v>-254.2465</v>
      </c>
      <c r="HG49" s="165">
        <v>-558.25220000000002</v>
      </c>
      <c r="HH49" s="163">
        <v>554.52890000000002</v>
      </c>
      <c r="HI49" s="163">
        <v>560.10940000000005</v>
      </c>
      <c r="HJ49" s="163">
        <v>-158.6053</v>
      </c>
      <c r="HK49" s="163">
        <v>-155.89099999999999</v>
      </c>
      <c r="HL49" s="163">
        <v>-47.171900000000001</v>
      </c>
      <c r="HM49" s="163">
        <v>-34.7425</v>
      </c>
      <c r="HN49" s="163">
        <v>77.846900000000005</v>
      </c>
      <c r="HO49" s="163">
        <v>78.270899999999997</v>
      </c>
      <c r="HP49" s="164"/>
      <c r="HQ49" s="164"/>
      <c r="HR49" s="163">
        <v>29.314699999999998</v>
      </c>
      <c r="HS49" s="163">
        <v>28.4907</v>
      </c>
      <c r="HT49" s="163">
        <v>-80.487200000000001</v>
      </c>
      <c r="HU49" s="163">
        <v>-80.236699999999999</v>
      </c>
      <c r="HV49" s="163">
        <v>84.68</v>
      </c>
      <c r="HW49" s="163">
        <v>84.71</v>
      </c>
      <c r="HX49" s="163">
        <v>53.1</v>
      </c>
      <c r="HY49" s="163">
        <v>51.5</v>
      </c>
      <c r="HZ49" s="163">
        <v>20.633099999999999</v>
      </c>
      <c r="IA49" s="163">
        <v>47.12</v>
      </c>
      <c r="IB49" s="163">
        <v>-404.92009999999999</v>
      </c>
      <c r="IC49" s="164"/>
      <c r="ID49" s="164"/>
      <c r="IE49" s="163">
        <v>17.399999999999999</v>
      </c>
      <c r="IF49" s="163">
        <v>23.5</v>
      </c>
      <c r="IG49" s="163">
        <v>-28.4</v>
      </c>
      <c r="IH49" s="163">
        <v>-34.700000000000003</v>
      </c>
      <c r="II49" s="164"/>
      <c r="IJ49" s="164"/>
      <c r="IK49" s="163">
        <v>-548.52909999999997</v>
      </c>
      <c r="IL49" s="163">
        <v>-326.99079999999998</v>
      </c>
      <c r="IM49" s="163">
        <v>556.70330000000001</v>
      </c>
      <c r="IN49" s="163">
        <v>438.99270000000001</v>
      </c>
      <c r="IO49" s="163">
        <v>49.409100000000002</v>
      </c>
      <c r="IP49" s="163">
        <v>-430.7475</v>
      </c>
      <c r="IQ49" s="163">
        <v>430.71379999999999</v>
      </c>
      <c r="IR49" s="163">
        <v>-187.32419999999999</v>
      </c>
      <c r="IS49" s="163">
        <v>-249.3501</v>
      </c>
      <c r="IT49" s="163">
        <v>-429.89510000000001</v>
      </c>
      <c r="IU49" s="163">
        <v>117.526</v>
      </c>
      <c r="IV49" s="163">
        <v>118.4079</v>
      </c>
      <c r="IW49" s="163">
        <v>189.4589</v>
      </c>
      <c r="IX49" s="163">
        <v>-532.90689999999995</v>
      </c>
      <c r="IY49" s="163">
        <v>260.2833</v>
      </c>
      <c r="IZ49" s="163">
        <v>-284.38200000000001</v>
      </c>
      <c r="JA49" s="163">
        <v>282.81819999999999</v>
      </c>
      <c r="JB49" s="163">
        <v>-7.6452</v>
      </c>
      <c r="JC49" s="163">
        <v>18.809999999999999</v>
      </c>
      <c r="JD49" s="163">
        <v>24.64</v>
      </c>
      <c r="JE49" s="163">
        <v>4.0000000000000001E-3</v>
      </c>
      <c r="JF49" s="163">
        <v>-1.0999999999999999E-2</v>
      </c>
      <c r="JG49" s="163">
        <v>-24.4</v>
      </c>
      <c r="JH49" s="163">
        <v>0.16</v>
      </c>
      <c r="JI49" s="164"/>
      <c r="JJ49" s="163">
        <v>-0.43790000000000001</v>
      </c>
      <c r="JK49" s="163">
        <v>-29.881699999999999</v>
      </c>
      <c r="JL49" s="163">
        <v>-16.377500000000001</v>
      </c>
      <c r="JM49" s="163">
        <v>16.2</v>
      </c>
      <c r="JN49" s="163">
        <v>52.722999999999999</v>
      </c>
      <c r="JO49" s="163">
        <v>51.820999999999998</v>
      </c>
      <c r="JP49" s="164"/>
      <c r="JQ49" s="164"/>
      <c r="JR49" s="163">
        <v>51.4758</v>
      </c>
      <c r="JS49" s="163">
        <v>50.633099999999999</v>
      </c>
      <c r="JT49" s="163">
        <v>50.938400000000001</v>
      </c>
      <c r="JU49" s="164"/>
      <c r="JV49" s="163">
        <v>-22.7</v>
      </c>
      <c r="JW49" s="163">
        <v>31.9041</v>
      </c>
      <c r="JX49" s="163">
        <v>11.09</v>
      </c>
      <c r="JY49" s="164"/>
      <c r="JZ49" s="163">
        <v>-33.926900000000003</v>
      </c>
      <c r="KA49" s="163">
        <v>76.841800000000006</v>
      </c>
      <c r="KB49" s="163">
        <v>47.578099999999999</v>
      </c>
      <c r="KC49" s="163">
        <v>-34.590400000000002</v>
      </c>
      <c r="KD49" s="163">
        <v>-75.14</v>
      </c>
      <c r="KE49" s="163">
        <v>34.836300000000001</v>
      </c>
      <c r="KF49" s="163">
        <v>40.76</v>
      </c>
      <c r="KG49" s="163">
        <v>7.8</v>
      </c>
      <c r="KH49" s="163">
        <v>-8.1999999999999993</v>
      </c>
      <c r="KI49" s="163">
        <v>4.1871999999999998</v>
      </c>
      <c r="KJ49" s="163">
        <v>172.56549999999999</v>
      </c>
    </row>
    <row r="50" spans="1:296" ht="18" customHeight="1" x14ac:dyDescent="0.3">
      <c r="A50" s="162" t="s">
        <v>67</v>
      </c>
      <c r="B50" s="162" t="s">
        <v>849</v>
      </c>
      <c r="C50" s="166">
        <v>0</v>
      </c>
      <c r="D50" s="167"/>
      <c r="E50" s="166">
        <v>16.25</v>
      </c>
      <c r="F50" s="166">
        <v>-25.270700000000001</v>
      </c>
      <c r="G50" s="166">
        <v>13.7355</v>
      </c>
      <c r="H50" s="166">
        <v>35.820599999999999</v>
      </c>
      <c r="I50" s="167"/>
      <c r="J50" s="166">
        <v>51.2239</v>
      </c>
      <c r="K50" s="166">
        <v>-84.673299999999998</v>
      </c>
      <c r="L50" s="166">
        <v>73.707300000000004</v>
      </c>
      <c r="M50" s="166">
        <v>37.578899999999997</v>
      </c>
      <c r="N50" s="166">
        <v>36.646000000000001</v>
      </c>
      <c r="O50" s="166">
        <v>0</v>
      </c>
      <c r="P50" s="166">
        <v>-72.198999999999998</v>
      </c>
      <c r="Q50" s="166">
        <v>63.8</v>
      </c>
      <c r="R50" s="166">
        <v>17.388000000000002</v>
      </c>
      <c r="S50" s="166">
        <v>-63.8</v>
      </c>
      <c r="T50" s="166">
        <v>14.767899999999999</v>
      </c>
      <c r="U50" s="166">
        <v>43.119199999999999</v>
      </c>
      <c r="V50" s="166">
        <v>12.5495</v>
      </c>
      <c r="W50" s="166">
        <v>12.749599999999999</v>
      </c>
      <c r="X50" s="166">
        <v>21.044599999999999</v>
      </c>
      <c r="Y50" s="166">
        <v>1.7399</v>
      </c>
      <c r="Z50" s="166">
        <v>0.30080000000000001</v>
      </c>
      <c r="AA50" s="166">
        <v>1.0004</v>
      </c>
      <c r="AB50" s="167"/>
      <c r="AC50" s="167"/>
      <c r="AD50" s="166">
        <v>-81.62</v>
      </c>
      <c r="AE50" s="166">
        <v>-81.66</v>
      </c>
      <c r="AF50" s="167"/>
      <c r="AG50" s="166">
        <v>0</v>
      </c>
      <c r="AH50" s="166">
        <v>70.400000000000006</v>
      </c>
      <c r="AI50" s="166">
        <v>28.809000000000001</v>
      </c>
      <c r="AJ50" s="166">
        <v>0.31</v>
      </c>
      <c r="AK50" s="166">
        <v>-71.75</v>
      </c>
      <c r="AL50" s="166">
        <v>-72.430000000000007</v>
      </c>
      <c r="AM50" s="166">
        <v>-28.08</v>
      </c>
      <c r="AN50" s="166">
        <v>72.739999999999995</v>
      </c>
      <c r="AO50" s="166">
        <v>72.81</v>
      </c>
      <c r="AP50" s="166">
        <v>9.7583000000000002</v>
      </c>
      <c r="AQ50" s="166">
        <v>-3.1865999999999999</v>
      </c>
      <c r="AR50" s="166">
        <v>79.396900000000002</v>
      </c>
      <c r="AS50" s="166">
        <v>82.601900000000001</v>
      </c>
      <c r="AT50" s="166">
        <v>45.261400000000002</v>
      </c>
      <c r="AU50" s="166">
        <v>-58.969299999999997</v>
      </c>
      <c r="AV50" s="166">
        <v>-59.319600000000001</v>
      </c>
      <c r="AW50" s="166">
        <v>4.3941999999999997</v>
      </c>
      <c r="AX50" s="166">
        <v>4.8715000000000002</v>
      </c>
      <c r="AY50" s="166">
        <v>81.992599999999996</v>
      </c>
      <c r="AZ50" s="166">
        <v>82.858900000000006</v>
      </c>
      <c r="BA50" s="166">
        <v>12.033899999999999</v>
      </c>
      <c r="BB50" s="166">
        <v>11.262700000000001</v>
      </c>
      <c r="BC50" s="166">
        <v>-488.99149999999997</v>
      </c>
      <c r="BD50" s="166">
        <v>-31.408300000000001</v>
      </c>
      <c r="BE50" s="166">
        <v>-4.5999999999999996</v>
      </c>
      <c r="BF50" s="166">
        <v>-4.5999999999999996</v>
      </c>
      <c r="BG50" s="166">
        <v>65.838899999999995</v>
      </c>
      <c r="BH50" s="166">
        <v>64.634900000000002</v>
      </c>
      <c r="BI50" s="166">
        <v>-7.3719000000000001</v>
      </c>
      <c r="BJ50" s="167"/>
      <c r="BK50" s="166">
        <v>-40.296100000000003</v>
      </c>
      <c r="BL50" s="166">
        <v>8.8543000000000003</v>
      </c>
      <c r="BM50" s="166">
        <v>12.6668</v>
      </c>
      <c r="BN50" s="166">
        <v>8.5715000000000003</v>
      </c>
      <c r="BO50" s="166">
        <v>533.15819999999997</v>
      </c>
      <c r="BP50" s="166">
        <v>166.2038</v>
      </c>
      <c r="BQ50" s="166">
        <v>166.14269999999999</v>
      </c>
      <c r="BR50" s="166">
        <v>-538.56510000000003</v>
      </c>
      <c r="BS50" s="166">
        <v>601.39089999999999</v>
      </c>
      <c r="BT50" s="167"/>
      <c r="BU50" s="166">
        <v>-57.833199999999998</v>
      </c>
      <c r="BV50" s="166">
        <v>59.820999999999998</v>
      </c>
      <c r="BW50" s="166">
        <v>116.4614</v>
      </c>
      <c r="BX50" s="166">
        <v>34.840000000000003</v>
      </c>
      <c r="BY50" s="166">
        <v>43.44</v>
      </c>
      <c r="BZ50" s="166">
        <v>80.400000000000006</v>
      </c>
      <c r="CA50" s="166">
        <v>92.61</v>
      </c>
      <c r="CB50" s="166">
        <v>-45.005400000000002</v>
      </c>
      <c r="CC50" s="166">
        <v>-45.139400000000002</v>
      </c>
      <c r="CD50" s="166">
        <v>112.31870000000001</v>
      </c>
      <c r="CE50" s="166">
        <v>112.6658</v>
      </c>
      <c r="CF50" s="166">
        <v>24.2333</v>
      </c>
      <c r="CG50" s="166">
        <v>-186.62889999999999</v>
      </c>
      <c r="CH50" s="166">
        <v>-185.92689999999999</v>
      </c>
      <c r="CI50" s="166">
        <v>1.7865</v>
      </c>
      <c r="CJ50" s="166">
        <v>0</v>
      </c>
      <c r="CK50" s="166">
        <v>12.4756</v>
      </c>
      <c r="CL50" s="166">
        <v>12.13</v>
      </c>
      <c r="CM50" s="166">
        <v>152.5</v>
      </c>
      <c r="CN50" s="166">
        <v>137.30000000000001</v>
      </c>
      <c r="CO50" s="166">
        <v>-19.010000000000002</v>
      </c>
      <c r="CP50" s="166">
        <v>61.779200000000003</v>
      </c>
      <c r="CQ50" s="166">
        <v>59.240400000000001</v>
      </c>
      <c r="CR50" s="166">
        <v>59.491100000000003</v>
      </c>
      <c r="CS50" s="166">
        <v>-5.0869</v>
      </c>
      <c r="CT50" s="166">
        <v>-4.7138</v>
      </c>
      <c r="CU50" s="166">
        <v>36.481900000000003</v>
      </c>
      <c r="CV50" s="166">
        <v>-94.693899999999999</v>
      </c>
      <c r="CW50" s="166">
        <v>43.273299999999999</v>
      </c>
      <c r="CX50" s="166">
        <v>19.546500000000002</v>
      </c>
      <c r="CY50" s="166">
        <v>84.71</v>
      </c>
      <c r="CZ50" s="166">
        <v>45.26</v>
      </c>
      <c r="DA50" s="166">
        <v>56.0229</v>
      </c>
      <c r="DB50" s="166">
        <v>53.0319</v>
      </c>
      <c r="DC50" s="166">
        <v>-39.2117</v>
      </c>
      <c r="DD50" s="167"/>
      <c r="DE50" s="167"/>
      <c r="DF50" s="166">
        <v>0</v>
      </c>
      <c r="DG50" s="166">
        <v>-101.6477</v>
      </c>
      <c r="DH50" s="167"/>
      <c r="DI50" s="167"/>
      <c r="DJ50" s="166">
        <v>-116.2</v>
      </c>
      <c r="DK50" s="166">
        <v>-116.6</v>
      </c>
      <c r="DL50" s="168">
        <v>21.8353</v>
      </c>
      <c r="DM50" s="166">
        <v>63.9</v>
      </c>
      <c r="DN50" s="166">
        <v>74.92</v>
      </c>
      <c r="DO50" s="166">
        <v>86.44</v>
      </c>
      <c r="DP50" s="166">
        <v>63.16</v>
      </c>
      <c r="DQ50" s="166">
        <v>-9.6999999999999993</v>
      </c>
      <c r="DR50" s="166">
        <v>60.682499999999997</v>
      </c>
      <c r="DS50" s="166">
        <v>101.5333</v>
      </c>
      <c r="DT50" s="166">
        <v>-2.86</v>
      </c>
      <c r="DU50" s="166">
        <v>-2.87</v>
      </c>
      <c r="DV50" s="166">
        <v>85.92</v>
      </c>
      <c r="DW50" s="166">
        <v>78.599999999999994</v>
      </c>
      <c r="DX50" s="166">
        <v>101.0364</v>
      </c>
      <c r="DY50" s="166">
        <v>100.0364</v>
      </c>
      <c r="DZ50" s="166">
        <v>-17.177600000000002</v>
      </c>
      <c r="EA50" s="166">
        <v>-17.654499999999999</v>
      </c>
      <c r="EB50" s="166">
        <v>230.2576</v>
      </c>
      <c r="EC50" s="166">
        <v>178.93690000000001</v>
      </c>
      <c r="ED50" s="166">
        <v>172.49469999999999</v>
      </c>
      <c r="EE50" s="166">
        <v>174.62610000000001</v>
      </c>
      <c r="EF50" s="166">
        <v>87.149100000000004</v>
      </c>
      <c r="EG50" s="166">
        <v>60.616199999999999</v>
      </c>
      <c r="EH50" s="166">
        <v>-30.119</v>
      </c>
      <c r="EI50" s="166">
        <v>548.45569999999998</v>
      </c>
      <c r="EJ50" s="166">
        <v>381.81270000000001</v>
      </c>
      <c r="EK50" s="167"/>
      <c r="EL50" s="166">
        <v>-19.781500000000001</v>
      </c>
      <c r="EM50" s="166">
        <v>-17.679500000000001</v>
      </c>
      <c r="EN50" s="167"/>
      <c r="EO50" s="166">
        <v>20.786000000000001</v>
      </c>
      <c r="EP50" s="166">
        <v>19.845099999999999</v>
      </c>
      <c r="EQ50" s="166">
        <v>36.911999999999999</v>
      </c>
      <c r="ER50" s="166">
        <v>-50.974899999999998</v>
      </c>
      <c r="ES50" s="166">
        <v>-52.277700000000003</v>
      </c>
      <c r="ET50" s="166">
        <v>-17.202300000000001</v>
      </c>
      <c r="EU50" s="166">
        <v>0</v>
      </c>
      <c r="EV50" s="166">
        <v>-13.75</v>
      </c>
      <c r="EW50" s="166">
        <v>0</v>
      </c>
      <c r="EX50" s="166">
        <v>12.0655</v>
      </c>
      <c r="EY50" s="166">
        <v>-9.891</v>
      </c>
      <c r="EZ50" s="166">
        <v>-40.833599999999997</v>
      </c>
      <c r="FA50" s="166">
        <v>-39.627499999999998</v>
      </c>
      <c r="FB50" s="166">
        <v>6.0975000000000001</v>
      </c>
      <c r="FC50" s="166">
        <v>-58.046700000000001</v>
      </c>
      <c r="FD50" s="166">
        <v>24.317799999999998</v>
      </c>
      <c r="FE50" s="166">
        <v>25.215699999999998</v>
      </c>
      <c r="FF50" s="166">
        <v>25.660599999999999</v>
      </c>
      <c r="FG50" s="167"/>
      <c r="FH50" s="166">
        <v>41.820900000000002</v>
      </c>
      <c r="FI50" s="166">
        <v>41.479799999999997</v>
      </c>
      <c r="FJ50" s="166">
        <v>39.912799999999997</v>
      </c>
      <c r="FK50" s="166">
        <v>45.045699999999997</v>
      </c>
      <c r="FL50" s="166">
        <v>45.045699999999997</v>
      </c>
      <c r="FM50" s="166">
        <v>-29.807200000000002</v>
      </c>
      <c r="FN50" s="166">
        <v>18.878599999999999</v>
      </c>
      <c r="FO50" s="166">
        <v>18.9575</v>
      </c>
      <c r="FP50" s="166">
        <v>-31.337599999999998</v>
      </c>
      <c r="FQ50" s="166">
        <v>-20.072700000000001</v>
      </c>
      <c r="FR50" s="166">
        <v>-6.9635999999999996</v>
      </c>
      <c r="FS50" s="166">
        <v>-21.13</v>
      </c>
      <c r="FT50" s="167"/>
      <c r="FU50" s="166">
        <v>1.6544000000000001</v>
      </c>
      <c r="FV50" s="166">
        <v>1.36</v>
      </c>
      <c r="FW50" s="166">
        <v>18.579999999999998</v>
      </c>
      <c r="FX50" s="166">
        <v>0</v>
      </c>
      <c r="FY50" s="167"/>
      <c r="FZ50" s="166">
        <v>-7.2859999999999996</v>
      </c>
      <c r="GA50" s="166">
        <v>0.78</v>
      </c>
      <c r="GB50" s="167"/>
      <c r="GC50" s="166">
        <v>31.14</v>
      </c>
      <c r="GD50" s="166">
        <v>20.6723</v>
      </c>
      <c r="GE50" s="166">
        <v>32.173499999999997</v>
      </c>
      <c r="GF50" s="166">
        <v>16.36</v>
      </c>
      <c r="GG50" s="166">
        <v>73.988900000000001</v>
      </c>
      <c r="GH50" s="166">
        <v>28.8</v>
      </c>
      <c r="GI50" s="166">
        <v>0</v>
      </c>
      <c r="GJ50" s="166">
        <v>-13.3581</v>
      </c>
      <c r="GK50" s="166">
        <v>-14.625999999999999</v>
      </c>
      <c r="GL50" s="166">
        <v>2.9807999999999999</v>
      </c>
      <c r="GM50" s="167"/>
      <c r="GN50" s="167"/>
      <c r="GO50" s="166">
        <v>-20.6404</v>
      </c>
      <c r="GP50" s="166">
        <v>-23.948899999999998</v>
      </c>
      <c r="GQ50" s="166">
        <v>9.9476999999999993</v>
      </c>
      <c r="GR50" s="166">
        <v>24.779699999999998</v>
      </c>
      <c r="GS50" s="166">
        <v>15.0541</v>
      </c>
      <c r="GT50" s="166">
        <v>15.0067</v>
      </c>
      <c r="GU50" s="166">
        <v>-101.9889</v>
      </c>
      <c r="GV50" s="166">
        <v>-29.755099999999999</v>
      </c>
      <c r="GW50" s="166">
        <v>30.543600000000001</v>
      </c>
      <c r="GX50" s="166">
        <v>-11.6014</v>
      </c>
      <c r="GY50" s="166">
        <v>3.5495999999999999</v>
      </c>
      <c r="GZ50" s="166">
        <v>18.197600000000001</v>
      </c>
      <c r="HA50" s="166">
        <v>17.849799999999998</v>
      </c>
      <c r="HB50" s="166">
        <v>5.8167</v>
      </c>
      <c r="HC50" s="166">
        <v>168.857</v>
      </c>
      <c r="HD50" s="166">
        <v>168.35990000000001</v>
      </c>
      <c r="HE50" s="168">
        <v>252.7</v>
      </c>
      <c r="HF50" s="168">
        <v>-251.52099999999999</v>
      </c>
      <c r="HG50" s="166">
        <v>-561.03819999999996</v>
      </c>
      <c r="HH50" s="166">
        <v>566.43920000000003</v>
      </c>
      <c r="HI50" s="166">
        <v>582.86689999999999</v>
      </c>
      <c r="HJ50" s="166">
        <v>-160.47620000000001</v>
      </c>
      <c r="HK50" s="166">
        <v>-158.2697</v>
      </c>
      <c r="HL50" s="166">
        <v>-47.932299999999998</v>
      </c>
      <c r="HM50" s="166">
        <v>-36.280700000000003</v>
      </c>
      <c r="HN50" s="166">
        <v>77.036199999999994</v>
      </c>
      <c r="HO50" s="166">
        <v>76.418000000000006</v>
      </c>
      <c r="HP50" s="166">
        <v>-107.6228</v>
      </c>
      <c r="HQ50" s="166">
        <v>-105.5026</v>
      </c>
      <c r="HR50" s="166">
        <v>33.522500000000001</v>
      </c>
      <c r="HS50" s="166">
        <v>32.852400000000003</v>
      </c>
      <c r="HT50" s="166">
        <v>-75.910799999999995</v>
      </c>
      <c r="HU50" s="166">
        <v>-75.733699999999999</v>
      </c>
      <c r="HV50" s="166">
        <v>89.12</v>
      </c>
      <c r="HW50" s="166">
        <v>87.34</v>
      </c>
      <c r="HX50" s="166">
        <v>51</v>
      </c>
      <c r="HY50" s="166">
        <v>51.1</v>
      </c>
      <c r="HZ50" s="166">
        <v>20.714300000000001</v>
      </c>
      <c r="IA50" s="166">
        <v>44.48</v>
      </c>
      <c r="IB50" s="166">
        <v>-417.92779999999999</v>
      </c>
      <c r="IC50" s="167"/>
      <c r="ID50" s="167"/>
      <c r="IE50" s="166">
        <v>16.7</v>
      </c>
      <c r="IF50" s="166">
        <v>19.899999999999999</v>
      </c>
      <c r="IG50" s="166">
        <v>-31.9</v>
      </c>
      <c r="IH50" s="166">
        <v>-38.9</v>
      </c>
      <c r="II50" s="167"/>
      <c r="IJ50" s="167"/>
      <c r="IK50" s="166">
        <v>-572.57539999999995</v>
      </c>
      <c r="IL50" s="166">
        <v>-347.02089999999998</v>
      </c>
      <c r="IM50" s="166">
        <v>556.85910000000001</v>
      </c>
      <c r="IN50" s="166">
        <v>446.42899999999997</v>
      </c>
      <c r="IO50" s="166">
        <v>30.572700000000001</v>
      </c>
      <c r="IP50" s="166">
        <v>-432.17599999999999</v>
      </c>
      <c r="IQ50" s="166">
        <v>431.36399999999998</v>
      </c>
      <c r="IR50" s="166">
        <v>-190.25149999999999</v>
      </c>
      <c r="IS50" s="166">
        <v>-255.98910000000001</v>
      </c>
      <c r="IT50" s="166">
        <v>-428.97899999999998</v>
      </c>
      <c r="IU50" s="166">
        <v>115.8604</v>
      </c>
      <c r="IV50" s="166">
        <v>116.06870000000001</v>
      </c>
      <c r="IW50" s="166">
        <v>193.1636</v>
      </c>
      <c r="IX50" s="166">
        <v>-538.34910000000002</v>
      </c>
      <c r="IY50" s="166">
        <v>263.42770000000002</v>
      </c>
      <c r="IZ50" s="166">
        <v>-277.86770000000001</v>
      </c>
      <c r="JA50" s="166">
        <v>277.6508</v>
      </c>
      <c r="JB50" s="166">
        <v>-8.3318999999999992</v>
      </c>
      <c r="JC50" s="166">
        <v>19.007000000000001</v>
      </c>
      <c r="JD50" s="166">
        <v>25.2</v>
      </c>
      <c r="JE50" s="166">
        <v>0.14299999999999999</v>
      </c>
      <c r="JF50" s="166">
        <v>0.125</v>
      </c>
      <c r="JG50" s="166">
        <v>-24.64</v>
      </c>
      <c r="JH50" s="166">
        <v>0.08</v>
      </c>
      <c r="JI50" s="167"/>
      <c r="JJ50" s="166">
        <v>-0.34939999999999999</v>
      </c>
      <c r="JK50" s="166">
        <v>-31.493099999999998</v>
      </c>
      <c r="JL50" s="166">
        <v>-16.405000000000001</v>
      </c>
      <c r="JM50" s="166">
        <v>17.2</v>
      </c>
      <c r="JN50" s="166">
        <v>53.954000000000001</v>
      </c>
      <c r="JO50" s="166">
        <v>53.436999999999998</v>
      </c>
      <c r="JP50" s="167"/>
      <c r="JQ50" s="167"/>
      <c r="JR50" s="166">
        <v>49.5505</v>
      </c>
      <c r="JS50" s="166">
        <v>50.333399999999997</v>
      </c>
      <c r="JT50" s="166">
        <v>50.511499999999998</v>
      </c>
      <c r="JU50" s="167"/>
      <c r="JV50" s="166">
        <v>-18.899999999999999</v>
      </c>
      <c r="JW50" s="166">
        <v>31.9956</v>
      </c>
      <c r="JX50" s="166">
        <v>10.83</v>
      </c>
      <c r="JY50" s="167"/>
      <c r="JZ50" s="166">
        <v>-35.2729</v>
      </c>
      <c r="KA50" s="166">
        <v>76.717299999999994</v>
      </c>
      <c r="KB50" s="166">
        <v>48.567999999999998</v>
      </c>
      <c r="KC50" s="166">
        <v>-34.725900000000003</v>
      </c>
      <c r="KD50" s="166">
        <v>-75.750900000000001</v>
      </c>
      <c r="KE50" s="166">
        <v>36.078600000000002</v>
      </c>
      <c r="KF50" s="166">
        <v>39.140900000000002</v>
      </c>
      <c r="KG50" s="166">
        <v>5.0999999999999996</v>
      </c>
      <c r="KH50" s="166">
        <v>-4.0999999999999996</v>
      </c>
      <c r="KI50" s="166">
        <v>20.713100000000001</v>
      </c>
      <c r="KJ50" s="166">
        <v>161.88079999999999</v>
      </c>
    </row>
    <row r="51" spans="1:296" ht="18" customHeight="1" x14ac:dyDescent="0.3">
      <c r="A51" s="162" t="s">
        <v>67</v>
      </c>
      <c r="B51" s="162" t="s">
        <v>850</v>
      </c>
      <c r="C51" s="166">
        <v>0</v>
      </c>
      <c r="D51" s="167"/>
      <c r="E51" s="166">
        <v>20.862100000000002</v>
      </c>
      <c r="F51" s="166">
        <v>-30.585100000000001</v>
      </c>
      <c r="G51" s="166">
        <v>12.977499999999999</v>
      </c>
      <c r="H51" s="166">
        <v>34.650300000000001</v>
      </c>
      <c r="I51" s="167"/>
      <c r="J51" s="166">
        <v>50.605699999999999</v>
      </c>
      <c r="K51" s="166">
        <v>-84.977999999999994</v>
      </c>
      <c r="L51" s="166">
        <v>71.765600000000006</v>
      </c>
      <c r="M51" s="166">
        <v>36.700899999999997</v>
      </c>
      <c r="N51" s="166">
        <v>35.673699999999997</v>
      </c>
      <c r="O51" s="166">
        <v>2.2200000000000002</v>
      </c>
      <c r="P51" s="166">
        <v>-67.248999999999995</v>
      </c>
      <c r="Q51" s="166">
        <v>59.4</v>
      </c>
      <c r="R51" s="166">
        <v>15.731999999999999</v>
      </c>
      <c r="S51" s="166">
        <v>-59.4</v>
      </c>
      <c r="T51" s="166">
        <v>14.7401</v>
      </c>
      <c r="U51" s="166">
        <v>45.188800000000001</v>
      </c>
      <c r="V51" s="166">
        <v>11.261699999999999</v>
      </c>
      <c r="W51" s="166">
        <v>11.571300000000001</v>
      </c>
      <c r="X51" s="166">
        <v>19.221499999999999</v>
      </c>
      <c r="Y51" s="166">
        <v>1.7813000000000001</v>
      </c>
      <c r="Z51" s="166">
        <v>0.18759999999999999</v>
      </c>
      <c r="AA51" s="166">
        <v>1.0686</v>
      </c>
      <c r="AB51" s="167"/>
      <c r="AC51" s="167"/>
      <c r="AD51" s="166">
        <v>-77.33</v>
      </c>
      <c r="AE51" s="166">
        <v>-77.2</v>
      </c>
      <c r="AF51" s="167"/>
      <c r="AG51" s="166">
        <v>-4.4400000000000004</v>
      </c>
      <c r="AH51" s="166">
        <v>66</v>
      </c>
      <c r="AI51" s="166">
        <v>27.26</v>
      </c>
      <c r="AJ51" s="166">
        <v>0.29899999999999999</v>
      </c>
      <c r="AK51" s="166">
        <v>-70.12</v>
      </c>
      <c r="AL51" s="166">
        <v>-70.39</v>
      </c>
      <c r="AM51" s="166">
        <v>-22.29</v>
      </c>
      <c r="AN51" s="166">
        <v>70.989999999999995</v>
      </c>
      <c r="AO51" s="166">
        <v>71.510000000000005</v>
      </c>
      <c r="AP51" s="168">
        <v>9.7583000000000002</v>
      </c>
      <c r="AQ51" s="166">
        <v>-2.34</v>
      </c>
      <c r="AR51" s="166">
        <v>76.305000000000007</v>
      </c>
      <c r="AS51" s="166">
        <v>79.674199999999999</v>
      </c>
      <c r="AT51" s="166">
        <v>44.203899999999997</v>
      </c>
      <c r="AU51" s="166">
        <v>-63.616999999999997</v>
      </c>
      <c r="AV51" s="166">
        <v>-63.216500000000003</v>
      </c>
      <c r="AW51" s="166">
        <v>22.758199999999999</v>
      </c>
      <c r="AX51" s="166">
        <v>23.845800000000001</v>
      </c>
      <c r="AY51" s="166">
        <v>78.136600000000001</v>
      </c>
      <c r="AZ51" s="166">
        <v>79.448300000000003</v>
      </c>
      <c r="BA51" s="166">
        <v>27.757300000000001</v>
      </c>
      <c r="BB51" s="166">
        <v>18.021599999999999</v>
      </c>
      <c r="BC51" s="166">
        <v>-489.23250000000002</v>
      </c>
      <c r="BD51" s="166">
        <v>-22.4392</v>
      </c>
      <c r="BE51" s="166">
        <v>-9.1</v>
      </c>
      <c r="BF51" s="166">
        <v>-9.1</v>
      </c>
      <c r="BG51" s="166">
        <v>69.759900000000002</v>
      </c>
      <c r="BH51" s="166">
        <v>69.754499999999993</v>
      </c>
      <c r="BI51" s="166">
        <v>-6.4158999999999997</v>
      </c>
      <c r="BJ51" s="167"/>
      <c r="BK51" s="166">
        <v>-54.954799999999999</v>
      </c>
      <c r="BL51" s="166">
        <v>8.9434000000000005</v>
      </c>
      <c r="BM51" s="166">
        <v>12.373200000000001</v>
      </c>
      <c r="BN51" s="166">
        <v>8.5067000000000004</v>
      </c>
      <c r="BO51" s="166">
        <v>540.72680000000003</v>
      </c>
      <c r="BP51" s="166">
        <v>153.84379999999999</v>
      </c>
      <c r="BQ51" s="166">
        <v>153.50810000000001</v>
      </c>
      <c r="BR51" s="166">
        <v>-533.78340000000003</v>
      </c>
      <c r="BS51" s="166">
        <v>582.79179999999997</v>
      </c>
      <c r="BT51" s="167"/>
      <c r="BU51" s="166">
        <v>-77.910200000000003</v>
      </c>
      <c r="BV51" s="166">
        <v>80.248999999999995</v>
      </c>
      <c r="BW51" s="168">
        <v>115.4136</v>
      </c>
      <c r="BX51" s="166">
        <v>34.549999999999997</v>
      </c>
      <c r="BY51" s="166">
        <v>41.61</v>
      </c>
      <c r="BZ51" s="166">
        <v>78.760000000000005</v>
      </c>
      <c r="CA51" s="166">
        <v>94.57</v>
      </c>
      <c r="CB51" s="166">
        <v>-43.799799999999998</v>
      </c>
      <c r="CC51" s="166">
        <v>-44.4696</v>
      </c>
      <c r="CD51" s="166">
        <v>98.349400000000003</v>
      </c>
      <c r="CE51" s="166">
        <v>99.7303</v>
      </c>
      <c r="CF51" s="166">
        <v>19.499700000000001</v>
      </c>
      <c r="CG51" s="166">
        <v>-180.3108</v>
      </c>
      <c r="CH51" s="166">
        <v>-179.60339999999999</v>
      </c>
      <c r="CI51" s="166">
        <v>4.6692</v>
      </c>
      <c r="CJ51" s="166">
        <v>0</v>
      </c>
      <c r="CK51" s="166">
        <v>17.6465</v>
      </c>
      <c r="CL51" s="166">
        <v>16.155999999999999</v>
      </c>
      <c r="CM51" s="166">
        <v>146.69999999999999</v>
      </c>
      <c r="CN51" s="166">
        <v>133.6</v>
      </c>
      <c r="CO51" s="166">
        <v>-18.96</v>
      </c>
      <c r="CP51" s="166">
        <v>62.094000000000001</v>
      </c>
      <c r="CQ51" s="166">
        <v>60.876399999999997</v>
      </c>
      <c r="CR51" s="166">
        <v>60.450200000000002</v>
      </c>
      <c r="CS51" s="166">
        <v>-2.1938</v>
      </c>
      <c r="CT51" s="166">
        <v>-1.9204000000000001</v>
      </c>
      <c r="CU51" s="166">
        <v>26.960999999999999</v>
      </c>
      <c r="CV51" s="166">
        <v>-84.9285</v>
      </c>
      <c r="CW51" s="166">
        <v>33.644399999999997</v>
      </c>
      <c r="CX51" s="166">
        <v>18.9376</v>
      </c>
      <c r="CY51" s="166">
        <v>85.58</v>
      </c>
      <c r="CZ51" s="166">
        <v>45.14</v>
      </c>
      <c r="DA51" s="166">
        <v>53.2104</v>
      </c>
      <c r="DB51" s="166">
        <v>50.688200000000002</v>
      </c>
      <c r="DC51" s="166">
        <v>-37.887500000000003</v>
      </c>
      <c r="DD51" s="167"/>
      <c r="DE51" s="167"/>
      <c r="DF51" s="166">
        <v>0</v>
      </c>
      <c r="DG51" s="166">
        <v>-106.7606</v>
      </c>
      <c r="DH51" s="167"/>
      <c r="DI51" s="167"/>
      <c r="DJ51" s="166">
        <v>-112.2</v>
      </c>
      <c r="DK51" s="166">
        <v>-111.5</v>
      </c>
      <c r="DL51" s="166">
        <v>21.0745</v>
      </c>
      <c r="DM51" s="166">
        <v>60.4</v>
      </c>
      <c r="DN51" s="166">
        <v>72.94</v>
      </c>
      <c r="DO51" s="166">
        <v>81.92</v>
      </c>
      <c r="DP51" s="166">
        <v>59.97</v>
      </c>
      <c r="DQ51" s="166">
        <v>-10.26</v>
      </c>
      <c r="DR51" s="166">
        <v>69.873999999999995</v>
      </c>
      <c r="DS51" s="166">
        <v>105.95350000000001</v>
      </c>
      <c r="DT51" s="166">
        <v>-3.51</v>
      </c>
      <c r="DU51" s="166">
        <v>-3.29</v>
      </c>
      <c r="DV51" s="166">
        <v>82.26</v>
      </c>
      <c r="DW51" s="166">
        <v>76.08</v>
      </c>
      <c r="DX51" s="166">
        <v>105.87269999999999</v>
      </c>
      <c r="DY51" s="166">
        <v>104.87269999999999</v>
      </c>
      <c r="DZ51" s="166">
        <v>-10.831799999999999</v>
      </c>
      <c r="EA51" s="166">
        <v>-10.8818</v>
      </c>
      <c r="EB51" s="166">
        <v>231.55670000000001</v>
      </c>
      <c r="EC51" s="166">
        <v>180.33869999999999</v>
      </c>
      <c r="ED51" s="166">
        <v>172.60329999999999</v>
      </c>
      <c r="EE51" s="166">
        <v>175.6866</v>
      </c>
      <c r="EF51" s="166">
        <v>93.119699999999995</v>
      </c>
      <c r="EG51" s="166">
        <v>67.465699999999998</v>
      </c>
      <c r="EH51" s="166">
        <v>-31.895</v>
      </c>
      <c r="EI51" s="166">
        <v>540.96339999999998</v>
      </c>
      <c r="EJ51" s="166">
        <v>417.38389999999998</v>
      </c>
      <c r="EK51" s="167"/>
      <c r="EL51" s="166">
        <v>-20.401900000000001</v>
      </c>
      <c r="EM51" s="166">
        <v>-18.2224</v>
      </c>
      <c r="EN51" s="167"/>
      <c r="EO51" s="166">
        <v>28.1539</v>
      </c>
      <c r="EP51" s="166">
        <v>25.7941</v>
      </c>
      <c r="EQ51" s="166">
        <v>35.375999999999998</v>
      </c>
      <c r="ER51" s="166">
        <v>-51.835799999999999</v>
      </c>
      <c r="ES51" s="166">
        <v>-52.930799999999998</v>
      </c>
      <c r="ET51" s="166">
        <v>-23.8752</v>
      </c>
      <c r="EU51" s="166">
        <v>0</v>
      </c>
      <c r="EV51" s="166">
        <v>-15.16</v>
      </c>
      <c r="EW51" s="166">
        <v>0</v>
      </c>
      <c r="EX51" s="166">
        <v>11.738899999999999</v>
      </c>
      <c r="EY51" s="166">
        <v>6.1185</v>
      </c>
      <c r="EZ51" s="166">
        <v>-40.676400000000001</v>
      </c>
      <c r="FA51" s="166">
        <v>-39.673699999999997</v>
      </c>
      <c r="FB51" s="166">
        <v>6.1794000000000002</v>
      </c>
      <c r="FC51" s="166">
        <v>-63.745800000000003</v>
      </c>
      <c r="FD51" s="166">
        <v>30.274999999999999</v>
      </c>
      <c r="FE51" s="166">
        <v>25.3475</v>
      </c>
      <c r="FF51" s="166">
        <v>26.2911</v>
      </c>
      <c r="FG51" s="167"/>
      <c r="FH51" s="166">
        <v>40.899799999999999</v>
      </c>
      <c r="FI51" s="166">
        <v>41.8765</v>
      </c>
      <c r="FJ51" s="166">
        <v>39.7791</v>
      </c>
      <c r="FK51" s="166">
        <v>44.710799999999999</v>
      </c>
      <c r="FL51" s="166">
        <v>43.371200000000002</v>
      </c>
      <c r="FM51" s="166">
        <v>-22.774100000000001</v>
      </c>
      <c r="FN51" s="166">
        <v>12.0182</v>
      </c>
      <c r="FO51" s="166">
        <v>11.4755</v>
      </c>
      <c r="FP51" s="166">
        <v>-26.090900000000001</v>
      </c>
      <c r="FQ51" s="166">
        <v>-17.273399999999999</v>
      </c>
      <c r="FR51" s="166">
        <v>-5.7770999999999999</v>
      </c>
      <c r="FS51" s="166">
        <v>-21.63</v>
      </c>
      <c r="FT51" s="167"/>
      <c r="FU51" s="166">
        <v>1.5494000000000001</v>
      </c>
      <c r="FV51" s="166">
        <v>1.34</v>
      </c>
      <c r="FW51" s="166">
        <v>19.41</v>
      </c>
      <c r="FX51" s="166">
        <v>0</v>
      </c>
      <c r="FY51" s="167"/>
      <c r="FZ51" s="166">
        <v>-7.6639999999999997</v>
      </c>
      <c r="GA51" s="166">
        <v>0.71</v>
      </c>
      <c r="GB51" s="167"/>
      <c r="GC51" s="166">
        <v>32.5</v>
      </c>
      <c r="GD51" s="166">
        <v>17.575900000000001</v>
      </c>
      <c r="GE51" s="166">
        <v>26.790099999999999</v>
      </c>
      <c r="GF51" s="168">
        <v>16.36</v>
      </c>
      <c r="GG51" s="166">
        <v>78.969300000000004</v>
      </c>
      <c r="GH51" s="166">
        <v>29.5</v>
      </c>
      <c r="GI51" s="166">
        <v>-4.1628999999999996</v>
      </c>
      <c r="GJ51" s="166">
        <v>-9.9430999999999994</v>
      </c>
      <c r="GK51" s="166">
        <v>-10.989000000000001</v>
      </c>
      <c r="GL51" s="166">
        <v>2.8285999999999998</v>
      </c>
      <c r="GM51" s="167"/>
      <c r="GN51" s="167"/>
      <c r="GO51" s="166">
        <v>-20.302900000000001</v>
      </c>
      <c r="GP51" s="166">
        <v>-25.927800000000001</v>
      </c>
      <c r="GQ51" s="166">
        <v>11.616099999999999</v>
      </c>
      <c r="GR51" s="166">
        <v>26.792999999999999</v>
      </c>
      <c r="GS51" s="166">
        <v>13.902699999999999</v>
      </c>
      <c r="GT51" s="166">
        <v>15.3428</v>
      </c>
      <c r="GU51" s="166">
        <v>-106.18219999999999</v>
      </c>
      <c r="GV51" s="166">
        <v>-28.497299999999999</v>
      </c>
      <c r="GW51" s="166">
        <v>28.444800000000001</v>
      </c>
      <c r="GX51" s="166">
        <v>-28.884</v>
      </c>
      <c r="GY51" s="166">
        <v>3.7827000000000002</v>
      </c>
      <c r="GZ51" s="166">
        <v>16.8596</v>
      </c>
      <c r="HA51" s="166">
        <v>16.4892</v>
      </c>
      <c r="HB51" s="166">
        <v>5.6257999999999999</v>
      </c>
      <c r="HC51" s="166">
        <v>172.5016</v>
      </c>
      <c r="HD51" s="166">
        <v>170.97489999999999</v>
      </c>
      <c r="HE51" s="168">
        <v>262.06670000000003</v>
      </c>
      <c r="HF51" s="168">
        <v>-260.93369999999999</v>
      </c>
      <c r="HG51" s="166">
        <v>-567.77869999999996</v>
      </c>
      <c r="HH51" s="166">
        <v>572.16420000000005</v>
      </c>
      <c r="HI51" s="166">
        <v>615.3605</v>
      </c>
      <c r="HJ51" s="166">
        <v>-164.2705</v>
      </c>
      <c r="HK51" s="166">
        <v>-162.31880000000001</v>
      </c>
      <c r="HL51" s="166">
        <v>-48.266300000000001</v>
      </c>
      <c r="HM51" s="166">
        <v>-36.078800000000001</v>
      </c>
      <c r="HN51" s="166">
        <v>81.993799999999993</v>
      </c>
      <c r="HO51" s="166">
        <v>81.041300000000007</v>
      </c>
      <c r="HP51" s="167"/>
      <c r="HQ51" s="167"/>
      <c r="HR51" s="166">
        <v>34.478400000000001</v>
      </c>
      <c r="HS51" s="166">
        <v>33.588500000000003</v>
      </c>
      <c r="HT51" s="166">
        <v>-71.0017</v>
      </c>
      <c r="HU51" s="166">
        <v>-71.393900000000002</v>
      </c>
      <c r="HV51" s="166">
        <v>90.05</v>
      </c>
      <c r="HW51" s="166">
        <v>88.47</v>
      </c>
      <c r="HX51" s="166">
        <v>49.9</v>
      </c>
      <c r="HY51" s="166">
        <v>51</v>
      </c>
      <c r="HZ51" s="166">
        <v>20.633099999999999</v>
      </c>
      <c r="IA51" s="166">
        <v>43.36</v>
      </c>
      <c r="IB51" s="166">
        <v>-422.80270000000002</v>
      </c>
      <c r="IC51" s="167"/>
      <c r="ID51" s="167"/>
      <c r="IE51" s="166">
        <v>16.2</v>
      </c>
      <c r="IF51" s="166">
        <v>17.100000000000001</v>
      </c>
      <c r="IG51" s="166">
        <v>-32.700000000000003</v>
      </c>
      <c r="IH51" s="166">
        <v>-40</v>
      </c>
      <c r="II51" s="167"/>
      <c r="IJ51" s="167"/>
      <c r="IK51" s="166">
        <v>-601.84849999999994</v>
      </c>
      <c r="IL51" s="166">
        <v>-386.6422</v>
      </c>
      <c r="IM51" s="166">
        <v>554.45830000000001</v>
      </c>
      <c r="IN51" s="166">
        <v>443.42140000000001</v>
      </c>
      <c r="IO51" s="166">
        <v>6.9059999999999997</v>
      </c>
      <c r="IP51" s="166">
        <v>-432.8965</v>
      </c>
      <c r="IQ51" s="166">
        <v>434.55560000000003</v>
      </c>
      <c r="IR51" s="166">
        <v>-192.84540000000001</v>
      </c>
      <c r="IS51" s="166">
        <v>-259.14240000000001</v>
      </c>
      <c r="IT51" s="166">
        <v>-430.3818</v>
      </c>
      <c r="IU51" s="166">
        <v>113.4019</v>
      </c>
      <c r="IV51" s="166">
        <v>112.4104</v>
      </c>
      <c r="IW51" s="166">
        <v>195.84899999999999</v>
      </c>
      <c r="IX51" s="166">
        <v>-535.6662</v>
      </c>
      <c r="IY51" s="166">
        <v>268.41910000000001</v>
      </c>
      <c r="IZ51" s="166">
        <v>-276.82010000000002</v>
      </c>
      <c r="JA51" s="166">
        <v>277.60309999999998</v>
      </c>
      <c r="JB51" s="166">
        <v>-9.0707000000000004</v>
      </c>
      <c r="JC51" s="166">
        <v>18.382000000000001</v>
      </c>
      <c r="JD51" s="166">
        <v>26</v>
      </c>
      <c r="JE51" s="166">
        <v>0.23899999999999999</v>
      </c>
      <c r="JF51" s="166">
        <v>0.23</v>
      </c>
      <c r="JG51" s="166">
        <v>-24.8</v>
      </c>
      <c r="JH51" s="166">
        <v>0.08</v>
      </c>
      <c r="JI51" s="167"/>
      <c r="JJ51" s="166">
        <v>-0.17549999999999999</v>
      </c>
      <c r="JK51" s="166">
        <v>-30.7027</v>
      </c>
      <c r="JL51" s="166">
        <v>-17.372399999999999</v>
      </c>
      <c r="JM51" s="166">
        <v>18.3</v>
      </c>
      <c r="JN51" s="166">
        <v>56.360999999999997</v>
      </c>
      <c r="JO51" s="166">
        <v>56.427999999999997</v>
      </c>
      <c r="JP51" s="166">
        <v>0</v>
      </c>
      <c r="JQ51" s="166">
        <v>2.7524000000000002</v>
      </c>
      <c r="JR51" s="166">
        <v>53.470300000000002</v>
      </c>
      <c r="JS51" s="166">
        <v>51.737900000000003</v>
      </c>
      <c r="JT51" s="166">
        <v>51.151600000000002</v>
      </c>
      <c r="JU51" s="167"/>
      <c r="JV51" s="166">
        <v>-15.8</v>
      </c>
      <c r="JW51" s="166">
        <v>32.630099999999999</v>
      </c>
      <c r="JX51" s="166">
        <v>10.24</v>
      </c>
      <c r="JY51" s="167"/>
      <c r="JZ51" s="166">
        <v>-34.651000000000003</v>
      </c>
      <c r="KA51" s="166">
        <v>76.405299999999997</v>
      </c>
      <c r="KB51" s="166">
        <v>48.453000000000003</v>
      </c>
      <c r="KC51" s="166">
        <v>-34.986800000000002</v>
      </c>
      <c r="KD51" s="166">
        <v>-75.479799999999997</v>
      </c>
      <c r="KE51" s="166">
        <v>36.168900000000001</v>
      </c>
      <c r="KF51" s="166">
        <v>39.130000000000003</v>
      </c>
      <c r="KG51" s="166">
        <v>1</v>
      </c>
      <c r="KH51" s="166">
        <v>-1.7</v>
      </c>
      <c r="KI51" s="166">
        <v>48.303100000000001</v>
      </c>
      <c r="KJ51" s="166">
        <v>136.7604</v>
      </c>
    </row>
    <row r="52" spans="1:296" ht="18" customHeight="1" x14ac:dyDescent="0.3">
      <c r="A52" s="162" t="s">
        <v>67</v>
      </c>
      <c r="B52" s="162" t="s">
        <v>851</v>
      </c>
      <c r="C52" s="166">
        <v>0</v>
      </c>
      <c r="D52" s="167"/>
      <c r="E52" s="166">
        <v>20.440100000000001</v>
      </c>
      <c r="F52" s="166">
        <v>-30.256399999999999</v>
      </c>
      <c r="G52" s="166">
        <v>12.351699999999999</v>
      </c>
      <c r="H52" s="166">
        <v>33.798299999999998</v>
      </c>
      <c r="I52" s="167"/>
      <c r="J52" s="166">
        <v>51.033799999999999</v>
      </c>
      <c r="K52" s="166">
        <v>-92.088499999999996</v>
      </c>
      <c r="L52" s="166">
        <v>68.990200000000002</v>
      </c>
      <c r="M52" s="166">
        <v>34.9649</v>
      </c>
      <c r="N52" s="166">
        <v>33.901400000000002</v>
      </c>
      <c r="O52" s="166">
        <v>2.2200000000000002</v>
      </c>
      <c r="P52" s="166">
        <v>-62.002000000000002</v>
      </c>
      <c r="Q52" s="166">
        <v>55</v>
      </c>
      <c r="R52" s="166">
        <v>14.076000000000001</v>
      </c>
      <c r="S52" s="166">
        <v>-55</v>
      </c>
      <c r="T52" s="166">
        <v>14.977399999999999</v>
      </c>
      <c r="U52" s="166">
        <v>50.693600000000004</v>
      </c>
      <c r="V52" s="166">
        <v>10.411</v>
      </c>
      <c r="W52" s="166">
        <v>10.845599999999999</v>
      </c>
      <c r="X52" s="166">
        <v>17.8401</v>
      </c>
      <c r="Y52" s="166">
        <v>1.8018000000000001</v>
      </c>
      <c r="Z52" s="166">
        <v>0.26240000000000002</v>
      </c>
      <c r="AA52" s="166">
        <v>1.1440999999999999</v>
      </c>
      <c r="AB52" s="167"/>
      <c r="AC52" s="167"/>
      <c r="AD52" s="166">
        <v>-75.31</v>
      </c>
      <c r="AE52" s="166">
        <v>-75.56</v>
      </c>
      <c r="AF52" s="167"/>
      <c r="AG52" s="166">
        <v>-2.2200000000000002</v>
      </c>
      <c r="AH52" s="166">
        <v>61.6</v>
      </c>
      <c r="AI52" s="166">
        <v>26.783000000000001</v>
      </c>
      <c r="AJ52" s="166">
        <v>0.29499999999999998</v>
      </c>
      <c r="AK52" s="166">
        <v>-71.540000000000006</v>
      </c>
      <c r="AL52" s="166">
        <v>-71.510000000000005</v>
      </c>
      <c r="AM52" s="166">
        <v>-17.3</v>
      </c>
      <c r="AN52" s="166">
        <v>71.510000000000005</v>
      </c>
      <c r="AO52" s="166">
        <v>72</v>
      </c>
      <c r="AP52" s="168">
        <v>13.4278</v>
      </c>
      <c r="AQ52" s="166">
        <v>-1.6491</v>
      </c>
      <c r="AR52" s="166">
        <v>76.0214</v>
      </c>
      <c r="AS52" s="166">
        <v>78.217399999999998</v>
      </c>
      <c r="AT52" s="166">
        <v>42.702300000000001</v>
      </c>
      <c r="AU52" s="166">
        <v>-55.121200000000002</v>
      </c>
      <c r="AV52" s="166">
        <v>-54.868499999999997</v>
      </c>
      <c r="AW52" s="166">
        <v>21.5061</v>
      </c>
      <c r="AX52" s="166">
        <v>25.179200000000002</v>
      </c>
      <c r="AY52" s="166">
        <v>75.976600000000005</v>
      </c>
      <c r="AZ52" s="166">
        <v>75.968999999999994</v>
      </c>
      <c r="BA52" s="166">
        <v>19.531400000000001</v>
      </c>
      <c r="BB52" s="166">
        <v>18.093299999999999</v>
      </c>
      <c r="BC52" s="166">
        <v>-496.56319999999999</v>
      </c>
      <c r="BD52" s="166">
        <v>-14.359</v>
      </c>
      <c r="BE52" s="166">
        <v>-11.9</v>
      </c>
      <c r="BF52" s="166">
        <v>-11.9</v>
      </c>
      <c r="BG52" s="166">
        <v>62.231000000000002</v>
      </c>
      <c r="BH52" s="166">
        <v>60.547499999999999</v>
      </c>
      <c r="BI52" s="166">
        <v>-6.6611000000000002</v>
      </c>
      <c r="BJ52" s="167"/>
      <c r="BK52" s="166">
        <v>-38.603200000000001</v>
      </c>
      <c r="BL52" s="166">
        <v>7.8425000000000002</v>
      </c>
      <c r="BM52" s="166">
        <v>11.750299999999999</v>
      </c>
      <c r="BN52" s="166">
        <v>7.9507000000000003</v>
      </c>
      <c r="BO52" s="166">
        <v>545.24350000000004</v>
      </c>
      <c r="BP52" s="166">
        <v>167.02780000000001</v>
      </c>
      <c r="BQ52" s="166">
        <v>166.75309999999999</v>
      </c>
      <c r="BR52" s="166">
        <v>-544.30150000000003</v>
      </c>
      <c r="BS52" s="166">
        <v>593.74429999999995</v>
      </c>
      <c r="BT52" s="167"/>
      <c r="BU52" s="166">
        <v>-54.271000000000001</v>
      </c>
      <c r="BV52" s="166">
        <v>55.741900000000001</v>
      </c>
      <c r="BW52" s="166">
        <v>114.3657</v>
      </c>
      <c r="BX52" s="166">
        <v>33.56</v>
      </c>
      <c r="BY52" s="166">
        <v>38.96</v>
      </c>
      <c r="BZ52" s="166">
        <v>77.099999999999994</v>
      </c>
      <c r="CA52" s="166">
        <v>97.07</v>
      </c>
      <c r="CB52" s="166">
        <v>-51.033499999999997</v>
      </c>
      <c r="CC52" s="166">
        <v>-51.435299999999998</v>
      </c>
      <c r="CD52" s="166">
        <v>103.6649</v>
      </c>
      <c r="CE52" s="166">
        <v>103.97410000000001</v>
      </c>
      <c r="CF52" s="166">
        <v>22.724799999999998</v>
      </c>
      <c r="CG52" s="166">
        <v>-174.57910000000001</v>
      </c>
      <c r="CH52" s="166">
        <v>-173.31890000000001</v>
      </c>
      <c r="CI52" s="166">
        <v>1.5415000000000001</v>
      </c>
      <c r="CJ52" s="166">
        <v>0</v>
      </c>
      <c r="CK52" s="166">
        <v>21.102499999999999</v>
      </c>
      <c r="CL52" s="166">
        <v>28.603999999999999</v>
      </c>
      <c r="CM52" s="166">
        <v>140</v>
      </c>
      <c r="CN52" s="166">
        <v>127.2</v>
      </c>
      <c r="CO52" s="166">
        <v>-18.34</v>
      </c>
      <c r="CP52" s="166">
        <v>60.470300000000002</v>
      </c>
      <c r="CQ52" s="166">
        <v>58.537599999999998</v>
      </c>
      <c r="CR52" s="166">
        <v>58.862400000000001</v>
      </c>
      <c r="CS52" s="166">
        <v>-5.9173999999999998</v>
      </c>
      <c r="CT52" s="166">
        <v>-5.7904</v>
      </c>
      <c r="CU52" s="166">
        <v>45.675199999999997</v>
      </c>
      <c r="CV52" s="166">
        <v>-102.3685</v>
      </c>
      <c r="CW52" s="166">
        <v>54.657899999999998</v>
      </c>
      <c r="CX52" s="166">
        <v>18.456399999999999</v>
      </c>
      <c r="CY52" s="166">
        <v>82.12</v>
      </c>
      <c r="CZ52" s="166">
        <v>43.65</v>
      </c>
      <c r="DA52" s="166">
        <v>51.101100000000002</v>
      </c>
      <c r="DB52" s="166">
        <v>48.3444</v>
      </c>
      <c r="DC52" s="166">
        <v>-36.703800000000001</v>
      </c>
      <c r="DD52" s="167"/>
      <c r="DE52" s="167"/>
      <c r="DF52" s="166">
        <v>0</v>
      </c>
      <c r="DG52" s="166">
        <v>-111.08499999999999</v>
      </c>
      <c r="DH52" s="167"/>
      <c r="DI52" s="167"/>
      <c r="DJ52" s="166">
        <v>-110</v>
      </c>
      <c r="DK52" s="166">
        <v>-110.2</v>
      </c>
      <c r="DL52" s="166">
        <v>20.986599999999999</v>
      </c>
      <c r="DM52" s="166">
        <v>56.6</v>
      </c>
      <c r="DN52" s="166">
        <v>70.540000000000006</v>
      </c>
      <c r="DO52" s="166">
        <v>77.48</v>
      </c>
      <c r="DP52" s="166">
        <v>56.32</v>
      </c>
      <c r="DQ52" s="166">
        <v>-9.8800000000000008</v>
      </c>
      <c r="DR52" s="166">
        <v>69.936000000000007</v>
      </c>
      <c r="DS52" s="166">
        <v>110.4388</v>
      </c>
      <c r="DT52" s="166">
        <v>-3.13</v>
      </c>
      <c r="DU52" s="166">
        <v>-3.17</v>
      </c>
      <c r="DV52" s="166">
        <v>78.23</v>
      </c>
      <c r="DW52" s="166">
        <v>74.44</v>
      </c>
      <c r="DX52" s="166">
        <v>109.8364</v>
      </c>
      <c r="DY52" s="166">
        <v>109.1091</v>
      </c>
      <c r="DZ52" s="166">
        <v>-9.5450999999999997</v>
      </c>
      <c r="EA52" s="166">
        <v>-9.4817999999999998</v>
      </c>
      <c r="EB52" s="166">
        <v>229.69470000000001</v>
      </c>
      <c r="EC52" s="166">
        <v>179.08949999999999</v>
      </c>
      <c r="ED52" s="166">
        <v>171.2544</v>
      </c>
      <c r="EE52" s="166">
        <v>174.48519999999999</v>
      </c>
      <c r="EF52" s="166">
        <v>92.648799999999994</v>
      </c>
      <c r="EG52" s="166">
        <v>67.585700000000003</v>
      </c>
      <c r="EH52" s="166">
        <v>-31.186</v>
      </c>
      <c r="EI52" s="166">
        <v>562.24540000000002</v>
      </c>
      <c r="EJ52" s="166">
        <v>406.68959999999998</v>
      </c>
      <c r="EK52" s="167"/>
      <c r="EL52" s="166">
        <v>-28.881399999999999</v>
      </c>
      <c r="EM52" s="166">
        <v>-27.072299999999998</v>
      </c>
      <c r="EN52" s="167"/>
      <c r="EO52" s="166">
        <v>20.6784</v>
      </c>
      <c r="EP52" s="166">
        <v>18.743500000000001</v>
      </c>
      <c r="EQ52" s="166">
        <v>38.448</v>
      </c>
      <c r="ER52" s="166">
        <v>-53.490299999999998</v>
      </c>
      <c r="ES52" s="166">
        <v>-54.686700000000002</v>
      </c>
      <c r="ET52" s="166">
        <v>-24.912600000000001</v>
      </c>
      <c r="EU52" s="166">
        <v>0</v>
      </c>
      <c r="EV52" s="166">
        <v>-14.66</v>
      </c>
      <c r="EW52" s="166">
        <v>1</v>
      </c>
      <c r="EX52" s="166">
        <v>10.831</v>
      </c>
      <c r="EY52" s="166">
        <v>-4.8078000000000003</v>
      </c>
      <c r="EZ52" s="166">
        <v>-39.782699999999998</v>
      </c>
      <c r="FA52" s="166">
        <v>-38.9467</v>
      </c>
      <c r="FB52" s="166">
        <v>7.5045999999999999</v>
      </c>
      <c r="FC52" s="166">
        <v>-64.200199999999995</v>
      </c>
      <c r="FD52" s="166">
        <v>29.9955</v>
      </c>
      <c r="FE52" s="166">
        <v>24.077300000000001</v>
      </c>
      <c r="FF52" s="166">
        <v>24.844000000000001</v>
      </c>
      <c r="FG52" s="167"/>
      <c r="FH52" s="166">
        <v>40.829000000000001</v>
      </c>
      <c r="FI52" s="166">
        <v>41.297699999999999</v>
      </c>
      <c r="FJ52" s="166">
        <v>39.611899999999999</v>
      </c>
      <c r="FK52" s="166">
        <v>51.074199999999998</v>
      </c>
      <c r="FL52" s="166">
        <v>51.911499999999997</v>
      </c>
      <c r="FM52" s="166">
        <v>-27.965199999999999</v>
      </c>
      <c r="FN52" s="166">
        <v>11.558400000000001</v>
      </c>
      <c r="FO52" s="166">
        <v>11.2494</v>
      </c>
      <c r="FP52" s="166">
        <v>-31.639399999999998</v>
      </c>
      <c r="FQ52" s="166">
        <v>-23.6828</v>
      </c>
      <c r="FR52" s="166">
        <v>-4.3121999999999998</v>
      </c>
      <c r="FS52" s="166">
        <v>-21.61</v>
      </c>
      <c r="FT52" s="167"/>
      <c r="FU52" s="166">
        <v>1.4663999999999999</v>
      </c>
      <c r="FV52" s="166">
        <v>1.34</v>
      </c>
      <c r="FW52" s="166">
        <v>20.25</v>
      </c>
      <c r="FX52" s="166">
        <v>0</v>
      </c>
      <c r="FY52" s="167"/>
      <c r="FZ52" s="166">
        <v>-8.266</v>
      </c>
      <c r="GA52" s="166">
        <v>1.3320000000000001</v>
      </c>
      <c r="GB52" s="167"/>
      <c r="GC52" s="166">
        <v>32.049999999999997</v>
      </c>
      <c r="GD52" s="166">
        <v>23.531400000000001</v>
      </c>
      <c r="GE52" s="166">
        <v>31.305299999999999</v>
      </c>
      <c r="GF52" s="168">
        <v>16.055</v>
      </c>
      <c r="GG52" s="166">
        <v>76.1995</v>
      </c>
      <c r="GH52" s="166">
        <v>31</v>
      </c>
      <c r="GI52" s="166">
        <v>0</v>
      </c>
      <c r="GJ52" s="166">
        <v>-11.3691</v>
      </c>
      <c r="GK52" s="166">
        <v>-12.0281</v>
      </c>
      <c r="GL52" s="166">
        <v>2.6484999999999999</v>
      </c>
      <c r="GM52" s="167"/>
      <c r="GN52" s="167"/>
      <c r="GO52" s="166">
        <v>-18.592700000000001</v>
      </c>
      <c r="GP52" s="166">
        <v>-17.959700000000002</v>
      </c>
      <c r="GQ52" s="166">
        <v>13.067299999999999</v>
      </c>
      <c r="GR52" s="166">
        <v>18.944600000000001</v>
      </c>
      <c r="GS52" s="166">
        <v>9.9943000000000008</v>
      </c>
      <c r="GT52" s="166">
        <v>11.327500000000001</v>
      </c>
      <c r="GU52" s="166">
        <v>-103.53</v>
      </c>
      <c r="GV52" s="166">
        <v>-26.218299999999999</v>
      </c>
      <c r="GW52" s="166">
        <v>26.190799999999999</v>
      </c>
      <c r="GX52" s="166">
        <v>-6.4489999999999998</v>
      </c>
      <c r="GY52" s="166">
        <v>3.4213</v>
      </c>
      <c r="GZ52" s="166">
        <v>15.4338</v>
      </c>
      <c r="HA52" s="166">
        <v>14.979699999999999</v>
      </c>
      <c r="HB52" s="166">
        <v>5.1955</v>
      </c>
      <c r="HC52" s="166">
        <v>170.01339999999999</v>
      </c>
      <c r="HD52" s="166">
        <v>170.09800000000001</v>
      </c>
      <c r="HE52" s="168">
        <v>269.13339999999999</v>
      </c>
      <c r="HF52" s="168">
        <v>-267.29559999999998</v>
      </c>
      <c r="HG52" s="168">
        <v>-570.66880000000003</v>
      </c>
      <c r="HH52" s="168">
        <v>572.20609999999999</v>
      </c>
      <c r="HI52" s="166">
        <v>606.65210000000002</v>
      </c>
      <c r="HJ52" s="166">
        <v>-160.9134</v>
      </c>
      <c r="HK52" s="166">
        <v>-158.14580000000001</v>
      </c>
      <c r="HL52" s="166">
        <v>-52.405099999999997</v>
      </c>
      <c r="HM52" s="166">
        <v>-41.8337</v>
      </c>
      <c r="HN52" s="166">
        <v>79.186800000000005</v>
      </c>
      <c r="HO52" s="166">
        <v>81.008099999999999</v>
      </c>
      <c r="HP52" s="167"/>
      <c r="HQ52" s="167"/>
      <c r="HR52" s="166">
        <v>36.335099999999997</v>
      </c>
      <c r="HS52" s="166">
        <v>35.368299999999998</v>
      </c>
      <c r="HT52" s="166">
        <v>-67.781000000000006</v>
      </c>
      <c r="HU52" s="166">
        <v>-68.069999999999993</v>
      </c>
      <c r="HV52" s="166">
        <v>89.72</v>
      </c>
      <c r="HW52" s="166">
        <v>89.07</v>
      </c>
      <c r="HX52" s="166">
        <v>47.2</v>
      </c>
      <c r="HY52" s="166">
        <v>47.3</v>
      </c>
      <c r="HZ52" s="166">
        <v>20.757000000000001</v>
      </c>
      <c r="IA52" s="166">
        <v>41.6</v>
      </c>
      <c r="IB52" s="166">
        <v>-416.55880000000002</v>
      </c>
      <c r="IC52" s="167"/>
      <c r="ID52" s="167"/>
      <c r="IE52" s="166">
        <v>15.6</v>
      </c>
      <c r="IF52" s="166">
        <v>12.9</v>
      </c>
      <c r="IG52" s="166">
        <v>-34.4</v>
      </c>
      <c r="IH52" s="166">
        <v>-41.2</v>
      </c>
      <c r="II52" s="167"/>
      <c r="IJ52" s="167"/>
      <c r="IK52" s="166">
        <v>-593.86469999999997</v>
      </c>
      <c r="IL52" s="166">
        <v>-375.88529999999997</v>
      </c>
      <c r="IM52" s="166">
        <v>540.58130000000006</v>
      </c>
      <c r="IN52" s="166">
        <v>427.97680000000003</v>
      </c>
      <c r="IO52" s="166">
        <v>2.3715000000000002</v>
      </c>
      <c r="IP52" s="166">
        <v>-424.39299999999997</v>
      </c>
      <c r="IQ52" s="166">
        <v>423.15339999999998</v>
      </c>
      <c r="IR52" s="166">
        <v>-189.9734</v>
      </c>
      <c r="IS52" s="166">
        <v>-255.50819999999999</v>
      </c>
      <c r="IT52" s="166">
        <v>-409.97460000000001</v>
      </c>
      <c r="IU52" s="166">
        <v>109.96550000000001</v>
      </c>
      <c r="IV52" s="166">
        <v>109.9819</v>
      </c>
      <c r="IW52" s="166">
        <v>194.012</v>
      </c>
      <c r="IX52" s="166">
        <v>-512.32629999999995</v>
      </c>
      <c r="IY52" s="166">
        <v>265.7484</v>
      </c>
      <c r="IZ52" s="166">
        <v>-258.40539999999999</v>
      </c>
      <c r="JA52" s="166">
        <v>261.43610000000001</v>
      </c>
      <c r="JB52" s="166">
        <v>-9.6227999999999998</v>
      </c>
      <c r="JC52" s="166">
        <v>23.538</v>
      </c>
      <c r="JD52" s="166">
        <v>24.08</v>
      </c>
      <c r="JE52" s="166">
        <v>0.48899999999999999</v>
      </c>
      <c r="JF52" s="166">
        <v>0.47399999999999998</v>
      </c>
      <c r="JG52" s="166">
        <v>-24</v>
      </c>
      <c r="JH52" s="166">
        <v>-0.8</v>
      </c>
      <c r="JI52" s="167"/>
      <c r="JJ52" s="166">
        <v>1.0575000000000001</v>
      </c>
      <c r="JK52" s="166">
        <v>-33.018999999999998</v>
      </c>
      <c r="JL52" s="166">
        <v>-17.988900000000001</v>
      </c>
      <c r="JM52" s="166">
        <v>20</v>
      </c>
      <c r="JN52" s="166">
        <v>51.496000000000002</v>
      </c>
      <c r="JO52" s="166">
        <v>50.96</v>
      </c>
      <c r="JP52" s="167"/>
      <c r="JQ52" s="167"/>
      <c r="JR52" s="166">
        <v>52.407899999999998</v>
      </c>
      <c r="JS52" s="166">
        <v>51.4771</v>
      </c>
      <c r="JT52" s="166">
        <v>51.453699999999998</v>
      </c>
      <c r="JU52" s="167"/>
      <c r="JV52" s="166">
        <v>-11</v>
      </c>
      <c r="JW52" s="166">
        <v>33.089799999999997</v>
      </c>
      <c r="JX52" s="166">
        <v>9.6300000000000008</v>
      </c>
      <c r="JY52" s="167"/>
      <c r="JZ52" s="166">
        <v>-41.136400000000002</v>
      </c>
      <c r="KA52" s="166">
        <v>77.856200000000001</v>
      </c>
      <c r="KB52" s="166">
        <v>52.804600000000001</v>
      </c>
      <c r="KC52" s="166">
        <v>-40.1631</v>
      </c>
      <c r="KD52" s="166">
        <v>-76.725200000000001</v>
      </c>
      <c r="KE52" s="166">
        <v>41.0764</v>
      </c>
      <c r="KF52" s="166">
        <v>35.163499999999999</v>
      </c>
      <c r="KG52" s="166">
        <v>-3.9</v>
      </c>
      <c r="KH52" s="166">
        <v>3.5</v>
      </c>
      <c r="KI52" s="166">
        <v>33.486400000000003</v>
      </c>
      <c r="KJ52" s="166">
        <v>153.22219999999999</v>
      </c>
    </row>
    <row r="53" spans="1:296" ht="18" customHeight="1" x14ac:dyDescent="0.3">
      <c r="A53" s="162" t="s">
        <v>67</v>
      </c>
      <c r="B53" s="162" t="s">
        <v>852</v>
      </c>
      <c r="C53" s="166">
        <v>0</v>
      </c>
      <c r="D53" s="167"/>
      <c r="E53" s="166">
        <v>19.320799999999998</v>
      </c>
      <c r="F53" s="166">
        <v>-29.0351</v>
      </c>
      <c r="G53" s="166">
        <v>11.866300000000001</v>
      </c>
      <c r="H53" s="166">
        <v>31.8673</v>
      </c>
      <c r="I53" s="167"/>
      <c r="J53" s="166">
        <v>46.530700000000003</v>
      </c>
      <c r="K53" s="166">
        <v>-85.213099999999997</v>
      </c>
      <c r="L53" s="166">
        <v>64.0565</v>
      </c>
      <c r="M53" s="166">
        <v>32.661000000000001</v>
      </c>
      <c r="N53" s="166">
        <v>31.855499999999999</v>
      </c>
      <c r="O53" s="166">
        <v>6.66</v>
      </c>
      <c r="P53" s="166">
        <v>-55.701000000000001</v>
      </c>
      <c r="Q53" s="166">
        <v>50.6</v>
      </c>
      <c r="R53" s="166">
        <v>12.42</v>
      </c>
      <c r="S53" s="166">
        <v>-48.4</v>
      </c>
      <c r="T53" s="166">
        <v>14.912699999999999</v>
      </c>
      <c r="U53" s="166">
        <v>47.190199999999997</v>
      </c>
      <c r="V53" s="166">
        <v>9.5820000000000007</v>
      </c>
      <c r="W53" s="166">
        <v>9.6257999999999999</v>
      </c>
      <c r="X53" s="166">
        <v>15.9857</v>
      </c>
      <c r="Y53" s="166">
        <v>1.8643000000000001</v>
      </c>
      <c r="Z53" s="166">
        <v>0.2225</v>
      </c>
      <c r="AA53" s="166">
        <v>1.0251999999999999</v>
      </c>
      <c r="AB53" s="167"/>
      <c r="AC53" s="167"/>
      <c r="AD53" s="166">
        <v>-70.22</v>
      </c>
      <c r="AE53" s="166">
        <v>-70.92</v>
      </c>
      <c r="AF53" s="167"/>
      <c r="AG53" s="166">
        <v>-6.66</v>
      </c>
      <c r="AH53" s="166">
        <v>55</v>
      </c>
      <c r="AI53" s="166">
        <v>25.797999999999998</v>
      </c>
      <c r="AJ53" s="166">
        <v>0.28799999999999998</v>
      </c>
      <c r="AK53" s="166">
        <v>-65.489999999999995</v>
      </c>
      <c r="AL53" s="166">
        <v>-65.64</v>
      </c>
      <c r="AM53" s="166">
        <v>-18.95</v>
      </c>
      <c r="AN53" s="166">
        <v>66.61</v>
      </c>
      <c r="AO53" s="166">
        <v>66.849999999999994</v>
      </c>
      <c r="AP53" s="168">
        <v>17.097200000000001</v>
      </c>
      <c r="AQ53" s="166">
        <v>-0.3906</v>
      </c>
      <c r="AR53" s="166">
        <v>73.4726</v>
      </c>
      <c r="AS53" s="166">
        <v>75.859899999999996</v>
      </c>
      <c r="AT53" s="166">
        <v>37.6111</v>
      </c>
      <c r="AU53" s="166">
        <v>-56.375100000000003</v>
      </c>
      <c r="AV53" s="166">
        <v>-56.570900000000002</v>
      </c>
      <c r="AW53" s="166">
        <v>25.513500000000001</v>
      </c>
      <c r="AX53" s="166">
        <v>30.306899999999999</v>
      </c>
      <c r="AY53" s="166">
        <v>70.214799999999997</v>
      </c>
      <c r="AZ53" s="166">
        <v>71.517600000000002</v>
      </c>
      <c r="BA53" s="166">
        <v>24.604399999999998</v>
      </c>
      <c r="BB53" s="166">
        <v>20.614699999999999</v>
      </c>
      <c r="BC53" s="166">
        <v>-457.25259999999997</v>
      </c>
      <c r="BD53" s="166">
        <v>-15.0106</v>
      </c>
      <c r="BE53" s="166">
        <v>-12.6</v>
      </c>
      <c r="BF53" s="166">
        <v>-12.3</v>
      </c>
      <c r="BG53" s="166">
        <v>62.085799999999999</v>
      </c>
      <c r="BH53" s="166">
        <v>61.966500000000003</v>
      </c>
      <c r="BI53" s="166">
        <v>-5.7503000000000002</v>
      </c>
      <c r="BJ53" s="167"/>
      <c r="BK53" s="166">
        <v>-47.535499999999999</v>
      </c>
      <c r="BL53" s="166">
        <v>7.7774000000000001</v>
      </c>
      <c r="BM53" s="166">
        <v>11.1082</v>
      </c>
      <c r="BN53" s="166">
        <v>7.5157999999999996</v>
      </c>
      <c r="BO53" s="166">
        <v>503.6773</v>
      </c>
      <c r="BP53" s="166">
        <v>148.50299999999999</v>
      </c>
      <c r="BQ53" s="166">
        <v>148.381</v>
      </c>
      <c r="BR53" s="166">
        <v>-514.71500000000003</v>
      </c>
      <c r="BS53" s="166">
        <v>541.01170000000002</v>
      </c>
      <c r="BT53" s="167"/>
      <c r="BU53" s="166">
        <v>-56.314500000000002</v>
      </c>
      <c r="BV53" s="166">
        <v>58.661499999999997</v>
      </c>
      <c r="BW53" s="166">
        <v>107.9987</v>
      </c>
      <c r="BX53" s="166">
        <v>31.83</v>
      </c>
      <c r="BY53" s="166">
        <v>36.090000000000003</v>
      </c>
      <c r="BZ53" s="166">
        <v>73.12</v>
      </c>
      <c r="CA53" s="166">
        <v>94.04</v>
      </c>
      <c r="CB53" s="166">
        <v>-47.550600000000003</v>
      </c>
      <c r="CC53" s="166">
        <v>-47.550600000000003</v>
      </c>
      <c r="CD53" s="166">
        <v>108.88979999999999</v>
      </c>
      <c r="CE53" s="166">
        <v>110.1498</v>
      </c>
      <c r="CF53" s="166">
        <v>23.8367</v>
      </c>
      <c r="CG53" s="166">
        <v>-150.57339999999999</v>
      </c>
      <c r="CH53" s="166">
        <v>-149.14920000000001</v>
      </c>
      <c r="CI53" s="166">
        <v>1.4029</v>
      </c>
      <c r="CJ53" s="166">
        <v>0</v>
      </c>
      <c r="CK53" s="167"/>
      <c r="CL53" s="168">
        <v>28.4985</v>
      </c>
      <c r="CM53" s="166">
        <v>132.69999999999999</v>
      </c>
      <c r="CN53" s="166">
        <v>119.6</v>
      </c>
      <c r="CO53" s="166">
        <v>-17.940000000000001</v>
      </c>
      <c r="CP53" s="166">
        <v>65.544899999999998</v>
      </c>
      <c r="CQ53" s="166">
        <v>63.832500000000003</v>
      </c>
      <c r="CR53" s="166">
        <v>63.793500000000002</v>
      </c>
      <c r="CS53" s="166">
        <v>1.2827999999999999</v>
      </c>
      <c r="CT53" s="166">
        <v>1.7943</v>
      </c>
      <c r="CU53" s="166">
        <v>30.040800000000001</v>
      </c>
      <c r="CV53" s="166">
        <v>-88.704400000000007</v>
      </c>
      <c r="CW53" s="166">
        <v>36.997399999999999</v>
      </c>
      <c r="CX53" s="166">
        <v>17.6736</v>
      </c>
      <c r="CY53" s="166">
        <v>76.81</v>
      </c>
      <c r="CZ53" s="166">
        <v>40.659999999999997</v>
      </c>
      <c r="DA53" s="166">
        <v>48.288600000000002</v>
      </c>
      <c r="DB53" s="166">
        <v>45.414700000000003</v>
      </c>
      <c r="DC53" s="166">
        <v>-35.397300000000001</v>
      </c>
      <c r="DD53" s="167"/>
      <c r="DE53" s="167"/>
      <c r="DF53" s="166">
        <v>0</v>
      </c>
      <c r="DG53" s="166">
        <v>-103.9879</v>
      </c>
      <c r="DH53" s="167"/>
      <c r="DI53" s="167"/>
      <c r="DJ53" s="166">
        <v>-106.4</v>
      </c>
      <c r="DK53" s="166">
        <v>-106.1</v>
      </c>
      <c r="DL53" s="166">
        <v>21.497499999999999</v>
      </c>
      <c r="DM53" s="166">
        <v>52.3</v>
      </c>
      <c r="DN53" s="166">
        <v>64.319999999999993</v>
      </c>
      <c r="DO53" s="166">
        <v>70.959999999999994</v>
      </c>
      <c r="DP53" s="166">
        <v>51.87</v>
      </c>
      <c r="DQ53" s="166">
        <v>-8.42</v>
      </c>
      <c r="DR53" s="166">
        <v>69.362499999999997</v>
      </c>
      <c r="DS53" s="166">
        <v>104.11839999999999</v>
      </c>
      <c r="DT53" s="166">
        <v>-23.05</v>
      </c>
      <c r="DU53" s="166">
        <v>-23.34</v>
      </c>
      <c r="DV53" s="166">
        <v>113.35</v>
      </c>
      <c r="DW53" s="166">
        <v>71.709999999999994</v>
      </c>
      <c r="DX53" s="166">
        <v>104.4909</v>
      </c>
      <c r="DY53" s="166">
        <v>102.9455</v>
      </c>
      <c r="DZ53" s="166">
        <v>-15.980700000000001</v>
      </c>
      <c r="EA53" s="166">
        <v>-16.2636</v>
      </c>
      <c r="EB53" s="166">
        <v>224.542</v>
      </c>
      <c r="EC53" s="166">
        <v>173.8904</v>
      </c>
      <c r="ED53" s="166">
        <v>167.3013</v>
      </c>
      <c r="EE53" s="166">
        <v>169.3486</v>
      </c>
      <c r="EF53" s="166">
        <v>93.139099999999999</v>
      </c>
      <c r="EG53" s="166">
        <v>68.221500000000006</v>
      </c>
      <c r="EH53" s="166">
        <v>-30.927</v>
      </c>
      <c r="EI53" s="166">
        <v>523.88710000000003</v>
      </c>
      <c r="EJ53" s="166">
        <v>405.38740000000001</v>
      </c>
      <c r="EK53" s="167"/>
      <c r="EL53" s="166">
        <v>-28.545400000000001</v>
      </c>
      <c r="EM53" s="166">
        <v>-26.616099999999999</v>
      </c>
      <c r="EN53" s="167"/>
      <c r="EO53" s="166">
        <v>26.087</v>
      </c>
      <c r="EP53" s="166">
        <v>24.0838</v>
      </c>
      <c r="EQ53" s="166">
        <v>43.055999999999997</v>
      </c>
      <c r="ER53" s="166">
        <v>-58.861199999999997</v>
      </c>
      <c r="ES53" s="166">
        <v>-59.658200000000001</v>
      </c>
      <c r="ET53" s="166">
        <v>-25.868099999999998</v>
      </c>
      <c r="EU53" s="166">
        <v>0</v>
      </c>
      <c r="EV53" s="166">
        <v>-17.09</v>
      </c>
      <c r="EW53" s="167"/>
      <c r="EX53" s="166">
        <v>9.9098000000000006</v>
      </c>
      <c r="EY53" s="166">
        <v>8.7401</v>
      </c>
      <c r="EZ53" s="166">
        <v>-40.041800000000002</v>
      </c>
      <c r="FA53" s="166">
        <v>-39.547800000000002</v>
      </c>
      <c r="FB53" s="166">
        <v>6.9489000000000001</v>
      </c>
      <c r="FC53" s="166">
        <v>-65.229399999999998</v>
      </c>
      <c r="FD53" s="166">
        <v>30.134599999999999</v>
      </c>
      <c r="FE53" s="166">
        <v>25.782900000000001</v>
      </c>
      <c r="FF53" s="166">
        <v>25.315300000000001</v>
      </c>
      <c r="FG53" s="167"/>
      <c r="FH53" s="166">
        <v>41.078400000000002</v>
      </c>
      <c r="FI53" s="166">
        <v>41.117600000000003</v>
      </c>
      <c r="FJ53" s="166">
        <v>40.372900000000001</v>
      </c>
      <c r="FK53" s="166">
        <v>47.222700000000003</v>
      </c>
      <c r="FL53" s="166">
        <v>46.552900000000001</v>
      </c>
      <c r="FM53" s="166">
        <v>-29.1374</v>
      </c>
      <c r="FN53" s="166">
        <v>18.127500000000001</v>
      </c>
      <c r="FO53" s="166">
        <v>18.1007</v>
      </c>
      <c r="FP53" s="166">
        <v>-34.027299999999997</v>
      </c>
      <c r="FQ53" s="166">
        <v>-23.717300000000002</v>
      </c>
      <c r="FR53" s="166">
        <v>-4.3121999999999998</v>
      </c>
      <c r="FS53" s="166">
        <v>-20.45</v>
      </c>
      <c r="FT53" s="167"/>
      <c r="FU53" s="166">
        <v>1.3028</v>
      </c>
      <c r="FV53" s="166">
        <v>1.37</v>
      </c>
      <c r="FW53" s="166">
        <v>19.329999999999998</v>
      </c>
      <c r="FX53" s="166">
        <v>0</v>
      </c>
      <c r="FY53" s="166">
        <v>6.7751999999999999</v>
      </c>
      <c r="FZ53" s="166">
        <v>-8.577</v>
      </c>
      <c r="GA53" s="166">
        <v>4.2160000000000002</v>
      </c>
      <c r="GB53" s="167"/>
      <c r="GC53" s="166">
        <v>33.35</v>
      </c>
      <c r="GD53" s="166">
        <v>24.774799999999999</v>
      </c>
      <c r="GE53" s="166">
        <v>32.6252</v>
      </c>
      <c r="GF53" s="166">
        <v>15.75</v>
      </c>
      <c r="GG53" s="166">
        <v>77.236699999999999</v>
      </c>
      <c r="GH53" s="166">
        <v>26.9</v>
      </c>
      <c r="GI53" s="166">
        <v>-7.0782999999999996</v>
      </c>
      <c r="GJ53" s="166">
        <v>-5.7851999999999997</v>
      </c>
      <c r="GK53" s="166">
        <v>-6.1135000000000002</v>
      </c>
      <c r="GL53" s="166">
        <v>2.3956</v>
      </c>
      <c r="GM53" s="167"/>
      <c r="GN53" s="167"/>
      <c r="GO53" s="166">
        <v>-19.396899999999999</v>
      </c>
      <c r="GP53" s="166">
        <v>-23.742999999999999</v>
      </c>
      <c r="GQ53" s="166">
        <v>13.169</v>
      </c>
      <c r="GR53" s="166">
        <v>25.060199999999998</v>
      </c>
      <c r="GS53" s="166">
        <v>11.3996</v>
      </c>
      <c r="GT53" s="166">
        <v>12.3535</v>
      </c>
      <c r="GU53" s="166">
        <v>-107.7377</v>
      </c>
      <c r="GV53" s="166">
        <v>-24.4693</v>
      </c>
      <c r="GW53" s="166">
        <v>23.7469</v>
      </c>
      <c r="GX53" s="166">
        <v>-33.745899999999999</v>
      </c>
      <c r="GY53" s="166">
        <v>3.4782000000000002</v>
      </c>
      <c r="GZ53" s="166">
        <v>13.459899999999999</v>
      </c>
      <c r="HA53" s="166">
        <v>13.017899999999999</v>
      </c>
      <c r="HB53" s="166">
        <v>5.0824999999999996</v>
      </c>
      <c r="HC53" s="166">
        <v>166.02600000000001</v>
      </c>
      <c r="HD53" s="166">
        <v>165.92060000000001</v>
      </c>
      <c r="HE53" s="166">
        <v>276.2</v>
      </c>
      <c r="HF53" s="166">
        <v>-273.65750000000003</v>
      </c>
      <c r="HG53" s="166">
        <v>-573.55880000000002</v>
      </c>
      <c r="HH53" s="166">
        <v>572.24789999999996</v>
      </c>
      <c r="HI53" s="166">
        <v>609.37549999999999</v>
      </c>
      <c r="HJ53" s="166">
        <v>-159.33179999999999</v>
      </c>
      <c r="HK53" s="166">
        <v>-158.7953</v>
      </c>
      <c r="HL53" s="166">
        <v>-53.945700000000002</v>
      </c>
      <c r="HM53" s="166">
        <v>-45.396599999999999</v>
      </c>
      <c r="HN53" s="166">
        <v>81.174400000000006</v>
      </c>
      <c r="HO53" s="166">
        <v>81.103999999999999</v>
      </c>
      <c r="HP53" s="167"/>
      <c r="HQ53" s="167"/>
      <c r="HR53" s="166">
        <v>38.752099999999999</v>
      </c>
      <c r="HS53" s="166">
        <v>38.565300000000001</v>
      </c>
      <c r="HT53" s="166">
        <v>-63.945099999999996</v>
      </c>
      <c r="HU53" s="166">
        <v>-64.059899999999999</v>
      </c>
      <c r="HV53" s="166">
        <v>82.72</v>
      </c>
      <c r="HW53" s="166">
        <v>82.46</v>
      </c>
      <c r="HX53" s="166">
        <v>45.6</v>
      </c>
      <c r="HY53" s="166">
        <v>44.3</v>
      </c>
      <c r="HZ53" s="166">
        <v>20.611699999999999</v>
      </c>
      <c r="IA53" s="166">
        <v>39.36</v>
      </c>
      <c r="IB53" s="166">
        <v>-402.8492</v>
      </c>
      <c r="IC53" s="167"/>
      <c r="ID53" s="167"/>
      <c r="IE53" s="166">
        <v>14.5</v>
      </c>
      <c r="IF53" s="166">
        <v>6.4</v>
      </c>
      <c r="IG53" s="166">
        <v>-36.6</v>
      </c>
      <c r="IH53" s="166">
        <v>-44.1</v>
      </c>
      <c r="II53" s="167"/>
      <c r="IJ53" s="167"/>
      <c r="IK53" s="166">
        <v>-592.80139999999994</v>
      </c>
      <c r="IL53" s="166">
        <v>-369.8279</v>
      </c>
      <c r="IM53" s="166">
        <v>502.78550000000001</v>
      </c>
      <c r="IN53" s="166">
        <v>405.60890000000001</v>
      </c>
      <c r="IO53" s="166">
        <v>-18.660299999999999</v>
      </c>
      <c r="IP53" s="166">
        <v>-402.14170000000001</v>
      </c>
      <c r="IQ53" s="166">
        <v>404.43470000000002</v>
      </c>
      <c r="IR53" s="166">
        <v>-189.0033</v>
      </c>
      <c r="IS53" s="166">
        <v>-246.7672</v>
      </c>
      <c r="IT53" s="166">
        <v>-398.65499999999997</v>
      </c>
      <c r="IU53" s="166">
        <v>98.2791</v>
      </c>
      <c r="IV53" s="166">
        <v>96.803700000000006</v>
      </c>
      <c r="IW53" s="166">
        <v>189.48310000000001</v>
      </c>
      <c r="IX53" s="166">
        <v>-494.26929999999999</v>
      </c>
      <c r="IY53" s="166">
        <v>257.43020000000001</v>
      </c>
      <c r="IZ53" s="166">
        <v>-242.4434</v>
      </c>
      <c r="JA53" s="166">
        <v>240.79990000000001</v>
      </c>
      <c r="JB53" s="166">
        <v>-9.9387000000000008</v>
      </c>
      <c r="JC53" s="166">
        <v>24.154</v>
      </c>
      <c r="JD53" s="166">
        <v>23.12</v>
      </c>
      <c r="JE53" s="166">
        <v>0.77700000000000002</v>
      </c>
      <c r="JF53" s="166">
        <v>0.76600000000000001</v>
      </c>
      <c r="JG53" s="166">
        <v>-22.08</v>
      </c>
      <c r="JH53" s="166">
        <v>-1.28</v>
      </c>
      <c r="JI53" s="167"/>
      <c r="JJ53" s="166">
        <v>1.3778999999999999</v>
      </c>
      <c r="JK53" s="166">
        <v>-33.7209</v>
      </c>
      <c r="JL53" s="166">
        <v>-19.160799999999998</v>
      </c>
      <c r="JM53" s="166">
        <v>21.6</v>
      </c>
      <c r="JN53" s="166">
        <v>56.069000000000003</v>
      </c>
      <c r="JO53" s="166">
        <v>54.826000000000001</v>
      </c>
      <c r="JP53" s="167"/>
      <c r="JQ53" s="167"/>
      <c r="JR53" s="166">
        <v>52.068600000000004</v>
      </c>
      <c r="JS53" s="166">
        <v>51.699399999999997</v>
      </c>
      <c r="JT53" s="166">
        <v>52.236800000000002</v>
      </c>
      <c r="JU53" s="167"/>
      <c r="JV53" s="166">
        <v>-7.2</v>
      </c>
      <c r="JW53" s="166">
        <v>34.2928</v>
      </c>
      <c r="JX53" s="166">
        <v>8.83</v>
      </c>
      <c r="JY53" s="167"/>
      <c r="JZ53" s="166">
        <v>-42.400199999999998</v>
      </c>
      <c r="KA53" s="166">
        <v>79.704499999999996</v>
      </c>
      <c r="KB53" s="166">
        <v>55.683900000000001</v>
      </c>
      <c r="KC53" s="166">
        <v>-41.325800000000001</v>
      </c>
      <c r="KD53" s="166">
        <v>-77.762200000000007</v>
      </c>
      <c r="KE53" s="166">
        <v>43.401400000000002</v>
      </c>
      <c r="KF53" s="166">
        <v>32.683500000000002</v>
      </c>
      <c r="KG53" s="166">
        <v>-7.1</v>
      </c>
      <c r="KH53" s="166">
        <v>8</v>
      </c>
      <c r="KI53" s="166">
        <v>34.315100000000001</v>
      </c>
      <c r="KJ53" s="166">
        <v>147.94730000000001</v>
      </c>
    </row>
    <row r="54" spans="1:296" ht="18" customHeight="1" x14ac:dyDescent="0.3">
      <c r="A54" s="162" t="s">
        <v>67</v>
      </c>
      <c r="B54" s="162" t="s">
        <v>853</v>
      </c>
      <c r="C54" s="166">
        <v>0</v>
      </c>
      <c r="D54" s="167"/>
      <c r="E54" s="166">
        <v>18.6936</v>
      </c>
      <c r="F54" s="166">
        <v>-27.030999999999999</v>
      </c>
      <c r="G54" s="166">
        <v>11.1243</v>
      </c>
      <c r="H54" s="166">
        <v>30.2926</v>
      </c>
      <c r="I54" s="167"/>
      <c r="J54" s="166">
        <v>45.387500000000003</v>
      </c>
      <c r="K54" s="166">
        <v>-121.1721</v>
      </c>
      <c r="L54" s="166">
        <v>60.7883</v>
      </c>
      <c r="M54" s="166">
        <v>30.831099999999999</v>
      </c>
      <c r="N54" s="166">
        <v>30.192399999999999</v>
      </c>
      <c r="O54" s="166">
        <v>-19.98</v>
      </c>
      <c r="P54" s="166">
        <v>-49.098999999999997</v>
      </c>
      <c r="Q54" s="166">
        <v>44</v>
      </c>
      <c r="R54" s="166">
        <v>10.763999999999999</v>
      </c>
      <c r="S54" s="166">
        <v>-44</v>
      </c>
      <c r="T54" s="166">
        <v>15.1454</v>
      </c>
      <c r="U54" s="166">
        <v>74.242000000000004</v>
      </c>
      <c r="V54" s="166">
        <v>8.8887</v>
      </c>
      <c r="W54" s="166">
        <v>9.0030000000000001</v>
      </c>
      <c r="X54" s="166">
        <v>14.7636</v>
      </c>
      <c r="Y54" s="166">
        <v>1.5408999999999999</v>
      </c>
      <c r="Z54" s="166">
        <v>0.24490000000000001</v>
      </c>
      <c r="AA54" s="166">
        <v>1.1248</v>
      </c>
      <c r="AB54" s="167"/>
      <c r="AC54" s="167"/>
      <c r="AD54" s="166">
        <v>-74.83</v>
      </c>
      <c r="AE54" s="166">
        <v>-74.790000000000006</v>
      </c>
      <c r="AF54" s="167"/>
      <c r="AG54" s="166">
        <v>19.98</v>
      </c>
      <c r="AH54" s="166">
        <v>48.4</v>
      </c>
      <c r="AI54" s="166">
        <v>24.79</v>
      </c>
      <c r="AJ54" s="166">
        <v>0.28599999999999998</v>
      </c>
      <c r="AK54" s="166">
        <v>-78.319999999999993</v>
      </c>
      <c r="AL54" s="166">
        <v>-79.540000000000006</v>
      </c>
      <c r="AM54" s="166">
        <v>-37.950000000000003</v>
      </c>
      <c r="AN54" s="166">
        <v>80.58</v>
      </c>
      <c r="AO54" s="166">
        <v>80.38</v>
      </c>
      <c r="AP54" s="166">
        <v>17.097200000000001</v>
      </c>
      <c r="AQ54" s="166">
        <v>0.55489999999999995</v>
      </c>
      <c r="AR54" s="166">
        <v>69.302400000000006</v>
      </c>
      <c r="AS54" s="166">
        <v>71.050799999999995</v>
      </c>
      <c r="AT54" s="166">
        <v>47.335000000000001</v>
      </c>
      <c r="AU54" s="166">
        <v>-65.3583</v>
      </c>
      <c r="AV54" s="166">
        <v>-65.320899999999995</v>
      </c>
      <c r="AW54" s="166">
        <v>7.7088999999999999</v>
      </c>
      <c r="AX54" s="166">
        <v>7.7674000000000003</v>
      </c>
      <c r="AY54" s="166">
        <v>82.753100000000003</v>
      </c>
      <c r="AZ54" s="166">
        <v>84.3904</v>
      </c>
      <c r="BA54" s="166">
        <v>9.7248999999999999</v>
      </c>
      <c r="BB54" s="166">
        <v>9.2524999999999995</v>
      </c>
      <c r="BC54" s="166">
        <v>-500.38200000000001</v>
      </c>
      <c r="BD54" s="166">
        <v>-15.9544</v>
      </c>
      <c r="BE54" s="166">
        <v>-11.7</v>
      </c>
      <c r="BF54" s="166">
        <v>-11.8</v>
      </c>
      <c r="BG54" s="166">
        <v>71.721900000000005</v>
      </c>
      <c r="BH54" s="166">
        <v>70.701400000000007</v>
      </c>
      <c r="BI54" s="166">
        <v>-5.1276999999999999</v>
      </c>
      <c r="BJ54" s="167"/>
      <c r="BK54" s="166">
        <v>-63.714500000000001</v>
      </c>
      <c r="BL54" s="166">
        <v>7.6647999999999996</v>
      </c>
      <c r="BM54" s="166">
        <v>10.9002</v>
      </c>
      <c r="BN54" s="166">
        <v>7.4386999999999999</v>
      </c>
      <c r="BO54" s="166">
        <v>544.41949999999997</v>
      </c>
      <c r="BP54" s="166">
        <v>128.9101</v>
      </c>
      <c r="BQ54" s="166">
        <v>130.00880000000001</v>
      </c>
      <c r="BR54" s="166">
        <v>-529.34439999999995</v>
      </c>
      <c r="BS54" s="166">
        <v>531.16399999999999</v>
      </c>
      <c r="BT54" s="167"/>
      <c r="BU54" s="166">
        <v>-89.2804</v>
      </c>
      <c r="BV54" s="166">
        <v>91.605199999999996</v>
      </c>
      <c r="BW54" s="166">
        <v>101.7415</v>
      </c>
      <c r="BX54" s="166">
        <v>30.39</v>
      </c>
      <c r="BY54" s="166">
        <v>33.799999999999997</v>
      </c>
      <c r="BZ54" s="166">
        <v>68.73</v>
      </c>
      <c r="CA54" s="166">
        <v>90.22</v>
      </c>
      <c r="CB54" s="166">
        <v>-40.182899999999997</v>
      </c>
      <c r="CC54" s="166">
        <v>-40.450899999999997</v>
      </c>
      <c r="CD54" s="166">
        <v>100.3586</v>
      </c>
      <c r="CE54" s="166">
        <v>101.4794</v>
      </c>
      <c r="CF54" s="166">
        <v>25.282399999999999</v>
      </c>
      <c r="CG54" s="166">
        <v>-132.7963</v>
      </c>
      <c r="CH54" s="166">
        <v>-132.21799999999999</v>
      </c>
      <c r="CI54" s="166">
        <v>4.2553000000000001</v>
      </c>
      <c r="CJ54" s="166">
        <v>0</v>
      </c>
      <c r="CK54" s="167"/>
      <c r="CL54" s="166">
        <v>28.393000000000001</v>
      </c>
      <c r="CM54" s="166">
        <v>126.4</v>
      </c>
      <c r="CN54" s="166">
        <v>113.7</v>
      </c>
      <c r="CO54" s="166">
        <v>-17.46</v>
      </c>
      <c r="CP54" s="166">
        <v>66.141099999999994</v>
      </c>
      <c r="CQ54" s="166">
        <v>64.408699999999996</v>
      </c>
      <c r="CR54" s="166">
        <v>64.414400000000001</v>
      </c>
      <c r="CS54" s="166">
        <v>-1.2370000000000001</v>
      </c>
      <c r="CT54" s="166">
        <v>-1.3640000000000001</v>
      </c>
      <c r="CU54" s="166">
        <v>20.880600000000001</v>
      </c>
      <c r="CV54" s="166">
        <v>-73.128699999999995</v>
      </c>
      <c r="CW54" s="166">
        <v>26.543299999999999</v>
      </c>
      <c r="CX54" s="166">
        <v>16.642299999999999</v>
      </c>
      <c r="CY54" s="166">
        <v>68.790000000000006</v>
      </c>
      <c r="CZ54" s="166">
        <v>37.17</v>
      </c>
      <c r="DA54" s="166">
        <v>45.7104</v>
      </c>
      <c r="DB54" s="166">
        <v>43.6569</v>
      </c>
      <c r="DC54" s="166">
        <v>-34.223599999999998</v>
      </c>
      <c r="DD54" s="167"/>
      <c r="DE54" s="167"/>
      <c r="DF54" s="166">
        <v>0</v>
      </c>
      <c r="DG54" s="166">
        <v>-110.50539999999999</v>
      </c>
      <c r="DH54" s="167"/>
      <c r="DI54" s="167"/>
      <c r="DJ54" s="166">
        <v>-99.2</v>
      </c>
      <c r="DK54" s="166">
        <v>-99.3</v>
      </c>
      <c r="DL54" s="166">
        <v>21.217300000000002</v>
      </c>
      <c r="DM54" s="166">
        <v>48.6</v>
      </c>
      <c r="DN54" s="166">
        <v>60.02</v>
      </c>
      <c r="DO54" s="166">
        <v>66.38</v>
      </c>
      <c r="DP54" s="166">
        <v>48.22</v>
      </c>
      <c r="DQ54" s="166">
        <v>-7.56</v>
      </c>
      <c r="DR54" s="166">
        <v>67.858999999999995</v>
      </c>
      <c r="DS54" s="166">
        <v>108.6437</v>
      </c>
      <c r="DT54" s="166">
        <v>-25.66</v>
      </c>
      <c r="DU54" s="166">
        <v>-25.96</v>
      </c>
      <c r="DV54" s="166">
        <v>111.81</v>
      </c>
      <c r="DW54" s="166">
        <v>67.25</v>
      </c>
      <c r="DX54" s="166">
        <v>109.25449999999999</v>
      </c>
      <c r="DY54" s="166">
        <v>107.0545</v>
      </c>
      <c r="DZ54" s="166">
        <v>-12.904400000000001</v>
      </c>
      <c r="EA54" s="166">
        <v>-13.3</v>
      </c>
      <c r="EB54" s="166">
        <v>220.61089999999999</v>
      </c>
      <c r="EC54" s="166">
        <v>172.26759999999999</v>
      </c>
      <c r="ED54" s="166">
        <v>165.71459999999999</v>
      </c>
      <c r="EE54" s="166">
        <v>168.315</v>
      </c>
      <c r="EF54" s="166">
        <v>114.85980000000001</v>
      </c>
      <c r="EG54" s="166">
        <v>90.840199999999996</v>
      </c>
      <c r="EH54" s="166">
        <v>-28.385000000000002</v>
      </c>
      <c r="EI54" s="166">
        <v>541.84829999999999</v>
      </c>
      <c r="EJ54" s="166">
        <v>409.11110000000002</v>
      </c>
      <c r="EK54" s="167"/>
      <c r="EL54" s="166">
        <v>-27.421399999999998</v>
      </c>
      <c r="EM54" s="166">
        <v>-25.831199999999999</v>
      </c>
      <c r="EN54" s="167"/>
      <c r="EO54" s="166">
        <v>13.603300000000001</v>
      </c>
      <c r="EP54" s="166">
        <v>13.102499999999999</v>
      </c>
      <c r="EQ54" s="166">
        <v>150.58799999999999</v>
      </c>
      <c r="ER54" s="166">
        <v>-72.141099999999994</v>
      </c>
      <c r="ES54" s="166">
        <v>-72.776399999999995</v>
      </c>
      <c r="ET54" s="166">
        <v>-53.970500000000001</v>
      </c>
      <c r="EU54" s="166">
        <v>0</v>
      </c>
      <c r="EV54" s="166">
        <v>-17.22</v>
      </c>
      <c r="EW54" s="166">
        <v>96.4</v>
      </c>
      <c r="EX54" s="166">
        <v>8.8983000000000008</v>
      </c>
      <c r="EY54" s="166">
        <v>-10.849600000000001</v>
      </c>
      <c r="EZ54" s="166">
        <v>-38.847799999999999</v>
      </c>
      <c r="FA54" s="166">
        <v>-38.229399999999998</v>
      </c>
      <c r="FB54" s="166">
        <v>7.0476999999999999</v>
      </c>
      <c r="FC54" s="166">
        <v>-90.184399999999997</v>
      </c>
      <c r="FD54" s="166">
        <v>58.320799999999998</v>
      </c>
      <c r="FE54" s="166">
        <v>24.612100000000002</v>
      </c>
      <c r="FF54" s="166">
        <v>24.0609</v>
      </c>
      <c r="FG54" s="167"/>
      <c r="FH54" s="166">
        <v>41.287799999999997</v>
      </c>
      <c r="FI54" s="166">
        <v>40.225099999999998</v>
      </c>
      <c r="FJ54" s="166">
        <v>40.213799999999999</v>
      </c>
      <c r="FK54" s="166">
        <v>40.356999999999999</v>
      </c>
      <c r="FL54" s="166">
        <v>40.189500000000002</v>
      </c>
      <c r="FM54" s="166">
        <v>-31.4818</v>
      </c>
      <c r="FN54" s="166">
        <v>15.171900000000001</v>
      </c>
      <c r="FO54" s="166">
        <v>15.2967</v>
      </c>
      <c r="FP54" s="166">
        <v>-33.4876</v>
      </c>
      <c r="FQ54" s="166">
        <v>-22.907399999999999</v>
      </c>
      <c r="FR54" s="166">
        <v>-4.3121999999999998</v>
      </c>
      <c r="FS54" s="166">
        <v>-20.87</v>
      </c>
      <c r="FT54" s="167"/>
      <c r="FU54" s="166">
        <v>1.2088000000000001</v>
      </c>
      <c r="FV54" s="166">
        <v>1.34</v>
      </c>
      <c r="FW54" s="166">
        <v>20.2</v>
      </c>
      <c r="FX54" s="166">
        <v>0</v>
      </c>
      <c r="FY54" s="167"/>
      <c r="FZ54" s="166">
        <v>-8.9649999999999999</v>
      </c>
      <c r="GA54" s="166">
        <v>3.9460000000000002</v>
      </c>
      <c r="GB54" s="167"/>
      <c r="GC54" s="166">
        <v>32.270000000000003</v>
      </c>
      <c r="GD54" s="166">
        <v>23.453099999999999</v>
      </c>
      <c r="GE54" s="166">
        <v>32.521500000000003</v>
      </c>
      <c r="GF54" s="166">
        <v>15.47</v>
      </c>
      <c r="GG54" s="166">
        <v>73.790700000000001</v>
      </c>
      <c r="GH54" s="166">
        <v>31.7</v>
      </c>
      <c r="GI54" s="166">
        <v>-7.3642000000000003</v>
      </c>
      <c r="GJ54" s="166">
        <v>-4.8678999999999997</v>
      </c>
      <c r="GK54" s="166">
        <v>-5.2591000000000001</v>
      </c>
      <c r="GL54" s="166">
        <v>2.1703999999999999</v>
      </c>
      <c r="GM54" s="167"/>
      <c r="GN54" s="167"/>
      <c r="GO54" s="166">
        <v>-17.694700000000001</v>
      </c>
      <c r="GP54" s="166">
        <v>-21.2972</v>
      </c>
      <c r="GQ54" s="166">
        <v>11.926</v>
      </c>
      <c r="GR54" s="166">
        <v>22.622900000000001</v>
      </c>
      <c r="GS54" s="166">
        <v>11.8643</v>
      </c>
      <c r="GT54" s="166">
        <v>14.7402</v>
      </c>
      <c r="GU54" s="166">
        <v>-106.7722</v>
      </c>
      <c r="GV54" s="166">
        <v>-22.7256</v>
      </c>
      <c r="GW54" s="166">
        <v>22.541899999999998</v>
      </c>
      <c r="GX54" s="166">
        <v>-28.620799999999999</v>
      </c>
      <c r="GY54" s="166">
        <v>4.0323000000000002</v>
      </c>
      <c r="GZ54" s="166">
        <v>11.614100000000001</v>
      </c>
      <c r="HA54" s="166">
        <v>11.3409</v>
      </c>
      <c r="HB54" s="166">
        <v>5.4036999999999997</v>
      </c>
      <c r="HC54" s="166">
        <v>153.83099999999999</v>
      </c>
      <c r="HD54" s="166">
        <v>152.75059999999999</v>
      </c>
      <c r="HE54" s="166">
        <v>225</v>
      </c>
      <c r="HF54" s="166">
        <v>-223.27590000000001</v>
      </c>
      <c r="HG54" s="166">
        <v>-504.44639999999998</v>
      </c>
      <c r="HH54" s="166">
        <v>504.07920000000001</v>
      </c>
      <c r="HI54" s="166">
        <v>571.2079</v>
      </c>
      <c r="HJ54" s="166">
        <v>-146.22210000000001</v>
      </c>
      <c r="HK54" s="166">
        <v>-145.18029999999999</v>
      </c>
      <c r="HL54" s="166">
        <v>-58.767800000000001</v>
      </c>
      <c r="HM54" s="166">
        <v>-50.949399999999997</v>
      </c>
      <c r="HN54" s="166">
        <v>79.435000000000002</v>
      </c>
      <c r="HO54" s="166">
        <v>78.852699999999999</v>
      </c>
      <c r="HP54" s="167"/>
      <c r="HQ54" s="166">
        <v>-109.5073</v>
      </c>
      <c r="HR54" s="166">
        <v>38.598300000000002</v>
      </c>
      <c r="HS54" s="166">
        <v>38.653199999999998</v>
      </c>
      <c r="HT54" s="166">
        <v>-57.164700000000003</v>
      </c>
      <c r="HU54" s="166">
        <v>-57.7376</v>
      </c>
      <c r="HV54" s="166">
        <v>74.38</v>
      </c>
      <c r="HW54" s="166">
        <v>73.66</v>
      </c>
      <c r="HX54" s="166">
        <v>41.4</v>
      </c>
      <c r="HY54" s="166">
        <v>41.3</v>
      </c>
      <c r="HZ54" s="166">
        <v>20.714300000000001</v>
      </c>
      <c r="IA54" s="166">
        <v>37.28</v>
      </c>
      <c r="IB54" s="166">
        <v>-389.22800000000001</v>
      </c>
      <c r="IC54" s="167"/>
      <c r="ID54" s="167"/>
      <c r="IE54" s="166">
        <v>13.9</v>
      </c>
      <c r="IF54" s="166">
        <v>2.8</v>
      </c>
      <c r="IG54" s="166">
        <v>-37</v>
      </c>
      <c r="IH54" s="166">
        <v>-45.3</v>
      </c>
      <c r="II54" s="167"/>
      <c r="IJ54" s="167"/>
      <c r="IK54" s="166">
        <v>-556.14620000000002</v>
      </c>
      <c r="IL54" s="166">
        <v>-376.7792</v>
      </c>
      <c r="IM54" s="166">
        <v>457.98970000000003</v>
      </c>
      <c r="IN54" s="166">
        <v>376.83859999999999</v>
      </c>
      <c r="IO54" s="166">
        <v>-35.322800000000001</v>
      </c>
      <c r="IP54" s="166">
        <v>-365.06529999999998</v>
      </c>
      <c r="IQ54" s="166">
        <v>364.6739</v>
      </c>
      <c r="IR54" s="166">
        <v>-188.84620000000001</v>
      </c>
      <c r="IS54" s="166">
        <v>-229.2088</v>
      </c>
      <c r="IT54" s="166">
        <v>-356.86590000000001</v>
      </c>
      <c r="IU54" s="166">
        <v>77.603099999999998</v>
      </c>
      <c r="IV54" s="166">
        <v>80.297899999999998</v>
      </c>
      <c r="IW54" s="166">
        <v>193.7713</v>
      </c>
      <c r="IX54" s="166">
        <v>-444.2842</v>
      </c>
      <c r="IY54" s="166">
        <v>235.5795</v>
      </c>
      <c r="IZ54" s="166">
        <v>-213.37819999999999</v>
      </c>
      <c r="JA54" s="166">
        <v>213.49340000000001</v>
      </c>
      <c r="JB54" s="166">
        <v>-10.257300000000001</v>
      </c>
      <c r="JC54" s="166">
        <v>24.068000000000001</v>
      </c>
      <c r="JD54" s="166">
        <v>22.16</v>
      </c>
      <c r="JE54" s="166">
        <v>1.018</v>
      </c>
      <c r="JF54" s="166">
        <v>1.0129999999999999</v>
      </c>
      <c r="JG54" s="166">
        <v>-21.36</v>
      </c>
      <c r="JH54" s="166">
        <v>-1.6</v>
      </c>
      <c r="JI54" s="167"/>
      <c r="JJ54" s="166">
        <v>1.9944</v>
      </c>
      <c r="JK54" s="166">
        <v>-34.981299999999997</v>
      </c>
      <c r="JL54" s="166">
        <v>-20.2441</v>
      </c>
      <c r="JM54" s="166">
        <v>23.8</v>
      </c>
      <c r="JN54" s="166">
        <v>53.726999999999997</v>
      </c>
      <c r="JO54" s="166">
        <v>52.238999999999997</v>
      </c>
      <c r="JP54" s="166">
        <v>0</v>
      </c>
      <c r="JQ54" s="167"/>
      <c r="JR54" s="166">
        <v>51.537199999999999</v>
      </c>
      <c r="JS54" s="166">
        <v>51.012</v>
      </c>
      <c r="JT54" s="166">
        <v>51.2943</v>
      </c>
      <c r="JU54" s="167"/>
      <c r="JV54" s="166">
        <v>-0.9</v>
      </c>
      <c r="JW54" s="166">
        <v>34.511600000000001</v>
      </c>
      <c r="JX54" s="166">
        <v>8.06</v>
      </c>
      <c r="JY54" s="167"/>
      <c r="JZ54" s="166">
        <v>-49.815600000000003</v>
      </c>
      <c r="KA54" s="166">
        <v>79.900199999999998</v>
      </c>
      <c r="KB54" s="166">
        <v>60.274299999999997</v>
      </c>
      <c r="KC54" s="166">
        <v>-50.445</v>
      </c>
      <c r="KD54" s="166">
        <v>-78.535499999999999</v>
      </c>
      <c r="KE54" s="166">
        <v>49.639600000000002</v>
      </c>
      <c r="KF54" s="166">
        <v>29.021599999999999</v>
      </c>
      <c r="KG54" s="166">
        <v>-12.7</v>
      </c>
      <c r="KH54" s="166">
        <v>13.7</v>
      </c>
      <c r="KI54" s="166">
        <v>62.160899999999998</v>
      </c>
      <c r="KJ54" s="166">
        <v>112.74979999999999</v>
      </c>
    </row>
    <row r="55" spans="1:296" ht="18" customHeight="1" x14ac:dyDescent="0.3">
      <c r="A55" s="162" t="s">
        <v>67</v>
      </c>
      <c r="B55" s="162" t="s">
        <v>854</v>
      </c>
      <c r="C55" s="166">
        <v>0</v>
      </c>
      <c r="D55" s="167"/>
      <c r="E55" s="166">
        <v>18.097999999999999</v>
      </c>
      <c r="F55" s="166">
        <v>-26.299600000000002</v>
      </c>
      <c r="G55" s="166">
        <v>10.788500000000001</v>
      </c>
      <c r="H55" s="166">
        <v>26.1416</v>
      </c>
      <c r="I55" s="167"/>
      <c r="J55" s="166">
        <v>42.354199999999999</v>
      </c>
      <c r="K55" s="166">
        <v>-114.1848</v>
      </c>
      <c r="L55" s="166">
        <v>57.535499999999999</v>
      </c>
      <c r="M55" s="166">
        <v>29.059100000000001</v>
      </c>
      <c r="N55" s="166">
        <v>28.197399999999998</v>
      </c>
      <c r="O55" s="166">
        <v>-22.2</v>
      </c>
      <c r="P55" s="166">
        <v>-44.195</v>
      </c>
      <c r="Q55" s="166">
        <v>39.6</v>
      </c>
      <c r="R55" s="166">
        <v>9.1080000000000005</v>
      </c>
      <c r="S55" s="166">
        <v>-39.6</v>
      </c>
      <c r="T55" s="166">
        <v>15.058999999999999</v>
      </c>
      <c r="U55" s="166">
        <v>67.5702</v>
      </c>
      <c r="V55" s="166">
        <v>7.9036999999999997</v>
      </c>
      <c r="W55" s="166">
        <v>7.7686000000000002</v>
      </c>
      <c r="X55" s="166">
        <v>13.152799999999999</v>
      </c>
      <c r="Y55" s="166">
        <v>1.7091000000000001</v>
      </c>
      <c r="Z55" s="166">
        <v>0.1492</v>
      </c>
      <c r="AA55" s="166">
        <v>0.97419999999999995</v>
      </c>
      <c r="AB55" s="167"/>
      <c r="AC55" s="167"/>
      <c r="AD55" s="166">
        <v>-71.819999999999993</v>
      </c>
      <c r="AE55" s="166">
        <v>-71.760000000000005</v>
      </c>
      <c r="AF55" s="167"/>
      <c r="AG55" s="166">
        <v>19.98</v>
      </c>
      <c r="AH55" s="166">
        <v>41.8</v>
      </c>
      <c r="AI55" s="166">
        <v>23.315999999999999</v>
      </c>
      <c r="AJ55" s="166">
        <v>0.27600000000000002</v>
      </c>
      <c r="AK55" s="166">
        <v>-78.66</v>
      </c>
      <c r="AL55" s="166">
        <v>-78.25</v>
      </c>
      <c r="AM55" s="166">
        <v>-33.619999999999997</v>
      </c>
      <c r="AN55" s="166">
        <v>79.06</v>
      </c>
      <c r="AO55" s="166">
        <v>80.37</v>
      </c>
      <c r="AP55" s="166">
        <v>15.987</v>
      </c>
      <c r="AQ55" s="166">
        <v>1.284</v>
      </c>
      <c r="AR55" s="166">
        <v>66.801599999999993</v>
      </c>
      <c r="AS55" s="166">
        <v>68.930999999999997</v>
      </c>
      <c r="AT55" s="166">
        <v>44.054600000000001</v>
      </c>
      <c r="AU55" s="166">
        <v>-64.204800000000006</v>
      </c>
      <c r="AV55" s="166">
        <v>-63.783200000000001</v>
      </c>
      <c r="AW55" s="166">
        <v>27.236000000000001</v>
      </c>
      <c r="AX55" s="166">
        <v>27.2712</v>
      </c>
      <c r="AY55" s="166">
        <v>76.188599999999994</v>
      </c>
      <c r="AZ55" s="166">
        <v>77.429100000000005</v>
      </c>
      <c r="BA55" s="166">
        <v>18.334099999999999</v>
      </c>
      <c r="BB55" s="166">
        <v>20.4453</v>
      </c>
      <c r="BC55" s="166">
        <v>-498.75729999999999</v>
      </c>
      <c r="BD55" s="166">
        <v>-17.5046</v>
      </c>
      <c r="BE55" s="166">
        <v>-10.9</v>
      </c>
      <c r="BF55" s="166">
        <v>-10.6</v>
      </c>
      <c r="BG55" s="166">
        <v>71.1571</v>
      </c>
      <c r="BH55" s="166">
        <v>71.002499999999998</v>
      </c>
      <c r="BI55" s="166">
        <v>-4.6181000000000001</v>
      </c>
      <c r="BJ55" s="167"/>
      <c r="BK55" s="166">
        <v>-60.925800000000002</v>
      </c>
      <c r="BL55" s="166">
        <v>6.7664</v>
      </c>
      <c r="BM55" s="166">
        <v>10.0207</v>
      </c>
      <c r="BN55" s="166">
        <v>6.7595000000000001</v>
      </c>
      <c r="BO55" s="166">
        <v>546.52530000000002</v>
      </c>
      <c r="BP55" s="166">
        <v>119.11369999999999</v>
      </c>
      <c r="BQ55" s="166">
        <v>118.2287</v>
      </c>
      <c r="BR55" s="166">
        <v>-525.60159999999996</v>
      </c>
      <c r="BS55" s="166">
        <v>499.19110000000001</v>
      </c>
      <c r="BT55" s="167"/>
      <c r="BU55" s="166">
        <v>-71.123400000000004</v>
      </c>
      <c r="BV55" s="166">
        <v>70.683700000000002</v>
      </c>
      <c r="BW55" s="166">
        <v>97.280699999999996</v>
      </c>
      <c r="BX55" s="166">
        <v>29.76</v>
      </c>
      <c r="BY55" s="166">
        <v>32.33</v>
      </c>
      <c r="BZ55" s="166">
        <v>65.260000000000005</v>
      </c>
      <c r="CA55" s="166">
        <v>87.45</v>
      </c>
      <c r="CB55" s="166">
        <v>-40.986699999999999</v>
      </c>
      <c r="CC55" s="166">
        <v>-41.254600000000003</v>
      </c>
      <c r="CD55" s="166">
        <v>96.6434</v>
      </c>
      <c r="CE55" s="166">
        <v>97.299199999999999</v>
      </c>
      <c r="CF55" s="166">
        <v>29.2683</v>
      </c>
      <c r="CG55" s="166">
        <v>-121.8725</v>
      </c>
      <c r="CH55" s="166">
        <v>-120.4576</v>
      </c>
      <c r="CI55" s="166">
        <v>4.5377000000000001</v>
      </c>
      <c r="CJ55" s="166">
        <v>0</v>
      </c>
      <c r="CK55" s="167"/>
      <c r="CL55" s="166">
        <v>27.722999999999999</v>
      </c>
      <c r="CM55" s="166">
        <v>119.8</v>
      </c>
      <c r="CN55" s="166">
        <v>108.5</v>
      </c>
      <c r="CO55" s="166">
        <v>-16.87</v>
      </c>
      <c r="CP55" s="166">
        <v>66.306600000000003</v>
      </c>
      <c r="CQ55" s="166">
        <v>64.326999999999998</v>
      </c>
      <c r="CR55" s="166">
        <v>63.811300000000003</v>
      </c>
      <c r="CS55" s="166">
        <v>-5.3788</v>
      </c>
      <c r="CT55" s="166">
        <v>-5.8585000000000003</v>
      </c>
      <c r="CU55" s="166">
        <v>25.089500000000001</v>
      </c>
      <c r="CV55" s="166">
        <v>-69.6297</v>
      </c>
      <c r="CW55" s="166">
        <v>29.723199999999999</v>
      </c>
      <c r="CX55" s="166">
        <v>15.593400000000001</v>
      </c>
      <c r="CY55" s="166">
        <v>64.72</v>
      </c>
      <c r="CZ55" s="166">
        <v>35.06</v>
      </c>
      <c r="DA55" s="166">
        <v>42.8979</v>
      </c>
      <c r="DB55" s="166">
        <v>40.873699999999999</v>
      </c>
      <c r="DC55" s="166">
        <v>-32.225900000000003</v>
      </c>
      <c r="DD55" s="167"/>
      <c r="DE55" s="167"/>
      <c r="DF55" s="166">
        <v>0</v>
      </c>
      <c r="DG55" s="166">
        <v>-111.2897</v>
      </c>
      <c r="DH55" s="167"/>
      <c r="DI55" s="167"/>
      <c r="DJ55" s="166">
        <v>-94.1</v>
      </c>
      <c r="DK55" s="166">
        <v>-94.7</v>
      </c>
      <c r="DL55" s="166">
        <v>21.4481</v>
      </c>
      <c r="DM55" s="166">
        <v>44.4</v>
      </c>
      <c r="DN55" s="166">
        <v>54.76</v>
      </c>
      <c r="DO55" s="166">
        <v>60.92</v>
      </c>
      <c r="DP55" s="166">
        <v>44.43</v>
      </c>
      <c r="DQ55" s="166">
        <v>-6.72</v>
      </c>
      <c r="DR55" s="166">
        <v>64.138999999999996</v>
      </c>
      <c r="DS55" s="166">
        <v>111.0063</v>
      </c>
      <c r="DT55" s="166">
        <v>-24.09</v>
      </c>
      <c r="DU55" s="166">
        <v>-24.51</v>
      </c>
      <c r="DV55" s="166">
        <v>104.33</v>
      </c>
      <c r="DW55" s="166">
        <v>62.8</v>
      </c>
      <c r="DX55" s="166">
        <v>109.5091</v>
      </c>
      <c r="DY55" s="166">
        <v>109.87269999999999</v>
      </c>
      <c r="DZ55" s="166">
        <v>-9.6722999999999999</v>
      </c>
      <c r="EA55" s="166">
        <v>-11.7273</v>
      </c>
      <c r="EB55" s="166">
        <v>214.42740000000001</v>
      </c>
      <c r="EC55" s="166">
        <v>166.25700000000001</v>
      </c>
      <c r="ED55" s="166">
        <v>156.97640000000001</v>
      </c>
      <c r="EE55" s="166">
        <v>161.69569999999999</v>
      </c>
      <c r="EF55" s="166">
        <v>97.485900000000001</v>
      </c>
      <c r="EG55" s="166">
        <v>73.899600000000007</v>
      </c>
      <c r="EH55" s="166">
        <v>-27.72</v>
      </c>
      <c r="EI55" s="166">
        <v>540.18719999999996</v>
      </c>
      <c r="EJ55" s="166">
        <v>431.94529999999997</v>
      </c>
      <c r="EK55" s="167"/>
      <c r="EL55" s="166">
        <v>-27.119</v>
      </c>
      <c r="EM55" s="166">
        <v>-24.661899999999999</v>
      </c>
      <c r="EN55" s="167"/>
      <c r="EO55" s="166">
        <v>14.9869</v>
      </c>
      <c r="EP55" s="166">
        <v>12.539199999999999</v>
      </c>
      <c r="EQ55" s="166">
        <v>47.664000000000001</v>
      </c>
      <c r="ER55" s="166">
        <v>-66.728700000000003</v>
      </c>
      <c r="ES55" s="166">
        <v>-68.523600000000002</v>
      </c>
      <c r="ET55" s="166">
        <v>-41.073799999999999</v>
      </c>
      <c r="EU55" s="166">
        <v>0</v>
      </c>
      <c r="EV55" s="166">
        <v>-19.09</v>
      </c>
      <c r="EW55" s="166">
        <v>62.7</v>
      </c>
      <c r="EX55" s="166">
        <v>8.5290999999999997</v>
      </c>
      <c r="EY55" s="166">
        <v>-4.9558</v>
      </c>
      <c r="EZ55" s="166">
        <v>-39.875700000000002</v>
      </c>
      <c r="FA55" s="166">
        <v>-38.723599999999998</v>
      </c>
      <c r="FB55" s="166">
        <v>7.3087999999999997</v>
      </c>
      <c r="FC55" s="166">
        <v>-79.074399999999997</v>
      </c>
      <c r="FD55" s="166">
        <v>43.082500000000003</v>
      </c>
      <c r="FE55" s="166">
        <v>24.279800000000002</v>
      </c>
      <c r="FF55" s="166">
        <v>25.1723</v>
      </c>
      <c r="FG55" s="167"/>
      <c r="FH55" s="166">
        <v>41.484400000000001</v>
      </c>
      <c r="FI55" s="166">
        <v>42.104700000000001</v>
      </c>
      <c r="FJ55" s="166">
        <v>40.366100000000003</v>
      </c>
      <c r="FK55" s="166">
        <v>42.031500000000001</v>
      </c>
      <c r="FL55" s="166">
        <v>41.864100000000001</v>
      </c>
      <c r="FM55" s="166">
        <v>-32.319099999999999</v>
      </c>
      <c r="FN55" s="166">
        <v>12.534700000000001</v>
      </c>
      <c r="FO55" s="166">
        <v>12.630599999999999</v>
      </c>
      <c r="FP55" s="166">
        <v>-33.447099999999999</v>
      </c>
      <c r="FQ55" s="166">
        <v>-22.444400000000002</v>
      </c>
      <c r="FR55" s="166">
        <v>-7.3151999999999999</v>
      </c>
      <c r="FS55" s="166">
        <v>-23.48</v>
      </c>
      <c r="FT55" s="167"/>
      <c r="FU55" s="166">
        <v>1.077</v>
      </c>
      <c r="FV55" s="166">
        <v>1.37</v>
      </c>
      <c r="FW55" s="166">
        <v>20.260000000000002</v>
      </c>
      <c r="FX55" s="166">
        <v>0</v>
      </c>
      <c r="FY55" s="167"/>
      <c r="FZ55" s="166">
        <v>-9.4990000000000006</v>
      </c>
      <c r="GA55" s="166">
        <v>4.0970000000000004</v>
      </c>
      <c r="GB55" s="167"/>
      <c r="GC55" s="166">
        <v>29.36</v>
      </c>
      <c r="GD55" s="166">
        <v>25.768699999999999</v>
      </c>
      <c r="GE55" s="166">
        <v>30.7303</v>
      </c>
      <c r="GF55" s="166">
        <v>15.29</v>
      </c>
      <c r="GG55" s="166">
        <v>70.184399999999997</v>
      </c>
      <c r="GH55" s="166">
        <v>30</v>
      </c>
      <c r="GI55" s="166">
        <v>-6.8472</v>
      </c>
      <c r="GJ55" s="166">
        <v>-4.1138000000000003</v>
      </c>
      <c r="GK55" s="166">
        <v>-4.5861999999999998</v>
      </c>
      <c r="GL55" s="166">
        <v>1.921</v>
      </c>
      <c r="GM55" s="167"/>
      <c r="GN55" s="167"/>
      <c r="GO55" s="168">
        <v>-18.561399999999999</v>
      </c>
      <c r="GP55" s="166">
        <v>-19.060199999999998</v>
      </c>
      <c r="GQ55" s="166">
        <v>11.2835</v>
      </c>
      <c r="GR55" s="166">
        <v>19.6401</v>
      </c>
      <c r="GS55" s="166">
        <v>12.8353</v>
      </c>
      <c r="GT55" s="166">
        <v>12.968</v>
      </c>
      <c r="GU55" s="166">
        <v>-105.202</v>
      </c>
      <c r="GV55" s="166">
        <v>-21.2559</v>
      </c>
      <c r="GW55" s="166">
        <v>21.616900000000001</v>
      </c>
      <c r="GX55" s="166">
        <v>-24.047999999999998</v>
      </c>
      <c r="GY55" s="166">
        <v>4.2102000000000004</v>
      </c>
      <c r="GZ55" s="166">
        <v>10.002700000000001</v>
      </c>
      <c r="HA55" s="166">
        <v>9.7047000000000008</v>
      </c>
      <c r="HB55" s="166">
        <v>5.5641999999999996</v>
      </c>
      <c r="HC55" s="166">
        <v>155.1465</v>
      </c>
      <c r="HD55" s="166">
        <v>158.2088</v>
      </c>
      <c r="HE55" s="166">
        <v>221.7</v>
      </c>
      <c r="HF55" s="166">
        <v>-221.9297</v>
      </c>
      <c r="HG55" s="166">
        <v>-515.75379999999996</v>
      </c>
      <c r="HH55" s="166">
        <v>515.95000000000005</v>
      </c>
      <c r="HI55" s="166">
        <v>588.02949999999998</v>
      </c>
      <c r="HJ55" s="166">
        <v>-150.54429999999999</v>
      </c>
      <c r="HK55" s="166">
        <v>-148.4049</v>
      </c>
      <c r="HL55" s="166">
        <v>-60.991700000000002</v>
      </c>
      <c r="HM55" s="166">
        <v>-54.9435</v>
      </c>
      <c r="HN55" s="166">
        <v>81.2029</v>
      </c>
      <c r="HO55" s="166">
        <v>79.928700000000006</v>
      </c>
      <c r="HP55" s="167"/>
      <c r="HQ55" s="167"/>
      <c r="HR55" s="166">
        <v>38.741100000000003</v>
      </c>
      <c r="HS55" s="166">
        <v>37.928100000000001</v>
      </c>
      <c r="HT55" s="166">
        <v>-53.123399999999997</v>
      </c>
      <c r="HU55" s="166">
        <v>-53.603000000000002</v>
      </c>
      <c r="HV55" s="166">
        <v>91.86</v>
      </c>
      <c r="HW55" s="166">
        <v>91.02</v>
      </c>
      <c r="HX55" s="166">
        <v>40.799999999999997</v>
      </c>
      <c r="HY55" s="166">
        <v>41.3</v>
      </c>
      <c r="HZ55" s="166">
        <v>20.654499999999999</v>
      </c>
      <c r="IA55" s="166">
        <v>36</v>
      </c>
      <c r="IB55" s="166">
        <v>-397.54059999999998</v>
      </c>
      <c r="IC55" s="167"/>
      <c r="ID55" s="167"/>
      <c r="IE55" s="166">
        <v>12.8</v>
      </c>
      <c r="IF55" s="166">
        <v>2.8</v>
      </c>
      <c r="IG55" s="166">
        <v>-37</v>
      </c>
      <c r="IH55" s="166">
        <v>-45.4</v>
      </c>
      <c r="II55" s="167"/>
      <c r="IJ55" s="167"/>
      <c r="IK55" s="166">
        <v>-577.72280000000001</v>
      </c>
      <c r="IL55" s="166">
        <v>-395.14060000000001</v>
      </c>
      <c r="IM55" s="166">
        <v>491.7183</v>
      </c>
      <c r="IN55" s="166">
        <v>394.16559999999998</v>
      </c>
      <c r="IO55" s="166">
        <v>-26.276299999999999</v>
      </c>
      <c r="IP55" s="166">
        <v>-389.63679999999999</v>
      </c>
      <c r="IQ55" s="166">
        <v>383.90710000000001</v>
      </c>
      <c r="IR55" s="166">
        <v>-178.72550000000001</v>
      </c>
      <c r="IS55" s="166">
        <v>-243.87620000000001</v>
      </c>
      <c r="IT55" s="166">
        <v>-382.1755</v>
      </c>
      <c r="IU55" s="166">
        <v>94.067800000000005</v>
      </c>
      <c r="IV55" s="166">
        <v>95.198599999999999</v>
      </c>
      <c r="IW55" s="166">
        <v>184.93700000000001</v>
      </c>
      <c r="IX55" s="166">
        <v>-475.18049999999999</v>
      </c>
      <c r="IY55" s="166">
        <v>250.62520000000001</v>
      </c>
      <c r="IZ55" s="166">
        <v>-230.334</v>
      </c>
      <c r="JA55" s="166">
        <v>232.29580000000001</v>
      </c>
      <c r="JB55" s="166">
        <v>-10.361599999999999</v>
      </c>
      <c r="JC55" s="166">
        <v>26.007000000000001</v>
      </c>
      <c r="JD55" s="166">
        <v>21.04</v>
      </c>
      <c r="JE55" s="166">
        <v>1.2629999999999999</v>
      </c>
      <c r="JF55" s="166">
        <v>1.258</v>
      </c>
      <c r="JG55" s="166">
        <v>-20.96</v>
      </c>
      <c r="JH55" s="166">
        <v>-2.8</v>
      </c>
      <c r="JI55" s="167"/>
      <c r="JJ55" s="166">
        <v>1.4359</v>
      </c>
      <c r="JK55" s="166">
        <v>-37.352600000000002</v>
      </c>
      <c r="JL55" s="166">
        <v>-18.660299999999999</v>
      </c>
      <c r="JM55" s="166">
        <v>26.4</v>
      </c>
      <c r="JN55" s="166">
        <v>51.784999999999997</v>
      </c>
      <c r="JO55" s="166">
        <v>51.445999999999998</v>
      </c>
      <c r="JP55" s="167"/>
      <c r="JQ55" s="167"/>
      <c r="JR55" s="166">
        <v>53.583100000000002</v>
      </c>
      <c r="JS55" s="166">
        <v>53.148400000000002</v>
      </c>
      <c r="JT55" s="166">
        <v>52.313499999999998</v>
      </c>
      <c r="JU55" s="167"/>
      <c r="JV55" s="166">
        <v>-1.2</v>
      </c>
      <c r="JW55" s="166">
        <v>31.134399999999999</v>
      </c>
      <c r="JX55" s="166">
        <v>7.3</v>
      </c>
      <c r="JY55" s="167"/>
      <c r="JZ55" s="166">
        <v>-56.3125</v>
      </c>
      <c r="KA55" s="166">
        <v>81.977999999999994</v>
      </c>
      <c r="KB55" s="166">
        <v>61.9041</v>
      </c>
      <c r="KC55" s="166">
        <v>-54.618699999999997</v>
      </c>
      <c r="KD55" s="166">
        <v>-79.8249</v>
      </c>
      <c r="KE55" s="166">
        <v>54.474699999999999</v>
      </c>
      <c r="KF55" s="166">
        <v>26.212900000000001</v>
      </c>
      <c r="KG55" s="166">
        <v>-13</v>
      </c>
      <c r="KH55" s="166">
        <v>12.5</v>
      </c>
      <c r="KI55" s="166">
        <v>75.138300000000001</v>
      </c>
      <c r="KJ55" s="166">
        <v>91.125900000000001</v>
      </c>
    </row>
    <row r="56" spans="1:296" ht="18" customHeight="1" x14ac:dyDescent="0.3">
      <c r="A56" s="162" t="s">
        <v>855</v>
      </c>
      <c r="B56" s="162" t="s">
        <v>68</v>
      </c>
      <c r="C56" s="169">
        <v>0</v>
      </c>
      <c r="D56" s="170"/>
      <c r="E56" s="169">
        <v>17.610199999999999</v>
      </c>
      <c r="F56" s="169">
        <v>-25.330300000000001</v>
      </c>
      <c r="G56" s="169">
        <v>10.314</v>
      </c>
      <c r="H56" s="169">
        <v>25.116599999999998</v>
      </c>
      <c r="I56" s="170"/>
      <c r="J56" s="169">
        <v>39.656300000000002</v>
      </c>
      <c r="K56" s="169">
        <v>-108.8117</v>
      </c>
      <c r="L56" s="169">
        <v>53.337200000000003</v>
      </c>
      <c r="M56" s="169">
        <v>27.097200000000001</v>
      </c>
      <c r="N56" s="169">
        <v>26.657699999999998</v>
      </c>
      <c r="O56" s="169">
        <v>-19.98</v>
      </c>
      <c r="P56" s="169">
        <v>-42.97</v>
      </c>
      <c r="Q56" s="169">
        <v>39.6</v>
      </c>
      <c r="R56" s="169">
        <v>10.763999999999999</v>
      </c>
      <c r="S56" s="169">
        <v>-39.6</v>
      </c>
      <c r="T56" s="169">
        <v>15.0303</v>
      </c>
      <c r="U56" s="169">
        <v>64.994600000000005</v>
      </c>
      <c r="V56" s="169">
        <v>7.1200999999999999</v>
      </c>
      <c r="W56" s="169">
        <v>7.2625000000000002</v>
      </c>
      <c r="X56" s="169">
        <v>11.7804</v>
      </c>
      <c r="Y56" s="169">
        <v>1.7204999999999999</v>
      </c>
      <c r="Z56" s="169">
        <v>0.29099999999999998</v>
      </c>
      <c r="AA56" s="169">
        <v>1.0247999999999999</v>
      </c>
      <c r="AB56" s="170"/>
      <c r="AC56" s="170"/>
      <c r="AD56" s="169">
        <v>-68.489999999999995</v>
      </c>
      <c r="AE56" s="169">
        <v>-69.06</v>
      </c>
      <c r="AF56" s="170"/>
      <c r="AG56" s="169">
        <v>19.98</v>
      </c>
      <c r="AH56" s="169">
        <v>41.8</v>
      </c>
      <c r="AI56" s="169">
        <v>20.984999999999999</v>
      </c>
      <c r="AJ56" s="169">
        <v>0.26500000000000001</v>
      </c>
      <c r="AK56" s="169">
        <v>-74.69</v>
      </c>
      <c r="AL56" s="169">
        <v>-75.180000000000007</v>
      </c>
      <c r="AM56" s="169">
        <v>-32.409999999999997</v>
      </c>
      <c r="AN56" s="169">
        <v>75.97</v>
      </c>
      <c r="AO56" s="169">
        <v>76.099999999999994</v>
      </c>
      <c r="AP56" s="169">
        <v>15.507999999999999</v>
      </c>
      <c r="AQ56" s="169">
        <v>1.8103</v>
      </c>
      <c r="AR56" s="169">
        <v>62.8155</v>
      </c>
      <c r="AS56" s="169">
        <v>64.745400000000004</v>
      </c>
      <c r="AT56" s="169">
        <v>41.8142</v>
      </c>
      <c r="AU56" s="169">
        <v>-54.706499999999998</v>
      </c>
      <c r="AV56" s="169">
        <v>-54.727899999999998</v>
      </c>
      <c r="AW56" s="169">
        <v>28.895700000000001</v>
      </c>
      <c r="AX56" s="169">
        <v>30.587199999999999</v>
      </c>
      <c r="AY56" s="169">
        <v>69.686099999999996</v>
      </c>
      <c r="AZ56" s="169">
        <v>70.961299999999994</v>
      </c>
      <c r="BA56" s="169">
        <v>23.5839</v>
      </c>
      <c r="BB56" s="169">
        <v>22.488800000000001</v>
      </c>
      <c r="BC56" s="169">
        <v>-490.66649999999998</v>
      </c>
      <c r="BD56" s="169">
        <v>-15.1028</v>
      </c>
      <c r="BE56" s="169">
        <v>-11.5</v>
      </c>
      <c r="BF56" s="169">
        <v>-11.3</v>
      </c>
      <c r="BG56" s="169">
        <v>61.4985</v>
      </c>
      <c r="BH56" s="169">
        <v>60.628399999999999</v>
      </c>
      <c r="BI56" s="169">
        <v>-4.7011000000000003</v>
      </c>
      <c r="BJ56" s="170"/>
      <c r="BK56" s="169">
        <v>-45.709899999999998</v>
      </c>
      <c r="BL56" s="169">
        <v>4.6143999999999998</v>
      </c>
      <c r="BM56" s="169">
        <v>8.3956999999999997</v>
      </c>
      <c r="BN56" s="169">
        <v>5.6797000000000004</v>
      </c>
      <c r="BO56" s="169">
        <v>540.51319999999998</v>
      </c>
      <c r="BP56" s="169">
        <v>116.5196</v>
      </c>
      <c r="BQ56" s="169">
        <v>116.9774</v>
      </c>
      <c r="BR56" s="169">
        <v>-528.82960000000003</v>
      </c>
      <c r="BS56" s="169">
        <v>493.9477</v>
      </c>
      <c r="BT56" s="170"/>
      <c r="BU56" s="169">
        <v>-82.325000000000003</v>
      </c>
      <c r="BV56" s="169">
        <v>88.275700000000001</v>
      </c>
      <c r="BW56" s="169">
        <v>91.1233</v>
      </c>
      <c r="BX56" s="169">
        <v>29.64</v>
      </c>
      <c r="BY56" s="169">
        <v>31.07</v>
      </c>
      <c r="BZ56" s="169">
        <v>61.82</v>
      </c>
      <c r="CA56" s="169">
        <v>85.67</v>
      </c>
      <c r="CB56" s="169">
        <v>-36.432099999999998</v>
      </c>
      <c r="CC56" s="169">
        <v>-36.566099999999999</v>
      </c>
      <c r="CD56" s="169">
        <v>88.795100000000005</v>
      </c>
      <c r="CE56" s="169">
        <v>89.830299999999994</v>
      </c>
      <c r="CF56" s="169">
        <v>30.259699999999999</v>
      </c>
      <c r="CG56" s="169">
        <v>-125.8759</v>
      </c>
      <c r="CH56" s="169">
        <v>-125.2457</v>
      </c>
      <c r="CI56" s="169">
        <v>-2.3304</v>
      </c>
      <c r="CJ56" s="169">
        <v>0</v>
      </c>
      <c r="CK56" s="170"/>
      <c r="CL56" s="171">
        <v>27.722999999999999</v>
      </c>
      <c r="CM56" s="169">
        <v>116.9</v>
      </c>
      <c r="CN56" s="169">
        <v>106.4</v>
      </c>
      <c r="CO56" s="169">
        <v>-16.420000000000002</v>
      </c>
      <c r="CP56" s="169">
        <v>59.288600000000002</v>
      </c>
      <c r="CQ56" s="169">
        <v>56.206800000000001</v>
      </c>
      <c r="CR56" s="169">
        <v>57.107199999999999</v>
      </c>
      <c r="CS56" s="169">
        <v>-20.5623</v>
      </c>
      <c r="CT56" s="169">
        <v>-19.2652</v>
      </c>
      <c r="CU56" s="169">
        <v>47.690600000000003</v>
      </c>
      <c r="CV56" s="169">
        <v>-76.894199999999998</v>
      </c>
      <c r="CW56" s="169">
        <v>53.888399999999997</v>
      </c>
      <c r="CX56" s="169">
        <v>14.539099999999999</v>
      </c>
      <c r="CY56" s="169">
        <v>60.7</v>
      </c>
      <c r="CZ56" s="169">
        <v>33.229999999999997</v>
      </c>
      <c r="DA56" s="169">
        <v>40.0854</v>
      </c>
      <c r="DB56" s="169">
        <v>37.797499999999999</v>
      </c>
      <c r="DC56" s="169">
        <v>-30.224900000000002</v>
      </c>
      <c r="DD56" s="170"/>
      <c r="DE56" s="170"/>
      <c r="DF56" s="169">
        <v>0</v>
      </c>
      <c r="DG56" s="169">
        <v>-114.3584</v>
      </c>
      <c r="DH56" s="170"/>
      <c r="DI56" s="170"/>
      <c r="DJ56" s="169">
        <v>-84.7</v>
      </c>
      <c r="DK56" s="169">
        <v>-84.9</v>
      </c>
      <c r="DL56" s="169">
        <v>21.162400000000002</v>
      </c>
      <c r="DM56" s="169">
        <v>41.7</v>
      </c>
      <c r="DN56" s="169">
        <v>50.48</v>
      </c>
      <c r="DO56" s="169">
        <v>56.12</v>
      </c>
      <c r="DP56" s="169">
        <v>41.3</v>
      </c>
      <c r="DQ56" s="169">
        <v>-6.37</v>
      </c>
      <c r="DR56" s="169">
        <v>67.130499999999998</v>
      </c>
      <c r="DS56" s="169">
        <v>113.4139</v>
      </c>
      <c r="DT56" s="169">
        <v>-25.83</v>
      </c>
      <c r="DU56" s="169">
        <v>-26.37</v>
      </c>
      <c r="DV56" s="169">
        <v>102.65</v>
      </c>
      <c r="DW56" s="169">
        <v>60.52</v>
      </c>
      <c r="DX56" s="169">
        <v>113.0364</v>
      </c>
      <c r="DY56" s="169">
        <v>112.8</v>
      </c>
      <c r="DZ56" s="169">
        <v>-6.0890000000000004</v>
      </c>
      <c r="EA56" s="169">
        <v>-6.8090999999999999</v>
      </c>
      <c r="EB56" s="169">
        <v>209.07910000000001</v>
      </c>
      <c r="EC56" s="169">
        <v>162.93979999999999</v>
      </c>
      <c r="ED56" s="169">
        <v>157.69820000000001</v>
      </c>
      <c r="EE56" s="169">
        <v>159.65260000000001</v>
      </c>
      <c r="EF56" s="169">
        <v>93.042500000000004</v>
      </c>
      <c r="EG56" s="169">
        <v>71.043800000000005</v>
      </c>
      <c r="EH56" s="169">
        <v>-28.634</v>
      </c>
      <c r="EI56" s="169">
        <v>541.96299999999997</v>
      </c>
      <c r="EJ56" s="169">
        <v>420.24970000000002</v>
      </c>
      <c r="EK56" s="170"/>
      <c r="EL56" s="169">
        <v>-26.8216</v>
      </c>
      <c r="EM56" s="169">
        <v>-25.267099999999999</v>
      </c>
      <c r="EN56" s="170"/>
      <c r="EO56" s="169">
        <v>28.531700000000001</v>
      </c>
      <c r="EP56" s="169">
        <v>26.9895</v>
      </c>
      <c r="EQ56" s="169">
        <v>49.2</v>
      </c>
      <c r="ER56" s="169">
        <v>-56.953499999999998</v>
      </c>
      <c r="ES56" s="169">
        <v>-58.010599999999997</v>
      </c>
      <c r="ET56" s="169">
        <v>-32.080599999999997</v>
      </c>
      <c r="EU56" s="169">
        <v>0</v>
      </c>
      <c r="EV56" s="169">
        <v>-17.07</v>
      </c>
      <c r="EW56" s="169">
        <v>1</v>
      </c>
      <c r="EX56" s="169">
        <v>7.5864000000000003</v>
      </c>
      <c r="EY56" s="169">
        <v>23.0974</v>
      </c>
      <c r="EZ56" s="169">
        <v>-39.1965</v>
      </c>
      <c r="FA56" s="169">
        <v>-38.326500000000003</v>
      </c>
      <c r="FB56" s="169">
        <v>6.4619</v>
      </c>
      <c r="FC56" s="169">
        <v>-67.953400000000002</v>
      </c>
      <c r="FD56" s="169">
        <v>32.966099999999997</v>
      </c>
      <c r="FE56" s="169">
        <v>23.9573</v>
      </c>
      <c r="FF56" s="169">
        <v>25.395299999999999</v>
      </c>
      <c r="FG56" s="170"/>
      <c r="FH56" s="169">
        <v>40.069499999999998</v>
      </c>
      <c r="FI56" s="169">
        <v>40.549999999999997</v>
      </c>
      <c r="FJ56" s="169">
        <v>39.132100000000001</v>
      </c>
      <c r="FK56" s="169">
        <v>37.007800000000003</v>
      </c>
      <c r="FL56" s="169">
        <v>34.663499999999999</v>
      </c>
      <c r="FM56" s="169">
        <v>-27.797799999999999</v>
      </c>
      <c r="FN56" s="169">
        <v>8.5533999999999999</v>
      </c>
      <c r="FO56" s="169">
        <v>8.5789000000000009</v>
      </c>
      <c r="FP56" s="169">
        <v>-32.588000000000001</v>
      </c>
      <c r="FQ56" s="169">
        <v>-24.0305</v>
      </c>
      <c r="FR56" s="169">
        <v>-4.3121999999999998</v>
      </c>
      <c r="FS56" s="169">
        <v>-22.19</v>
      </c>
      <c r="FT56" s="170"/>
      <c r="FU56" s="169">
        <v>0.97689999999999999</v>
      </c>
      <c r="FV56" s="169">
        <v>1.35</v>
      </c>
      <c r="FW56" s="169">
        <v>19.989999999999998</v>
      </c>
      <c r="FX56" s="169">
        <v>0</v>
      </c>
      <c r="FY56" s="170"/>
      <c r="FZ56" s="169">
        <v>-9.8960000000000008</v>
      </c>
      <c r="GA56" s="169">
        <v>4.258</v>
      </c>
      <c r="GB56" s="170"/>
      <c r="GC56" s="169">
        <v>31.46</v>
      </c>
      <c r="GD56" s="169">
        <v>25.134799999999998</v>
      </c>
      <c r="GE56" s="169">
        <v>31.851299999999998</v>
      </c>
      <c r="GF56" s="169">
        <v>14.41</v>
      </c>
      <c r="GG56" s="169">
        <v>72.5749</v>
      </c>
      <c r="GH56" s="169">
        <v>30.1</v>
      </c>
      <c r="GI56" s="169">
        <v>-5.9565000000000001</v>
      </c>
      <c r="GJ56" s="169">
        <v>-4.1383000000000001</v>
      </c>
      <c r="GK56" s="169">
        <v>-4.5454999999999997</v>
      </c>
      <c r="GL56" s="169">
        <v>1.7212000000000001</v>
      </c>
      <c r="GM56" s="170"/>
      <c r="GN56" s="170"/>
      <c r="GO56" s="171">
        <v>-18.550999999999998</v>
      </c>
      <c r="GP56" s="169">
        <v>-16.543600000000001</v>
      </c>
      <c r="GQ56" s="169">
        <v>12.5844</v>
      </c>
      <c r="GR56" s="169">
        <v>17.3123</v>
      </c>
      <c r="GS56" s="169">
        <v>12.034000000000001</v>
      </c>
      <c r="GT56" s="169">
        <v>11.945399999999999</v>
      </c>
      <c r="GU56" s="169">
        <v>-104.5194</v>
      </c>
      <c r="GV56" s="169">
        <v>-19.728899999999999</v>
      </c>
      <c r="GW56" s="169">
        <v>21.4039</v>
      </c>
      <c r="GX56" s="169">
        <v>-20.5763</v>
      </c>
      <c r="GY56" s="169">
        <v>5.367</v>
      </c>
      <c r="GZ56" s="169">
        <v>8.8589000000000002</v>
      </c>
      <c r="HA56" s="169">
        <v>8.5762</v>
      </c>
      <c r="HB56" s="169">
        <v>6.8296000000000001</v>
      </c>
      <c r="HC56" s="169">
        <v>155.1207</v>
      </c>
      <c r="HD56" s="169">
        <v>156.78100000000001</v>
      </c>
      <c r="HE56" s="169">
        <v>219.2</v>
      </c>
      <c r="HF56" s="169">
        <v>-222.0795</v>
      </c>
      <c r="HG56" s="169">
        <v>-518.48299999999995</v>
      </c>
      <c r="HH56" s="169">
        <v>524.36220000000003</v>
      </c>
      <c r="HI56" s="169">
        <v>574.5693</v>
      </c>
      <c r="HJ56" s="169">
        <v>-149.87010000000001</v>
      </c>
      <c r="HK56" s="169">
        <v>-147.6619</v>
      </c>
      <c r="HL56" s="169">
        <v>-59.830199999999998</v>
      </c>
      <c r="HM56" s="169">
        <v>-52.259</v>
      </c>
      <c r="HN56" s="169">
        <v>81.727099999999993</v>
      </c>
      <c r="HO56" s="169">
        <v>81.500799999999998</v>
      </c>
      <c r="HP56" s="170"/>
      <c r="HQ56" s="170"/>
      <c r="HR56" s="169">
        <v>38.609299999999998</v>
      </c>
      <c r="HS56" s="169">
        <v>37.939100000000003</v>
      </c>
      <c r="HT56" s="169">
        <v>-51.593600000000002</v>
      </c>
      <c r="HU56" s="169">
        <v>-51.356699999999996</v>
      </c>
      <c r="HV56" s="169">
        <v>93.78</v>
      </c>
      <c r="HW56" s="169">
        <v>91.28</v>
      </c>
      <c r="HX56" s="169">
        <v>41.2</v>
      </c>
      <c r="HY56" s="169">
        <v>41.3</v>
      </c>
      <c r="HZ56" s="169">
        <v>20.695</v>
      </c>
      <c r="IA56" s="169">
        <v>31.28</v>
      </c>
      <c r="IB56" s="169">
        <v>-391.154</v>
      </c>
      <c r="IC56" s="170"/>
      <c r="ID56" s="170"/>
      <c r="IE56" s="169">
        <v>13.3</v>
      </c>
      <c r="IF56" s="169">
        <v>2.4</v>
      </c>
      <c r="IG56" s="169">
        <v>-35.299999999999997</v>
      </c>
      <c r="IH56" s="169">
        <v>-43.3</v>
      </c>
      <c r="II56" s="170"/>
      <c r="IJ56" s="170"/>
      <c r="IK56" s="169">
        <v>-562.77419999999995</v>
      </c>
      <c r="IL56" s="169">
        <v>-397.61919999999998</v>
      </c>
      <c r="IM56" s="169">
        <v>481.50479999999999</v>
      </c>
      <c r="IN56" s="169">
        <v>396.37860000000001</v>
      </c>
      <c r="IO56" s="169">
        <v>-28.2941</v>
      </c>
      <c r="IP56" s="169">
        <v>-380.55329999999998</v>
      </c>
      <c r="IQ56" s="169">
        <v>381.24360000000001</v>
      </c>
      <c r="IR56" s="169">
        <v>-178.7895</v>
      </c>
      <c r="IS56" s="169">
        <v>-238.63399999999999</v>
      </c>
      <c r="IT56" s="169">
        <v>-380.03129999999999</v>
      </c>
      <c r="IU56" s="169">
        <v>99.631799999999998</v>
      </c>
      <c r="IV56" s="169">
        <v>95.482900000000001</v>
      </c>
      <c r="IW56" s="169">
        <v>180.3578</v>
      </c>
      <c r="IX56" s="169">
        <v>-463.9144</v>
      </c>
      <c r="IY56" s="169">
        <v>247.49549999999999</v>
      </c>
      <c r="IZ56" s="169">
        <v>-229.68950000000001</v>
      </c>
      <c r="JA56" s="169">
        <v>226.7997</v>
      </c>
      <c r="JB56" s="169">
        <v>-9.1751000000000005</v>
      </c>
      <c r="JC56" s="169">
        <v>34.167200000000001</v>
      </c>
      <c r="JD56" s="169">
        <v>22.16</v>
      </c>
      <c r="JE56" s="169">
        <v>1.464</v>
      </c>
      <c r="JF56" s="169">
        <v>1.4630000000000001</v>
      </c>
      <c r="JG56" s="169">
        <v>-21.2</v>
      </c>
      <c r="JH56" s="169">
        <v>-1.44</v>
      </c>
      <c r="JI56" s="170"/>
      <c r="JJ56" s="169">
        <v>1.6709000000000001</v>
      </c>
      <c r="JK56" s="169">
        <v>-37.529600000000002</v>
      </c>
      <c r="JL56" s="169">
        <v>-17.460899999999999</v>
      </c>
      <c r="JM56" s="169">
        <v>25.9</v>
      </c>
      <c r="JN56" s="169">
        <v>52.875999999999998</v>
      </c>
      <c r="JO56" s="169">
        <v>51.780999999999999</v>
      </c>
      <c r="JP56" s="170"/>
      <c r="JQ56" s="170"/>
      <c r="JR56" s="169">
        <v>52.396000000000001</v>
      </c>
      <c r="JS56" s="169">
        <v>52.098500000000001</v>
      </c>
      <c r="JT56" s="169">
        <v>52.042099999999998</v>
      </c>
      <c r="JU56" s="170"/>
      <c r="JV56" s="169">
        <v>-2</v>
      </c>
      <c r="JW56" s="169">
        <v>28.266200000000001</v>
      </c>
      <c r="JX56" s="169">
        <v>6.87</v>
      </c>
      <c r="JY56" s="170"/>
      <c r="JZ56" s="169">
        <v>-51.588299999999997</v>
      </c>
      <c r="KA56" s="169">
        <v>79.144099999999995</v>
      </c>
      <c r="KB56" s="169">
        <v>60.389600000000002</v>
      </c>
      <c r="KC56" s="169">
        <v>-51.179400000000001</v>
      </c>
      <c r="KD56" s="169">
        <v>-77.200100000000006</v>
      </c>
      <c r="KE56" s="169">
        <v>52.2864</v>
      </c>
      <c r="KF56" s="169">
        <v>25.084599999999998</v>
      </c>
      <c r="KG56" s="169">
        <v>-12.5</v>
      </c>
      <c r="KH56" s="169">
        <v>12.5</v>
      </c>
      <c r="KI56" s="169">
        <v>63.673499999999997</v>
      </c>
      <c r="KJ56" s="169">
        <v>55.5428</v>
      </c>
    </row>
    <row r="57" spans="1:296" x14ac:dyDescent="0.3">
      <c r="A57" s="236" t="s">
        <v>867</v>
      </c>
      <c r="B57" s="236"/>
      <c r="C57" s="172">
        <v>0</v>
      </c>
      <c r="D57" s="172">
        <v>0</v>
      </c>
      <c r="E57" s="172">
        <v>21.608899999999998</v>
      </c>
      <c r="F57" s="172">
        <v>-19.362500000000001</v>
      </c>
      <c r="G57" s="172">
        <v>14.0451</v>
      </c>
      <c r="H57" s="172">
        <v>37.360900000000001</v>
      </c>
      <c r="I57" s="172">
        <v>0</v>
      </c>
      <c r="J57" s="172">
        <v>57.894399999999997</v>
      </c>
      <c r="K57" s="172">
        <v>-78.842200000000005</v>
      </c>
      <c r="L57" s="172">
        <v>78.419300000000007</v>
      </c>
      <c r="M57" s="172">
        <v>39.604799999999997</v>
      </c>
      <c r="N57" s="172">
        <v>38.7012</v>
      </c>
      <c r="O57" s="172">
        <v>11.1</v>
      </c>
      <c r="P57" s="172">
        <v>-29.271000000000001</v>
      </c>
      <c r="Q57" s="172">
        <v>68.2</v>
      </c>
      <c r="R57" s="172">
        <v>21.527999999999999</v>
      </c>
      <c r="S57" s="172">
        <v>-26.4</v>
      </c>
      <c r="T57" s="172">
        <v>15.2098</v>
      </c>
      <c r="U57" s="172">
        <v>74.242000000000004</v>
      </c>
      <c r="V57" s="172">
        <v>16.2315</v>
      </c>
      <c r="W57" s="172">
        <v>24.986999999999998</v>
      </c>
      <c r="X57" s="172">
        <v>41.087499999999999</v>
      </c>
      <c r="Y57" s="172">
        <v>7.7401999999999997</v>
      </c>
      <c r="Z57" s="172">
        <v>5.8609</v>
      </c>
      <c r="AA57" s="172">
        <v>6.4965000000000002</v>
      </c>
      <c r="AB57" s="172">
        <v>0</v>
      </c>
      <c r="AC57" s="172">
        <v>0</v>
      </c>
      <c r="AD57" s="172">
        <v>-62.74</v>
      </c>
      <c r="AE57" s="172">
        <v>-62.71</v>
      </c>
      <c r="AF57" s="172">
        <v>0</v>
      </c>
      <c r="AG57" s="172">
        <v>35.520000000000003</v>
      </c>
      <c r="AH57" s="172">
        <v>77</v>
      </c>
      <c r="AI57" s="172">
        <v>29.42</v>
      </c>
      <c r="AJ57" s="172">
        <v>0.311</v>
      </c>
      <c r="AK57" s="172">
        <v>-63.58</v>
      </c>
      <c r="AL57" s="172">
        <v>-63.11</v>
      </c>
      <c r="AM57" s="172">
        <v>-17.3</v>
      </c>
      <c r="AN57" s="172">
        <v>82.01</v>
      </c>
      <c r="AO57" s="172">
        <v>82.43</v>
      </c>
      <c r="AP57" s="172">
        <v>23.965499999999999</v>
      </c>
      <c r="AQ57" s="172">
        <v>2.9619</v>
      </c>
      <c r="AR57" s="172">
        <v>82.736199999999997</v>
      </c>
      <c r="AS57" s="172">
        <v>85.522199999999998</v>
      </c>
      <c r="AT57" s="172">
        <v>59.194000000000003</v>
      </c>
      <c r="AU57" s="172">
        <v>-47.607799999999997</v>
      </c>
      <c r="AV57" s="172">
        <v>-47.695399999999999</v>
      </c>
      <c r="AW57" s="172">
        <v>32.200899999999997</v>
      </c>
      <c r="AX57" s="172">
        <v>32.904800000000002</v>
      </c>
      <c r="AY57" s="172">
        <v>89.838899999999995</v>
      </c>
      <c r="AZ57" s="172">
        <v>91.032700000000006</v>
      </c>
      <c r="BA57" s="172">
        <v>29.9316</v>
      </c>
      <c r="BB57" s="172">
        <v>31.922699999999999</v>
      </c>
      <c r="BC57" s="172">
        <v>-396.21109999999999</v>
      </c>
      <c r="BD57" s="172">
        <v>-10.351100000000001</v>
      </c>
      <c r="BE57" s="172">
        <v>-4.0999999999999996</v>
      </c>
      <c r="BF57" s="172">
        <v>-4</v>
      </c>
      <c r="BG57" s="172">
        <v>73.819299999999998</v>
      </c>
      <c r="BH57" s="172">
        <v>72.036500000000004</v>
      </c>
      <c r="BI57" s="172">
        <v>-3.3774999999999999</v>
      </c>
      <c r="BJ57" s="172">
        <v>0</v>
      </c>
      <c r="BK57" s="172">
        <v>-32.970500000000001</v>
      </c>
      <c r="BL57" s="172">
        <v>12.846399999999999</v>
      </c>
      <c r="BM57" s="172">
        <v>13.016</v>
      </c>
      <c r="BN57" s="172">
        <v>8.7841000000000005</v>
      </c>
      <c r="BO57" s="172">
        <v>593.98159999999996</v>
      </c>
      <c r="BP57" s="172">
        <v>249.33619999999999</v>
      </c>
      <c r="BQ57" s="172">
        <v>246.7115</v>
      </c>
      <c r="BR57" s="172">
        <v>-473.08850000000001</v>
      </c>
      <c r="BS57" s="172">
        <v>733.16120000000001</v>
      </c>
      <c r="BT57" s="172">
        <v>0</v>
      </c>
      <c r="BU57" s="172">
        <v>-7.7420999999999998</v>
      </c>
      <c r="BV57" s="172">
        <v>91.605199999999996</v>
      </c>
      <c r="BW57" s="172">
        <v>126.6206</v>
      </c>
      <c r="BX57" s="172">
        <v>47.84</v>
      </c>
      <c r="BY57" s="172">
        <v>45.33</v>
      </c>
      <c r="BZ57" s="172">
        <v>89.46</v>
      </c>
      <c r="CA57" s="172">
        <v>97.07</v>
      </c>
      <c r="CB57" s="172">
        <v>-23.438300000000002</v>
      </c>
      <c r="CC57" s="172">
        <v>-23.9741</v>
      </c>
      <c r="CD57" s="172">
        <v>135.0789</v>
      </c>
      <c r="CE57" s="172">
        <v>135.35050000000001</v>
      </c>
      <c r="CF57" s="172">
        <v>33.289299999999997</v>
      </c>
      <c r="CG57" s="172">
        <v>-50.987499999999997</v>
      </c>
      <c r="CH57" s="172">
        <v>-51.008200000000002</v>
      </c>
      <c r="CI57" s="172">
        <v>17.900099999999998</v>
      </c>
      <c r="CJ57" s="172">
        <v>0</v>
      </c>
      <c r="CK57" s="172">
        <v>21.102499999999999</v>
      </c>
      <c r="CL57" s="172">
        <v>28.986000000000001</v>
      </c>
      <c r="CM57" s="172">
        <v>160.4</v>
      </c>
      <c r="CN57" s="172">
        <v>144.6</v>
      </c>
      <c r="CO57" s="172">
        <v>-13.42</v>
      </c>
      <c r="CP57" s="172">
        <v>77.465999999999994</v>
      </c>
      <c r="CQ57" s="172">
        <v>77.392600000000002</v>
      </c>
      <c r="CR57" s="172">
        <v>77.693399999999997</v>
      </c>
      <c r="CS57" s="172">
        <v>18.167899999999999</v>
      </c>
      <c r="CT57" s="172">
        <v>18.393699999999999</v>
      </c>
      <c r="CU57" s="172">
        <v>52.776800000000001</v>
      </c>
      <c r="CV57" s="172">
        <v>-28.914400000000001</v>
      </c>
      <c r="CW57" s="172">
        <v>61.501899999999999</v>
      </c>
      <c r="CX57" s="172">
        <v>19.8781</v>
      </c>
      <c r="CY57" s="172">
        <v>95.05</v>
      </c>
      <c r="CZ57" s="172">
        <v>49.57</v>
      </c>
      <c r="DA57" s="172">
        <v>61.413600000000002</v>
      </c>
      <c r="DB57" s="172">
        <v>58.305399999999999</v>
      </c>
      <c r="DC57" s="172">
        <v>-25.686599999999999</v>
      </c>
      <c r="DD57" s="172">
        <v>0</v>
      </c>
      <c r="DE57" s="172">
        <v>0</v>
      </c>
      <c r="DF57" s="172">
        <v>0</v>
      </c>
      <c r="DG57" s="172">
        <v>-63.924300000000002</v>
      </c>
      <c r="DH57" s="172">
        <v>0</v>
      </c>
      <c r="DI57" s="172">
        <v>0</v>
      </c>
      <c r="DJ57" s="172">
        <v>-67.2</v>
      </c>
      <c r="DK57" s="172">
        <v>-67.8</v>
      </c>
      <c r="DL57" s="172">
        <v>23.749700000000001</v>
      </c>
      <c r="DM57" s="172">
        <v>77.5</v>
      </c>
      <c r="DN57" s="172">
        <v>78.7</v>
      </c>
      <c r="DO57" s="172">
        <v>104.56</v>
      </c>
      <c r="DP57" s="172">
        <v>77.12</v>
      </c>
      <c r="DQ57" s="172">
        <v>-2.91</v>
      </c>
      <c r="DR57" s="172">
        <v>76.492500000000007</v>
      </c>
      <c r="DS57" s="172">
        <v>115.2465</v>
      </c>
      <c r="DT57" s="172">
        <v>-1.62</v>
      </c>
      <c r="DU57" s="172">
        <v>-1.56</v>
      </c>
      <c r="DV57" s="172">
        <v>125.33</v>
      </c>
      <c r="DW57" s="172">
        <v>81.680000000000007</v>
      </c>
      <c r="DX57" s="172">
        <v>114.1818</v>
      </c>
      <c r="DY57" s="172">
        <v>114.4545</v>
      </c>
      <c r="DZ57" s="172">
        <v>0</v>
      </c>
      <c r="EA57" s="172">
        <v>-4.9181999999999997</v>
      </c>
      <c r="EB57" s="172">
        <v>250.22280000000001</v>
      </c>
      <c r="EC57" s="172">
        <v>197.87450000000001</v>
      </c>
      <c r="ED57" s="172">
        <v>191.83779999999999</v>
      </c>
      <c r="EE57" s="172">
        <v>194.18809999999999</v>
      </c>
      <c r="EF57" s="172">
        <v>144.99189999999999</v>
      </c>
      <c r="EG57" s="172">
        <v>128.61199999999999</v>
      </c>
      <c r="EH57" s="172">
        <v>-24.207000000000001</v>
      </c>
      <c r="EI57" s="172">
        <v>659.02229999999997</v>
      </c>
      <c r="EJ57" s="172">
        <v>516.99040000000002</v>
      </c>
      <c r="EK57" s="172">
        <v>0</v>
      </c>
      <c r="EL57" s="172">
        <v>-11.1389</v>
      </c>
      <c r="EM57" s="172">
        <v>-8.7577999999999996</v>
      </c>
      <c r="EN57" s="172">
        <v>0</v>
      </c>
      <c r="EO57" s="172">
        <v>62.347999999999999</v>
      </c>
      <c r="EP57" s="172">
        <v>59.247799999999998</v>
      </c>
      <c r="EQ57" s="172">
        <v>182.84399999999999</v>
      </c>
      <c r="ER57" s="172">
        <v>-42.240299999999998</v>
      </c>
      <c r="ES57" s="172">
        <v>-43.398600000000002</v>
      </c>
      <c r="ET57" s="172">
        <v>8.6920000000000002</v>
      </c>
      <c r="EU57" s="172">
        <v>17.37</v>
      </c>
      <c r="EV57" s="172">
        <v>-5.21</v>
      </c>
      <c r="EW57" s="172">
        <v>120.9</v>
      </c>
      <c r="EX57" s="172">
        <v>14.002599999999999</v>
      </c>
      <c r="EY57" s="172">
        <v>74.545000000000002</v>
      </c>
      <c r="EZ57" s="172">
        <v>-33.059699999999999</v>
      </c>
      <c r="FA57" s="172">
        <v>-31.980599999999999</v>
      </c>
      <c r="FB57" s="172">
        <v>12.882899999999999</v>
      </c>
      <c r="FC57" s="172">
        <v>-31.808800000000002</v>
      </c>
      <c r="FD57" s="172">
        <v>95.232500000000002</v>
      </c>
      <c r="FE57" s="172">
        <v>26.2423</v>
      </c>
      <c r="FF57" s="172">
        <v>26.323699999999999</v>
      </c>
      <c r="FG57" s="172">
        <v>0</v>
      </c>
      <c r="FH57" s="172">
        <v>41.823</v>
      </c>
      <c r="FI57" s="172">
        <v>42.716900000000003</v>
      </c>
      <c r="FJ57" s="172">
        <v>41.144599999999997</v>
      </c>
      <c r="FK57" s="172">
        <v>81.216300000000004</v>
      </c>
      <c r="FL57" s="172">
        <v>80.379000000000005</v>
      </c>
      <c r="FM57" s="172">
        <v>9.8798999999999992</v>
      </c>
      <c r="FN57" s="172">
        <v>33.442799999999998</v>
      </c>
      <c r="FO57" s="172">
        <v>63.007800000000003</v>
      </c>
      <c r="FP57" s="172">
        <v>-7.8632</v>
      </c>
      <c r="FQ57" s="172">
        <v>0</v>
      </c>
      <c r="FR57" s="172">
        <v>14.5406</v>
      </c>
      <c r="FS57" s="172">
        <v>-14.71</v>
      </c>
      <c r="FT57" s="172">
        <v>0</v>
      </c>
      <c r="FU57" s="172">
        <v>1.7935000000000001</v>
      </c>
      <c r="FV57" s="172">
        <v>1.42</v>
      </c>
      <c r="FW57" s="172">
        <v>20.420000000000002</v>
      </c>
      <c r="FX57" s="172">
        <v>13.4855</v>
      </c>
      <c r="FY57" s="172">
        <v>8.6454000000000004</v>
      </c>
      <c r="FZ57" s="172">
        <v>-6.7290000000000001</v>
      </c>
      <c r="GA57" s="172">
        <v>4.4889999999999999</v>
      </c>
      <c r="GB57" s="172">
        <v>12.9777</v>
      </c>
      <c r="GC57" s="172">
        <v>40.69</v>
      </c>
      <c r="GD57" s="172">
        <v>52.669600000000003</v>
      </c>
      <c r="GE57" s="172">
        <v>55.520299999999999</v>
      </c>
      <c r="GF57" s="172">
        <v>16.36</v>
      </c>
      <c r="GG57" s="172">
        <v>83.660799999999995</v>
      </c>
      <c r="GH57" s="172">
        <v>31.7</v>
      </c>
      <c r="GI57" s="172">
        <v>2.0499000000000001</v>
      </c>
      <c r="GJ57" s="172">
        <v>0.2026</v>
      </c>
      <c r="GK57" s="172">
        <v>0</v>
      </c>
      <c r="GL57" s="172">
        <v>3.1953999999999998</v>
      </c>
      <c r="GM57" s="172">
        <v>0</v>
      </c>
      <c r="GN57" s="172">
        <v>0</v>
      </c>
      <c r="GO57" s="172">
        <v>-13.7874</v>
      </c>
      <c r="GP57" s="172">
        <v>-16.543600000000001</v>
      </c>
      <c r="GQ57" s="172">
        <v>14.278600000000001</v>
      </c>
      <c r="GR57" s="172">
        <v>41.471899999999998</v>
      </c>
      <c r="GS57" s="172">
        <v>15.767200000000001</v>
      </c>
      <c r="GT57" s="172">
        <v>15.3428</v>
      </c>
      <c r="GU57" s="172">
        <v>-97.066400000000002</v>
      </c>
      <c r="GV57" s="172">
        <v>-15.8597</v>
      </c>
      <c r="GW57" s="172">
        <v>39.400399999999998</v>
      </c>
      <c r="GX57" s="172">
        <v>-6.4051999999999998</v>
      </c>
      <c r="GY57" s="172">
        <v>12.8004</v>
      </c>
      <c r="GZ57" s="172">
        <v>20.210599999999999</v>
      </c>
      <c r="HA57" s="172">
        <v>19.568999999999999</v>
      </c>
      <c r="HB57" s="172">
        <v>14.326499999999999</v>
      </c>
      <c r="HC57" s="172">
        <v>209.19980000000001</v>
      </c>
      <c r="HD57" s="172">
        <v>207.1645</v>
      </c>
      <c r="HE57" s="172">
        <v>283.3</v>
      </c>
      <c r="HF57" s="172">
        <v>-185.1123</v>
      </c>
      <c r="HG57" s="172">
        <v>-389.53579999999999</v>
      </c>
      <c r="HH57" s="172">
        <v>572.24789999999996</v>
      </c>
      <c r="HI57" s="172">
        <v>644.87310000000002</v>
      </c>
      <c r="HJ57" s="172">
        <v>-89.004099999999994</v>
      </c>
      <c r="HK57" s="172">
        <v>-87.2376</v>
      </c>
      <c r="HL57" s="172">
        <v>-44.889699999999998</v>
      </c>
      <c r="HM57" s="172">
        <v>-32.520899999999997</v>
      </c>
      <c r="HN57" s="172">
        <v>81.993799999999993</v>
      </c>
      <c r="HO57" s="172">
        <v>81.500799999999998</v>
      </c>
      <c r="HP57" s="172">
        <v>-53.174799999999998</v>
      </c>
      <c r="HQ57" s="172">
        <v>-55.180700000000002</v>
      </c>
      <c r="HR57" s="172">
        <v>46.519599999999997</v>
      </c>
      <c r="HS57" s="172">
        <v>46.343800000000002</v>
      </c>
      <c r="HT57" s="172">
        <v>-40.446300000000001</v>
      </c>
      <c r="HU57" s="172">
        <v>-40.175400000000003</v>
      </c>
      <c r="HV57" s="172">
        <v>108.14</v>
      </c>
      <c r="HW57" s="172">
        <v>107.22</v>
      </c>
      <c r="HX57" s="172">
        <v>54.7</v>
      </c>
      <c r="HY57" s="172">
        <v>54.5</v>
      </c>
      <c r="HZ57" s="172">
        <v>21.186399999999999</v>
      </c>
      <c r="IA57" s="172">
        <v>49.68</v>
      </c>
      <c r="IB57" s="172">
        <v>-278.41609999999997</v>
      </c>
      <c r="IC57" s="172">
        <v>105.8169</v>
      </c>
      <c r="ID57" s="172">
        <v>105.61660000000001</v>
      </c>
      <c r="IE57" s="172">
        <v>18.5</v>
      </c>
      <c r="IF57" s="172">
        <v>28.5</v>
      </c>
      <c r="IG57" s="172">
        <v>-9.6999999999999993</v>
      </c>
      <c r="IH57" s="172">
        <v>-11.4</v>
      </c>
      <c r="II57" s="172">
        <v>1.8757999999999999</v>
      </c>
      <c r="IJ57" s="172">
        <v>1.6511</v>
      </c>
      <c r="IK57" s="172">
        <v>-148.3579</v>
      </c>
      <c r="IL57" s="172">
        <v>42.356299999999997</v>
      </c>
      <c r="IM57" s="172">
        <v>580.54139999999995</v>
      </c>
      <c r="IN57" s="172">
        <v>465.91300000000001</v>
      </c>
      <c r="IO57" s="172">
        <v>99.839600000000004</v>
      </c>
      <c r="IP57" s="172">
        <v>26.713799999999999</v>
      </c>
      <c r="IQ57" s="172">
        <v>454.2045</v>
      </c>
      <c r="IR57" s="172">
        <v>0</v>
      </c>
      <c r="IS57" s="172">
        <v>-29.5336</v>
      </c>
      <c r="IT57" s="172">
        <v>33.809100000000001</v>
      </c>
      <c r="IU57" s="172">
        <v>230.40270000000001</v>
      </c>
      <c r="IV57" s="172">
        <v>229.50960000000001</v>
      </c>
      <c r="IW57" s="172">
        <v>199.08420000000001</v>
      </c>
      <c r="IX57" s="172">
        <v>-133.70849999999999</v>
      </c>
      <c r="IY57" s="172">
        <v>277.97070000000002</v>
      </c>
      <c r="IZ57" s="172">
        <v>-20.554500000000001</v>
      </c>
      <c r="JA57" s="172">
        <v>303.50009999999997</v>
      </c>
      <c r="JB57" s="172">
        <v>-6.7497999999999996</v>
      </c>
      <c r="JC57" s="172">
        <v>39.832700000000003</v>
      </c>
      <c r="JD57" s="172">
        <v>26</v>
      </c>
      <c r="JE57" s="172">
        <v>1.746</v>
      </c>
      <c r="JF57" s="172">
        <v>1.7450000000000001</v>
      </c>
      <c r="JG57" s="172">
        <v>-12.72</v>
      </c>
      <c r="JH57" s="172">
        <v>1.28</v>
      </c>
      <c r="JI57" s="172">
        <v>0</v>
      </c>
      <c r="JJ57" s="172">
        <v>8.8792000000000009</v>
      </c>
      <c r="JK57" s="172">
        <v>-23.408899999999999</v>
      </c>
      <c r="JL57" s="172">
        <v>-14.412100000000001</v>
      </c>
      <c r="JM57" s="172">
        <v>26.4</v>
      </c>
      <c r="JN57" s="172">
        <v>56.360999999999997</v>
      </c>
      <c r="JO57" s="172">
        <v>56.427999999999997</v>
      </c>
      <c r="JP57" s="172">
        <v>8.3368000000000002</v>
      </c>
      <c r="JQ57" s="172">
        <v>9.9573</v>
      </c>
      <c r="JR57" s="172">
        <v>53.583100000000002</v>
      </c>
      <c r="JS57" s="172">
        <v>53.148400000000002</v>
      </c>
      <c r="JT57" s="172">
        <v>53.095300000000002</v>
      </c>
      <c r="JU57" s="172">
        <v>0</v>
      </c>
      <c r="JV57" s="172">
        <v>2.7</v>
      </c>
      <c r="JW57" s="172">
        <v>38.303600000000003</v>
      </c>
      <c r="JX57" s="172">
        <v>11.54</v>
      </c>
      <c r="JY57" s="172">
        <v>0</v>
      </c>
      <c r="JZ57" s="172">
        <v>-29.550999999999998</v>
      </c>
      <c r="KA57" s="172">
        <v>83.621700000000004</v>
      </c>
      <c r="KB57" s="172">
        <v>65.037899999999993</v>
      </c>
      <c r="KC57" s="172">
        <v>-29.2105</v>
      </c>
      <c r="KD57" s="172">
        <v>-72.899799999999999</v>
      </c>
      <c r="KE57" s="172">
        <v>54.474699999999999</v>
      </c>
      <c r="KF57" s="172">
        <v>42.194699999999997</v>
      </c>
      <c r="KG57" s="172">
        <v>14.2</v>
      </c>
      <c r="KH57" s="172">
        <v>15.7</v>
      </c>
      <c r="KI57" s="172">
        <v>164.09010000000001</v>
      </c>
      <c r="KJ57" s="172">
        <v>394.29629999999997</v>
      </c>
    </row>
    <row r="58" spans="1:296" x14ac:dyDescent="0.3">
      <c r="A58" s="236" t="s">
        <v>868</v>
      </c>
      <c r="B58" s="236"/>
      <c r="C58" s="172">
        <v>0</v>
      </c>
      <c r="D58" s="172">
        <v>0</v>
      </c>
      <c r="E58" s="172">
        <v>12.308199999999999</v>
      </c>
      <c r="F58" s="172">
        <v>-31.912199999999999</v>
      </c>
      <c r="G58" s="172">
        <v>-35.807000000000002</v>
      </c>
      <c r="H58" s="172">
        <v>25.116599999999998</v>
      </c>
      <c r="I58" s="172">
        <v>0</v>
      </c>
      <c r="J58" s="172">
        <v>32.465499999999999</v>
      </c>
      <c r="K58" s="172">
        <v>-121.1721</v>
      </c>
      <c r="L58" s="172">
        <v>43.831699999999998</v>
      </c>
      <c r="M58" s="172">
        <v>22.237300000000001</v>
      </c>
      <c r="N58" s="172">
        <v>21.774899999999999</v>
      </c>
      <c r="O58" s="172">
        <v>-35.520000000000003</v>
      </c>
      <c r="P58" s="172">
        <v>-78.287000000000006</v>
      </c>
      <c r="Q58" s="172">
        <v>26.4</v>
      </c>
      <c r="R58" s="172">
        <v>9.1080000000000005</v>
      </c>
      <c r="S58" s="172">
        <v>-68.2</v>
      </c>
      <c r="T58" s="172">
        <v>13.199199999999999</v>
      </c>
      <c r="U58" s="172">
        <v>39.570399999999999</v>
      </c>
      <c r="V58" s="172">
        <v>7.1200999999999999</v>
      </c>
      <c r="W58" s="172">
        <v>7.2625000000000002</v>
      </c>
      <c r="X58" s="172">
        <v>11.7804</v>
      </c>
      <c r="Y58" s="172">
        <v>1.5384</v>
      </c>
      <c r="Z58" s="172">
        <v>0.1492</v>
      </c>
      <c r="AA58" s="172">
        <v>0.97419999999999995</v>
      </c>
      <c r="AB58" s="172">
        <v>0</v>
      </c>
      <c r="AC58" s="172">
        <v>0</v>
      </c>
      <c r="AD58" s="172">
        <v>-91.04</v>
      </c>
      <c r="AE58" s="172">
        <v>-91.33</v>
      </c>
      <c r="AF58" s="172">
        <v>0</v>
      </c>
      <c r="AG58" s="172">
        <v>-8.8800000000000008</v>
      </c>
      <c r="AH58" s="172">
        <v>28.6</v>
      </c>
      <c r="AI58" s="172">
        <v>15.635</v>
      </c>
      <c r="AJ58" s="172">
        <v>0.20799999999999999</v>
      </c>
      <c r="AK58" s="172">
        <v>-80.73</v>
      </c>
      <c r="AL58" s="172">
        <v>-80.89</v>
      </c>
      <c r="AM58" s="172">
        <v>-55.9</v>
      </c>
      <c r="AN58" s="172">
        <v>64.239999999999995</v>
      </c>
      <c r="AO58" s="172">
        <v>64.61</v>
      </c>
      <c r="AP58" s="172">
        <v>9.7583000000000002</v>
      </c>
      <c r="AQ58" s="172">
        <v>-4.6067</v>
      </c>
      <c r="AR58" s="172">
        <v>52.932600000000001</v>
      </c>
      <c r="AS58" s="172">
        <v>54.362299999999998</v>
      </c>
      <c r="AT58" s="172">
        <v>32.844200000000001</v>
      </c>
      <c r="AU58" s="172">
        <v>-67.941999999999993</v>
      </c>
      <c r="AV58" s="172">
        <v>-66.873099999999994</v>
      </c>
      <c r="AW58" s="172">
        <v>2.4794999999999998</v>
      </c>
      <c r="AX58" s="172">
        <v>2.5941999999999998</v>
      </c>
      <c r="AY58" s="172">
        <v>65.368600000000001</v>
      </c>
      <c r="AZ58" s="172">
        <v>66.881200000000007</v>
      </c>
      <c r="BA58" s="172">
        <v>0.47060000000000002</v>
      </c>
      <c r="BB58" s="172">
        <v>-0.97660000000000002</v>
      </c>
      <c r="BC58" s="172">
        <v>-559.8913</v>
      </c>
      <c r="BD58" s="172">
        <v>-31.408300000000001</v>
      </c>
      <c r="BE58" s="172">
        <v>-13.1</v>
      </c>
      <c r="BF58" s="172">
        <v>-13</v>
      </c>
      <c r="BG58" s="172">
        <v>52.59</v>
      </c>
      <c r="BH58" s="172">
        <v>52.033799999999999</v>
      </c>
      <c r="BI58" s="172">
        <v>-9.4855</v>
      </c>
      <c r="BJ58" s="172">
        <v>0</v>
      </c>
      <c r="BK58" s="172">
        <v>-66.447400000000002</v>
      </c>
      <c r="BL58" s="172">
        <v>2.2038000000000002</v>
      </c>
      <c r="BM58" s="172">
        <v>0</v>
      </c>
      <c r="BN58" s="172">
        <v>-2.3561999999999999</v>
      </c>
      <c r="BO58" s="172">
        <v>440.16829999999999</v>
      </c>
      <c r="BP58" s="172">
        <v>59.785699999999999</v>
      </c>
      <c r="BQ58" s="172">
        <v>59.541600000000003</v>
      </c>
      <c r="BR58" s="172">
        <v>-648.95650000000001</v>
      </c>
      <c r="BS58" s="172">
        <v>332.12310000000002</v>
      </c>
      <c r="BT58" s="172">
        <v>0</v>
      </c>
      <c r="BU58" s="172">
        <v>-89.2804</v>
      </c>
      <c r="BV58" s="172">
        <v>8.9200999999999997</v>
      </c>
      <c r="BW58" s="172">
        <v>72.611199999999997</v>
      </c>
      <c r="BX58" s="172">
        <v>23.86</v>
      </c>
      <c r="BY58" s="172">
        <v>0</v>
      </c>
      <c r="BZ58" s="172">
        <v>48.38</v>
      </c>
      <c r="CA58" s="172">
        <v>56.02</v>
      </c>
      <c r="CB58" s="172">
        <v>-80.370099999999994</v>
      </c>
      <c r="CC58" s="172">
        <v>-80.504000000000005</v>
      </c>
      <c r="CD58" s="172">
        <v>84.1661</v>
      </c>
      <c r="CE58" s="172">
        <v>85.768900000000002</v>
      </c>
      <c r="CF58" s="172">
        <v>5.5096999999999996</v>
      </c>
      <c r="CG58" s="172">
        <v>-194.5744</v>
      </c>
      <c r="CH58" s="172">
        <v>-194.2132</v>
      </c>
      <c r="CI58" s="172">
        <v>-2.3304</v>
      </c>
      <c r="CJ58" s="172">
        <v>0</v>
      </c>
      <c r="CK58" s="172">
        <v>12.4756</v>
      </c>
      <c r="CL58" s="172">
        <v>12.13</v>
      </c>
      <c r="CM58" s="172">
        <v>89.8</v>
      </c>
      <c r="CN58" s="172">
        <v>80.599999999999994</v>
      </c>
      <c r="CO58" s="172">
        <v>-19.96</v>
      </c>
      <c r="CP58" s="172">
        <v>59.288600000000002</v>
      </c>
      <c r="CQ58" s="172">
        <v>56.206800000000001</v>
      </c>
      <c r="CR58" s="172">
        <v>57.107199999999999</v>
      </c>
      <c r="CS58" s="172">
        <v>-25.211200000000002</v>
      </c>
      <c r="CT58" s="172">
        <v>-24.364000000000001</v>
      </c>
      <c r="CU58" s="172">
        <v>1</v>
      </c>
      <c r="CV58" s="172">
        <v>-124.4374</v>
      </c>
      <c r="CW58" s="172">
        <v>4.8739999999999997</v>
      </c>
      <c r="CX58" s="172">
        <v>12.066000000000001</v>
      </c>
      <c r="CY58" s="172">
        <v>44.42</v>
      </c>
      <c r="CZ58" s="172">
        <v>24.79</v>
      </c>
      <c r="DA58" s="172">
        <v>32.351100000000002</v>
      </c>
      <c r="DB58" s="172">
        <v>30.766300000000001</v>
      </c>
      <c r="DC58" s="172">
        <v>-41.378999999999998</v>
      </c>
      <c r="DD58" s="172">
        <v>0</v>
      </c>
      <c r="DE58" s="172">
        <v>0</v>
      </c>
      <c r="DF58" s="172">
        <v>0</v>
      </c>
      <c r="DG58" s="172">
        <v>-115.6609</v>
      </c>
      <c r="DH58" s="172">
        <v>0</v>
      </c>
      <c r="DI58" s="172">
        <v>0</v>
      </c>
      <c r="DJ58" s="172">
        <v>-123.3</v>
      </c>
      <c r="DK58" s="172">
        <v>-123.5</v>
      </c>
      <c r="DL58" s="172">
        <v>19.108000000000001</v>
      </c>
      <c r="DM58" s="172">
        <v>32.1</v>
      </c>
      <c r="DN58" s="172">
        <v>33.08</v>
      </c>
      <c r="DO58" s="172">
        <v>44.18</v>
      </c>
      <c r="DP58" s="172">
        <v>32.22</v>
      </c>
      <c r="DQ58" s="172">
        <v>-10.8</v>
      </c>
      <c r="DR58" s="172">
        <v>58.063000000000002</v>
      </c>
      <c r="DS58" s="172">
        <v>62.027299999999997</v>
      </c>
      <c r="DT58" s="172">
        <v>-33.53</v>
      </c>
      <c r="DU58" s="172">
        <v>-33.9</v>
      </c>
      <c r="DV58" s="172">
        <v>78.23</v>
      </c>
      <c r="DW58" s="172">
        <v>49.22</v>
      </c>
      <c r="DX58" s="172">
        <v>65.072699999999998</v>
      </c>
      <c r="DY58" s="172">
        <v>61.327300000000001</v>
      </c>
      <c r="DZ58" s="172">
        <v>-30.917100000000001</v>
      </c>
      <c r="EA58" s="172">
        <v>-59.309100000000001</v>
      </c>
      <c r="EB58" s="172">
        <v>159.95580000000001</v>
      </c>
      <c r="EC58" s="172">
        <v>117.3891</v>
      </c>
      <c r="ED58" s="172">
        <v>111.91889999999999</v>
      </c>
      <c r="EE58" s="172">
        <v>114.36499999999999</v>
      </c>
      <c r="EF58" s="172">
        <v>59.454099999999997</v>
      </c>
      <c r="EG58" s="172">
        <v>32.9392</v>
      </c>
      <c r="EH58" s="172">
        <v>-33.218000000000004</v>
      </c>
      <c r="EI58" s="172">
        <v>484.94029999999998</v>
      </c>
      <c r="EJ58" s="172">
        <v>-16.671099999999999</v>
      </c>
      <c r="EK58" s="172">
        <v>0</v>
      </c>
      <c r="EL58" s="172">
        <v>-35.292200000000001</v>
      </c>
      <c r="EM58" s="172">
        <v>-33.377800000000001</v>
      </c>
      <c r="EN58" s="172">
        <v>0</v>
      </c>
      <c r="EO58" s="172">
        <v>-35.021999999999998</v>
      </c>
      <c r="EP58" s="172">
        <v>-31.6221</v>
      </c>
      <c r="EQ58" s="172">
        <v>26.16</v>
      </c>
      <c r="ER58" s="172">
        <v>-92.851699999999994</v>
      </c>
      <c r="ES58" s="172">
        <v>-95.038200000000003</v>
      </c>
      <c r="ET58" s="172">
        <v>-90.806399999999996</v>
      </c>
      <c r="EU58" s="172">
        <v>0</v>
      </c>
      <c r="EV58" s="172">
        <v>-26.56</v>
      </c>
      <c r="EW58" s="172">
        <v>0</v>
      </c>
      <c r="EX58" s="172">
        <v>7.5864000000000003</v>
      </c>
      <c r="EY58" s="172">
        <v>-120.4863</v>
      </c>
      <c r="EZ58" s="172">
        <v>-40.901000000000003</v>
      </c>
      <c r="FA58" s="172">
        <v>-39.892600000000002</v>
      </c>
      <c r="FB58" s="172">
        <v>2.4727000000000001</v>
      </c>
      <c r="FC58" s="172">
        <v>-123.1584</v>
      </c>
      <c r="FD58" s="172">
        <v>0</v>
      </c>
      <c r="FE58" s="172">
        <v>18.702000000000002</v>
      </c>
      <c r="FF58" s="172">
        <v>20.7424</v>
      </c>
      <c r="FG58" s="172">
        <v>0</v>
      </c>
      <c r="FH58" s="172">
        <v>38.273400000000002</v>
      </c>
      <c r="FI58" s="172">
        <v>38.837899999999998</v>
      </c>
      <c r="FJ58" s="172">
        <v>37.5366</v>
      </c>
      <c r="FK58" s="172">
        <v>23.109000000000002</v>
      </c>
      <c r="FL58" s="172">
        <v>22.6066</v>
      </c>
      <c r="FM58" s="172">
        <v>-47.055199999999999</v>
      </c>
      <c r="FN58" s="172">
        <v>0</v>
      </c>
      <c r="FO58" s="172">
        <v>6.9246999999999996</v>
      </c>
      <c r="FP58" s="172">
        <v>-56.233400000000003</v>
      </c>
      <c r="FQ58" s="172">
        <v>-50.646500000000003</v>
      </c>
      <c r="FR58" s="172">
        <v>-14.104799999999999</v>
      </c>
      <c r="FS58" s="172">
        <v>-38.22</v>
      </c>
      <c r="FT58" s="172">
        <v>0</v>
      </c>
      <c r="FU58" s="172">
        <v>0.74490000000000001</v>
      </c>
      <c r="FV58" s="172">
        <v>1.28</v>
      </c>
      <c r="FW58" s="172">
        <v>14.63</v>
      </c>
      <c r="FX58" s="172">
        <v>-13.978199999999999</v>
      </c>
      <c r="FY58" s="172">
        <v>4.8015999999999996</v>
      </c>
      <c r="FZ58" s="172">
        <v>-11.627000000000001</v>
      </c>
      <c r="GA58" s="172">
        <v>0.58799999999999997</v>
      </c>
      <c r="GB58" s="172">
        <v>11.0411</v>
      </c>
      <c r="GC58" s="172">
        <v>27.69</v>
      </c>
      <c r="GD58" s="172">
        <v>1.9420999999999999</v>
      </c>
      <c r="GE58" s="172">
        <v>8.1576000000000004</v>
      </c>
      <c r="GF58" s="172">
        <v>13.58</v>
      </c>
      <c r="GG58" s="172">
        <v>69.981899999999996</v>
      </c>
      <c r="GH58" s="172">
        <v>20.7</v>
      </c>
      <c r="GI58" s="172">
        <v>-20.929400000000001</v>
      </c>
      <c r="GJ58" s="172">
        <v>-14.021000000000001</v>
      </c>
      <c r="GK58" s="172">
        <v>-15.136900000000001</v>
      </c>
      <c r="GL58" s="172">
        <v>1.3044</v>
      </c>
      <c r="GM58" s="172">
        <v>0</v>
      </c>
      <c r="GN58" s="172">
        <v>0</v>
      </c>
      <c r="GO58" s="172">
        <v>-20.6404</v>
      </c>
      <c r="GP58" s="172">
        <v>-39.190600000000003</v>
      </c>
      <c r="GQ58" s="172">
        <v>9.9476999999999993</v>
      </c>
      <c r="GR58" s="172">
        <v>17.3123</v>
      </c>
      <c r="GS58" s="172">
        <v>8.1507000000000005</v>
      </c>
      <c r="GT58" s="172">
        <v>8.2689000000000004</v>
      </c>
      <c r="GU58" s="172">
        <v>-134.8741</v>
      </c>
      <c r="GV58" s="172">
        <v>-32.356200000000001</v>
      </c>
      <c r="GW58" s="172">
        <v>20.2605</v>
      </c>
      <c r="GX58" s="172">
        <v>-74.771699999999996</v>
      </c>
      <c r="GY58" s="172">
        <v>3.4213</v>
      </c>
      <c r="GZ58" s="172">
        <v>6.0366</v>
      </c>
      <c r="HA58" s="172">
        <v>5.7495000000000003</v>
      </c>
      <c r="HB58" s="172">
        <v>5.0824999999999996</v>
      </c>
      <c r="HC58" s="172">
        <v>90.790199999999999</v>
      </c>
      <c r="HD58" s="172">
        <v>91.906599999999997</v>
      </c>
      <c r="HE58" s="172">
        <v>185.6</v>
      </c>
      <c r="HF58" s="172">
        <v>-282.64370000000002</v>
      </c>
      <c r="HG58" s="172">
        <v>-573.55880000000002</v>
      </c>
      <c r="HH58" s="172">
        <v>388.57139999999998</v>
      </c>
      <c r="HI58" s="172">
        <v>154.7424</v>
      </c>
      <c r="HJ58" s="172">
        <v>-198.125</v>
      </c>
      <c r="HK58" s="172">
        <v>-195.52209999999999</v>
      </c>
      <c r="HL58" s="172">
        <v>-62.6693</v>
      </c>
      <c r="HM58" s="172">
        <v>-55.056800000000003</v>
      </c>
      <c r="HN58" s="172">
        <v>69.280799999999999</v>
      </c>
      <c r="HO58" s="172">
        <v>72.2577</v>
      </c>
      <c r="HP58" s="172">
        <v>-146.70840000000001</v>
      </c>
      <c r="HQ58" s="172">
        <v>-146.28620000000001</v>
      </c>
      <c r="HR58" s="172">
        <v>10.736599999999999</v>
      </c>
      <c r="HS58" s="172">
        <v>11.2309</v>
      </c>
      <c r="HT58" s="172">
        <v>-102.89109999999999</v>
      </c>
      <c r="HU58" s="172">
        <v>-104.3145</v>
      </c>
      <c r="HV58" s="172">
        <v>-35.36</v>
      </c>
      <c r="HW58" s="172">
        <v>-35.159999999999997</v>
      </c>
      <c r="HX58" s="172">
        <v>24.7</v>
      </c>
      <c r="HY58" s="172">
        <v>25.2</v>
      </c>
      <c r="HZ58" s="172">
        <v>20.428000000000001</v>
      </c>
      <c r="IA58" s="172">
        <v>-58.08</v>
      </c>
      <c r="IB58" s="172">
        <v>-424.08929999999998</v>
      </c>
      <c r="IC58" s="172">
        <v>62.494500000000002</v>
      </c>
      <c r="ID58" s="172">
        <v>62.183900000000001</v>
      </c>
      <c r="IE58" s="172">
        <v>11.1</v>
      </c>
      <c r="IF58" s="172">
        <v>-1.1000000000000001</v>
      </c>
      <c r="IG58" s="172">
        <v>-46.4</v>
      </c>
      <c r="IH58" s="172">
        <v>-56.1</v>
      </c>
      <c r="II58" s="172">
        <v>1.2907</v>
      </c>
      <c r="IJ58" s="172">
        <v>1.0817000000000001</v>
      </c>
      <c r="IK58" s="172">
        <v>-628.8691</v>
      </c>
      <c r="IL58" s="172">
        <v>-479.45049999999998</v>
      </c>
      <c r="IM58" s="172">
        <v>134.5909</v>
      </c>
      <c r="IN58" s="172">
        <v>-25.8659</v>
      </c>
      <c r="IO58" s="172">
        <v>-73.903099999999995</v>
      </c>
      <c r="IP58" s="172">
        <v>-450.2296</v>
      </c>
      <c r="IQ58" s="172">
        <v>-34.204999999999998</v>
      </c>
      <c r="IR58" s="172">
        <v>-199.03569999999999</v>
      </c>
      <c r="IS58" s="172">
        <v>-274.9348</v>
      </c>
      <c r="IT58" s="172">
        <v>-445.99740000000003</v>
      </c>
      <c r="IU58" s="172">
        <v>77.603099999999998</v>
      </c>
      <c r="IV58" s="172">
        <v>80.297899999999998</v>
      </c>
      <c r="IW58" s="172">
        <v>0</v>
      </c>
      <c r="IX58" s="172">
        <v>-562.846</v>
      </c>
      <c r="IY58" s="172">
        <v>27.9407</v>
      </c>
      <c r="IZ58" s="172">
        <v>-308.32749999999999</v>
      </c>
      <c r="JA58" s="172">
        <v>20.562899999999999</v>
      </c>
      <c r="JB58" s="172">
        <v>-10.493499999999999</v>
      </c>
      <c r="JC58" s="172">
        <v>2.8780000000000001</v>
      </c>
      <c r="JD58" s="172">
        <v>12.64</v>
      </c>
      <c r="JE58" s="172">
        <v>-2E-3</v>
      </c>
      <c r="JF58" s="172">
        <v>-1.2999999999999999E-2</v>
      </c>
      <c r="JG58" s="172">
        <v>-24.8</v>
      </c>
      <c r="JH58" s="172">
        <v>-8.64</v>
      </c>
      <c r="JI58" s="172">
        <v>0</v>
      </c>
      <c r="JJ58" s="172">
        <v>-1.9913000000000001</v>
      </c>
      <c r="JK58" s="172">
        <v>-40.312800000000003</v>
      </c>
      <c r="JL58" s="172">
        <v>-22.175899999999999</v>
      </c>
      <c r="JM58" s="172">
        <v>4.2</v>
      </c>
      <c r="JN58" s="172">
        <v>23.53</v>
      </c>
      <c r="JO58" s="172">
        <v>23.132999999999999</v>
      </c>
      <c r="JP58" s="172">
        <v>0</v>
      </c>
      <c r="JQ58" s="172">
        <v>0</v>
      </c>
      <c r="JR58" s="172">
        <v>45.0702</v>
      </c>
      <c r="JS58" s="172">
        <v>45.086399999999998</v>
      </c>
      <c r="JT58" s="172">
        <v>45.586100000000002</v>
      </c>
      <c r="JU58" s="172">
        <v>0</v>
      </c>
      <c r="JV58" s="172">
        <v>-28.6</v>
      </c>
      <c r="JW58" s="172">
        <v>17.197600000000001</v>
      </c>
      <c r="JX58" s="172">
        <v>5.57</v>
      </c>
      <c r="JY58" s="172">
        <v>0</v>
      </c>
      <c r="JZ58" s="172">
        <v>-56.3125</v>
      </c>
      <c r="KA58" s="172">
        <v>74.002600000000001</v>
      </c>
      <c r="KB58" s="172">
        <v>45.3568</v>
      </c>
      <c r="KC58" s="172">
        <v>-54.618699999999997</v>
      </c>
      <c r="KD58" s="172">
        <v>-81.149299999999997</v>
      </c>
      <c r="KE58" s="172">
        <v>31.256599999999999</v>
      </c>
      <c r="KF58" s="172">
        <v>25.084599999999998</v>
      </c>
      <c r="KG58" s="172">
        <v>-16.399999999999999</v>
      </c>
      <c r="KH58" s="172">
        <v>-14.7</v>
      </c>
      <c r="KI58" s="172">
        <v>-300.37810000000002</v>
      </c>
      <c r="KJ58" s="172">
        <v>-48.256799999999998</v>
      </c>
    </row>
    <row r="59" spans="1:296" x14ac:dyDescent="0.3">
      <c r="A59" s="236" t="s">
        <v>869</v>
      </c>
      <c r="B59" s="236"/>
      <c r="C59" s="172">
        <v>0</v>
      </c>
      <c r="D59" s="172">
        <v>0</v>
      </c>
      <c r="E59" s="172">
        <v>16.674556249999998</v>
      </c>
      <c r="F59" s="172">
        <v>-24.830529166666665</v>
      </c>
      <c r="G59" s="172">
        <v>-12.661722916666667</v>
      </c>
      <c r="H59" s="172">
        <v>34.015683333333328</v>
      </c>
      <c r="I59" s="172">
        <v>0</v>
      </c>
      <c r="J59" s="172">
        <v>47.216166666666659</v>
      </c>
      <c r="K59" s="172">
        <v>-100.08536041666666</v>
      </c>
      <c r="L59" s="172">
        <v>64.226733333333343</v>
      </c>
      <c r="M59" s="172">
        <v>32.576427083333336</v>
      </c>
      <c r="N59" s="172">
        <v>31.843189583333331</v>
      </c>
      <c r="O59" s="172">
        <v>-14.615</v>
      </c>
      <c r="P59" s="172">
        <v>-57.417270833333333</v>
      </c>
      <c r="Q59" s="172">
        <v>52.055349999999997</v>
      </c>
      <c r="R59" s="172">
        <v>18.034875</v>
      </c>
      <c r="S59" s="172">
        <v>-51.516666666666666</v>
      </c>
      <c r="T59" s="172">
        <v>14.765833333333331</v>
      </c>
      <c r="U59" s="172">
        <v>56.185583333333334</v>
      </c>
      <c r="V59" s="172">
        <v>12.425070588235293</v>
      </c>
      <c r="W59" s="172">
        <v>17.295347916666667</v>
      </c>
      <c r="X59" s="172">
        <v>28.639235416666668</v>
      </c>
      <c r="Y59" s="172">
        <v>3.8024187500000002</v>
      </c>
      <c r="Z59" s="172">
        <v>3.7257458333333333</v>
      </c>
      <c r="AA59" s="172">
        <v>4.3000854166666667</v>
      </c>
      <c r="AB59" s="172">
        <v>0</v>
      </c>
      <c r="AC59" s="172">
        <v>0</v>
      </c>
      <c r="AD59" s="172">
        <v>-74.018333333333331</v>
      </c>
      <c r="AE59" s="172">
        <v>-74.089166666666671</v>
      </c>
      <c r="AF59" s="172">
        <v>0</v>
      </c>
      <c r="AG59" s="172">
        <v>14.615</v>
      </c>
      <c r="AH59" s="172">
        <v>56.145833333333336</v>
      </c>
      <c r="AI59" s="172">
        <v>21.490354166666666</v>
      </c>
      <c r="AJ59" s="172">
        <v>0.25608333333333333</v>
      </c>
      <c r="AK59" s="172">
        <v>-71.649791666666673</v>
      </c>
      <c r="AL59" s="172">
        <v>-71.772083333333327</v>
      </c>
      <c r="AM59" s="172">
        <v>-36.346041666666665</v>
      </c>
      <c r="AN59" s="172">
        <v>72.67520833333333</v>
      </c>
      <c r="AO59" s="172">
        <v>73.045000000000002</v>
      </c>
      <c r="AP59" s="172">
        <v>18.03489714285714</v>
      </c>
      <c r="AQ59" s="172">
        <v>0.37834791666666667</v>
      </c>
      <c r="AR59" s="172">
        <v>69.58096041666667</v>
      </c>
      <c r="AS59" s="172">
        <v>72.044216666666657</v>
      </c>
      <c r="AT59" s="172">
        <v>45.82742291666667</v>
      </c>
      <c r="AU59" s="172">
        <v>-58.011539583333331</v>
      </c>
      <c r="AV59" s="172">
        <v>-57.790197916666664</v>
      </c>
      <c r="AW59" s="172">
        <v>16.714706249999999</v>
      </c>
      <c r="AX59" s="172">
        <v>16.820254166666668</v>
      </c>
      <c r="AY59" s="172">
        <v>77.690799999999996</v>
      </c>
      <c r="AZ59" s="172">
        <v>79.099616666666662</v>
      </c>
      <c r="BA59" s="172">
        <v>13.667875</v>
      </c>
      <c r="BB59" s="172">
        <v>12.591052083333333</v>
      </c>
      <c r="BC59" s="172">
        <v>-487.3420375</v>
      </c>
      <c r="BD59" s="172">
        <v>-17.052037500000001</v>
      </c>
      <c r="BE59" s="172">
        <v>-10.833333333333332</v>
      </c>
      <c r="BF59" s="172">
        <v>-10.80625</v>
      </c>
      <c r="BG59" s="172">
        <v>63.918933333333328</v>
      </c>
      <c r="BH59" s="172">
        <v>63.030529166666661</v>
      </c>
      <c r="BI59" s="172">
        <v>-6.6357249999999999</v>
      </c>
      <c r="BJ59" s="172">
        <v>0</v>
      </c>
      <c r="BK59" s="172">
        <v>-50.795352083333327</v>
      </c>
      <c r="BL59" s="172">
        <v>7.5230604166666666</v>
      </c>
      <c r="BM59" s="172">
        <v>5.9137187500000001</v>
      </c>
      <c r="BN59" s="172">
        <v>3.7063708333333336</v>
      </c>
      <c r="BO59" s="172">
        <v>528.56833958333334</v>
      </c>
      <c r="BP59" s="172">
        <v>159.18386458333333</v>
      </c>
      <c r="BQ59" s="172">
        <v>158.92573333333331</v>
      </c>
      <c r="BR59" s="172">
        <v>-553.42906249999999</v>
      </c>
      <c r="BS59" s="172">
        <v>565.18506875000003</v>
      </c>
      <c r="BT59" s="172">
        <v>0</v>
      </c>
      <c r="BU59" s="172">
        <v>-40.472566666666673</v>
      </c>
      <c r="BV59" s="172">
        <v>42.2141375</v>
      </c>
      <c r="BW59" s="172">
        <v>104.25919583333332</v>
      </c>
      <c r="BX59" s="172">
        <v>34.43333333333333</v>
      </c>
      <c r="BY59" s="172">
        <v>21.472083333333334</v>
      </c>
      <c r="BZ59" s="172">
        <v>70.545520833333327</v>
      </c>
      <c r="CA59" s="172">
        <v>74.748229166666675</v>
      </c>
      <c r="CB59" s="172">
        <v>-49.850175</v>
      </c>
      <c r="CC59" s="172">
        <v>-49.766460416666668</v>
      </c>
      <c r="CD59" s="172">
        <v>109.50056666666666</v>
      </c>
      <c r="CE59" s="172">
        <v>110.35438125</v>
      </c>
      <c r="CF59" s="172">
        <v>20.020633333333336</v>
      </c>
      <c r="CG59" s="172">
        <v>-126.95538333333332</v>
      </c>
      <c r="CH59" s="172">
        <v>-126.69998124999999</v>
      </c>
      <c r="CI59" s="172">
        <v>5.8919208333333337</v>
      </c>
      <c r="CJ59" s="172">
        <v>0</v>
      </c>
      <c r="CK59" s="172">
        <v>17.857973913043477</v>
      </c>
      <c r="CL59" s="172">
        <v>24.556513513513515</v>
      </c>
      <c r="CM59" s="172">
        <v>127.45</v>
      </c>
      <c r="CN59" s="172">
        <v>114.80833333333334</v>
      </c>
      <c r="CO59" s="172">
        <v>-17.324791666666666</v>
      </c>
      <c r="CP59" s="172">
        <v>69.075550000000007</v>
      </c>
      <c r="CQ59" s="172">
        <v>67.800624999999997</v>
      </c>
      <c r="CR59" s="172">
        <v>67.372254166666664</v>
      </c>
      <c r="CS59" s="172">
        <v>-2.9701416666666667</v>
      </c>
      <c r="CT59" s="172">
        <v>-2.397766666666667</v>
      </c>
      <c r="CU59" s="172">
        <v>30.132216666666665</v>
      </c>
      <c r="CV59" s="172">
        <v>-83.722710416666658</v>
      </c>
      <c r="CW59" s="172">
        <v>36.890118749999999</v>
      </c>
      <c r="CX59" s="172">
        <v>15.010539583333333</v>
      </c>
      <c r="CY59" s="172">
        <v>73.597499999999997</v>
      </c>
      <c r="CZ59" s="172">
        <v>39.217083333333335</v>
      </c>
      <c r="DA59" s="172">
        <v>49.233383333333336</v>
      </c>
      <c r="DB59" s="172">
        <v>46.714783333333337</v>
      </c>
      <c r="DC59" s="172">
        <v>-33.674864583333331</v>
      </c>
      <c r="DD59" s="172">
        <v>0</v>
      </c>
      <c r="DE59" s="172">
        <v>0</v>
      </c>
      <c r="DF59" s="172">
        <v>0</v>
      </c>
      <c r="DG59" s="172">
        <v>-93.660025000000005</v>
      </c>
      <c r="DH59" s="172">
        <v>0</v>
      </c>
      <c r="DI59" s="172">
        <v>0</v>
      </c>
      <c r="DJ59" s="172">
        <v>-101.75624999999999</v>
      </c>
      <c r="DK59" s="172">
        <v>-101.80104166666666</v>
      </c>
      <c r="DL59" s="172">
        <v>21.686435416666669</v>
      </c>
      <c r="DM59" s="172">
        <v>58.765625</v>
      </c>
      <c r="DN59" s="172">
        <v>61.312083333333327</v>
      </c>
      <c r="DO59" s="172">
        <v>79.605000000000004</v>
      </c>
      <c r="DP59" s="172">
        <v>58.309791666666669</v>
      </c>
      <c r="DQ59" s="172">
        <v>-7.9343750000000002</v>
      </c>
      <c r="DR59" s="172">
        <v>66.410072916666664</v>
      </c>
      <c r="DS59" s="172">
        <v>92.704506249999994</v>
      </c>
      <c r="DT59" s="172">
        <v>-23.857083333333332</v>
      </c>
      <c r="DU59" s="172">
        <v>-24.162916666666664</v>
      </c>
      <c r="DV59" s="172">
        <v>105.77416666666666</v>
      </c>
      <c r="DW59" s="172">
        <v>68.216875000000002</v>
      </c>
      <c r="DX59" s="172">
        <v>93.222347916666664</v>
      </c>
      <c r="DY59" s="172">
        <v>92.042043750000005</v>
      </c>
      <c r="DZ59" s="172">
        <v>-9.5512020833333331</v>
      </c>
      <c r="EA59" s="172">
        <v>-27.530110416666666</v>
      </c>
      <c r="EB59" s="172">
        <v>217.06833541666666</v>
      </c>
      <c r="EC59" s="172">
        <v>168.38763125</v>
      </c>
      <c r="ED59" s="172">
        <v>162.30532083333333</v>
      </c>
      <c r="EE59" s="172">
        <v>164.79980833333335</v>
      </c>
      <c r="EF59" s="172">
        <v>98.739206249999995</v>
      </c>
      <c r="EG59" s="172">
        <v>77.21699375</v>
      </c>
      <c r="EH59" s="172">
        <v>-28.813874999999999</v>
      </c>
      <c r="EI59" s="172">
        <v>564.867525</v>
      </c>
      <c r="EJ59" s="172">
        <v>278.97231249999999</v>
      </c>
      <c r="EK59" s="172">
        <v>0</v>
      </c>
      <c r="EL59" s="172">
        <v>-28.863604166666665</v>
      </c>
      <c r="EM59" s="172">
        <v>-26.969249999999999</v>
      </c>
      <c r="EN59" s="172">
        <v>0</v>
      </c>
      <c r="EO59" s="172">
        <v>13.906414583333333</v>
      </c>
      <c r="EP59" s="172">
        <v>13.288114583333332</v>
      </c>
      <c r="EQ59" s="172">
        <v>104.98175000000001</v>
      </c>
      <c r="ER59" s="172">
        <v>-72.144177083333332</v>
      </c>
      <c r="ES59" s="172">
        <v>-73.396172916666671</v>
      </c>
      <c r="ET59" s="172">
        <v>-37.716181249999998</v>
      </c>
      <c r="EU59" s="172">
        <v>4.0322916666666675</v>
      </c>
      <c r="EV59" s="172">
        <v>-16.133541666666666</v>
      </c>
      <c r="EW59" s="172">
        <v>59.931914893617019</v>
      </c>
      <c r="EX59" s="172">
        <v>11.810689583333334</v>
      </c>
      <c r="EY59" s="172">
        <v>-21.786781250000001</v>
      </c>
      <c r="EZ59" s="172">
        <v>-37.43118333333333</v>
      </c>
      <c r="FA59" s="172">
        <v>-36.523741666666666</v>
      </c>
      <c r="FB59" s="172">
        <v>7.6465874999999999</v>
      </c>
      <c r="FC59" s="172">
        <v>-74.636418750000004</v>
      </c>
      <c r="FD59" s="172">
        <v>42.257002083333333</v>
      </c>
      <c r="FE59" s="172">
        <v>22.808439583333332</v>
      </c>
      <c r="FF59" s="172">
        <v>24.614552083333333</v>
      </c>
      <c r="FG59" s="172">
        <v>0</v>
      </c>
      <c r="FH59" s="172">
        <v>40.273000000000003</v>
      </c>
      <c r="FI59" s="172">
        <v>40.76470208333334</v>
      </c>
      <c r="FJ59" s="172">
        <v>39.425968750000003</v>
      </c>
      <c r="FK59" s="172">
        <v>49.556604166666666</v>
      </c>
      <c r="FL59" s="172">
        <v>49.636839583333334</v>
      </c>
      <c r="FM59" s="172">
        <v>-27.658206249999999</v>
      </c>
      <c r="FN59" s="172">
        <v>10.9630875</v>
      </c>
      <c r="FO59" s="172">
        <v>29.946818749999998</v>
      </c>
      <c r="FP59" s="172">
        <v>-34.827679166666663</v>
      </c>
      <c r="FQ59" s="172">
        <v>-26.479035416666669</v>
      </c>
      <c r="FR59" s="172">
        <v>1.5196479166666668</v>
      </c>
      <c r="FS59" s="172">
        <v>-25.337291666666665</v>
      </c>
      <c r="FT59" s="172">
        <v>0</v>
      </c>
      <c r="FU59" s="172">
        <v>1.1109479166666667</v>
      </c>
      <c r="FV59" s="172">
        <v>1.3472916666666668</v>
      </c>
      <c r="FW59" s="172">
        <v>18.138333333333335</v>
      </c>
      <c r="FX59" s="172">
        <v>6.9693749999999999E-2</v>
      </c>
      <c r="FY59" s="172">
        <v>6.7352249999999998</v>
      </c>
      <c r="FZ59" s="172">
        <v>-9.6451562499999994</v>
      </c>
      <c r="GA59" s="172">
        <v>3.288604166666667</v>
      </c>
      <c r="GB59" s="172">
        <v>12.19852</v>
      </c>
      <c r="GC59" s="172">
        <v>32.495416666666664</v>
      </c>
      <c r="GD59" s="172">
        <v>28.028597916666666</v>
      </c>
      <c r="GE59" s="172">
        <v>34.61885625</v>
      </c>
      <c r="GF59" s="172">
        <v>15.049687499999999</v>
      </c>
      <c r="GG59" s="172">
        <v>74.71852916666667</v>
      </c>
      <c r="GH59" s="172">
        <v>27.4</v>
      </c>
      <c r="GI59" s="172">
        <v>-10.826102083333334</v>
      </c>
      <c r="GJ59" s="172">
        <v>-6.8491249999999999</v>
      </c>
      <c r="GK59" s="172">
        <v>-7.7572288888888892</v>
      </c>
      <c r="GL59" s="172">
        <v>2.085372916666667</v>
      </c>
      <c r="GM59" s="172">
        <v>0</v>
      </c>
      <c r="GN59" s="172">
        <v>0</v>
      </c>
      <c r="GO59" s="172">
        <v>-16.979566666666667</v>
      </c>
      <c r="GP59" s="172">
        <v>-26.374672916666665</v>
      </c>
      <c r="GQ59" s="172">
        <v>11.950775</v>
      </c>
      <c r="GR59" s="172">
        <v>27.440312500000001</v>
      </c>
      <c r="GS59" s="172">
        <v>12.324258333333333</v>
      </c>
      <c r="GT59" s="172">
        <v>12.374812500000001</v>
      </c>
      <c r="GU59" s="172">
        <v>-111.03468333333332</v>
      </c>
      <c r="GV59" s="172">
        <v>-25.331370833333331</v>
      </c>
      <c r="GW59" s="172">
        <v>30.396366666666665</v>
      </c>
      <c r="GX59" s="172">
        <v>-37.816989583333331</v>
      </c>
      <c r="GY59" s="172">
        <v>9.0997895833333331</v>
      </c>
      <c r="GZ59" s="172">
        <v>12.592127083333333</v>
      </c>
      <c r="HA59" s="172">
        <v>12.2113</v>
      </c>
      <c r="HB59" s="172">
        <v>10.805058333333335</v>
      </c>
      <c r="HC59" s="172">
        <v>147.80943541666664</v>
      </c>
      <c r="HD59" s="172">
        <v>147.56695625</v>
      </c>
      <c r="HE59" s="172">
        <v>239.76666875000001</v>
      </c>
      <c r="HF59" s="172">
        <v>-238.89414166666666</v>
      </c>
      <c r="HG59" s="172">
        <v>-493.97043333333335</v>
      </c>
      <c r="HH59" s="172">
        <v>496.16028333333333</v>
      </c>
      <c r="HI59" s="172">
        <v>447.04992083333332</v>
      </c>
      <c r="HJ59" s="172">
        <v>-141.84132708333334</v>
      </c>
      <c r="HK59" s="172">
        <v>-139.84444999999999</v>
      </c>
      <c r="HL59" s="172">
        <v>-54.121308333333332</v>
      </c>
      <c r="HM59" s="172">
        <v>-44.574114583333333</v>
      </c>
      <c r="HN59" s="172">
        <v>77.674504166666665</v>
      </c>
      <c r="HO59" s="172">
        <v>77.424785416666666</v>
      </c>
      <c r="HP59" s="172">
        <v>-94.794041176470586</v>
      </c>
      <c r="HQ59" s="172">
        <v>-97.611587499999999</v>
      </c>
      <c r="HR59" s="172">
        <v>31.48385833333333</v>
      </c>
      <c r="HS59" s="172">
        <v>30.980775000000001</v>
      </c>
      <c r="HT59" s="172">
        <v>-66.067627083333335</v>
      </c>
      <c r="HU59" s="172">
        <v>-66.111320833333338</v>
      </c>
      <c r="HV59" s="172">
        <v>42.158749999999998</v>
      </c>
      <c r="HW59" s="172">
        <v>41.776458333333331</v>
      </c>
      <c r="HX59" s="172">
        <v>45.114583333333336</v>
      </c>
      <c r="HY59" s="172">
        <v>45.077083333333327</v>
      </c>
      <c r="HZ59" s="172">
        <v>20.767279166666665</v>
      </c>
      <c r="IA59" s="172">
        <v>6.0549999999999997</v>
      </c>
      <c r="IB59" s="172">
        <v>-359.57972083333328</v>
      </c>
      <c r="IC59" s="172">
        <v>84.587927777777765</v>
      </c>
      <c r="ID59" s="172">
        <v>84.234152777777766</v>
      </c>
      <c r="IE59" s="172">
        <v>13.757291666666665</v>
      </c>
      <c r="IF59" s="172">
        <v>12.066666666666666</v>
      </c>
      <c r="IG59" s="172">
        <v>-30.029166666666665</v>
      </c>
      <c r="IH59" s="172">
        <v>-35.693750000000001</v>
      </c>
      <c r="II59" s="172">
        <v>1.4521444444444445</v>
      </c>
      <c r="IJ59" s="172">
        <v>1.2635125</v>
      </c>
      <c r="IK59" s="172">
        <v>-437.86868333333325</v>
      </c>
      <c r="IL59" s="172">
        <v>-249.46051875000001</v>
      </c>
      <c r="IM59" s="172">
        <v>385.70491458333333</v>
      </c>
      <c r="IN59" s="172">
        <v>257.23505208333336</v>
      </c>
      <c r="IO59" s="172">
        <v>-15.418275</v>
      </c>
      <c r="IP59" s="172">
        <v>-250.22966458333332</v>
      </c>
      <c r="IQ59" s="172">
        <v>247.65382916666664</v>
      </c>
      <c r="IR59" s="172">
        <v>-117.85309791666666</v>
      </c>
      <c r="IS59" s="172">
        <v>-194.3917375</v>
      </c>
      <c r="IT59" s="172">
        <v>-244.3881375</v>
      </c>
      <c r="IU59" s="172">
        <v>145.46886041666667</v>
      </c>
      <c r="IV59" s="172">
        <v>144.81437500000001</v>
      </c>
      <c r="IW59" s="172">
        <v>119.41716875</v>
      </c>
      <c r="IX59" s="172">
        <v>-371.40043541666665</v>
      </c>
      <c r="IY59" s="172">
        <v>200.19952499999999</v>
      </c>
      <c r="IZ59" s="172">
        <v>-175.13263333333333</v>
      </c>
      <c r="JA59" s="172">
        <v>175.92552708333332</v>
      </c>
      <c r="JB59" s="172">
        <v>-8.596070833333334</v>
      </c>
      <c r="JC59" s="172">
        <v>25.542083333333331</v>
      </c>
      <c r="JD59" s="172">
        <v>19.563333333333333</v>
      </c>
      <c r="JE59" s="172">
        <v>1.2056458333333335</v>
      </c>
      <c r="JF59" s="172">
        <v>1.1993125</v>
      </c>
      <c r="JG59" s="172">
        <v>-19.170000000000002</v>
      </c>
      <c r="JH59" s="172">
        <v>-3.2283333333333335</v>
      </c>
      <c r="JI59" s="172">
        <v>0</v>
      </c>
      <c r="JJ59" s="172">
        <v>3.226654166666667</v>
      </c>
      <c r="JK59" s="172">
        <v>-31.524306249999999</v>
      </c>
      <c r="JL59" s="172">
        <v>-17.577368750000002</v>
      </c>
      <c r="JM59" s="172">
        <v>16.889583333333334</v>
      </c>
      <c r="JN59" s="172">
        <v>50.509937499999999</v>
      </c>
      <c r="JO59" s="172">
        <v>50.282916666666665</v>
      </c>
      <c r="JP59" s="172">
        <v>6.9947249999999999</v>
      </c>
      <c r="JQ59" s="172">
        <v>8.3143636363636375</v>
      </c>
      <c r="JR59" s="172">
        <v>50.66293541666667</v>
      </c>
      <c r="JS59" s="172">
        <v>50.250914583333333</v>
      </c>
      <c r="JT59" s="172">
        <v>50.795127083333334</v>
      </c>
      <c r="JU59" s="172">
        <v>0</v>
      </c>
      <c r="JV59" s="172">
        <v>-11.314583333333333</v>
      </c>
      <c r="JW59" s="172">
        <v>27.753566666666668</v>
      </c>
      <c r="JX59" s="172">
        <v>8.2952083333333331</v>
      </c>
      <c r="JY59" s="172">
        <v>0</v>
      </c>
      <c r="JZ59" s="172">
        <v>-42.937541666666668</v>
      </c>
      <c r="KA59" s="172">
        <v>78.427366666666671</v>
      </c>
      <c r="KB59" s="172">
        <v>55.021000000000001</v>
      </c>
      <c r="KC59" s="172">
        <v>-42.374441666666662</v>
      </c>
      <c r="KD59" s="172">
        <v>-76.797847916666669</v>
      </c>
      <c r="KE59" s="172">
        <v>43.736272916666671</v>
      </c>
      <c r="KF59" s="172">
        <v>32.882277083333335</v>
      </c>
      <c r="KG59" s="172">
        <v>-2.5874999999999999</v>
      </c>
      <c r="KH59" s="172">
        <v>2.4770833333333333</v>
      </c>
      <c r="KI59" s="172">
        <v>-45.484250000000003</v>
      </c>
      <c r="KJ59" s="172">
        <v>174.54035625</v>
      </c>
    </row>
    <row r="60" spans="1:296" x14ac:dyDescent="0.3">
      <c r="A60" s="236" t="s">
        <v>2466</v>
      </c>
      <c r="B60" s="236"/>
      <c r="C60" s="159" t="s">
        <v>188</v>
      </c>
      <c r="D60" s="159" t="s">
        <v>188</v>
      </c>
      <c r="E60" s="159" t="s">
        <v>188</v>
      </c>
      <c r="F60" s="159" t="s">
        <v>188</v>
      </c>
      <c r="G60" s="159" t="s">
        <v>188</v>
      </c>
      <c r="H60" s="159" t="s">
        <v>188</v>
      </c>
      <c r="I60" s="159" t="s">
        <v>2467</v>
      </c>
      <c r="J60" s="159" t="s">
        <v>188</v>
      </c>
      <c r="K60" s="159" t="s">
        <v>188</v>
      </c>
      <c r="L60" s="159" t="s">
        <v>2467</v>
      </c>
      <c r="M60" s="159" t="s">
        <v>188</v>
      </c>
      <c r="N60" s="159" t="s">
        <v>188</v>
      </c>
      <c r="O60" s="159" t="s">
        <v>188</v>
      </c>
      <c r="P60" s="159" t="s">
        <v>188</v>
      </c>
      <c r="Q60" s="159" t="s">
        <v>188</v>
      </c>
      <c r="R60" s="159" t="s">
        <v>188</v>
      </c>
      <c r="S60" s="159" t="s">
        <v>188</v>
      </c>
      <c r="T60" s="159" t="s">
        <v>188</v>
      </c>
      <c r="U60" s="159" t="s">
        <v>188</v>
      </c>
      <c r="V60" s="159" t="s">
        <v>188</v>
      </c>
      <c r="W60" s="159" t="s">
        <v>188</v>
      </c>
      <c r="X60" s="159" t="s">
        <v>188</v>
      </c>
      <c r="Y60" s="159" t="s">
        <v>2467</v>
      </c>
      <c r="Z60" s="159" t="s">
        <v>2467</v>
      </c>
      <c r="AA60" s="159" t="s">
        <v>2467</v>
      </c>
      <c r="AB60" s="159" t="s">
        <v>188</v>
      </c>
      <c r="AC60" s="159" t="s">
        <v>2467</v>
      </c>
      <c r="AD60" s="159" t="s">
        <v>188</v>
      </c>
      <c r="AE60" s="159" t="s">
        <v>188</v>
      </c>
      <c r="AF60" s="159" t="s">
        <v>2467</v>
      </c>
      <c r="AG60" s="159" t="s">
        <v>188</v>
      </c>
      <c r="AH60" s="159" t="s">
        <v>188</v>
      </c>
      <c r="AI60" s="159" t="s">
        <v>188</v>
      </c>
      <c r="AJ60" s="159" t="s">
        <v>188</v>
      </c>
      <c r="AK60" s="159" t="s">
        <v>188</v>
      </c>
      <c r="AL60" s="159" t="s">
        <v>188</v>
      </c>
      <c r="AM60" s="159" t="s">
        <v>2467</v>
      </c>
      <c r="AN60" s="159" t="s">
        <v>188</v>
      </c>
      <c r="AO60" s="159" t="s">
        <v>188</v>
      </c>
      <c r="AP60" s="159" t="s">
        <v>188</v>
      </c>
      <c r="AQ60" s="159" t="s">
        <v>2467</v>
      </c>
      <c r="AR60" s="159" t="s">
        <v>188</v>
      </c>
      <c r="AS60" s="159" t="s">
        <v>188</v>
      </c>
      <c r="AT60" s="159" t="s">
        <v>188</v>
      </c>
      <c r="AU60" s="159" t="s">
        <v>188</v>
      </c>
      <c r="AV60" s="159" t="s">
        <v>188</v>
      </c>
      <c r="AW60" s="159" t="s">
        <v>2467</v>
      </c>
      <c r="AX60" s="159" t="s">
        <v>2467</v>
      </c>
      <c r="AY60" s="159" t="s">
        <v>188</v>
      </c>
      <c r="AZ60" s="159" t="s">
        <v>188</v>
      </c>
      <c r="BA60" s="159" t="s">
        <v>188</v>
      </c>
      <c r="BB60" s="159" t="s">
        <v>188</v>
      </c>
      <c r="BC60" s="159" t="s">
        <v>188</v>
      </c>
      <c r="BD60" s="159" t="s">
        <v>2467</v>
      </c>
      <c r="BE60" s="159" t="s">
        <v>2467</v>
      </c>
      <c r="BF60" s="159" t="s">
        <v>2467</v>
      </c>
      <c r="BG60" s="159" t="s">
        <v>188</v>
      </c>
      <c r="BH60" s="159" t="s">
        <v>188</v>
      </c>
      <c r="BI60" s="159" t="s">
        <v>2467</v>
      </c>
      <c r="BJ60" s="159" t="s">
        <v>2467</v>
      </c>
      <c r="BK60" s="159" t="s">
        <v>2467</v>
      </c>
      <c r="BL60" s="159" t="s">
        <v>2467</v>
      </c>
      <c r="BM60" s="159" t="s">
        <v>2467</v>
      </c>
      <c r="BN60" s="159" t="s">
        <v>2467</v>
      </c>
      <c r="BO60" s="159" t="s">
        <v>188</v>
      </c>
      <c r="BP60" s="159" t="s">
        <v>188</v>
      </c>
      <c r="BQ60" s="159" t="s">
        <v>188</v>
      </c>
      <c r="BR60" s="159" t="s">
        <v>2467</v>
      </c>
      <c r="BS60" s="159" t="s">
        <v>2467</v>
      </c>
      <c r="BT60" s="159" t="s">
        <v>2467</v>
      </c>
      <c r="BU60" s="159" t="s">
        <v>2467</v>
      </c>
      <c r="BV60" s="159" t="s">
        <v>2467</v>
      </c>
      <c r="BW60" s="159" t="s">
        <v>2467</v>
      </c>
      <c r="BX60" s="159" t="s">
        <v>2467</v>
      </c>
      <c r="BY60" s="159" t="s">
        <v>2468</v>
      </c>
      <c r="BZ60" s="159" t="s">
        <v>2467</v>
      </c>
      <c r="CA60" s="159" t="s">
        <v>2467</v>
      </c>
      <c r="CB60" s="159" t="s">
        <v>2467</v>
      </c>
      <c r="CC60" s="159" t="s">
        <v>2467</v>
      </c>
      <c r="CD60" s="159" t="s">
        <v>2467</v>
      </c>
      <c r="CE60" s="159" t="s">
        <v>2467</v>
      </c>
      <c r="CF60" s="159" t="s">
        <v>2467</v>
      </c>
      <c r="CG60" s="159" t="s">
        <v>2467</v>
      </c>
      <c r="CH60" s="159" t="s">
        <v>2467</v>
      </c>
      <c r="CI60" s="159" t="s">
        <v>2467</v>
      </c>
      <c r="CJ60" s="159" t="s">
        <v>2467</v>
      </c>
      <c r="CK60" s="159" t="s">
        <v>2467</v>
      </c>
      <c r="CL60" s="159" t="s">
        <v>2467</v>
      </c>
      <c r="CM60" s="159" t="s">
        <v>2467</v>
      </c>
      <c r="CN60" s="159" t="s">
        <v>2467</v>
      </c>
      <c r="CO60" s="159" t="s">
        <v>2467</v>
      </c>
      <c r="CP60" s="159" t="s">
        <v>2467</v>
      </c>
      <c r="CQ60" s="159" t="s">
        <v>2467</v>
      </c>
      <c r="CR60" s="159" t="s">
        <v>2467</v>
      </c>
      <c r="CS60" s="159" t="s">
        <v>2467</v>
      </c>
      <c r="CT60" s="159" t="s">
        <v>2467</v>
      </c>
      <c r="CU60" s="159" t="s">
        <v>2467</v>
      </c>
      <c r="CV60" s="159" t="s">
        <v>2467</v>
      </c>
      <c r="CW60" s="159" t="s">
        <v>2467</v>
      </c>
      <c r="CX60" s="159" t="s">
        <v>2467</v>
      </c>
      <c r="CY60" s="159" t="s">
        <v>2467</v>
      </c>
      <c r="CZ60" s="159" t="s">
        <v>2467</v>
      </c>
      <c r="DA60" s="159" t="s">
        <v>2467</v>
      </c>
      <c r="DB60" s="159" t="s">
        <v>2467</v>
      </c>
      <c r="DC60" s="159" t="s">
        <v>2467</v>
      </c>
      <c r="DD60" s="159" t="s">
        <v>2467</v>
      </c>
      <c r="DE60" s="159" t="s">
        <v>2467</v>
      </c>
      <c r="DF60" s="159" t="s">
        <v>2467</v>
      </c>
      <c r="DG60" s="159" t="s">
        <v>2467</v>
      </c>
      <c r="DH60" s="159" t="s">
        <v>2467</v>
      </c>
      <c r="DI60" s="159" t="s">
        <v>2467</v>
      </c>
      <c r="DJ60" s="159" t="s">
        <v>2467</v>
      </c>
      <c r="DK60" s="159" t="s">
        <v>2467</v>
      </c>
      <c r="DL60" s="159" t="s">
        <v>2467</v>
      </c>
      <c r="DM60" s="159" t="s">
        <v>2467</v>
      </c>
      <c r="DN60" s="159" t="s">
        <v>2467</v>
      </c>
      <c r="DO60" s="159" t="s">
        <v>2467</v>
      </c>
      <c r="DP60" s="159" t="s">
        <v>2467</v>
      </c>
      <c r="DQ60" s="159" t="s">
        <v>2467</v>
      </c>
      <c r="DR60" s="159" t="s">
        <v>2467</v>
      </c>
      <c r="DS60" s="159" t="s">
        <v>2467</v>
      </c>
      <c r="DT60" s="159" t="s">
        <v>2467</v>
      </c>
      <c r="DU60" s="159" t="s">
        <v>2467</v>
      </c>
      <c r="DV60" s="159" t="s">
        <v>2467</v>
      </c>
      <c r="DW60" s="159" t="s">
        <v>2467</v>
      </c>
      <c r="DX60" s="159" t="s">
        <v>2467</v>
      </c>
      <c r="DY60" s="159" t="s">
        <v>2467</v>
      </c>
      <c r="DZ60" s="159" t="s">
        <v>2467</v>
      </c>
      <c r="EA60" s="159" t="s">
        <v>2467</v>
      </c>
      <c r="EB60" s="159" t="s">
        <v>2467</v>
      </c>
      <c r="EC60" s="159" t="s">
        <v>2467</v>
      </c>
      <c r="ED60" s="159" t="s">
        <v>2467</v>
      </c>
      <c r="EE60" s="159" t="s">
        <v>2467</v>
      </c>
      <c r="EF60" s="159" t="s">
        <v>2467</v>
      </c>
      <c r="EG60" s="159" t="s">
        <v>2467</v>
      </c>
      <c r="EH60" s="159" t="s">
        <v>2467</v>
      </c>
      <c r="EI60" s="159" t="s">
        <v>2467</v>
      </c>
      <c r="EJ60" s="159" t="s">
        <v>2467</v>
      </c>
      <c r="EK60" s="159" t="s">
        <v>2467</v>
      </c>
      <c r="EL60" s="159" t="s">
        <v>2467</v>
      </c>
      <c r="EM60" s="159" t="s">
        <v>2467</v>
      </c>
      <c r="EN60" s="159" t="s">
        <v>2467</v>
      </c>
      <c r="EO60" s="159" t="s">
        <v>2467</v>
      </c>
      <c r="EP60" s="159" t="s">
        <v>2467</v>
      </c>
      <c r="EQ60" s="159" t="s">
        <v>2467</v>
      </c>
      <c r="ER60" s="159" t="s">
        <v>2467</v>
      </c>
      <c r="ES60" s="159" t="s">
        <v>2467</v>
      </c>
      <c r="ET60" s="159" t="s">
        <v>2467</v>
      </c>
      <c r="EU60" s="159" t="s">
        <v>2467</v>
      </c>
      <c r="EV60" s="159" t="s">
        <v>2467</v>
      </c>
      <c r="EW60" s="159" t="s">
        <v>2467</v>
      </c>
      <c r="EX60" s="159" t="s">
        <v>2467</v>
      </c>
      <c r="EY60" s="159" t="s">
        <v>2467</v>
      </c>
      <c r="EZ60" s="159" t="s">
        <v>2467</v>
      </c>
      <c r="FA60" s="159" t="s">
        <v>2467</v>
      </c>
      <c r="FB60" s="159" t="s">
        <v>2467</v>
      </c>
      <c r="FC60" s="159" t="s">
        <v>2467</v>
      </c>
      <c r="FD60" s="159" t="s">
        <v>2467</v>
      </c>
      <c r="FE60" s="159" t="s">
        <v>2467</v>
      </c>
      <c r="FF60" s="159" t="s">
        <v>2467</v>
      </c>
      <c r="FG60" s="159" t="s">
        <v>2467</v>
      </c>
      <c r="FH60" s="159" t="s">
        <v>2467</v>
      </c>
      <c r="FI60" s="159" t="s">
        <v>2467</v>
      </c>
      <c r="FJ60" s="159" t="s">
        <v>2467</v>
      </c>
      <c r="FK60" s="159" t="s">
        <v>2467</v>
      </c>
      <c r="FL60" s="159" t="s">
        <v>2467</v>
      </c>
      <c r="FM60" s="159" t="s">
        <v>2467</v>
      </c>
      <c r="FN60" s="159" t="s">
        <v>2467</v>
      </c>
      <c r="FO60" s="159" t="s">
        <v>2467</v>
      </c>
      <c r="FP60" s="159" t="s">
        <v>2467</v>
      </c>
      <c r="FQ60" s="159" t="s">
        <v>2467</v>
      </c>
      <c r="FR60" s="159" t="s">
        <v>2467</v>
      </c>
      <c r="FS60" s="159" t="s">
        <v>2467</v>
      </c>
      <c r="FT60" s="159" t="s">
        <v>2467</v>
      </c>
      <c r="FU60" s="159" t="s">
        <v>2467</v>
      </c>
      <c r="FV60" s="159" t="s">
        <v>2467</v>
      </c>
      <c r="FW60" s="159" t="s">
        <v>2467</v>
      </c>
      <c r="FX60" s="159" t="s">
        <v>2467</v>
      </c>
      <c r="FY60" s="159" t="s">
        <v>2467</v>
      </c>
      <c r="FZ60" s="159" t="s">
        <v>2467</v>
      </c>
      <c r="GA60" s="159" t="s">
        <v>2467</v>
      </c>
      <c r="GB60" s="159" t="s">
        <v>2467</v>
      </c>
      <c r="GC60" s="159" t="s">
        <v>2467</v>
      </c>
      <c r="GD60" s="159" t="s">
        <v>2467</v>
      </c>
      <c r="GE60" s="159" t="s">
        <v>2467</v>
      </c>
      <c r="GF60" s="159" t="s">
        <v>2467</v>
      </c>
      <c r="GG60" s="159" t="s">
        <v>2467</v>
      </c>
      <c r="GH60" s="159" t="s">
        <v>2467</v>
      </c>
      <c r="GI60" s="159" t="s">
        <v>2467</v>
      </c>
      <c r="GJ60" s="159" t="s">
        <v>2467</v>
      </c>
      <c r="GK60" s="159" t="s">
        <v>2467</v>
      </c>
      <c r="GL60" s="159" t="s">
        <v>2467</v>
      </c>
      <c r="GM60" s="159" t="s">
        <v>2467</v>
      </c>
      <c r="GN60" s="159" t="s">
        <v>2467</v>
      </c>
      <c r="GO60" s="159" t="s">
        <v>2467</v>
      </c>
      <c r="GP60" s="159" t="s">
        <v>2467</v>
      </c>
      <c r="GQ60" s="159" t="s">
        <v>2467</v>
      </c>
      <c r="GR60" s="159" t="s">
        <v>2467</v>
      </c>
      <c r="GS60" s="159" t="s">
        <v>2467</v>
      </c>
      <c r="GT60" s="159" t="s">
        <v>2467</v>
      </c>
      <c r="GU60" s="159" t="s">
        <v>2467</v>
      </c>
      <c r="GV60" s="159" t="s">
        <v>2467</v>
      </c>
      <c r="GW60" s="159" t="s">
        <v>2467</v>
      </c>
      <c r="GX60" s="159" t="s">
        <v>2467</v>
      </c>
      <c r="GY60" s="159" t="s">
        <v>2467</v>
      </c>
      <c r="GZ60" s="159" t="s">
        <v>2467</v>
      </c>
      <c r="HA60" s="159" t="s">
        <v>2467</v>
      </c>
      <c r="HB60" s="159" t="s">
        <v>2467</v>
      </c>
      <c r="HC60" s="159" t="s">
        <v>2467</v>
      </c>
      <c r="HD60" s="159" t="s">
        <v>2467</v>
      </c>
      <c r="HE60" s="159" t="s">
        <v>2467</v>
      </c>
      <c r="HF60" s="159" t="s">
        <v>2468</v>
      </c>
      <c r="HG60" s="159" t="s">
        <v>2468</v>
      </c>
      <c r="HH60" s="159" t="s">
        <v>2468</v>
      </c>
      <c r="HI60" s="159" t="s">
        <v>2468</v>
      </c>
      <c r="HJ60" s="159" t="s">
        <v>2468</v>
      </c>
      <c r="HK60" s="159" t="s">
        <v>2468</v>
      </c>
      <c r="HL60" s="159" t="s">
        <v>2468</v>
      </c>
      <c r="HM60" s="159" t="s">
        <v>2468</v>
      </c>
      <c r="HN60" s="159" t="s">
        <v>2468</v>
      </c>
      <c r="HO60" s="159" t="s">
        <v>2468</v>
      </c>
      <c r="HP60" s="159" t="s">
        <v>2468</v>
      </c>
      <c r="HQ60" s="159" t="s">
        <v>2468</v>
      </c>
      <c r="HR60" s="159" t="s">
        <v>2468</v>
      </c>
      <c r="HS60" s="159" t="s">
        <v>2468</v>
      </c>
      <c r="HT60" s="159" t="s">
        <v>2468</v>
      </c>
      <c r="HU60" s="159" t="s">
        <v>2468</v>
      </c>
      <c r="HV60" s="159" t="s">
        <v>2468</v>
      </c>
      <c r="HW60" s="159" t="s">
        <v>2468</v>
      </c>
      <c r="HX60" s="159" t="s">
        <v>2468</v>
      </c>
      <c r="HY60" s="159" t="s">
        <v>2468</v>
      </c>
      <c r="HZ60" s="159" t="s">
        <v>2468</v>
      </c>
      <c r="IA60" s="159" t="s">
        <v>2468</v>
      </c>
      <c r="IB60" s="159" t="s">
        <v>2468</v>
      </c>
      <c r="IC60" s="159" t="s">
        <v>2468</v>
      </c>
      <c r="ID60" s="159" t="s">
        <v>2468</v>
      </c>
      <c r="IE60" s="159" t="s">
        <v>2468</v>
      </c>
      <c r="IF60" s="159" t="s">
        <v>2468</v>
      </c>
      <c r="IG60" s="159" t="s">
        <v>2468</v>
      </c>
      <c r="IH60" s="159" t="s">
        <v>2468</v>
      </c>
      <c r="II60" s="159" t="s">
        <v>2468</v>
      </c>
      <c r="IJ60" s="159" t="s">
        <v>2468</v>
      </c>
      <c r="IK60" s="159" t="s">
        <v>2468</v>
      </c>
      <c r="IL60" s="159" t="s">
        <v>2468</v>
      </c>
      <c r="IM60" s="159" t="s">
        <v>2468</v>
      </c>
      <c r="IN60" s="159" t="s">
        <v>2468</v>
      </c>
      <c r="IO60" s="159" t="s">
        <v>2468</v>
      </c>
      <c r="IP60" s="159" t="s">
        <v>2468</v>
      </c>
      <c r="IQ60" s="159" t="s">
        <v>2468</v>
      </c>
      <c r="IR60" s="159" t="s">
        <v>2468</v>
      </c>
      <c r="IS60" s="159" t="s">
        <v>188</v>
      </c>
      <c r="IT60" s="159" t="s">
        <v>2467</v>
      </c>
      <c r="IU60" s="159" t="s">
        <v>2468</v>
      </c>
      <c r="IV60" s="159" t="s">
        <v>2468</v>
      </c>
      <c r="IW60" s="159" t="s">
        <v>2468</v>
      </c>
      <c r="IX60" s="159" t="s">
        <v>188</v>
      </c>
      <c r="IY60" s="159" t="s">
        <v>188</v>
      </c>
      <c r="IZ60" s="159" t="s">
        <v>188</v>
      </c>
      <c r="JA60" s="159" t="s">
        <v>188</v>
      </c>
      <c r="JB60" s="159" t="s">
        <v>2467</v>
      </c>
      <c r="JC60" s="159" t="s">
        <v>2468</v>
      </c>
      <c r="JD60" s="159" t="s">
        <v>2467</v>
      </c>
      <c r="JE60" s="159" t="s">
        <v>2468</v>
      </c>
      <c r="JF60" s="159" t="s">
        <v>2468</v>
      </c>
      <c r="JG60" s="159" t="s">
        <v>2468</v>
      </c>
      <c r="JH60" s="159" t="s">
        <v>2468</v>
      </c>
      <c r="JI60" s="159" t="s">
        <v>2467</v>
      </c>
      <c r="JJ60" s="159" t="s">
        <v>2467</v>
      </c>
      <c r="JK60" s="159" t="s">
        <v>2467</v>
      </c>
      <c r="JL60" s="159" t="s">
        <v>2467</v>
      </c>
      <c r="JM60" s="159" t="s">
        <v>2468</v>
      </c>
      <c r="JN60" s="159" t="s">
        <v>2467</v>
      </c>
      <c r="JO60" s="159" t="s">
        <v>2467</v>
      </c>
      <c r="JP60" s="159" t="s">
        <v>2468</v>
      </c>
      <c r="JQ60" s="159" t="s">
        <v>2468</v>
      </c>
      <c r="JR60" s="159" t="s">
        <v>2468</v>
      </c>
      <c r="JS60" s="159" t="s">
        <v>2468</v>
      </c>
      <c r="JT60" s="159" t="s">
        <v>2467</v>
      </c>
      <c r="JU60" s="159" t="s">
        <v>2467</v>
      </c>
      <c r="JV60" s="159" t="s">
        <v>2468</v>
      </c>
      <c r="JW60" s="159" t="s">
        <v>2468</v>
      </c>
      <c r="JX60" s="159" t="s">
        <v>2468</v>
      </c>
      <c r="JY60" s="159" t="s">
        <v>2468</v>
      </c>
      <c r="JZ60" s="159" t="s">
        <v>2468</v>
      </c>
      <c r="KA60" s="159" t="s">
        <v>2468</v>
      </c>
      <c r="KB60" s="159" t="s">
        <v>2468</v>
      </c>
      <c r="KC60" s="159" t="s">
        <v>2468</v>
      </c>
      <c r="KD60" s="159" t="s">
        <v>2468</v>
      </c>
      <c r="KE60" s="159" t="s">
        <v>2468</v>
      </c>
      <c r="KF60" s="159" t="s">
        <v>2468</v>
      </c>
      <c r="KG60" s="159" t="s">
        <v>2468</v>
      </c>
      <c r="KH60" s="159" t="s">
        <v>2468</v>
      </c>
      <c r="KI60" s="159" t="s">
        <v>2467</v>
      </c>
      <c r="KJ60" s="159" t="s">
        <v>2467</v>
      </c>
    </row>
    <row r="61" spans="1:296" ht="27" customHeight="1" x14ac:dyDescent="0.3">
      <c r="A61" s="236" t="s">
        <v>3</v>
      </c>
      <c r="B61" s="236"/>
      <c r="C61" s="235" t="s">
        <v>2469</v>
      </c>
      <c r="D61" s="235" t="s">
        <v>55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2470</v>
      </c>
      <c r="P61" s="235"/>
      <c r="Q61" s="235"/>
      <c r="R61" s="235"/>
      <c r="S61" s="235"/>
      <c r="T61" s="235" t="s">
        <v>49</v>
      </c>
      <c r="U61" s="235" t="s">
        <v>55</v>
      </c>
      <c r="V61" s="235"/>
      <c r="W61" s="235"/>
      <c r="X61" s="235"/>
      <c r="Y61" s="235" t="s">
        <v>880</v>
      </c>
      <c r="Z61" s="235"/>
      <c r="AA61" s="235"/>
      <c r="AB61" s="235" t="s">
        <v>250</v>
      </c>
      <c r="AC61" s="235" t="s">
        <v>55</v>
      </c>
      <c r="AD61" s="235" t="s">
        <v>2471</v>
      </c>
      <c r="AE61" s="235"/>
      <c r="AF61" s="235" t="s">
        <v>55</v>
      </c>
      <c r="AG61" s="235" t="s">
        <v>2470</v>
      </c>
      <c r="AH61" s="235"/>
      <c r="AI61" s="235" t="s">
        <v>334</v>
      </c>
      <c r="AJ61" s="235"/>
      <c r="AK61" s="235" t="s">
        <v>2471</v>
      </c>
      <c r="AL61" s="235"/>
      <c r="AM61" s="235"/>
      <c r="AN61" s="235"/>
      <c r="AO61" s="235"/>
      <c r="AP61" s="235" t="s">
        <v>2472</v>
      </c>
      <c r="AQ61" s="235" t="s">
        <v>2473</v>
      </c>
      <c r="AR61" s="235" t="s">
        <v>55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2474</v>
      </c>
      <c r="BC61" s="235" t="s">
        <v>49</v>
      </c>
      <c r="BD61" s="235" t="s">
        <v>922</v>
      </c>
      <c r="BE61" s="235" t="s">
        <v>366</v>
      </c>
      <c r="BF61" s="235"/>
      <c r="BG61" s="235" t="s">
        <v>55</v>
      </c>
      <c r="BH61" s="235"/>
      <c r="BI61" s="235"/>
      <c r="BJ61" s="235"/>
      <c r="BK61" s="235"/>
      <c r="BL61" s="235"/>
      <c r="BM61" s="235"/>
      <c r="BN61" s="235"/>
      <c r="BO61" s="235" t="s">
        <v>49</v>
      </c>
      <c r="BP61" s="235"/>
      <c r="BQ61" s="235"/>
      <c r="BR61" s="235"/>
      <c r="BS61" s="235"/>
      <c r="BT61" s="235"/>
      <c r="BU61" s="235" t="s">
        <v>250</v>
      </c>
      <c r="BV61" s="235"/>
      <c r="BW61" s="235" t="s">
        <v>49</v>
      </c>
      <c r="BX61" s="235" t="s">
        <v>2475</v>
      </c>
      <c r="BY61" s="235"/>
      <c r="BZ61" s="235"/>
      <c r="CA61" s="235"/>
      <c r="CB61" s="235" t="s">
        <v>55</v>
      </c>
      <c r="CC61" s="235"/>
      <c r="CD61" s="235" t="s">
        <v>2476</v>
      </c>
      <c r="CE61" s="235"/>
      <c r="CF61" s="235" t="s">
        <v>130</v>
      </c>
      <c r="CG61" s="235" t="s">
        <v>55</v>
      </c>
      <c r="CH61" s="235"/>
      <c r="CI61" s="235"/>
      <c r="CJ61" s="235"/>
      <c r="CK61" s="235" t="s">
        <v>922</v>
      </c>
      <c r="CL61" s="235"/>
      <c r="CM61" s="235" t="s">
        <v>2475</v>
      </c>
      <c r="CN61" s="235"/>
      <c r="CO61" s="235"/>
      <c r="CP61" s="235" t="s">
        <v>55</v>
      </c>
      <c r="CQ61" s="235"/>
      <c r="CR61" s="235"/>
      <c r="CS61" s="235"/>
      <c r="CT61" s="235"/>
      <c r="CU61" s="235"/>
      <c r="CV61" s="235"/>
      <c r="CW61" s="235"/>
      <c r="CX61" s="235" t="s">
        <v>2476</v>
      </c>
      <c r="CY61" s="235" t="s">
        <v>2475</v>
      </c>
      <c r="CZ61" s="235"/>
      <c r="DA61" s="235" t="s">
        <v>2477</v>
      </c>
      <c r="DB61" s="235"/>
      <c r="DC61" s="235"/>
      <c r="DD61" s="235"/>
      <c r="DE61" s="235" t="s">
        <v>55</v>
      </c>
      <c r="DF61" s="235"/>
      <c r="DG61" s="235"/>
      <c r="DH61" s="235" t="s">
        <v>2477</v>
      </c>
      <c r="DI61" s="235"/>
      <c r="DJ61" s="235" t="s">
        <v>904</v>
      </c>
      <c r="DK61" s="235"/>
      <c r="DL61" s="235" t="s">
        <v>609</v>
      </c>
      <c r="DM61" s="235" t="s">
        <v>2477</v>
      </c>
      <c r="DN61" s="235"/>
      <c r="DO61" s="235"/>
      <c r="DP61" s="235"/>
      <c r="DQ61" s="235" t="s">
        <v>609</v>
      </c>
      <c r="DR61" s="235" t="s">
        <v>2477</v>
      </c>
      <c r="DS61" s="235" t="s">
        <v>609</v>
      </c>
      <c r="DT61" s="235" t="s">
        <v>2477</v>
      </c>
      <c r="DU61" s="235"/>
      <c r="DV61" s="235"/>
      <c r="DW61" s="235"/>
      <c r="DX61" s="235" t="s">
        <v>55</v>
      </c>
      <c r="DY61" s="235" t="s">
        <v>609</v>
      </c>
      <c r="DZ61" s="235" t="s">
        <v>55</v>
      </c>
      <c r="EA61" s="235"/>
      <c r="EB61" s="235"/>
      <c r="EC61" s="235"/>
      <c r="ED61" s="235"/>
      <c r="EE61" s="235"/>
      <c r="EF61" s="235" t="s">
        <v>49</v>
      </c>
      <c r="EG61" s="235"/>
      <c r="EH61" s="235" t="s">
        <v>2477</v>
      </c>
      <c r="EI61" s="235" t="s">
        <v>49</v>
      </c>
      <c r="EJ61" s="235" t="s">
        <v>2478</v>
      </c>
      <c r="EK61" s="235" t="s">
        <v>609</v>
      </c>
      <c r="EL61" s="235" t="s">
        <v>55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899</v>
      </c>
      <c r="EV61" s="235"/>
      <c r="EW61" s="235"/>
      <c r="EX61" s="235" t="s">
        <v>55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912</v>
      </c>
      <c r="FI61" s="235"/>
      <c r="FJ61" s="235"/>
      <c r="FK61" s="235" t="s">
        <v>55</v>
      </c>
      <c r="FL61" s="235"/>
      <c r="FM61" s="235"/>
      <c r="FN61" s="235"/>
      <c r="FO61" s="235"/>
      <c r="FP61" s="235"/>
      <c r="FQ61" s="235" t="s">
        <v>2474</v>
      </c>
      <c r="FR61" s="235" t="s">
        <v>366</v>
      </c>
      <c r="FS61" s="235"/>
      <c r="FT61" s="235"/>
      <c r="FU61" s="235"/>
      <c r="FV61" s="235"/>
      <c r="FW61" s="235"/>
      <c r="FX61" s="235" t="s">
        <v>2476</v>
      </c>
      <c r="FY61" s="235" t="s">
        <v>646</v>
      </c>
      <c r="FZ61" s="235"/>
      <c r="GA61" s="235"/>
      <c r="GB61" s="235" t="s">
        <v>609</v>
      </c>
      <c r="GC61" s="235" t="s">
        <v>2471</v>
      </c>
      <c r="GD61" s="235" t="s">
        <v>2474</v>
      </c>
      <c r="GE61" s="235" t="s">
        <v>55</v>
      </c>
      <c r="GF61" s="235" t="s">
        <v>151</v>
      </c>
      <c r="GG61" s="235" t="s">
        <v>2474</v>
      </c>
      <c r="GH61" s="235" t="s">
        <v>2471</v>
      </c>
      <c r="GI61" s="235" t="s">
        <v>55</v>
      </c>
      <c r="GJ61" s="235" t="s">
        <v>2474</v>
      </c>
      <c r="GK61" s="235" t="s">
        <v>55</v>
      </c>
      <c r="GL61" s="235"/>
      <c r="GM61" s="235" t="s">
        <v>2479</v>
      </c>
      <c r="GN61" s="235" t="s">
        <v>55</v>
      </c>
      <c r="GO61" s="235" t="s">
        <v>366</v>
      </c>
      <c r="GP61" s="235" t="s">
        <v>55</v>
      </c>
      <c r="GQ61" s="235"/>
      <c r="GR61" s="235"/>
      <c r="GS61" s="235" t="s">
        <v>373</v>
      </c>
      <c r="GT61" s="235"/>
      <c r="GU61" s="235" t="s">
        <v>2474</v>
      </c>
      <c r="GV61" s="235"/>
      <c r="GW61" s="235" t="s">
        <v>55</v>
      </c>
      <c r="GX61" s="235" t="s">
        <v>2474</v>
      </c>
      <c r="GY61" s="235" t="s">
        <v>351</v>
      </c>
      <c r="GZ61" s="235" t="s">
        <v>55</v>
      </c>
      <c r="HA61" s="235"/>
      <c r="HB61" s="235" t="s">
        <v>351</v>
      </c>
      <c r="HC61" s="235" t="s">
        <v>49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226</v>
      </c>
      <c r="HO61" s="235"/>
      <c r="HP61" s="235" t="s">
        <v>49</v>
      </c>
      <c r="HQ61" s="235"/>
      <c r="HR61" s="235" t="s">
        <v>2480</v>
      </c>
      <c r="HS61" s="235"/>
      <c r="HT61" s="235" t="s">
        <v>49</v>
      </c>
      <c r="HU61" s="235"/>
      <c r="HV61" s="235" t="s">
        <v>377</v>
      </c>
      <c r="HW61" s="235"/>
      <c r="HX61" s="235" t="s">
        <v>2481</v>
      </c>
      <c r="HY61" s="235"/>
      <c r="HZ61" s="235" t="s">
        <v>377</v>
      </c>
      <c r="IA61" s="235" t="s">
        <v>55</v>
      </c>
      <c r="IB61" s="235" t="s">
        <v>196</v>
      </c>
      <c r="IC61" s="235" t="s">
        <v>93</v>
      </c>
      <c r="ID61" s="235"/>
      <c r="IE61" s="235" t="s">
        <v>2480</v>
      </c>
      <c r="IF61" s="235"/>
      <c r="IG61" s="235"/>
      <c r="IH61" s="235"/>
      <c r="II61" s="235" t="s">
        <v>93</v>
      </c>
      <c r="IJ61" s="235"/>
      <c r="IK61" s="235" t="s">
        <v>49</v>
      </c>
      <c r="IL61" s="235" t="s">
        <v>196</v>
      </c>
      <c r="IM61" s="235" t="s">
        <v>49</v>
      </c>
      <c r="IN61" s="235" t="s">
        <v>196</v>
      </c>
      <c r="IO61" s="235"/>
      <c r="IP61" s="235"/>
      <c r="IQ61" s="235"/>
      <c r="IR61" s="235"/>
      <c r="IS61" s="235" t="s">
        <v>49</v>
      </c>
      <c r="IT61" s="235" t="s">
        <v>2478</v>
      </c>
      <c r="IU61" s="235" t="s">
        <v>377</v>
      </c>
      <c r="IV61" s="235"/>
      <c r="IW61" s="235" t="s">
        <v>196</v>
      </c>
      <c r="IX61" s="235" t="s">
        <v>49</v>
      </c>
      <c r="IY61" s="235"/>
      <c r="IZ61" s="235"/>
      <c r="JA61" s="235"/>
      <c r="JB61" s="235" t="s">
        <v>55</v>
      </c>
      <c r="JC61" s="235" t="s">
        <v>944</v>
      </c>
      <c r="JD61" s="235" t="s">
        <v>55</v>
      </c>
      <c r="JE61" s="235" t="s">
        <v>75</v>
      </c>
      <c r="JF61" s="235"/>
      <c r="JG61" s="235" t="s">
        <v>55</v>
      </c>
      <c r="JH61" s="235"/>
      <c r="JI61" s="235"/>
      <c r="JJ61" s="235"/>
      <c r="JK61" s="235"/>
      <c r="JL61" s="235"/>
      <c r="JM61" s="235" t="s">
        <v>2481</v>
      </c>
      <c r="JN61" s="235" t="s">
        <v>151</v>
      </c>
      <c r="JO61" s="235"/>
      <c r="JP61" s="235" t="s">
        <v>939</v>
      </c>
      <c r="JQ61" s="235"/>
      <c r="JR61" s="235" t="s">
        <v>941</v>
      </c>
      <c r="JS61" s="235"/>
      <c r="JT61" s="235"/>
      <c r="JU61" s="235" t="s">
        <v>55</v>
      </c>
      <c r="JV61" s="235" t="s">
        <v>2480</v>
      </c>
      <c r="JW61" s="235" t="s">
        <v>603</v>
      </c>
      <c r="JX61" s="235" t="s">
        <v>2482</v>
      </c>
      <c r="JY61" s="235"/>
      <c r="JZ61" s="235" t="s">
        <v>49</v>
      </c>
      <c r="KA61" s="235"/>
      <c r="KB61" s="235"/>
      <c r="KC61" s="235"/>
      <c r="KD61" s="235"/>
      <c r="KE61" s="235"/>
      <c r="KF61" s="235"/>
      <c r="KG61" s="235" t="s">
        <v>2480</v>
      </c>
      <c r="KH61" s="235"/>
      <c r="KI61" s="235" t="s">
        <v>49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8" t="s">
        <v>2483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2484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2485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2486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7" t="s">
        <v>2487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8"/>
      <c r="CL4" s="238"/>
      <c r="CM4" s="238"/>
      <c r="CN4" s="238"/>
      <c r="CO4" s="238"/>
      <c r="CP4" s="238"/>
      <c r="CQ4" s="238"/>
      <c r="CR4" s="238"/>
      <c r="CS4" s="238"/>
      <c r="CT4" s="238"/>
      <c r="CU4" s="238"/>
      <c r="CV4" s="238"/>
      <c r="CW4" s="238"/>
      <c r="CX4" s="238"/>
      <c r="CY4" s="238"/>
      <c r="CZ4" s="238"/>
      <c r="DA4" s="238"/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8"/>
      <c r="DO4" s="238"/>
      <c r="DP4" s="238"/>
      <c r="DQ4" s="238"/>
      <c r="DR4" s="238"/>
      <c r="DS4" s="238"/>
      <c r="DT4" s="238"/>
      <c r="DU4" s="238"/>
      <c r="DV4" s="238"/>
      <c r="DW4" s="238"/>
      <c r="DX4" s="238"/>
      <c r="DY4" s="238"/>
      <c r="DZ4" s="238"/>
      <c r="EA4" s="238"/>
      <c r="EB4" s="238"/>
      <c r="EC4" s="238"/>
      <c r="ED4" s="238"/>
      <c r="EE4" s="238"/>
      <c r="EF4" s="238"/>
      <c r="EG4" s="238"/>
      <c r="EH4" s="238"/>
      <c r="EI4" s="238"/>
      <c r="EJ4" s="238"/>
      <c r="EK4" s="238"/>
      <c r="EL4" s="238"/>
      <c r="EM4" s="238"/>
      <c r="EN4" s="238"/>
      <c r="EO4" s="238"/>
      <c r="EP4" s="238"/>
      <c r="EQ4" s="238"/>
      <c r="ER4" s="238"/>
      <c r="ES4" s="238"/>
      <c r="ET4" s="238"/>
      <c r="EU4" s="238"/>
      <c r="EV4" s="238"/>
      <c r="EW4" s="238"/>
      <c r="EX4" s="238"/>
      <c r="EY4" s="238"/>
      <c r="EZ4" s="238"/>
      <c r="FA4" s="238"/>
      <c r="FB4" s="238"/>
      <c r="FC4" s="238"/>
      <c r="FD4" s="238"/>
      <c r="FE4" s="238"/>
      <c r="FF4" s="238"/>
      <c r="FG4" s="238"/>
      <c r="FH4" s="238"/>
      <c r="FI4" s="238"/>
      <c r="FJ4" s="238"/>
      <c r="FK4" s="238"/>
      <c r="FL4" s="238"/>
      <c r="FM4" s="238"/>
      <c r="FN4" s="238"/>
      <c r="FO4" s="238"/>
      <c r="FP4" s="238"/>
      <c r="FQ4" s="238"/>
      <c r="FR4" s="238"/>
      <c r="FS4" s="238"/>
      <c r="FT4" s="238"/>
      <c r="FU4" s="238"/>
      <c r="FV4" s="238"/>
      <c r="FW4" s="238"/>
      <c r="FX4" s="238"/>
      <c r="FY4" s="238"/>
      <c r="FZ4" s="238"/>
      <c r="GA4" s="238"/>
      <c r="GB4" s="238"/>
      <c r="GC4" s="238"/>
      <c r="GD4" s="238"/>
      <c r="GE4" s="238"/>
      <c r="GF4" s="238"/>
      <c r="GG4" s="238"/>
      <c r="GH4" s="238"/>
      <c r="GI4" s="238"/>
      <c r="GJ4" s="238"/>
      <c r="GK4" s="238"/>
      <c r="GL4" s="238"/>
      <c r="GM4" s="238"/>
      <c r="GN4" s="238"/>
      <c r="GO4" s="238"/>
      <c r="GP4" s="238"/>
      <c r="GQ4" s="238"/>
      <c r="GR4" s="238"/>
      <c r="GS4" s="238"/>
      <c r="GT4" s="238"/>
      <c r="GU4" s="238"/>
      <c r="GV4" s="238"/>
      <c r="GW4" s="238"/>
      <c r="GX4" s="238"/>
      <c r="GY4" s="238"/>
      <c r="GZ4" s="238"/>
      <c r="HA4" s="238"/>
      <c r="HB4" s="238"/>
      <c r="HC4" s="238"/>
      <c r="HD4" s="238"/>
      <c r="HE4" s="238"/>
      <c r="HF4" s="238"/>
      <c r="HG4" s="238"/>
      <c r="HH4" s="238"/>
      <c r="HI4" s="238"/>
      <c r="HJ4" s="238"/>
      <c r="HK4" s="238"/>
      <c r="HL4" s="238"/>
      <c r="HM4" s="238"/>
      <c r="HN4" s="238"/>
      <c r="HO4" s="238"/>
      <c r="HP4" s="238"/>
      <c r="HQ4" s="238"/>
      <c r="HR4" s="238"/>
      <c r="HS4" s="238"/>
      <c r="HT4" s="238"/>
      <c r="HU4" s="238"/>
      <c r="HV4" s="238"/>
      <c r="HW4" s="238"/>
      <c r="HX4" s="238"/>
      <c r="HY4" s="238"/>
      <c r="HZ4" s="238"/>
      <c r="IA4" s="238"/>
      <c r="IB4" s="238"/>
      <c r="IC4" s="238"/>
      <c r="ID4" s="238"/>
      <c r="IE4" s="238"/>
      <c r="IF4" s="238"/>
      <c r="IG4" s="238"/>
      <c r="IH4" s="238"/>
      <c r="II4" s="238"/>
      <c r="IJ4" s="238"/>
      <c r="IK4" s="238"/>
      <c r="IL4" s="238"/>
      <c r="IM4" s="238"/>
      <c r="IN4" s="238"/>
      <c r="IO4" s="238"/>
      <c r="IP4" s="238"/>
      <c r="IQ4" s="238"/>
      <c r="IR4" s="238"/>
      <c r="IS4" s="238"/>
      <c r="IT4" s="238"/>
      <c r="IU4" s="238"/>
      <c r="IV4" s="238"/>
      <c r="IW4" s="238"/>
      <c r="IX4" s="238"/>
      <c r="IY4" s="238"/>
      <c r="IZ4" s="238"/>
      <c r="JA4" s="238"/>
      <c r="JB4" s="238"/>
      <c r="JC4" s="238"/>
      <c r="JD4" s="238"/>
      <c r="JE4" s="238"/>
      <c r="JF4" s="238"/>
      <c r="JG4" s="238"/>
      <c r="JH4" s="238"/>
      <c r="JI4" s="238"/>
      <c r="JJ4" s="238"/>
      <c r="JK4" s="238"/>
      <c r="JL4" s="238"/>
      <c r="JM4" s="238"/>
      <c r="JN4" s="238"/>
      <c r="JO4" s="238"/>
      <c r="JP4" s="238"/>
      <c r="JQ4" s="238"/>
      <c r="JR4" s="238"/>
      <c r="JS4" s="238"/>
      <c r="JT4" s="238"/>
      <c r="JU4" s="238"/>
      <c r="JV4" s="238"/>
      <c r="JW4" s="238"/>
      <c r="JX4" s="238"/>
      <c r="JY4" s="238"/>
      <c r="JZ4" s="238"/>
      <c r="KA4" s="238"/>
      <c r="KB4" s="238"/>
      <c r="KC4" s="238"/>
      <c r="KD4" s="238"/>
      <c r="KE4" s="238"/>
      <c r="KF4" s="238"/>
      <c r="KG4" s="238"/>
      <c r="KH4" s="238"/>
      <c r="KI4" s="238"/>
      <c r="KJ4" s="238"/>
    </row>
    <row r="5" spans="1:296" ht="19.95" hidden="1" customHeight="1" x14ac:dyDescent="0.3">
      <c r="A5" s="236" t="s">
        <v>1830</v>
      </c>
      <c r="B5" s="236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36" t="s">
        <v>1831</v>
      </c>
      <c r="B6" s="236"/>
      <c r="C6" s="159" t="s">
        <v>2488</v>
      </c>
      <c r="D6" s="159" t="s">
        <v>2489</v>
      </c>
      <c r="E6" s="159" t="s">
        <v>2490</v>
      </c>
      <c r="F6" s="159" t="s">
        <v>2491</v>
      </c>
      <c r="G6" s="159" t="s">
        <v>2492</v>
      </c>
      <c r="H6" s="159" t="s">
        <v>2493</v>
      </c>
      <c r="I6" s="159" t="s">
        <v>2494</v>
      </c>
      <c r="J6" s="159" t="s">
        <v>2495</v>
      </c>
      <c r="K6" s="159"/>
      <c r="L6" s="159" t="s">
        <v>2496</v>
      </c>
      <c r="M6" s="159" t="s">
        <v>2497</v>
      </c>
      <c r="N6" s="159" t="s">
        <v>2498</v>
      </c>
      <c r="O6" s="159" t="s">
        <v>2499</v>
      </c>
      <c r="P6" s="159" t="s">
        <v>2500</v>
      </c>
      <c r="Q6" s="159" t="s">
        <v>2501</v>
      </c>
      <c r="R6" s="159" t="s">
        <v>2502</v>
      </c>
      <c r="S6" s="159" t="s">
        <v>2503</v>
      </c>
      <c r="T6" s="159" t="s">
        <v>2504</v>
      </c>
      <c r="U6" s="159" t="s">
        <v>2505</v>
      </c>
      <c r="V6" s="159" t="s">
        <v>2506</v>
      </c>
      <c r="W6" s="159" t="s">
        <v>2507</v>
      </c>
      <c r="X6" s="159" t="s">
        <v>2508</v>
      </c>
      <c r="Y6" s="159" t="s">
        <v>2509</v>
      </c>
      <c r="Z6" s="159" t="s">
        <v>2510</v>
      </c>
      <c r="AA6" s="159" t="s">
        <v>2511</v>
      </c>
      <c r="AB6" s="159" t="s">
        <v>2512</v>
      </c>
      <c r="AC6" s="159" t="s">
        <v>2513</v>
      </c>
      <c r="AD6" s="159" t="s">
        <v>2514</v>
      </c>
      <c r="AE6" s="159" t="s">
        <v>2515</v>
      </c>
      <c r="AF6" s="159" t="s">
        <v>2516</v>
      </c>
      <c r="AG6" s="159" t="s">
        <v>2517</v>
      </c>
      <c r="AH6" s="159" t="s">
        <v>2518</v>
      </c>
      <c r="AI6" s="159" t="s">
        <v>2519</v>
      </c>
      <c r="AJ6" s="159" t="s">
        <v>2520</v>
      </c>
      <c r="AK6" s="159" t="s">
        <v>2521</v>
      </c>
      <c r="AL6" s="159" t="s">
        <v>2522</v>
      </c>
      <c r="AM6" s="159" t="s">
        <v>2523</v>
      </c>
      <c r="AN6" s="159" t="s">
        <v>2524</v>
      </c>
      <c r="AO6" s="159" t="s">
        <v>2525</v>
      </c>
      <c r="AP6" s="159" t="s">
        <v>2526</v>
      </c>
      <c r="AQ6" s="159" t="s">
        <v>2527</v>
      </c>
      <c r="AR6" s="159" t="s">
        <v>2528</v>
      </c>
      <c r="AS6" s="159" t="s">
        <v>2529</v>
      </c>
      <c r="AT6" s="159" t="s">
        <v>2530</v>
      </c>
      <c r="AU6" s="159" t="s">
        <v>2531</v>
      </c>
      <c r="AV6" s="159" t="s">
        <v>2532</v>
      </c>
      <c r="AW6" s="159" t="s">
        <v>2533</v>
      </c>
      <c r="AX6" s="159" t="s">
        <v>2534</v>
      </c>
      <c r="AY6" s="159" t="s">
        <v>2535</v>
      </c>
      <c r="AZ6" s="159" t="s">
        <v>2536</v>
      </c>
      <c r="BA6" s="159" t="s">
        <v>2537</v>
      </c>
      <c r="BB6" s="159" t="s">
        <v>2538</v>
      </c>
      <c r="BC6" s="159" t="s">
        <v>2539</v>
      </c>
      <c r="BD6" s="159" t="s">
        <v>2540</v>
      </c>
      <c r="BE6" s="159" t="s">
        <v>2541</v>
      </c>
      <c r="BF6" s="159" t="s">
        <v>2542</v>
      </c>
      <c r="BG6" s="159" t="s">
        <v>2543</v>
      </c>
      <c r="BH6" s="159" t="s">
        <v>2544</v>
      </c>
      <c r="BI6" s="159" t="s">
        <v>2545</v>
      </c>
      <c r="BJ6" s="159" t="s">
        <v>2546</v>
      </c>
      <c r="BK6" s="159" t="s">
        <v>2547</v>
      </c>
      <c r="BL6" s="159" t="s">
        <v>2548</v>
      </c>
      <c r="BM6" s="159" t="s">
        <v>2549</v>
      </c>
      <c r="BN6" s="159" t="s">
        <v>2550</v>
      </c>
      <c r="BO6" s="159" t="s">
        <v>2551</v>
      </c>
      <c r="BP6" s="159" t="s">
        <v>2552</v>
      </c>
      <c r="BQ6" s="159" t="s">
        <v>2553</v>
      </c>
      <c r="BR6" s="159" t="s">
        <v>2554</v>
      </c>
      <c r="BS6" s="159" t="s">
        <v>2555</v>
      </c>
      <c r="BT6" s="159" t="s">
        <v>2556</v>
      </c>
      <c r="BU6" s="159"/>
      <c r="BV6" s="159"/>
      <c r="BW6" s="159" t="s">
        <v>2557</v>
      </c>
      <c r="BX6" s="159" t="s">
        <v>2558</v>
      </c>
      <c r="BY6" s="159" t="s">
        <v>2559</v>
      </c>
      <c r="BZ6" s="159" t="s">
        <v>2560</v>
      </c>
      <c r="CA6" s="159" t="s">
        <v>2561</v>
      </c>
      <c r="CB6" s="159" t="s">
        <v>2562</v>
      </c>
      <c r="CC6" s="159" t="s">
        <v>2563</v>
      </c>
      <c r="CD6" s="159" t="s">
        <v>2564</v>
      </c>
      <c r="CE6" s="159" t="s">
        <v>2565</v>
      </c>
      <c r="CF6" s="159" t="s">
        <v>2566</v>
      </c>
      <c r="CG6" s="159" t="s">
        <v>2567</v>
      </c>
      <c r="CH6" s="159" t="s">
        <v>2568</v>
      </c>
      <c r="CI6" s="159" t="s">
        <v>1916</v>
      </c>
      <c r="CJ6" s="159" t="s">
        <v>2569</v>
      </c>
      <c r="CK6" s="159" t="s">
        <v>2570</v>
      </c>
      <c r="CL6" s="159" t="s">
        <v>2571</v>
      </c>
      <c r="CM6" s="159" t="s">
        <v>2572</v>
      </c>
      <c r="CN6" s="159" t="s">
        <v>2573</v>
      </c>
      <c r="CO6" s="159" t="s">
        <v>2574</v>
      </c>
      <c r="CP6" s="159" t="s">
        <v>2575</v>
      </c>
      <c r="CQ6" s="159" t="s">
        <v>2576</v>
      </c>
      <c r="CR6" s="159" t="s">
        <v>2577</v>
      </c>
      <c r="CS6" s="159" t="s">
        <v>2578</v>
      </c>
      <c r="CT6" s="159" t="s">
        <v>2579</v>
      </c>
      <c r="CU6" s="159" t="s">
        <v>2580</v>
      </c>
      <c r="CV6" s="159" t="s">
        <v>2581</v>
      </c>
      <c r="CW6" s="159" t="s">
        <v>2582</v>
      </c>
      <c r="CX6" s="159" t="s">
        <v>2583</v>
      </c>
      <c r="CY6" s="159" t="s">
        <v>2584</v>
      </c>
      <c r="CZ6" s="159" t="s">
        <v>2585</v>
      </c>
      <c r="DA6" s="159" t="s">
        <v>2586</v>
      </c>
      <c r="DB6" s="159" t="s">
        <v>2587</v>
      </c>
      <c r="DC6" s="159" t="s">
        <v>2588</v>
      </c>
      <c r="DD6" s="159" t="s">
        <v>2589</v>
      </c>
      <c r="DE6" s="159" t="s">
        <v>2590</v>
      </c>
      <c r="DF6" s="159" t="s">
        <v>2591</v>
      </c>
      <c r="DG6" s="159" t="s">
        <v>2592</v>
      </c>
      <c r="DH6" s="159" t="s">
        <v>2593</v>
      </c>
      <c r="DI6" s="159" t="s">
        <v>2594</v>
      </c>
      <c r="DJ6" s="159" t="s">
        <v>2595</v>
      </c>
      <c r="DK6" s="159" t="s">
        <v>2596</v>
      </c>
      <c r="DL6" s="159" t="s">
        <v>2597</v>
      </c>
      <c r="DM6" s="159" t="s">
        <v>2598</v>
      </c>
      <c r="DN6" s="159" t="s">
        <v>2599</v>
      </c>
      <c r="DO6" s="159" t="s">
        <v>2600</v>
      </c>
      <c r="DP6" s="159" t="s">
        <v>2601</v>
      </c>
      <c r="DQ6" s="159" t="s">
        <v>2602</v>
      </c>
      <c r="DR6" s="159" t="s">
        <v>2603</v>
      </c>
      <c r="DS6" s="159" t="s">
        <v>2604</v>
      </c>
      <c r="DT6" s="159" t="s">
        <v>2605</v>
      </c>
      <c r="DU6" s="159" t="s">
        <v>2606</v>
      </c>
      <c r="DV6" s="159" t="s">
        <v>2607</v>
      </c>
      <c r="DW6" s="159" t="s">
        <v>2608</v>
      </c>
      <c r="DX6" s="159" t="s">
        <v>2609</v>
      </c>
      <c r="DY6" s="159" t="s">
        <v>2610</v>
      </c>
      <c r="DZ6" s="159" t="s">
        <v>2611</v>
      </c>
      <c r="EA6" s="159" t="s">
        <v>2612</v>
      </c>
      <c r="EB6" s="159" t="s">
        <v>2613</v>
      </c>
      <c r="EC6" s="159" t="s">
        <v>2614</v>
      </c>
      <c r="ED6" s="159" t="s">
        <v>2615</v>
      </c>
      <c r="EE6" s="159" t="s">
        <v>2616</v>
      </c>
      <c r="EF6" s="159" t="s">
        <v>2617</v>
      </c>
      <c r="EG6" s="159" t="s">
        <v>2618</v>
      </c>
      <c r="EH6" s="159" t="s">
        <v>2619</v>
      </c>
      <c r="EI6" s="159" t="s">
        <v>2620</v>
      </c>
      <c r="EJ6" s="159" t="s">
        <v>2621</v>
      </c>
      <c r="EK6" s="159" t="s">
        <v>2622</v>
      </c>
      <c r="EL6" s="159" t="s">
        <v>2623</v>
      </c>
      <c r="EM6" s="159" t="s">
        <v>2624</v>
      </c>
      <c r="EN6" s="159" t="s">
        <v>2625</v>
      </c>
      <c r="EO6" s="159" t="s">
        <v>2626</v>
      </c>
      <c r="EP6" s="159" t="s">
        <v>2627</v>
      </c>
      <c r="EQ6" s="159" t="s">
        <v>2628</v>
      </c>
      <c r="ER6" s="159" t="s">
        <v>2629</v>
      </c>
      <c r="ES6" s="159" t="s">
        <v>2630</v>
      </c>
      <c r="ET6" s="159" t="s">
        <v>2631</v>
      </c>
      <c r="EU6" s="159" t="s">
        <v>2632</v>
      </c>
      <c r="EV6" s="159" t="s">
        <v>2633</v>
      </c>
      <c r="EW6" s="159" t="s">
        <v>2634</v>
      </c>
      <c r="EX6" s="159" t="s">
        <v>2635</v>
      </c>
      <c r="EY6" s="159" t="s">
        <v>2636</v>
      </c>
      <c r="EZ6" s="159" t="s">
        <v>2637</v>
      </c>
      <c r="FA6" s="159" t="s">
        <v>2638</v>
      </c>
      <c r="FB6" s="159" t="s">
        <v>2639</v>
      </c>
      <c r="FC6" s="159" t="s">
        <v>2640</v>
      </c>
      <c r="FD6" s="159" t="s">
        <v>2641</v>
      </c>
      <c r="FE6" s="159" t="s">
        <v>2642</v>
      </c>
      <c r="FF6" s="159" t="s">
        <v>2643</v>
      </c>
      <c r="FG6" s="159" t="s">
        <v>2644</v>
      </c>
      <c r="FH6" s="159" t="s">
        <v>2645</v>
      </c>
      <c r="FI6" s="159" t="s">
        <v>2646</v>
      </c>
      <c r="FJ6" s="159" t="s">
        <v>2647</v>
      </c>
      <c r="FK6" s="159" t="s">
        <v>2648</v>
      </c>
      <c r="FL6" s="159" t="s">
        <v>2649</v>
      </c>
      <c r="FM6" s="159" t="s">
        <v>2650</v>
      </c>
      <c r="FN6" s="159" t="s">
        <v>2651</v>
      </c>
      <c r="FO6" s="159" t="s">
        <v>2652</v>
      </c>
      <c r="FP6" s="159" t="s">
        <v>2653</v>
      </c>
      <c r="FQ6" s="159" t="s">
        <v>2654</v>
      </c>
      <c r="FR6" s="159" t="s">
        <v>2655</v>
      </c>
      <c r="FS6" s="159" t="s">
        <v>2656</v>
      </c>
      <c r="FT6" s="159" t="s">
        <v>2657</v>
      </c>
      <c r="FU6" s="159" t="s">
        <v>2658</v>
      </c>
      <c r="FV6" s="159" t="s">
        <v>2659</v>
      </c>
      <c r="FW6" s="159" t="s">
        <v>2660</v>
      </c>
      <c r="FX6" s="159" t="s">
        <v>2661</v>
      </c>
      <c r="FY6" s="159" t="s">
        <v>2662</v>
      </c>
      <c r="FZ6" s="159" t="s">
        <v>2663</v>
      </c>
      <c r="GA6" s="159" t="s">
        <v>2664</v>
      </c>
      <c r="GB6" s="159" t="s">
        <v>2665</v>
      </c>
      <c r="GC6" s="159" t="s">
        <v>2666</v>
      </c>
      <c r="GD6" s="159" t="s">
        <v>2667</v>
      </c>
      <c r="GE6" s="159" t="s">
        <v>2668</v>
      </c>
      <c r="GF6" s="159" t="s">
        <v>2669</v>
      </c>
      <c r="GG6" s="159" t="s">
        <v>2670</v>
      </c>
      <c r="GH6" s="159" t="s">
        <v>2671</v>
      </c>
      <c r="GI6" s="159" t="s">
        <v>2672</v>
      </c>
      <c r="GJ6" s="159" t="s">
        <v>2673</v>
      </c>
      <c r="GK6" s="159" t="s">
        <v>2674</v>
      </c>
      <c r="GL6" s="159" t="s">
        <v>2675</v>
      </c>
      <c r="GM6" s="159" t="s">
        <v>2676</v>
      </c>
      <c r="GN6" s="159"/>
      <c r="GO6" s="159" t="s">
        <v>2677</v>
      </c>
      <c r="GP6" s="159" t="s">
        <v>2678</v>
      </c>
      <c r="GQ6" s="159" t="s">
        <v>2679</v>
      </c>
      <c r="GR6" s="159" t="s">
        <v>2680</v>
      </c>
      <c r="GS6" s="159" t="s">
        <v>2681</v>
      </c>
      <c r="GT6" s="159" t="s">
        <v>2682</v>
      </c>
      <c r="GU6" s="159" t="s">
        <v>2683</v>
      </c>
      <c r="GV6" s="159" t="s">
        <v>2684</v>
      </c>
      <c r="GW6" s="159" t="s">
        <v>2685</v>
      </c>
      <c r="GX6" s="159" t="s">
        <v>2686</v>
      </c>
      <c r="GY6" s="159" t="s">
        <v>2687</v>
      </c>
      <c r="GZ6" s="159" t="s">
        <v>2688</v>
      </c>
      <c r="HA6" s="159" t="s">
        <v>2689</v>
      </c>
      <c r="HB6" s="159" t="s">
        <v>2690</v>
      </c>
      <c r="HC6" s="159" t="s">
        <v>2691</v>
      </c>
      <c r="HD6" s="159" t="s">
        <v>2692</v>
      </c>
      <c r="HE6" s="159" t="s">
        <v>2693</v>
      </c>
      <c r="HF6" s="159" t="s">
        <v>2694</v>
      </c>
      <c r="HG6" s="159" t="s">
        <v>2695</v>
      </c>
      <c r="HH6" s="159" t="s">
        <v>2696</v>
      </c>
      <c r="HI6" s="159" t="s">
        <v>2697</v>
      </c>
      <c r="HJ6" s="159" t="s">
        <v>2698</v>
      </c>
      <c r="HK6" s="159" t="s">
        <v>2699</v>
      </c>
      <c r="HL6" s="159" t="s">
        <v>2700</v>
      </c>
      <c r="HM6" s="159" t="s">
        <v>2701</v>
      </c>
      <c r="HN6" s="159" t="s">
        <v>2702</v>
      </c>
      <c r="HO6" s="159" t="s">
        <v>2703</v>
      </c>
      <c r="HP6" s="159" t="s">
        <v>2704</v>
      </c>
      <c r="HQ6" s="159" t="s">
        <v>2705</v>
      </c>
      <c r="HR6" s="159" t="s">
        <v>2706</v>
      </c>
      <c r="HS6" s="159" t="s">
        <v>2707</v>
      </c>
      <c r="HT6" s="159" t="s">
        <v>2708</v>
      </c>
      <c r="HU6" s="159" t="s">
        <v>2709</v>
      </c>
      <c r="HV6" s="159" t="s">
        <v>2710</v>
      </c>
      <c r="HW6" s="159" t="s">
        <v>2711</v>
      </c>
      <c r="HX6" s="159" t="s">
        <v>2712</v>
      </c>
      <c r="HY6" s="159" t="s">
        <v>2713</v>
      </c>
      <c r="HZ6" s="159" t="s">
        <v>2714</v>
      </c>
      <c r="IA6" s="159" t="s">
        <v>2715</v>
      </c>
      <c r="IB6" s="159" t="s">
        <v>2716</v>
      </c>
      <c r="IC6" s="159" t="s">
        <v>2717</v>
      </c>
      <c r="ID6" s="159" t="s">
        <v>2718</v>
      </c>
      <c r="IE6" s="159" t="s">
        <v>2719</v>
      </c>
      <c r="IF6" s="159" t="s">
        <v>2720</v>
      </c>
      <c r="IG6" s="159" t="s">
        <v>2721</v>
      </c>
      <c r="IH6" s="159" t="s">
        <v>2722</v>
      </c>
      <c r="II6" s="159" t="s">
        <v>2723</v>
      </c>
      <c r="IJ6" s="159" t="s">
        <v>2724</v>
      </c>
      <c r="IK6" s="159" t="s">
        <v>2725</v>
      </c>
      <c r="IL6" s="159" t="s">
        <v>2726</v>
      </c>
      <c r="IM6" s="159" t="s">
        <v>2727</v>
      </c>
      <c r="IN6" s="159" t="s">
        <v>2728</v>
      </c>
      <c r="IO6" s="159" t="s">
        <v>2729</v>
      </c>
      <c r="IP6" s="159" t="s">
        <v>2730</v>
      </c>
      <c r="IQ6" s="159" t="s">
        <v>2731</v>
      </c>
      <c r="IR6" s="159" t="s">
        <v>2732</v>
      </c>
      <c r="IS6" s="159" t="s">
        <v>2733</v>
      </c>
      <c r="IT6" s="159" t="s">
        <v>2734</v>
      </c>
      <c r="IU6" s="159" t="s">
        <v>2735</v>
      </c>
      <c r="IV6" s="159" t="s">
        <v>2736</v>
      </c>
      <c r="IW6" s="159" t="s">
        <v>2737</v>
      </c>
      <c r="IX6" s="159" t="s">
        <v>2738</v>
      </c>
      <c r="IY6" s="159" t="s">
        <v>2739</v>
      </c>
      <c r="IZ6" s="159" t="s">
        <v>2740</v>
      </c>
      <c r="JA6" s="159" t="s">
        <v>2741</v>
      </c>
      <c r="JB6" s="159" t="s">
        <v>2742</v>
      </c>
      <c r="JC6" s="159" t="s">
        <v>2743</v>
      </c>
      <c r="JD6" s="159" t="s">
        <v>2744</v>
      </c>
      <c r="JE6" s="159" t="s">
        <v>2745</v>
      </c>
      <c r="JF6" s="159" t="s">
        <v>2746</v>
      </c>
      <c r="JG6" s="159" t="s">
        <v>2747</v>
      </c>
      <c r="JH6" s="159" t="s">
        <v>2748</v>
      </c>
      <c r="JI6" s="159" t="s">
        <v>2749</v>
      </c>
      <c r="JJ6" s="159" t="s">
        <v>2750</v>
      </c>
      <c r="JK6" s="159" t="s">
        <v>2751</v>
      </c>
      <c r="JL6" s="159" t="s">
        <v>2752</v>
      </c>
      <c r="JM6" s="159" t="s">
        <v>2753</v>
      </c>
      <c r="JN6" s="159" t="s">
        <v>2754</v>
      </c>
      <c r="JO6" s="159" t="s">
        <v>2755</v>
      </c>
      <c r="JP6" s="159" t="s">
        <v>2756</v>
      </c>
      <c r="JQ6" s="159" t="s">
        <v>2757</v>
      </c>
      <c r="JR6" s="159" t="s">
        <v>2758</v>
      </c>
      <c r="JS6" s="159" t="s">
        <v>2759</v>
      </c>
      <c r="JT6" s="159" t="s">
        <v>2760</v>
      </c>
      <c r="JU6" s="159" t="s">
        <v>2761</v>
      </c>
      <c r="JV6" s="159" t="s">
        <v>2762</v>
      </c>
      <c r="JW6" s="159" t="s">
        <v>2763</v>
      </c>
      <c r="JX6" s="159" t="s">
        <v>2764</v>
      </c>
      <c r="JY6" s="159" t="s">
        <v>2765</v>
      </c>
      <c r="JZ6" s="159" t="s">
        <v>2766</v>
      </c>
      <c r="KA6" s="159" t="s">
        <v>2767</v>
      </c>
      <c r="KB6" s="159" t="s">
        <v>2768</v>
      </c>
      <c r="KC6" s="159" t="s">
        <v>2769</v>
      </c>
      <c r="KD6" s="159" t="s">
        <v>2770</v>
      </c>
      <c r="KE6" s="159" t="s">
        <v>2771</v>
      </c>
      <c r="KF6" s="159" t="s">
        <v>2772</v>
      </c>
      <c r="KG6" s="159" t="s">
        <v>2773</v>
      </c>
      <c r="KH6" s="159" t="s">
        <v>2774</v>
      </c>
      <c r="KI6" s="159" t="s">
        <v>2775</v>
      </c>
      <c r="KJ6" s="159" t="s">
        <v>2776</v>
      </c>
    </row>
    <row r="7" spans="1:296" ht="27" customHeight="1" x14ac:dyDescent="0.3">
      <c r="A7" s="236" t="s">
        <v>271</v>
      </c>
      <c r="B7" s="236"/>
      <c r="C7" s="235" t="s">
        <v>2126</v>
      </c>
      <c r="D7" s="235" t="s">
        <v>2127</v>
      </c>
      <c r="E7" s="235"/>
      <c r="F7" s="235"/>
      <c r="G7" s="235" t="s">
        <v>2128</v>
      </c>
      <c r="H7" s="235" t="s">
        <v>2129</v>
      </c>
      <c r="I7" s="235"/>
      <c r="J7" s="235"/>
      <c r="K7" s="235"/>
      <c r="L7" s="235" t="s">
        <v>2130</v>
      </c>
      <c r="M7" s="235"/>
      <c r="N7" s="235"/>
      <c r="O7" s="235" t="s">
        <v>2131</v>
      </c>
      <c r="P7" s="235" t="s">
        <v>2132</v>
      </c>
      <c r="Q7" s="235"/>
      <c r="R7" s="235" t="s">
        <v>2133</v>
      </c>
      <c r="S7" s="235"/>
      <c r="T7" s="235" t="s">
        <v>2134</v>
      </c>
      <c r="U7" s="235"/>
      <c r="V7" s="235" t="s">
        <v>2135</v>
      </c>
      <c r="W7" s="235"/>
      <c r="X7" s="235"/>
      <c r="Y7" s="235" t="s">
        <v>2136</v>
      </c>
      <c r="Z7" s="235"/>
      <c r="AA7" s="235"/>
      <c r="AB7" s="235" t="s">
        <v>2137</v>
      </c>
      <c r="AC7" s="235"/>
      <c r="AD7" s="235"/>
      <c r="AE7" s="235"/>
      <c r="AF7" s="235"/>
      <c r="AG7" s="235"/>
      <c r="AH7" s="235"/>
      <c r="AI7" s="235"/>
      <c r="AJ7" s="235"/>
      <c r="AK7" s="235" t="s">
        <v>2138</v>
      </c>
      <c r="AL7" s="235"/>
      <c r="AM7" s="235"/>
      <c r="AN7" s="235" t="s">
        <v>2139</v>
      </c>
      <c r="AO7" s="235"/>
      <c r="AP7" s="235" t="s">
        <v>2140</v>
      </c>
      <c r="AQ7" s="235"/>
      <c r="AR7" s="235" t="s">
        <v>2141</v>
      </c>
      <c r="AS7" s="235"/>
      <c r="AT7" s="235"/>
      <c r="AU7" s="235" t="s">
        <v>2142</v>
      </c>
      <c r="AV7" s="235"/>
      <c r="AW7" s="235" t="s">
        <v>2143</v>
      </c>
      <c r="AX7" s="235"/>
      <c r="AY7" s="235" t="s">
        <v>2142</v>
      </c>
      <c r="AZ7" s="235"/>
      <c r="BA7" s="235"/>
      <c r="BB7" s="235" t="s">
        <v>2144</v>
      </c>
      <c r="BC7" s="235" t="s">
        <v>2145</v>
      </c>
      <c r="BD7" s="235" t="s">
        <v>2146</v>
      </c>
      <c r="BE7" s="235"/>
      <c r="BF7" s="235"/>
      <c r="BG7" s="235" t="s">
        <v>2147</v>
      </c>
      <c r="BH7" s="235"/>
      <c r="BI7" s="235"/>
      <c r="BJ7" s="235"/>
      <c r="BK7" s="235"/>
      <c r="BL7" s="235" t="s">
        <v>2148</v>
      </c>
      <c r="BM7" s="235" t="s">
        <v>2149</v>
      </c>
      <c r="BN7" s="235"/>
      <c r="BO7" s="235" t="s">
        <v>2150</v>
      </c>
      <c r="BP7" s="235"/>
      <c r="BQ7" s="235"/>
      <c r="BR7" s="235" t="s">
        <v>2151</v>
      </c>
      <c r="BS7" s="235"/>
      <c r="BT7" s="235"/>
      <c r="BU7" s="235"/>
      <c r="BV7" s="235" t="s">
        <v>2152</v>
      </c>
      <c r="BW7" s="235" t="s">
        <v>2153</v>
      </c>
      <c r="BX7" s="235" t="s">
        <v>2154</v>
      </c>
      <c r="BY7" s="235"/>
      <c r="BZ7" s="235"/>
      <c r="CA7" s="235"/>
      <c r="CB7" s="235" t="s">
        <v>2155</v>
      </c>
      <c r="CC7" s="235"/>
      <c r="CD7" s="235"/>
      <c r="CE7" s="235"/>
      <c r="CF7" s="235"/>
      <c r="CG7" s="235" t="s">
        <v>2156</v>
      </c>
      <c r="CH7" s="235"/>
      <c r="CI7" s="235"/>
      <c r="CJ7" s="235"/>
      <c r="CK7" s="235" t="s">
        <v>2157</v>
      </c>
      <c r="CL7" s="235"/>
      <c r="CM7" s="235" t="s">
        <v>2158</v>
      </c>
      <c r="CN7" s="235"/>
      <c r="CO7" s="235" t="s">
        <v>2159</v>
      </c>
      <c r="CP7" s="235" t="s">
        <v>2160</v>
      </c>
      <c r="CQ7" s="235"/>
      <c r="CR7" s="235"/>
      <c r="CS7" s="235" t="s">
        <v>2161</v>
      </c>
      <c r="CT7" s="235"/>
      <c r="CU7" s="235"/>
      <c r="CV7" s="235"/>
      <c r="CW7" s="235"/>
      <c r="CX7" s="235" t="s">
        <v>2162</v>
      </c>
      <c r="CY7" s="235" t="s">
        <v>2163</v>
      </c>
      <c r="CZ7" s="235"/>
      <c r="DA7" s="235"/>
      <c r="DB7" s="235"/>
      <c r="DC7" s="235"/>
      <c r="DD7" s="235"/>
      <c r="DE7" s="235" t="s">
        <v>2164</v>
      </c>
      <c r="DF7" s="235"/>
      <c r="DG7" s="235"/>
      <c r="DH7" s="235" t="s">
        <v>2165</v>
      </c>
      <c r="DI7" s="235"/>
      <c r="DJ7" s="235" t="s">
        <v>2166</v>
      </c>
      <c r="DK7" s="235"/>
      <c r="DL7" s="235" t="s">
        <v>2167</v>
      </c>
      <c r="DM7" s="235" t="s">
        <v>2168</v>
      </c>
      <c r="DN7" s="235"/>
      <c r="DO7" s="235"/>
      <c r="DP7" s="235"/>
      <c r="DQ7" s="235"/>
      <c r="DR7" s="235" t="s">
        <v>2169</v>
      </c>
      <c r="DS7" s="235" t="s">
        <v>2170</v>
      </c>
      <c r="DT7" s="235" t="s">
        <v>2171</v>
      </c>
      <c r="DU7" s="235"/>
      <c r="DV7" s="235"/>
      <c r="DW7" s="235"/>
      <c r="DX7" s="235"/>
      <c r="DY7" s="235"/>
      <c r="DZ7" s="235"/>
      <c r="EA7" s="235"/>
      <c r="EB7" s="235" t="s">
        <v>2172</v>
      </c>
      <c r="EC7" s="235" t="s">
        <v>2173</v>
      </c>
      <c r="ED7" s="235"/>
      <c r="EE7" s="235"/>
      <c r="EF7" s="235" t="s">
        <v>2172</v>
      </c>
      <c r="EG7" s="235"/>
      <c r="EH7" s="235" t="s">
        <v>2174</v>
      </c>
      <c r="EI7" s="235" t="s">
        <v>2175</v>
      </c>
      <c r="EJ7" s="235"/>
      <c r="EK7" s="235" t="s">
        <v>2176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2177</v>
      </c>
      <c r="EV7" s="235" t="s">
        <v>2178</v>
      </c>
      <c r="EW7" s="235" t="s">
        <v>2179</v>
      </c>
      <c r="EX7" s="235" t="s">
        <v>2180</v>
      </c>
      <c r="EY7" s="235" t="s">
        <v>2181</v>
      </c>
      <c r="EZ7" s="235" t="s">
        <v>2182</v>
      </c>
      <c r="FA7" s="235" t="s">
        <v>2183</v>
      </c>
      <c r="FB7" s="235"/>
      <c r="FC7" s="235" t="s">
        <v>2184</v>
      </c>
      <c r="FD7" s="235"/>
      <c r="FE7" s="235" t="s">
        <v>2185</v>
      </c>
      <c r="FF7" s="235"/>
      <c r="FG7" s="235"/>
      <c r="FH7" s="235" t="s">
        <v>2186</v>
      </c>
      <c r="FI7" s="235"/>
      <c r="FJ7" s="235"/>
      <c r="FK7" s="235" t="s">
        <v>2187</v>
      </c>
      <c r="FL7" s="235"/>
      <c r="FM7" s="235"/>
      <c r="FN7" s="235" t="s">
        <v>2188</v>
      </c>
      <c r="FO7" s="235"/>
      <c r="FP7" s="235"/>
      <c r="FQ7" s="235" t="s">
        <v>2189</v>
      </c>
      <c r="FR7" s="235"/>
      <c r="FS7" s="235"/>
      <c r="FT7" s="235" t="s">
        <v>2190</v>
      </c>
      <c r="FU7" s="235" t="s">
        <v>2189</v>
      </c>
      <c r="FV7" s="235"/>
      <c r="FW7" s="235"/>
      <c r="FX7" s="235"/>
      <c r="FY7" s="235" t="s">
        <v>2191</v>
      </c>
      <c r="FZ7" s="235" t="s">
        <v>2192</v>
      </c>
      <c r="GA7" s="235" t="s">
        <v>2193</v>
      </c>
      <c r="GB7" s="235" t="s">
        <v>2194</v>
      </c>
      <c r="GC7" s="235" t="s">
        <v>2195</v>
      </c>
      <c r="GD7" s="235" t="s">
        <v>2196</v>
      </c>
      <c r="GE7" s="235"/>
      <c r="GF7" s="235" t="s">
        <v>2197</v>
      </c>
      <c r="GG7" s="235" t="s">
        <v>2198</v>
      </c>
      <c r="GH7" s="235" t="s">
        <v>2199</v>
      </c>
      <c r="GI7" s="235" t="s">
        <v>2200</v>
      </c>
      <c r="GJ7" s="235" t="s">
        <v>2201</v>
      </c>
      <c r="GK7" s="235"/>
      <c r="GL7" s="235" t="s">
        <v>2200</v>
      </c>
      <c r="GM7" s="235" t="s">
        <v>2202</v>
      </c>
      <c r="GN7" s="235"/>
      <c r="GO7" s="235" t="s">
        <v>2203</v>
      </c>
      <c r="GP7" s="235" t="s">
        <v>2204</v>
      </c>
      <c r="GQ7" s="235" t="s">
        <v>2199</v>
      </c>
      <c r="GR7" s="235"/>
      <c r="GS7" s="235" t="s">
        <v>2205</v>
      </c>
      <c r="GT7" s="235"/>
      <c r="GU7" s="235"/>
      <c r="GV7" s="235" t="s">
        <v>2206</v>
      </c>
      <c r="GW7" s="235" t="s">
        <v>2201</v>
      </c>
      <c r="GX7" s="235"/>
      <c r="GY7" s="235" t="s">
        <v>2207</v>
      </c>
      <c r="GZ7" s="235" t="s">
        <v>2208</v>
      </c>
      <c r="HA7" s="235"/>
      <c r="HB7" s="235" t="s">
        <v>2207</v>
      </c>
      <c r="HC7" s="235" t="s">
        <v>2209</v>
      </c>
      <c r="HD7" s="235"/>
      <c r="HE7" s="235" t="s">
        <v>2210</v>
      </c>
      <c r="HF7" s="235" t="s">
        <v>2211</v>
      </c>
      <c r="HG7" s="235" t="s">
        <v>2212</v>
      </c>
      <c r="HH7" s="235" t="s">
        <v>2213</v>
      </c>
      <c r="HI7" s="235" t="s">
        <v>2211</v>
      </c>
      <c r="HJ7" s="235" t="s">
        <v>2214</v>
      </c>
      <c r="HK7" s="235"/>
      <c r="HL7" s="235"/>
      <c r="HM7" s="235"/>
      <c r="HN7" s="235"/>
      <c r="HO7" s="235"/>
      <c r="HP7" s="235" t="s">
        <v>2215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2216</v>
      </c>
      <c r="IA7" s="235"/>
      <c r="IB7" s="235" t="s">
        <v>2217</v>
      </c>
      <c r="IC7" s="235"/>
      <c r="ID7" s="235"/>
      <c r="IE7" s="235"/>
      <c r="IF7" s="235"/>
      <c r="IG7" s="235"/>
      <c r="IH7" s="235"/>
      <c r="II7" s="235"/>
      <c r="IJ7" s="235"/>
      <c r="IK7" s="235" t="s">
        <v>2218</v>
      </c>
      <c r="IL7" s="235"/>
      <c r="IM7" s="235"/>
      <c r="IN7" s="235"/>
      <c r="IO7" s="235"/>
      <c r="IP7" s="235" t="s">
        <v>2219</v>
      </c>
      <c r="IQ7" s="235"/>
      <c r="IR7" s="235" t="s">
        <v>2220</v>
      </c>
      <c r="IS7" s="235"/>
      <c r="IT7" s="235" t="s">
        <v>2221</v>
      </c>
      <c r="IU7" s="235"/>
      <c r="IV7" s="235"/>
      <c r="IW7" s="235"/>
      <c r="IX7" s="235" t="s">
        <v>2222</v>
      </c>
      <c r="IY7" s="235"/>
      <c r="IZ7" s="235" t="s">
        <v>2223</v>
      </c>
      <c r="JA7" s="235" t="s">
        <v>2224</v>
      </c>
      <c r="JB7" s="235" t="s">
        <v>2225</v>
      </c>
      <c r="JC7" s="235" t="s">
        <v>2226</v>
      </c>
      <c r="JD7" s="235"/>
      <c r="JE7" s="235" t="s">
        <v>2227</v>
      </c>
      <c r="JF7" s="235"/>
      <c r="JG7" s="235" t="s">
        <v>2228</v>
      </c>
      <c r="JH7" s="235"/>
      <c r="JI7" s="235"/>
      <c r="JJ7" s="235" t="s">
        <v>2229</v>
      </c>
      <c r="JK7" s="235"/>
      <c r="JL7" s="235"/>
      <c r="JM7" s="235"/>
      <c r="JN7" s="235"/>
      <c r="JO7" s="235"/>
      <c r="JP7" s="235" t="s">
        <v>2230</v>
      </c>
      <c r="JQ7" s="235"/>
      <c r="JR7" s="235" t="s">
        <v>2231</v>
      </c>
      <c r="JS7" s="235"/>
      <c r="JT7" s="235"/>
      <c r="JU7" s="235" t="s">
        <v>2232</v>
      </c>
      <c r="JV7" s="235" t="s">
        <v>2233</v>
      </c>
      <c r="JW7" s="235" t="s">
        <v>2234</v>
      </c>
      <c r="JX7" s="235" t="s">
        <v>2217</v>
      </c>
      <c r="JY7" s="235" t="s">
        <v>2235</v>
      </c>
      <c r="JZ7" s="235" t="s">
        <v>2236</v>
      </c>
      <c r="KA7" s="235" t="s">
        <v>2237</v>
      </c>
      <c r="KB7" s="235"/>
      <c r="KC7" s="235"/>
      <c r="KD7" s="235" t="s">
        <v>2238</v>
      </c>
      <c r="KE7" s="235"/>
      <c r="KF7" s="235"/>
      <c r="KG7" s="235" t="s">
        <v>2233</v>
      </c>
      <c r="KH7" s="235" t="s">
        <v>2239</v>
      </c>
      <c r="KI7" s="235" t="s">
        <v>2240</v>
      </c>
      <c r="KJ7" s="235"/>
    </row>
    <row r="8" spans="1:296" ht="27" customHeight="1" x14ac:dyDescent="0.3">
      <c r="A8" s="158" t="s">
        <v>63</v>
      </c>
      <c r="B8" s="158" t="s">
        <v>590</v>
      </c>
      <c r="C8" s="160" t="s">
        <v>2241</v>
      </c>
      <c r="D8" s="159" t="s">
        <v>419</v>
      </c>
      <c r="E8" s="159" t="s">
        <v>2242</v>
      </c>
      <c r="F8" s="159" t="s">
        <v>2243</v>
      </c>
      <c r="G8" s="159" t="s">
        <v>2244</v>
      </c>
      <c r="H8" s="159" t="s">
        <v>2245</v>
      </c>
      <c r="I8" s="159" t="s">
        <v>508</v>
      </c>
      <c r="J8" s="159" t="s">
        <v>2246</v>
      </c>
      <c r="K8" s="159" t="s">
        <v>2247</v>
      </c>
      <c r="L8" s="159" t="s">
        <v>2248</v>
      </c>
      <c r="M8" s="159" t="s">
        <v>2249</v>
      </c>
      <c r="N8" s="159" t="s">
        <v>436</v>
      </c>
      <c r="O8" s="159" t="s">
        <v>2250</v>
      </c>
      <c r="P8" s="161" t="s">
        <v>2251</v>
      </c>
      <c r="Q8" s="159" t="s">
        <v>2252</v>
      </c>
      <c r="R8" s="159" t="s">
        <v>2253</v>
      </c>
      <c r="S8" s="159" t="s">
        <v>2252</v>
      </c>
      <c r="T8" s="159" t="s">
        <v>2254</v>
      </c>
      <c r="U8" s="159" t="s">
        <v>2247</v>
      </c>
      <c r="V8" s="159" t="s">
        <v>2255</v>
      </c>
      <c r="W8" s="159" t="s">
        <v>2256</v>
      </c>
      <c r="X8" s="159" t="s">
        <v>2257</v>
      </c>
      <c r="Y8" s="159" t="s">
        <v>2258</v>
      </c>
      <c r="Z8" s="159" t="s">
        <v>2259</v>
      </c>
      <c r="AA8" s="159" t="s">
        <v>2260</v>
      </c>
      <c r="AB8" s="159" t="s">
        <v>2261</v>
      </c>
      <c r="AC8" s="159" t="s">
        <v>2262</v>
      </c>
      <c r="AD8" s="159" t="s">
        <v>2263</v>
      </c>
      <c r="AE8" s="159" t="s">
        <v>2264</v>
      </c>
      <c r="AF8" s="159" t="s">
        <v>2265</v>
      </c>
      <c r="AG8" s="159" t="s">
        <v>2250</v>
      </c>
      <c r="AH8" s="160" t="s">
        <v>2251</v>
      </c>
      <c r="AI8" s="159" t="s">
        <v>2266</v>
      </c>
      <c r="AJ8" s="159" t="s">
        <v>2267</v>
      </c>
      <c r="AK8" s="161" t="s">
        <v>2268</v>
      </c>
      <c r="AL8" s="161" t="s">
        <v>2269</v>
      </c>
      <c r="AM8" s="159" t="s">
        <v>2270</v>
      </c>
      <c r="AN8" s="160" t="s">
        <v>2268</v>
      </c>
      <c r="AO8" s="161" t="s">
        <v>2269</v>
      </c>
      <c r="AP8" s="159" t="s">
        <v>2271</v>
      </c>
      <c r="AQ8" s="159" t="s">
        <v>2272</v>
      </c>
      <c r="AR8" s="159" t="s">
        <v>2273</v>
      </c>
      <c r="AS8" s="159" t="s">
        <v>2274</v>
      </c>
      <c r="AT8" s="159" t="s">
        <v>2275</v>
      </c>
      <c r="AU8" s="161" t="s">
        <v>2276</v>
      </c>
      <c r="AV8" s="161" t="s">
        <v>2277</v>
      </c>
      <c r="AW8" s="159" t="s">
        <v>2278</v>
      </c>
      <c r="AX8" s="159" t="s">
        <v>2279</v>
      </c>
      <c r="AY8" s="159" t="s">
        <v>2280</v>
      </c>
      <c r="AZ8" s="159" t="s">
        <v>2281</v>
      </c>
      <c r="BA8" s="159" t="s">
        <v>2282</v>
      </c>
      <c r="BB8" s="159" t="s">
        <v>2283</v>
      </c>
      <c r="BC8" s="161" t="s">
        <v>51</v>
      </c>
      <c r="BD8" s="159" t="s">
        <v>371</v>
      </c>
      <c r="BE8" s="159" t="s">
        <v>2284</v>
      </c>
      <c r="BF8" s="159" t="s">
        <v>2285</v>
      </c>
      <c r="BG8" s="161" t="s">
        <v>2276</v>
      </c>
      <c r="BH8" s="161" t="s">
        <v>2277</v>
      </c>
      <c r="BI8" s="159" t="s">
        <v>2286</v>
      </c>
      <c r="BJ8" s="159" t="s">
        <v>2287</v>
      </c>
      <c r="BK8" s="159" t="s">
        <v>2288</v>
      </c>
      <c r="BL8" s="159" t="s">
        <v>2289</v>
      </c>
      <c r="BM8" s="159" t="s">
        <v>2290</v>
      </c>
      <c r="BN8" s="159" t="s">
        <v>2291</v>
      </c>
      <c r="BO8" s="161" t="s">
        <v>51</v>
      </c>
      <c r="BP8" s="159" t="s">
        <v>2292</v>
      </c>
      <c r="BQ8" s="159" t="s">
        <v>2293</v>
      </c>
      <c r="BR8" s="159" t="s">
        <v>2294</v>
      </c>
      <c r="BS8" s="159" t="s">
        <v>2295</v>
      </c>
      <c r="BT8" s="159" t="s">
        <v>2296</v>
      </c>
      <c r="BU8" s="159" t="s">
        <v>2297</v>
      </c>
      <c r="BV8" s="159" t="s">
        <v>2297</v>
      </c>
      <c r="BW8" s="159" t="s">
        <v>2298</v>
      </c>
      <c r="BX8" s="159" t="s">
        <v>2299</v>
      </c>
      <c r="BY8" s="159" t="s">
        <v>2300</v>
      </c>
      <c r="BZ8" s="159" t="s">
        <v>2301</v>
      </c>
      <c r="CA8" s="159" t="s">
        <v>2302</v>
      </c>
      <c r="CB8" s="159" t="s">
        <v>2303</v>
      </c>
      <c r="CC8" s="159" t="s">
        <v>2304</v>
      </c>
      <c r="CD8" s="159" t="s">
        <v>2305</v>
      </c>
      <c r="CE8" s="159" t="s">
        <v>2306</v>
      </c>
      <c r="CF8" s="159" t="s">
        <v>2307</v>
      </c>
      <c r="CG8" s="159" t="s">
        <v>2308</v>
      </c>
      <c r="CH8" s="159" t="s">
        <v>2309</v>
      </c>
      <c r="CI8" s="159" t="s">
        <v>2310</v>
      </c>
      <c r="CJ8" s="159" t="s">
        <v>2311</v>
      </c>
      <c r="CK8" s="159" t="s">
        <v>2312</v>
      </c>
      <c r="CL8" s="159" t="s">
        <v>2313</v>
      </c>
      <c r="CM8" s="159" t="s">
        <v>2314</v>
      </c>
      <c r="CN8" s="159" t="s">
        <v>2315</v>
      </c>
      <c r="CO8" s="159" t="s">
        <v>2316</v>
      </c>
      <c r="CP8" s="159" t="s">
        <v>2317</v>
      </c>
      <c r="CQ8" s="159" t="s">
        <v>2318</v>
      </c>
      <c r="CR8" s="159" t="s">
        <v>2319</v>
      </c>
      <c r="CS8" s="159" t="s">
        <v>2320</v>
      </c>
      <c r="CT8" s="159" t="s">
        <v>2321</v>
      </c>
      <c r="CU8" s="159" t="s">
        <v>2322</v>
      </c>
      <c r="CV8" s="159" t="s">
        <v>2323</v>
      </c>
      <c r="CW8" s="159" t="s">
        <v>2324</v>
      </c>
      <c r="CX8" s="159" t="s">
        <v>2325</v>
      </c>
      <c r="CY8" s="159" t="s">
        <v>2326</v>
      </c>
      <c r="CZ8" s="159" t="s">
        <v>2327</v>
      </c>
      <c r="DA8" s="159" t="s">
        <v>2328</v>
      </c>
      <c r="DB8" s="159" t="s">
        <v>2329</v>
      </c>
      <c r="DC8" s="159" t="s">
        <v>2330</v>
      </c>
      <c r="DD8" s="159" t="s">
        <v>2331</v>
      </c>
      <c r="DE8" s="159" t="s">
        <v>2310</v>
      </c>
      <c r="DF8" s="159" t="s">
        <v>2311</v>
      </c>
      <c r="DG8" s="159" t="s">
        <v>2332</v>
      </c>
      <c r="DH8" s="159" t="s">
        <v>2333</v>
      </c>
      <c r="DI8" s="159" t="s">
        <v>2334</v>
      </c>
      <c r="DJ8" s="159" t="s">
        <v>2335</v>
      </c>
      <c r="DK8" s="159" t="s">
        <v>2336</v>
      </c>
      <c r="DL8" s="159" t="s">
        <v>2337</v>
      </c>
      <c r="DM8" s="159" t="s">
        <v>2327</v>
      </c>
      <c r="DN8" s="159" t="s">
        <v>2328</v>
      </c>
      <c r="DO8" s="159" t="s">
        <v>2329</v>
      </c>
      <c r="DP8" s="159" t="s">
        <v>2338</v>
      </c>
      <c r="DQ8" s="159" t="s">
        <v>2339</v>
      </c>
      <c r="DR8" s="159" t="s">
        <v>2340</v>
      </c>
      <c r="DS8" s="159" t="s">
        <v>2341</v>
      </c>
      <c r="DT8" s="159" t="s">
        <v>2342</v>
      </c>
      <c r="DU8" s="159" t="s">
        <v>2343</v>
      </c>
      <c r="DV8" s="159" t="s">
        <v>2326</v>
      </c>
      <c r="DW8" s="159" t="s">
        <v>2327</v>
      </c>
      <c r="DX8" s="159" t="s">
        <v>2332</v>
      </c>
      <c r="DY8" s="159" t="s">
        <v>2341</v>
      </c>
      <c r="DZ8" s="159" t="s">
        <v>513</v>
      </c>
      <c r="EA8" s="159" t="s">
        <v>2344</v>
      </c>
      <c r="EB8" s="159" t="s">
        <v>2345</v>
      </c>
      <c r="EC8" s="159" t="s">
        <v>2346</v>
      </c>
      <c r="ED8" s="159" t="s">
        <v>2347</v>
      </c>
      <c r="EE8" s="159" t="s">
        <v>2348</v>
      </c>
      <c r="EF8" s="159" t="s">
        <v>2349</v>
      </c>
      <c r="EG8" s="159" t="s">
        <v>2350</v>
      </c>
      <c r="EH8" s="159" t="s">
        <v>2284</v>
      </c>
      <c r="EI8" s="159" t="s">
        <v>2294</v>
      </c>
      <c r="EJ8" s="159" t="s">
        <v>198</v>
      </c>
      <c r="EK8" s="159" t="s">
        <v>2351</v>
      </c>
      <c r="EL8" s="159" t="s">
        <v>2352</v>
      </c>
      <c r="EM8" s="159" t="s">
        <v>2353</v>
      </c>
      <c r="EN8" s="159" t="s">
        <v>454</v>
      </c>
      <c r="EO8" s="159" t="s">
        <v>2354</v>
      </c>
      <c r="EP8" s="159" t="s">
        <v>2355</v>
      </c>
      <c r="EQ8" s="159" t="s">
        <v>2356</v>
      </c>
      <c r="ER8" s="159" t="s">
        <v>2357</v>
      </c>
      <c r="ES8" s="159" t="s">
        <v>2358</v>
      </c>
      <c r="ET8" s="159" t="s">
        <v>2359</v>
      </c>
      <c r="EU8" s="159" t="s">
        <v>2360</v>
      </c>
      <c r="EV8" s="159" t="s">
        <v>349</v>
      </c>
      <c r="EW8" s="159" t="s">
        <v>2361</v>
      </c>
      <c r="EX8" s="159" t="s">
        <v>2362</v>
      </c>
      <c r="EY8" s="159" t="s">
        <v>2363</v>
      </c>
      <c r="EZ8" s="159" t="s">
        <v>2364</v>
      </c>
      <c r="FA8" s="159" t="s">
        <v>2365</v>
      </c>
      <c r="FB8" s="159" t="s">
        <v>2366</v>
      </c>
      <c r="FC8" s="159" t="s">
        <v>2350</v>
      </c>
      <c r="FD8" s="159" t="s">
        <v>454</v>
      </c>
      <c r="FE8" s="159" t="s">
        <v>2367</v>
      </c>
      <c r="FF8" s="159" t="s">
        <v>2368</v>
      </c>
      <c r="FG8" s="159" t="s">
        <v>2369</v>
      </c>
      <c r="FH8" s="159" t="s">
        <v>2370</v>
      </c>
      <c r="FI8" s="159" t="s">
        <v>2371</v>
      </c>
      <c r="FJ8" s="159" t="s">
        <v>2372</v>
      </c>
      <c r="FK8" s="159" t="s">
        <v>2303</v>
      </c>
      <c r="FL8" s="159" t="s">
        <v>2304</v>
      </c>
      <c r="FM8" s="159" t="s">
        <v>2373</v>
      </c>
      <c r="FN8" s="159" t="s">
        <v>513</v>
      </c>
      <c r="FO8" s="159" t="s">
        <v>2344</v>
      </c>
      <c r="FP8" s="159" t="s">
        <v>2374</v>
      </c>
      <c r="FQ8" s="159" t="s">
        <v>2375</v>
      </c>
      <c r="FR8" s="161" t="s">
        <v>2376</v>
      </c>
      <c r="FS8" s="159" t="s">
        <v>2377</v>
      </c>
      <c r="FT8" s="159" t="s">
        <v>368</v>
      </c>
      <c r="FU8" s="159" t="s">
        <v>2378</v>
      </c>
      <c r="FV8" s="159" t="s">
        <v>2379</v>
      </c>
      <c r="FW8" s="159" t="s">
        <v>2380</v>
      </c>
      <c r="FX8" s="159" t="s">
        <v>2381</v>
      </c>
      <c r="FY8" s="159" t="s">
        <v>2382</v>
      </c>
      <c r="FZ8" s="159" t="s">
        <v>2383</v>
      </c>
      <c r="GA8" s="159" t="s">
        <v>2384</v>
      </c>
      <c r="GB8" s="159" t="s">
        <v>2351</v>
      </c>
      <c r="GC8" s="161" t="s">
        <v>2385</v>
      </c>
      <c r="GD8" s="159" t="s">
        <v>2375</v>
      </c>
      <c r="GE8" s="159" t="s">
        <v>2374</v>
      </c>
      <c r="GF8" s="159" t="s">
        <v>2386</v>
      </c>
      <c r="GG8" s="161" t="s">
        <v>2387</v>
      </c>
      <c r="GH8" s="159" t="s">
        <v>2388</v>
      </c>
      <c r="GI8" s="159" t="s">
        <v>2389</v>
      </c>
      <c r="GJ8" s="159" t="s">
        <v>2326</v>
      </c>
      <c r="GK8" s="159" t="s">
        <v>2390</v>
      </c>
      <c r="GL8" s="159" t="s">
        <v>2391</v>
      </c>
      <c r="GM8" s="159" t="s">
        <v>2392</v>
      </c>
      <c r="GN8" s="159" t="s">
        <v>2393</v>
      </c>
      <c r="GO8" s="159" t="s">
        <v>2394</v>
      </c>
      <c r="GP8" s="159" t="s">
        <v>2395</v>
      </c>
      <c r="GQ8" s="159" t="s">
        <v>2396</v>
      </c>
      <c r="GR8" s="161" t="s">
        <v>2395</v>
      </c>
      <c r="GS8" s="159" t="s">
        <v>2397</v>
      </c>
      <c r="GT8" s="159" t="s">
        <v>2398</v>
      </c>
      <c r="GU8" s="159" t="s">
        <v>2399</v>
      </c>
      <c r="GV8" s="159" t="s">
        <v>2400</v>
      </c>
      <c r="GW8" s="159" t="s">
        <v>2401</v>
      </c>
      <c r="GX8" s="159" t="s">
        <v>2402</v>
      </c>
      <c r="GY8" s="159" t="s">
        <v>2403</v>
      </c>
      <c r="GZ8" s="159" t="s">
        <v>2404</v>
      </c>
      <c r="HA8" s="159" t="s">
        <v>2405</v>
      </c>
      <c r="HB8" s="159" t="s">
        <v>2406</v>
      </c>
      <c r="HC8" s="161" t="s">
        <v>2407</v>
      </c>
      <c r="HD8" s="161" t="s">
        <v>2408</v>
      </c>
      <c r="HE8" s="159" t="s">
        <v>2409</v>
      </c>
      <c r="HF8" s="159" t="s">
        <v>2409</v>
      </c>
      <c r="HG8" s="159" t="s">
        <v>562</v>
      </c>
      <c r="HH8" s="159" t="s">
        <v>562</v>
      </c>
      <c r="HI8" s="159" t="s">
        <v>2410</v>
      </c>
      <c r="HJ8" s="161" t="s">
        <v>2407</v>
      </c>
      <c r="HK8" s="161" t="s">
        <v>2408</v>
      </c>
      <c r="HL8" s="159" t="s">
        <v>2411</v>
      </c>
      <c r="HM8" s="159" t="s">
        <v>2412</v>
      </c>
      <c r="HN8" s="159" t="s">
        <v>228</v>
      </c>
      <c r="HO8" s="159" t="s">
        <v>232</v>
      </c>
      <c r="HP8" s="159" t="s">
        <v>2413</v>
      </c>
      <c r="HQ8" s="159" t="s">
        <v>2414</v>
      </c>
      <c r="HR8" s="159" t="s">
        <v>2415</v>
      </c>
      <c r="HS8" s="159" t="s">
        <v>2416</v>
      </c>
      <c r="HT8" s="159" t="s">
        <v>2417</v>
      </c>
      <c r="HU8" s="159" t="s">
        <v>2418</v>
      </c>
      <c r="HV8" s="159" t="s">
        <v>2419</v>
      </c>
      <c r="HW8" s="159" t="s">
        <v>2420</v>
      </c>
      <c r="HX8" s="159" t="s">
        <v>2421</v>
      </c>
      <c r="HY8" s="159" t="s">
        <v>2422</v>
      </c>
      <c r="HZ8" s="159" t="s">
        <v>2423</v>
      </c>
      <c r="IA8" s="159" t="s">
        <v>2424</v>
      </c>
      <c r="IB8" s="159" t="s">
        <v>2425</v>
      </c>
      <c r="IC8" s="159" t="s">
        <v>2426</v>
      </c>
      <c r="ID8" s="159" t="s">
        <v>2427</v>
      </c>
      <c r="IE8" s="159" t="s">
        <v>2428</v>
      </c>
      <c r="IF8" s="159" t="s">
        <v>2429</v>
      </c>
      <c r="IG8" s="159" t="s">
        <v>2415</v>
      </c>
      <c r="IH8" s="159" t="s">
        <v>2416</v>
      </c>
      <c r="II8" s="159" t="s">
        <v>2430</v>
      </c>
      <c r="IJ8" s="159" t="s">
        <v>2431</v>
      </c>
      <c r="IK8" s="159" t="s">
        <v>2410</v>
      </c>
      <c r="IL8" s="159" t="s">
        <v>198</v>
      </c>
      <c r="IM8" s="161" t="s">
        <v>576</v>
      </c>
      <c r="IN8" s="161" t="s">
        <v>2432</v>
      </c>
      <c r="IO8" s="159" t="s">
        <v>2433</v>
      </c>
      <c r="IP8" s="159" t="s">
        <v>2432</v>
      </c>
      <c r="IQ8" s="159" t="s">
        <v>2434</v>
      </c>
      <c r="IR8" s="159" t="s">
        <v>222</v>
      </c>
      <c r="IS8" s="159" t="s">
        <v>2435</v>
      </c>
      <c r="IT8" s="161" t="s">
        <v>2434</v>
      </c>
      <c r="IU8" s="159" t="s">
        <v>2436</v>
      </c>
      <c r="IV8" s="159" t="s">
        <v>2437</v>
      </c>
      <c r="IW8" s="159" t="s">
        <v>222</v>
      </c>
      <c r="IX8" s="161" t="s">
        <v>576</v>
      </c>
      <c r="IY8" s="159" t="s">
        <v>2435</v>
      </c>
      <c r="IZ8" s="159" t="s">
        <v>2438</v>
      </c>
      <c r="JA8" s="159" t="s">
        <v>2438</v>
      </c>
      <c r="JB8" s="159" t="s">
        <v>2439</v>
      </c>
      <c r="JC8" s="159" t="s">
        <v>2440</v>
      </c>
      <c r="JD8" s="159" t="s">
        <v>2441</v>
      </c>
      <c r="JE8" s="159" t="s">
        <v>2442</v>
      </c>
      <c r="JF8" s="159" t="s">
        <v>2443</v>
      </c>
      <c r="JG8" s="159" t="s">
        <v>2441</v>
      </c>
      <c r="JH8" s="159" t="s">
        <v>2444</v>
      </c>
      <c r="JI8" s="159" t="s">
        <v>2445</v>
      </c>
      <c r="JJ8" s="159" t="s">
        <v>2444</v>
      </c>
      <c r="JK8" s="159" t="s">
        <v>2446</v>
      </c>
      <c r="JL8" s="159" t="s">
        <v>2447</v>
      </c>
      <c r="JM8" s="159" t="s">
        <v>2448</v>
      </c>
      <c r="JN8" s="159" t="s">
        <v>2449</v>
      </c>
      <c r="JO8" s="159" t="s">
        <v>2450</v>
      </c>
      <c r="JP8" s="159" t="s">
        <v>2451</v>
      </c>
      <c r="JQ8" s="159" t="s">
        <v>2452</v>
      </c>
      <c r="JR8" s="159" t="s">
        <v>2453</v>
      </c>
      <c r="JS8" s="159" t="s">
        <v>2454</v>
      </c>
      <c r="JT8" s="159" t="s">
        <v>2455</v>
      </c>
      <c r="JU8" s="159" t="s">
        <v>2456</v>
      </c>
      <c r="JV8" s="159" t="s">
        <v>2429</v>
      </c>
      <c r="JW8" s="159" t="s">
        <v>2457</v>
      </c>
      <c r="JX8" s="159" t="s">
        <v>2458</v>
      </c>
      <c r="JY8" s="159" t="s">
        <v>2459</v>
      </c>
      <c r="JZ8" s="159" t="s">
        <v>2460</v>
      </c>
      <c r="KA8" s="159" t="s">
        <v>2461</v>
      </c>
      <c r="KB8" s="159" t="s">
        <v>2411</v>
      </c>
      <c r="KC8" s="159" t="s">
        <v>2462</v>
      </c>
      <c r="KD8" s="159" t="s">
        <v>2461</v>
      </c>
      <c r="KE8" s="159" t="s">
        <v>2412</v>
      </c>
      <c r="KF8" s="159" t="s">
        <v>2463</v>
      </c>
      <c r="KG8" s="159" t="s">
        <v>2464</v>
      </c>
      <c r="KH8" s="159" t="s">
        <v>2464</v>
      </c>
      <c r="KI8" s="159" t="s">
        <v>2465</v>
      </c>
      <c r="KJ8" s="159" t="s">
        <v>2296</v>
      </c>
    </row>
    <row r="9" spans="1:296" ht="18" customHeight="1" x14ac:dyDescent="0.3">
      <c r="A9" s="162" t="s">
        <v>67</v>
      </c>
      <c r="B9" s="162" t="s">
        <v>808</v>
      </c>
      <c r="C9" s="163">
        <v>0</v>
      </c>
      <c r="D9" s="164"/>
      <c r="E9" s="163">
        <v>1.8814</v>
      </c>
      <c r="F9" s="163">
        <v>-7.4606000000000003</v>
      </c>
      <c r="G9" s="163">
        <v>4.0734000000000004</v>
      </c>
      <c r="H9" s="163">
        <v>8.6587999999999994</v>
      </c>
      <c r="I9" s="164"/>
      <c r="J9" s="163">
        <v>10.8443</v>
      </c>
      <c r="K9" s="164"/>
      <c r="L9" s="163">
        <v>15.8636</v>
      </c>
      <c r="M9" s="163">
        <v>6.7207999999999997</v>
      </c>
      <c r="N9" s="163">
        <v>7.9051</v>
      </c>
      <c r="O9" s="163">
        <v>0</v>
      </c>
      <c r="P9" s="163">
        <v>-22</v>
      </c>
      <c r="Q9" s="164"/>
      <c r="R9" s="163">
        <v>0.82799999999999996</v>
      </c>
      <c r="S9" s="164"/>
      <c r="T9" s="163">
        <v>2.9043000000000001</v>
      </c>
      <c r="U9" s="163">
        <v>-11.997299999999999</v>
      </c>
      <c r="V9" s="164"/>
      <c r="W9" s="163">
        <v>3.7212999999999998</v>
      </c>
      <c r="X9" s="163">
        <v>6.9105999999999996</v>
      </c>
      <c r="Y9" s="163">
        <v>2.7721</v>
      </c>
      <c r="Z9" s="163">
        <v>-0.57140000000000002</v>
      </c>
      <c r="AA9" s="163">
        <v>1.4728000000000001</v>
      </c>
      <c r="AB9" s="164"/>
      <c r="AC9" s="163">
        <v>-0.75470000000000004</v>
      </c>
      <c r="AD9" s="163">
        <v>-0.83399999999999996</v>
      </c>
      <c r="AE9" s="163">
        <v>-0.81799999999999995</v>
      </c>
      <c r="AF9" s="163">
        <v>2.5299999999999998</v>
      </c>
      <c r="AG9" s="163">
        <v>-19.98</v>
      </c>
      <c r="AH9" s="163">
        <v>-13.2</v>
      </c>
      <c r="AI9" s="163">
        <v>-1.196</v>
      </c>
      <c r="AJ9" s="163">
        <v>0.27300000000000002</v>
      </c>
      <c r="AK9" s="163">
        <v>-12.71</v>
      </c>
      <c r="AL9" s="164"/>
      <c r="AM9" s="164"/>
      <c r="AN9" s="163">
        <v>-8.09</v>
      </c>
      <c r="AO9" s="163">
        <v>-8.1199999999999992</v>
      </c>
      <c r="AP9" s="164"/>
      <c r="AQ9" s="163">
        <v>3.9607999999999999</v>
      </c>
      <c r="AR9" s="163">
        <v>16.808900000000001</v>
      </c>
      <c r="AS9" s="163">
        <v>18.866700000000002</v>
      </c>
      <c r="AT9" s="163">
        <v>-14.6348</v>
      </c>
      <c r="AU9" s="163">
        <v>-7.9823000000000004</v>
      </c>
      <c r="AV9" s="163">
        <v>-7.7481999999999998</v>
      </c>
      <c r="AW9" s="163">
        <v>2.4863</v>
      </c>
      <c r="AX9" s="163">
        <v>2.6932999999999998</v>
      </c>
      <c r="AY9" s="163">
        <v>-16.349499999999999</v>
      </c>
      <c r="AZ9" s="163">
        <v>-13.8491</v>
      </c>
      <c r="BA9" s="163">
        <v>12.6637</v>
      </c>
      <c r="BB9" s="163">
        <v>13.183299999999999</v>
      </c>
      <c r="BC9" s="163">
        <v>20.798200000000001</v>
      </c>
      <c r="BD9" s="163">
        <v>11.112399999999999</v>
      </c>
      <c r="BE9" s="163">
        <v>-5</v>
      </c>
      <c r="BF9" s="163">
        <v>-4.9000000000000004</v>
      </c>
      <c r="BG9" s="163">
        <v>-24.9316</v>
      </c>
      <c r="BH9" s="163">
        <v>-24.910299999999999</v>
      </c>
      <c r="BI9" s="163">
        <v>-1.8494999999999999</v>
      </c>
      <c r="BJ9" s="164"/>
      <c r="BK9" s="163">
        <v>2.2471000000000001</v>
      </c>
      <c r="BL9" s="163">
        <v>4.3085000000000004</v>
      </c>
      <c r="BM9" s="163">
        <v>7.85E-2</v>
      </c>
      <c r="BN9" s="163">
        <v>0.13719999999999999</v>
      </c>
      <c r="BO9" s="163">
        <v>-86.092699999999994</v>
      </c>
      <c r="BP9" s="163">
        <v>34.241799999999998</v>
      </c>
      <c r="BQ9" s="163">
        <v>34.180700000000002</v>
      </c>
      <c r="BR9" s="163">
        <v>17.264700000000001</v>
      </c>
      <c r="BS9" s="163">
        <v>-169.351</v>
      </c>
      <c r="BT9" s="164"/>
      <c r="BU9" s="164"/>
      <c r="BV9" s="164"/>
      <c r="BW9" s="163">
        <v>12.893599999999999</v>
      </c>
      <c r="BX9" s="163">
        <v>9.1300000000000008</v>
      </c>
      <c r="BY9" s="163">
        <v>5.71</v>
      </c>
      <c r="BZ9" s="163">
        <v>-11.85</v>
      </c>
      <c r="CA9" s="163">
        <v>5.78</v>
      </c>
      <c r="CB9" s="163">
        <v>-18.883800000000001</v>
      </c>
      <c r="CC9" s="163">
        <v>-18.4819</v>
      </c>
      <c r="CD9" s="163">
        <v>31.858000000000001</v>
      </c>
      <c r="CE9" s="163">
        <v>30.790900000000001</v>
      </c>
      <c r="CF9" s="163">
        <v>-2.8184999999999998</v>
      </c>
      <c r="CG9" s="163">
        <v>-11.6013</v>
      </c>
      <c r="CH9" s="163">
        <v>-12.426500000000001</v>
      </c>
      <c r="CI9" s="163">
        <v>1.7011000000000001</v>
      </c>
      <c r="CJ9" s="164"/>
      <c r="CK9" s="163">
        <v>3.8355999999999999</v>
      </c>
      <c r="CL9" s="163">
        <v>8.7420000000000009</v>
      </c>
      <c r="CM9" s="163">
        <v>-16.600000000000001</v>
      </c>
      <c r="CN9" s="163">
        <v>-16.3</v>
      </c>
      <c r="CO9" s="163">
        <v>-2.73</v>
      </c>
      <c r="CP9" s="163">
        <v>14.9748</v>
      </c>
      <c r="CQ9" s="163">
        <v>15.168699999999999</v>
      </c>
      <c r="CR9" s="163">
        <v>13.752700000000001</v>
      </c>
      <c r="CS9" s="163">
        <v>49.793799999999997</v>
      </c>
      <c r="CT9" s="163">
        <v>49.865699999999997</v>
      </c>
      <c r="CU9" s="163">
        <v>-30.319700000000001</v>
      </c>
      <c r="CV9" s="163">
        <v>-26.180199999999999</v>
      </c>
      <c r="CW9" s="163">
        <v>-28.198399999999999</v>
      </c>
      <c r="CX9" s="163">
        <v>2.9392999999999998</v>
      </c>
      <c r="CY9" s="163">
        <v>26.19</v>
      </c>
      <c r="CZ9" s="163">
        <v>9.44</v>
      </c>
      <c r="DA9" s="163">
        <v>5.4736000000000002</v>
      </c>
      <c r="DB9" s="163">
        <v>4.3975999999999997</v>
      </c>
      <c r="DC9" s="163">
        <v>-7.3102999999999998</v>
      </c>
      <c r="DD9" s="164"/>
      <c r="DE9" s="164"/>
      <c r="DF9" s="164"/>
      <c r="DG9" s="163">
        <v>23.835699999999999</v>
      </c>
      <c r="DH9" s="164"/>
      <c r="DI9" s="164"/>
      <c r="DJ9" s="164"/>
      <c r="DK9" s="164"/>
      <c r="DL9" s="163">
        <v>0.2167</v>
      </c>
      <c r="DM9" s="163">
        <v>0.3</v>
      </c>
      <c r="DN9" s="163">
        <v>5</v>
      </c>
      <c r="DO9" s="163">
        <v>4.0199999999999996</v>
      </c>
      <c r="DP9" s="163">
        <v>-1.68</v>
      </c>
      <c r="DQ9" s="163">
        <v>-1.42</v>
      </c>
      <c r="DR9" s="163">
        <v>11.593999999999999</v>
      </c>
      <c r="DS9" s="163">
        <v>-25.643999999999998</v>
      </c>
      <c r="DT9" s="163">
        <v>-14.08</v>
      </c>
      <c r="DU9" s="163">
        <v>-14.16</v>
      </c>
      <c r="DV9" s="163">
        <v>30.83</v>
      </c>
      <c r="DW9" s="163">
        <v>1.62</v>
      </c>
      <c r="DX9" s="163">
        <v>-26.581800000000001</v>
      </c>
      <c r="DY9" s="163">
        <v>-13.7</v>
      </c>
      <c r="DZ9" s="163">
        <v>-40.228499999999997</v>
      </c>
      <c r="EA9" s="163">
        <v>-39.336399999999998</v>
      </c>
      <c r="EB9" s="164"/>
      <c r="EC9" s="163">
        <v>-24.274899999999999</v>
      </c>
      <c r="ED9" s="163">
        <v>-30.271699999999999</v>
      </c>
      <c r="EE9" s="163">
        <v>-31.3828</v>
      </c>
      <c r="EF9" s="163">
        <v>-13.322900000000001</v>
      </c>
      <c r="EG9" s="163">
        <v>-18.950199999999999</v>
      </c>
      <c r="EH9" s="163">
        <v>-13.712999999999999</v>
      </c>
      <c r="EI9" s="163">
        <v>-93.696200000000005</v>
      </c>
      <c r="EJ9" s="163">
        <v>-9.7063000000000006</v>
      </c>
      <c r="EK9" s="164"/>
      <c r="EL9" s="163">
        <v>-9.7324000000000002</v>
      </c>
      <c r="EM9" s="163">
        <v>-8.3331</v>
      </c>
      <c r="EN9" s="164"/>
      <c r="EO9" s="163">
        <v>-19.921900000000001</v>
      </c>
      <c r="EP9" s="163">
        <v>-20.013500000000001</v>
      </c>
      <c r="EQ9" s="163">
        <v>5.1360000000000001</v>
      </c>
      <c r="ER9" s="163">
        <v>-14.216100000000001</v>
      </c>
      <c r="ES9" s="163">
        <v>-17.1937</v>
      </c>
      <c r="ET9" s="163">
        <v>18.834399999999999</v>
      </c>
      <c r="EU9" s="163">
        <v>6.07</v>
      </c>
      <c r="EV9" s="163">
        <v>-3.26</v>
      </c>
      <c r="EW9" s="163">
        <v>3.2</v>
      </c>
      <c r="EX9" s="163">
        <v>2.0478000000000001</v>
      </c>
      <c r="EY9" s="163">
        <v>-27.363399999999999</v>
      </c>
      <c r="EZ9" s="163">
        <v>-8.3341999999999992</v>
      </c>
      <c r="FA9" s="163">
        <v>-8.6412999999999993</v>
      </c>
      <c r="FB9" s="163">
        <v>7.9039000000000001</v>
      </c>
      <c r="FC9" s="163">
        <v>25.7455</v>
      </c>
      <c r="FD9" s="163">
        <v>-31.0444</v>
      </c>
      <c r="FE9" s="163">
        <v>6.9219999999999997</v>
      </c>
      <c r="FF9" s="163">
        <v>-0.48180000000000001</v>
      </c>
      <c r="FG9" s="164"/>
      <c r="FH9" s="163">
        <v>0</v>
      </c>
      <c r="FI9" s="163">
        <v>0</v>
      </c>
      <c r="FJ9" s="163">
        <v>0</v>
      </c>
      <c r="FK9" s="163">
        <v>5.5260999999999996</v>
      </c>
      <c r="FL9" s="163">
        <v>5.5260999999999996</v>
      </c>
      <c r="FM9" s="163">
        <v>-14.0663</v>
      </c>
      <c r="FN9" s="163">
        <v>20.590399999999999</v>
      </c>
      <c r="FO9" s="163">
        <v>20.863600000000002</v>
      </c>
      <c r="FP9" s="163">
        <v>-1.8368</v>
      </c>
      <c r="FQ9" s="163">
        <v>11.091100000000001</v>
      </c>
      <c r="FR9" s="163">
        <v>19.9283</v>
      </c>
      <c r="FS9" s="163">
        <v>-12.5</v>
      </c>
      <c r="FT9" s="164"/>
      <c r="FU9" s="163">
        <v>0.14760000000000001</v>
      </c>
      <c r="FV9" s="163">
        <v>-0.28000000000000003</v>
      </c>
      <c r="FW9" s="163">
        <v>0.46</v>
      </c>
      <c r="FX9" s="163">
        <v>-20.121300000000002</v>
      </c>
      <c r="FY9" s="164"/>
      <c r="FZ9" s="163">
        <v>4.9029999999999996</v>
      </c>
      <c r="GA9" s="163">
        <v>0.46700000000000003</v>
      </c>
      <c r="GB9" s="164"/>
      <c r="GC9" s="163">
        <v>12.31</v>
      </c>
      <c r="GD9" s="163">
        <v>-22.746200000000002</v>
      </c>
      <c r="GE9" s="163">
        <v>-14.2532</v>
      </c>
      <c r="GF9" s="163">
        <v>-2.02</v>
      </c>
      <c r="GG9" s="163">
        <v>19.3902</v>
      </c>
      <c r="GH9" s="164"/>
      <c r="GI9" s="163">
        <v>21.942299999999999</v>
      </c>
      <c r="GJ9" s="163">
        <v>-3.8593000000000002</v>
      </c>
      <c r="GK9" s="163">
        <v>-4.2351999999999999</v>
      </c>
      <c r="GL9" s="163">
        <v>1.9849000000000001</v>
      </c>
      <c r="GM9" s="164"/>
      <c r="GN9" s="164"/>
      <c r="GO9" s="163">
        <v>-11.6898</v>
      </c>
      <c r="GP9" s="163">
        <v>68.463800000000006</v>
      </c>
      <c r="GQ9" s="163">
        <v>1.1413</v>
      </c>
      <c r="GR9" s="164"/>
      <c r="GS9" s="163">
        <v>-6.9607999999999999</v>
      </c>
      <c r="GT9" s="163">
        <v>-6.9817999999999998</v>
      </c>
      <c r="GU9" s="163">
        <v>110.15860000000001</v>
      </c>
      <c r="GV9" s="163">
        <v>-11.027900000000001</v>
      </c>
      <c r="GW9" s="163">
        <v>-10.4826</v>
      </c>
      <c r="GX9" s="163">
        <v>-3.2393999999999998</v>
      </c>
      <c r="GY9" s="163">
        <v>2.9634</v>
      </c>
      <c r="GZ9" s="163">
        <v>4.8936000000000002</v>
      </c>
      <c r="HA9" s="163">
        <v>5.0083000000000002</v>
      </c>
      <c r="HB9" s="163">
        <v>2.4586000000000001</v>
      </c>
      <c r="HC9" s="163">
        <v>-6.3151999999999999</v>
      </c>
      <c r="HD9" s="163">
        <v>-4.8041999999999998</v>
      </c>
      <c r="HE9" s="163">
        <v>-2.5099999999999998</v>
      </c>
      <c r="HF9" s="163">
        <v>0</v>
      </c>
      <c r="HG9" s="163">
        <v>26.488499999999998</v>
      </c>
      <c r="HH9" s="163">
        <v>33.957700000000003</v>
      </c>
      <c r="HI9" s="163">
        <v>84.157700000000006</v>
      </c>
      <c r="HJ9" s="163">
        <v>-2.2698</v>
      </c>
      <c r="HK9" s="163">
        <v>48.247</v>
      </c>
      <c r="HL9" s="163">
        <v>0</v>
      </c>
      <c r="HM9" s="163">
        <v>-9.2475000000000005</v>
      </c>
      <c r="HN9" s="163">
        <v>0</v>
      </c>
      <c r="HO9" s="163">
        <v>0</v>
      </c>
      <c r="HP9" s="164"/>
      <c r="HQ9" s="163">
        <v>35.240499999999997</v>
      </c>
      <c r="HR9" s="163">
        <v>-22.3507</v>
      </c>
      <c r="HS9" s="163">
        <v>-21.7684</v>
      </c>
      <c r="HT9" s="163">
        <v>-7.0296000000000003</v>
      </c>
      <c r="HU9" s="163">
        <v>-6.7804000000000002</v>
      </c>
      <c r="HV9" s="163">
        <v>9.8000000000000007</v>
      </c>
      <c r="HW9" s="163">
        <v>9.9600000000000009</v>
      </c>
      <c r="HX9" s="163">
        <v>-29.6</v>
      </c>
      <c r="HY9" s="163">
        <v>-29.8</v>
      </c>
      <c r="HZ9" s="163">
        <v>5.3999999999999999E-2</v>
      </c>
      <c r="IA9" s="163">
        <v>-9.2799999999999994</v>
      </c>
      <c r="IB9" s="163">
        <v>73.511700000000005</v>
      </c>
      <c r="IC9" s="163">
        <v>8.8285</v>
      </c>
      <c r="ID9" s="163">
        <v>8.7545999999999999</v>
      </c>
      <c r="IE9" s="163">
        <v>-20.3</v>
      </c>
      <c r="IF9" s="163">
        <v>-41.4</v>
      </c>
      <c r="IG9" s="163">
        <v>6</v>
      </c>
      <c r="IH9" s="163">
        <v>5.5</v>
      </c>
      <c r="II9" s="163">
        <v>-18.068999999999999</v>
      </c>
      <c r="IJ9" s="163">
        <v>-17.866599999999998</v>
      </c>
      <c r="IK9" s="163">
        <v>-76.598699999999994</v>
      </c>
      <c r="IL9" s="163">
        <v>51.470399999999998</v>
      </c>
      <c r="IM9" s="163">
        <v>-297.98700000000002</v>
      </c>
      <c r="IN9" s="163">
        <v>-32.177700000000002</v>
      </c>
      <c r="IO9" s="163">
        <v>-22.693200000000001</v>
      </c>
      <c r="IP9" s="163">
        <v>119.373</v>
      </c>
      <c r="IQ9" s="163">
        <v>45.8123</v>
      </c>
      <c r="IR9" s="163">
        <v>159.4599</v>
      </c>
      <c r="IS9" s="163">
        <v>85.774600000000007</v>
      </c>
      <c r="IT9" s="163">
        <v>61.904699999999998</v>
      </c>
      <c r="IU9" s="163">
        <v>23.68</v>
      </c>
      <c r="IV9" s="163">
        <v>23.729500000000002</v>
      </c>
      <c r="IW9" s="163">
        <v>-50.615000000000002</v>
      </c>
      <c r="IX9" s="163">
        <v>246.6772</v>
      </c>
      <c r="IY9" s="163">
        <v>-188.10650000000001</v>
      </c>
      <c r="IZ9" s="163">
        <v>58.591700000000003</v>
      </c>
      <c r="JA9" s="163">
        <v>-48.1798</v>
      </c>
      <c r="JB9" s="163">
        <v>0.42359999999999998</v>
      </c>
      <c r="JC9" s="163">
        <v>10.579000000000001</v>
      </c>
      <c r="JD9" s="163">
        <v>-6.16</v>
      </c>
      <c r="JE9" s="163">
        <v>-2.0619999999999998</v>
      </c>
      <c r="JF9" s="163">
        <v>-2.0750000000000002</v>
      </c>
      <c r="JG9" s="163">
        <v>1.04</v>
      </c>
      <c r="JH9" s="163">
        <v>-0.96</v>
      </c>
      <c r="JI9" s="163">
        <v>-1.7586999999999999</v>
      </c>
      <c r="JJ9" s="163">
        <v>-5.1559999999999997</v>
      </c>
      <c r="JK9" s="163">
        <v>8.2048000000000005</v>
      </c>
      <c r="JL9" s="163">
        <v>-5.6535000000000002</v>
      </c>
      <c r="JM9" s="163">
        <v>-1.3</v>
      </c>
      <c r="JN9" s="163">
        <v>7.2</v>
      </c>
      <c r="JO9" s="163">
        <v>7.875</v>
      </c>
      <c r="JP9" s="164"/>
      <c r="JQ9" s="164"/>
      <c r="JR9" s="163">
        <v>4.2093999999999996</v>
      </c>
      <c r="JS9" s="163">
        <v>3.2835000000000001</v>
      </c>
      <c r="JT9" s="163">
        <v>4.1332000000000004</v>
      </c>
      <c r="JU9" s="164"/>
      <c r="JV9" s="163">
        <v>25</v>
      </c>
      <c r="JW9" s="163">
        <v>3.6970000000000001</v>
      </c>
      <c r="JX9" s="163">
        <v>-0.04</v>
      </c>
      <c r="JY9" s="164"/>
      <c r="JZ9" s="163">
        <v>-4.5811000000000002</v>
      </c>
      <c r="KA9" s="163">
        <v>-16.7713</v>
      </c>
      <c r="KB9" s="163">
        <v>-17.634599999999999</v>
      </c>
      <c r="KC9" s="163">
        <v>-1.3182</v>
      </c>
      <c r="KD9" s="163">
        <v>12.4039</v>
      </c>
      <c r="KE9" s="163">
        <v>-12.7165</v>
      </c>
      <c r="KF9" s="163">
        <v>0</v>
      </c>
      <c r="KG9" s="163">
        <v>-19.899999999999999</v>
      </c>
      <c r="KH9" s="163">
        <v>1.9</v>
      </c>
      <c r="KI9" s="163">
        <v>51.749299999999998</v>
      </c>
      <c r="KJ9" s="163">
        <v>-116.8832</v>
      </c>
    </row>
    <row r="10" spans="1:296" ht="18" customHeight="1" x14ac:dyDescent="0.3">
      <c r="A10" s="162" t="s">
        <v>67</v>
      </c>
      <c r="B10" s="162" t="s">
        <v>809</v>
      </c>
      <c r="C10" s="166">
        <v>0</v>
      </c>
      <c r="D10" s="167"/>
      <c r="E10" s="166">
        <v>1.5598000000000001</v>
      </c>
      <c r="F10" s="166">
        <v>-7.0667</v>
      </c>
      <c r="G10" s="166">
        <v>4.0961999999999996</v>
      </c>
      <c r="H10" s="166">
        <v>8.8788999999999998</v>
      </c>
      <c r="I10" s="167"/>
      <c r="J10" s="166">
        <v>10.431699999999999</v>
      </c>
      <c r="K10" s="167"/>
      <c r="L10" s="166">
        <v>15.9564</v>
      </c>
      <c r="M10" s="166">
        <v>6.9177999999999997</v>
      </c>
      <c r="N10" s="166">
        <v>8.2407000000000004</v>
      </c>
      <c r="O10" s="166">
        <v>4.4400000000000004</v>
      </c>
      <c r="P10" s="166">
        <v>-22</v>
      </c>
      <c r="Q10" s="166">
        <v>-2.2000000000000002</v>
      </c>
      <c r="R10" s="167"/>
      <c r="S10" s="166">
        <v>-13.2</v>
      </c>
      <c r="T10" s="166">
        <v>3.6446999999999998</v>
      </c>
      <c r="U10" s="166">
        <v>-11.8269</v>
      </c>
      <c r="V10" s="167"/>
      <c r="W10" s="166">
        <v>4.0430000000000001</v>
      </c>
      <c r="X10" s="166">
        <v>7.5846999999999998</v>
      </c>
      <c r="Y10" s="166">
        <v>3.7932000000000001</v>
      </c>
      <c r="Z10" s="166">
        <v>-0.56220000000000003</v>
      </c>
      <c r="AA10" s="166">
        <v>1.5073000000000001</v>
      </c>
      <c r="AB10" s="167"/>
      <c r="AC10" s="166">
        <v>-0.82869999999999999</v>
      </c>
      <c r="AD10" s="166">
        <v>-0.73599999999999999</v>
      </c>
      <c r="AE10" s="166">
        <v>-0.72499999999999998</v>
      </c>
      <c r="AF10" s="166">
        <v>2.1040000000000001</v>
      </c>
      <c r="AG10" s="166">
        <v>-24.42</v>
      </c>
      <c r="AH10" s="166">
        <v>-13.2</v>
      </c>
      <c r="AI10" s="166">
        <v>-1.244</v>
      </c>
      <c r="AJ10" s="166">
        <v>0.26100000000000001</v>
      </c>
      <c r="AK10" s="166">
        <v>-12.42</v>
      </c>
      <c r="AL10" s="167"/>
      <c r="AM10" s="167"/>
      <c r="AN10" s="166">
        <v>-7.67</v>
      </c>
      <c r="AO10" s="166">
        <v>-7.72</v>
      </c>
      <c r="AP10" s="167"/>
      <c r="AQ10" s="166">
        <v>3.9308000000000001</v>
      </c>
      <c r="AR10" s="166">
        <v>16.170500000000001</v>
      </c>
      <c r="AS10" s="166">
        <v>18.1706</v>
      </c>
      <c r="AT10" s="166">
        <v>-14.736499999999999</v>
      </c>
      <c r="AU10" s="166">
        <v>-6.9413</v>
      </c>
      <c r="AV10" s="166">
        <v>-6.6609999999999996</v>
      </c>
      <c r="AW10" s="166">
        <v>3.0785</v>
      </c>
      <c r="AX10" s="166">
        <v>3.0535999999999999</v>
      </c>
      <c r="AY10" s="166">
        <v>-16.652699999999999</v>
      </c>
      <c r="AZ10" s="166">
        <v>-14.2659</v>
      </c>
      <c r="BA10" s="166">
        <v>13.169499999999999</v>
      </c>
      <c r="BB10" s="166">
        <v>13.7943</v>
      </c>
      <c r="BC10" s="166">
        <v>18.425699999999999</v>
      </c>
      <c r="BD10" s="166">
        <v>11.6233</v>
      </c>
      <c r="BE10" s="166">
        <v>-5.0999999999999996</v>
      </c>
      <c r="BF10" s="166">
        <v>-5.0999999999999996</v>
      </c>
      <c r="BG10" s="166">
        <v>-25.210799999999999</v>
      </c>
      <c r="BH10" s="166">
        <v>-25.325099999999999</v>
      </c>
      <c r="BI10" s="166">
        <v>-2.0041000000000002</v>
      </c>
      <c r="BJ10" s="167"/>
      <c r="BK10" s="166">
        <v>1.8649</v>
      </c>
      <c r="BL10" s="166">
        <v>3.1280999999999999</v>
      </c>
      <c r="BM10" s="166">
        <v>-9.4799999999999995E-2</v>
      </c>
      <c r="BN10" s="166">
        <v>-3.2500000000000001E-2</v>
      </c>
      <c r="BO10" s="166">
        <v>-86.703100000000006</v>
      </c>
      <c r="BP10" s="166">
        <v>33.814500000000002</v>
      </c>
      <c r="BQ10" s="166">
        <v>33.631399999999999</v>
      </c>
      <c r="BR10" s="166">
        <v>15.1518</v>
      </c>
      <c r="BS10" s="166">
        <v>-175.95439999999999</v>
      </c>
      <c r="BT10" s="167"/>
      <c r="BU10" s="167"/>
      <c r="BV10" s="167"/>
      <c r="BW10" s="166">
        <v>12.7239</v>
      </c>
      <c r="BX10" s="166">
        <v>9.43</v>
      </c>
      <c r="BY10" s="166">
        <v>6.18</v>
      </c>
      <c r="BZ10" s="166">
        <v>-11.86</v>
      </c>
      <c r="CA10" s="166">
        <v>5.58</v>
      </c>
      <c r="CB10" s="166">
        <v>-17.812100000000001</v>
      </c>
      <c r="CC10" s="166">
        <v>-17.678100000000001</v>
      </c>
      <c r="CD10" s="166">
        <v>31.2483</v>
      </c>
      <c r="CE10" s="166">
        <v>30.258600000000001</v>
      </c>
      <c r="CF10" s="166">
        <v>-3.0750999999999999</v>
      </c>
      <c r="CG10" s="166">
        <v>-14.1388</v>
      </c>
      <c r="CH10" s="166">
        <v>-13.955</v>
      </c>
      <c r="CI10" s="166">
        <v>1.6596</v>
      </c>
      <c r="CJ10" s="167"/>
      <c r="CK10" s="166">
        <v>3.8355999999999999</v>
      </c>
      <c r="CL10" s="166">
        <v>8.8770000000000007</v>
      </c>
      <c r="CM10" s="166">
        <v>-17.2</v>
      </c>
      <c r="CN10" s="166">
        <v>-16.7</v>
      </c>
      <c r="CO10" s="166">
        <v>-2.84</v>
      </c>
      <c r="CP10" s="166">
        <v>13.1502</v>
      </c>
      <c r="CQ10" s="166">
        <v>13.3432</v>
      </c>
      <c r="CR10" s="166">
        <v>11.932499999999999</v>
      </c>
      <c r="CS10" s="166">
        <v>49.561799999999998</v>
      </c>
      <c r="CT10" s="166">
        <v>49.737900000000003</v>
      </c>
      <c r="CU10" s="166">
        <v>-29.248100000000001</v>
      </c>
      <c r="CV10" s="166">
        <v>-26.2043</v>
      </c>
      <c r="CW10" s="166">
        <v>-27.928799999999999</v>
      </c>
      <c r="CX10" s="166">
        <v>3.0028999999999999</v>
      </c>
      <c r="CY10" s="166">
        <v>25.8</v>
      </c>
      <c r="CZ10" s="166">
        <v>9.42</v>
      </c>
      <c r="DA10" s="166">
        <v>5.3174000000000001</v>
      </c>
      <c r="DB10" s="166">
        <v>4.2999000000000001</v>
      </c>
      <c r="DC10" s="166">
        <v>-7.2431000000000001</v>
      </c>
      <c r="DD10" s="167"/>
      <c r="DE10" s="167"/>
      <c r="DF10" s="167"/>
      <c r="DG10" s="166">
        <v>19.793900000000001</v>
      </c>
      <c r="DH10" s="167"/>
      <c r="DI10" s="167"/>
      <c r="DJ10" s="166">
        <v>-20</v>
      </c>
      <c r="DK10" s="166">
        <v>-19.100000000000001</v>
      </c>
      <c r="DL10" s="166">
        <v>0.45350000000000001</v>
      </c>
      <c r="DM10" s="166">
        <v>0</v>
      </c>
      <c r="DN10" s="166">
        <v>4.66</v>
      </c>
      <c r="DO10" s="166">
        <v>3.78</v>
      </c>
      <c r="DP10" s="166">
        <v>-1.9</v>
      </c>
      <c r="DQ10" s="166">
        <v>-1.53</v>
      </c>
      <c r="DR10" s="166">
        <v>12.9735</v>
      </c>
      <c r="DS10" s="166">
        <v>-20.866199999999999</v>
      </c>
      <c r="DT10" s="166">
        <v>-14.53</v>
      </c>
      <c r="DU10" s="166">
        <v>-14.77</v>
      </c>
      <c r="DV10" s="166">
        <v>31.02</v>
      </c>
      <c r="DW10" s="166">
        <v>0.17</v>
      </c>
      <c r="DX10" s="166">
        <v>-23.6</v>
      </c>
      <c r="DY10" s="166">
        <v>-11.4909</v>
      </c>
      <c r="DZ10" s="166">
        <v>-38.265599999999999</v>
      </c>
      <c r="EA10" s="166">
        <v>-37.4</v>
      </c>
      <c r="EB10" s="167"/>
      <c r="EC10" s="166">
        <v>-23.0885</v>
      </c>
      <c r="ED10" s="166">
        <v>-28.866599999999998</v>
      </c>
      <c r="EE10" s="166">
        <v>-29.416399999999999</v>
      </c>
      <c r="EF10" s="166">
        <v>-21.4084</v>
      </c>
      <c r="EG10" s="166">
        <v>-26.581099999999999</v>
      </c>
      <c r="EH10" s="166">
        <v>-14.156000000000001</v>
      </c>
      <c r="EI10" s="166">
        <v>-94.231300000000005</v>
      </c>
      <c r="EJ10" s="166">
        <v>2.8313000000000001</v>
      </c>
      <c r="EK10" s="167"/>
      <c r="EL10" s="166">
        <v>-7.8470000000000004</v>
      </c>
      <c r="EM10" s="166">
        <v>-7.4676999999999998</v>
      </c>
      <c r="EN10" s="167"/>
      <c r="EO10" s="166">
        <v>-16.460999999999999</v>
      </c>
      <c r="EP10" s="166">
        <v>-15.534000000000001</v>
      </c>
      <c r="EQ10" s="166">
        <v>4.6239999999999997</v>
      </c>
      <c r="ER10" s="166">
        <v>-15.9786</v>
      </c>
      <c r="ES10" s="166">
        <v>-15.0518</v>
      </c>
      <c r="ET10" s="166">
        <v>14.7258</v>
      </c>
      <c r="EU10" s="166">
        <v>-6.68</v>
      </c>
      <c r="EV10" s="166">
        <v>-3.57</v>
      </c>
      <c r="EW10" s="166">
        <v>0</v>
      </c>
      <c r="EX10" s="166">
        <v>1.8633</v>
      </c>
      <c r="EY10" s="166">
        <v>-22.1675</v>
      </c>
      <c r="EZ10" s="166">
        <v>-8.9749999999999996</v>
      </c>
      <c r="FA10" s="166">
        <v>-9.1034000000000006</v>
      </c>
      <c r="FB10" s="166">
        <v>9.0949000000000009</v>
      </c>
      <c r="FC10" s="166">
        <v>16.847999999999999</v>
      </c>
      <c r="FD10" s="166">
        <v>-30.567599999999999</v>
      </c>
      <c r="FE10" s="166">
        <v>6.8323999999999998</v>
      </c>
      <c r="FF10" s="166">
        <v>0.13900000000000001</v>
      </c>
      <c r="FG10" s="167"/>
      <c r="FH10" s="166">
        <v>0</v>
      </c>
      <c r="FI10" s="166">
        <v>0</v>
      </c>
      <c r="FJ10" s="166">
        <v>0</v>
      </c>
      <c r="FK10" s="166">
        <v>4.6887999999999996</v>
      </c>
      <c r="FL10" s="166">
        <v>4.5213000000000001</v>
      </c>
      <c r="FM10" s="166">
        <v>-13.731400000000001</v>
      </c>
      <c r="FN10" s="166">
        <v>18.479399999999998</v>
      </c>
      <c r="FO10" s="166">
        <v>18.533999999999999</v>
      </c>
      <c r="FP10" s="166">
        <v>-1.1583000000000001</v>
      </c>
      <c r="FQ10" s="166">
        <v>12.2616</v>
      </c>
      <c r="FR10" s="166">
        <v>21.1051</v>
      </c>
      <c r="FS10" s="166">
        <v>-11.65</v>
      </c>
      <c r="FT10" s="167"/>
      <c r="FU10" s="166">
        <v>0.16500000000000001</v>
      </c>
      <c r="FV10" s="166">
        <v>-0.28000000000000003</v>
      </c>
      <c r="FW10" s="166">
        <v>-0.54</v>
      </c>
      <c r="FX10" s="166">
        <v>-21.308599999999998</v>
      </c>
      <c r="FY10" s="167"/>
      <c r="FZ10" s="166">
        <v>5.024</v>
      </c>
      <c r="GA10" s="166">
        <v>1.4350000000000001</v>
      </c>
      <c r="GB10" s="167"/>
      <c r="GC10" s="166">
        <v>12.13</v>
      </c>
      <c r="GD10" s="166">
        <v>-23.364100000000001</v>
      </c>
      <c r="GE10" s="166">
        <v>-15.0787</v>
      </c>
      <c r="GF10" s="166">
        <v>-2</v>
      </c>
      <c r="GG10" s="166">
        <v>18.876100000000001</v>
      </c>
      <c r="GH10" s="167"/>
      <c r="GI10" s="166">
        <v>21.634</v>
      </c>
      <c r="GJ10" s="166">
        <v>-3.9159999999999999</v>
      </c>
      <c r="GK10" s="166">
        <v>-4.1760999999999999</v>
      </c>
      <c r="GL10" s="166">
        <v>1.9180999999999999</v>
      </c>
      <c r="GM10" s="167"/>
      <c r="GN10" s="167"/>
      <c r="GO10" s="167"/>
      <c r="GP10" s="166">
        <v>68.011700000000005</v>
      </c>
      <c r="GQ10" s="166">
        <v>0.52310000000000001</v>
      </c>
      <c r="GR10" s="166">
        <v>-23.7395</v>
      </c>
      <c r="GS10" s="166">
        <v>-7.3522999999999996</v>
      </c>
      <c r="GT10" s="166">
        <v>-7.2159000000000004</v>
      </c>
      <c r="GU10" s="166">
        <v>109.4725</v>
      </c>
      <c r="GV10" s="166">
        <v>-11.215400000000001</v>
      </c>
      <c r="GW10" s="166">
        <v>-9.9406999999999996</v>
      </c>
      <c r="GX10" s="166">
        <v>-3.3542999999999998</v>
      </c>
      <c r="GY10" s="166">
        <v>3.3130999999999999</v>
      </c>
      <c r="GZ10" s="166">
        <v>4.8643000000000001</v>
      </c>
      <c r="HA10" s="166">
        <v>4.9054000000000002</v>
      </c>
      <c r="HB10" s="166">
        <v>2.7559</v>
      </c>
      <c r="HC10" s="166">
        <v>-3.5964999999999998</v>
      </c>
      <c r="HD10" s="166">
        <v>0</v>
      </c>
      <c r="HE10" s="166">
        <v>-1.26</v>
      </c>
      <c r="HF10" s="166">
        <v>0</v>
      </c>
      <c r="HG10" s="166">
        <v>31.347100000000001</v>
      </c>
      <c r="HH10" s="166">
        <v>38.561900000000001</v>
      </c>
      <c r="HI10" s="166">
        <v>89.081900000000005</v>
      </c>
      <c r="HJ10" s="166">
        <v>1.4746999999999999</v>
      </c>
      <c r="HK10" s="166">
        <v>49.862900000000003</v>
      </c>
      <c r="HL10" s="167"/>
      <c r="HM10" s="166">
        <v>-10.3507</v>
      </c>
      <c r="HN10" s="166">
        <v>0</v>
      </c>
      <c r="HO10" s="166">
        <v>0</v>
      </c>
      <c r="HP10" s="167"/>
      <c r="HQ10" s="167"/>
      <c r="HR10" s="166">
        <v>-21.070699999999999</v>
      </c>
      <c r="HS10" s="166">
        <v>-20.460999999999999</v>
      </c>
      <c r="HT10" s="166">
        <v>-4.9943</v>
      </c>
      <c r="HU10" s="166">
        <v>-5.2717000000000001</v>
      </c>
      <c r="HV10" s="166">
        <v>8.57</v>
      </c>
      <c r="HW10" s="166">
        <v>8.91</v>
      </c>
      <c r="HX10" s="166">
        <v>-29.9</v>
      </c>
      <c r="HY10" s="166">
        <v>-29.8</v>
      </c>
      <c r="HZ10" s="166">
        <v>3.5700000000000003E-2</v>
      </c>
      <c r="IA10" s="166">
        <v>-9.68</v>
      </c>
      <c r="IB10" s="166">
        <v>75.147300000000001</v>
      </c>
      <c r="IC10" s="166">
        <v>11.137700000000001</v>
      </c>
      <c r="ID10" s="166">
        <v>11.2165</v>
      </c>
      <c r="IE10" s="166">
        <v>-20.2</v>
      </c>
      <c r="IF10" s="166">
        <v>-43.5</v>
      </c>
      <c r="IG10" s="166">
        <v>5.0999999999999996</v>
      </c>
      <c r="IH10" s="166">
        <v>4.5999999999999996</v>
      </c>
      <c r="II10" s="167"/>
      <c r="IJ10" s="166">
        <v>-17.8931</v>
      </c>
      <c r="IK10" s="166">
        <v>-72.620800000000003</v>
      </c>
      <c r="IL10" s="166">
        <v>43.598700000000001</v>
      </c>
      <c r="IM10" s="166">
        <v>-297.0129</v>
      </c>
      <c r="IN10" s="166">
        <v>-30.348299999999998</v>
      </c>
      <c r="IO10" s="166">
        <v>-24.095400000000001</v>
      </c>
      <c r="IP10" s="166">
        <v>127.42</v>
      </c>
      <c r="IQ10" s="166">
        <v>36.561599999999999</v>
      </c>
      <c r="IR10" s="166">
        <v>156.1617</v>
      </c>
      <c r="IS10" s="166">
        <v>88.650800000000004</v>
      </c>
      <c r="IT10" s="166">
        <v>67.744699999999995</v>
      </c>
      <c r="IU10" s="166">
        <v>23.7806</v>
      </c>
      <c r="IV10" s="166">
        <v>23.541399999999999</v>
      </c>
      <c r="IW10" s="166">
        <v>-45.189799999999998</v>
      </c>
      <c r="IX10" s="166">
        <v>252.58090000000001</v>
      </c>
      <c r="IY10" s="166">
        <v>-189.9248</v>
      </c>
      <c r="IZ10" s="166">
        <v>67.746499999999997</v>
      </c>
      <c r="JA10" s="166">
        <v>-55.542499999999997</v>
      </c>
      <c r="JB10" s="166">
        <v>-0.63109999999999999</v>
      </c>
      <c r="JC10" s="166">
        <v>10.696999999999999</v>
      </c>
      <c r="JD10" s="166">
        <v>-6.72</v>
      </c>
      <c r="JE10" s="166">
        <v>-2.04</v>
      </c>
      <c r="JF10" s="166">
        <v>-2.0459999999999998</v>
      </c>
      <c r="JG10" s="166">
        <v>1.68</v>
      </c>
      <c r="JH10" s="166">
        <v>-1.1200000000000001</v>
      </c>
      <c r="JI10" s="166">
        <v>-1.7624</v>
      </c>
      <c r="JJ10" s="166">
        <v>-5.0095000000000001</v>
      </c>
      <c r="JK10" s="166">
        <v>10.7256</v>
      </c>
      <c r="JL10" s="166">
        <v>-8.3207000000000004</v>
      </c>
      <c r="JM10" s="166">
        <v>-1.5</v>
      </c>
      <c r="JN10" s="166">
        <v>9.0039999999999996</v>
      </c>
      <c r="JO10" s="166">
        <v>9.3889999999999993</v>
      </c>
      <c r="JP10" s="167"/>
      <c r="JQ10" s="167"/>
      <c r="JR10" s="166">
        <v>3.7246000000000001</v>
      </c>
      <c r="JS10" s="166">
        <v>3.0265</v>
      </c>
      <c r="JT10" s="166">
        <v>3.6133000000000002</v>
      </c>
      <c r="JU10" s="167"/>
      <c r="JV10" s="166">
        <v>28.1</v>
      </c>
      <c r="JW10" s="166">
        <v>2.0251999999999999</v>
      </c>
      <c r="JX10" s="166">
        <v>-0.06</v>
      </c>
      <c r="JY10" s="167"/>
      <c r="JZ10" s="166">
        <v>-5.4622000000000002</v>
      </c>
      <c r="KA10" s="166">
        <v>-16.034500000000001</v>
      </c>
      <c r="KB10" s="166">
        <v>-16.783100000000001</v>
      </c>
      <c r="KC10" s="166">
        <v>-2.1467999999999998</v>
      </c>
      <c r="KD10" s="166">
        <v>12.0002</v>
      </c>
      <c r="KE10" s="166">
        <v>-11.944000000000001</v>
      </c>
      <c r="KF10" s="166">
        <v>0</v>
      </c>
      <c r="KG10" s="166">
        <v>-23.2</v>
      </c>
      <c r="KH10" s="166">
        <v>4.5</v>
      </c>
      <c r="KI10" s="166">
        <v>61.970700000000001</v>
      </c>
      <c r="KJ10" s="166">
        <v>-127.6553</v>
      </c>
    </row>
    <row r="11" spans="1:296" ht="18" customHeight="1" x14ac:dyDescent="0.3">
      <c r="A11" s="162" t="s">
        <v>67</v>
      </c>
      <c r="B11" s="162" t="s">
        <v>810</v>
      </c>
      <c r="C11" s="166">
        <v>0</v>
      </c>
      <c r="D11" s="167"/>
      <c r="E11" s="166">
        <v>1.5025999999999999</v>
      </c>
      <c r="F11" s="166">
        <v>-7.0141</v>
      </c>
      <c r="G11" s="166">
        <v>4.0011999999999999</v>
      </c>
      <c r="H11" s="166">
        <v>8.9105000000000008</v>
      </c>
      <c r="I11" s="167"/>
      <c r="J11" s="166">
        <v>9.9419000000000004</v>
      </c>
      <c r="K11" s="167"/>
      <c r="L11" s="166">
        <v>16.408999999999999</v>
      </c>
      <c r="M11" s="166">
        <v>7.0568</v>
      </c>
      <c r="N11" s="166">
        <v>8.2006999999999994</v>
      </c>
      <c r="O11" s="166">
        <v>4.4400000000000004</v>
      </c>
      <c r="P11" s="166">
        <v>-22</v>
      </c>
      <c r="Q11" s="167"/>
      <c r="R11" s="167"/>
      <c r="S11" s="166">
        <v>-13.2</v>
      </c>
      <c r="T11" s="166">
        <v>4.2032999999999996</v>
      </c>
      <c r="U11" s="166">
        <v>-11.675800000000001</v>
      </c>
      <c r="V11" s="167"/>
      <c r="W11" s="166">
        <v>3.4649999999999999</v>
      </c>
      <c r="X11" s="166">
        <v>6.6604999999999999</v>
      </c>
      <c r="Y11" s="166">
        <v>3.7576999999999998</v>
      </c>
      <c r="Z11" s="166">
        <v>-0.52569999999999995</v>
      </c>
      <c r="AA11" s="166">
        <v>0.76670000000000005</v>
      </c>
      <c r="AB11" s="167"/>
      <c r="AC11" s="166">
        <v>-0.8357</v>
      </c>
      <c r="AD11" s="166">
        <v>-0.72499999999999998</v>
      </c>
      <c r="AE11" s="166">
        <v>-0.70699999999999996</v>
      </c>
      <c r="AF11" s="166">
        <v>2.6680000000000001</v>
      </c>
      <c r="AG11" s="166">
        <v>-26.64</v>
      </c>
      <c r="AH11" s="166">
        <v>-13.2</v>
      </c>
      <c r="AI11" s="166">
        <v>-1.3740000000000001</v>
      </c>
      <c r="AJ11" s="166">
        <v>0.27500000000000002</v>
      </c>
      <c r="AK11" s="166">
        <v>-11.08</v>
      </c>
      <c r="AL11" s="167"/>
      <c r="AM11" s="167"/>
      <c r="AN11" s="166">
        <v>-9.42</v>
      </c>
      <c r="AO11" s="166">
        <v>-9.43</v>
      </c>
      <c r="AP11" s="167"/>
      <c r="AQ11" s="166">
        <v>4.0602</v>
      </c>
      <c r="AR11" s="166">
        <v>15.2446</v>
      </c>
      <c r="AS11" s="166">
        <v>17.357800000000001</v>
      </c>
      <c r="AT11" s="166">
        <v>-14.8812</v>
      </c>
      <c r="AU11" s="166">
        <v>-7.4833999999999996</v>
      </c>
      <c r="AV11" s="166">
        <v>-7.2362000000000002</v>
      </c>
      <c r="AW11" s="166">
        <v>3.1846000000000001</v>
      </c>
      <c r="AX11" s="166">
        <v>3.3431000000000002</v>
      </c>
      <c r="AY11" s="166">
        <v>-16.981999999999999</v>
      </c>
      <c r="AZ11" s="166">
        <v>-14.703799999999999</v>
      </c>
      <c r="BA11" s="166">
        <v>13.694699999999999</v>
      </c>
      <c r="BB11" s="166">
        <v>14.4306</v>
      </c>
      <c r="BC11" s="166">
        <v>18.212399999999999</v>
      </c>
      <c r="BD11" s="166">
        <v>11.6853</v>
      </c>
      <c r="BE11" s="166">
        <v>-5.3</v>
      </c>
      <c r="BF11" s="166">
        <v>-5.3</v>
      </c>
      <c r="BG11" s="166">
        <v>-25.964099999999998</v>
      </c>
      <c r="BH11" s="166">
        <v>-25.7715</v>
      </c>
      <c r="BI11" s="166">
        <v>-1.8888</v>
      </c>
      <c r="BJ11" s="167"/>
      <c r="BK11" s="166">
        <v>0.56320000000000003</v>
      </c>
      <c r="BL11" s="166">
        <v>3.1023000000000001</v>
      </c>
      <c r="BM11" s="166">
        <v>-0.39419999999999999</v>
      </c>
      <c r="BN11" s="166">
        <v>6.1800000000000001E-2</v>
      </c>
      <c r="BO11" s="166">
        <v>-90.121099999999998</v>
      </c>
      <c r="BP11" s="166">
        <v>33.082099999999997</v>
      </c>
      <c r="BQ11" s="166">
        <v>33.082099999999997</v>
      </c>
      <c r="BR11" s="166">
        <v>21.273599999999998</v>
      </c>
      <c r="BS11" s="166">
        <v>-181.16919999999999</v>
      </c>
      <c r="BT11" s="167"/>
      <c r="BU11" s="167"/>
      <c r="BV11" s="167"/>
      <c r="BW11" s="166">
        <v>11.7559</v>
      </c>
      <c r="BX11" s="166">
        <v>9.14</v>
      </c>
      <c r="BY11" s="166">
        <v>5.64</v>
      </c>
      <c r="BZ11" s="166">
        <v>-12.61</v>
      </c>
      <c r="CA11" s="166">
        <v>5.1100000000000003</v>
      </c>
      <c r="CB11" s="166">
        <v>-16.740400000000001</v>
      </c>
      <c r="CC11" s="166">
        <v>-16.4725</v>
      </c>
      <c r="CD11" s="166">
        <v>31.027999999999999</v>
      </c>
      <c r="CE11" s="166">
        <v>30.124400000000001</v>
      </c>
      <c r="CF11" s="166">
        <v>-3.2898999999999998</v>
      </c>
      <c r="CG11" s="166">
        <v>-12.954599999999999</v>
      </c>
      <c r="CH11" s="166">
        <v>-12.931100000000001</v>
      </c>
      <c r="CI11" s="166">
        <v>0.317</v>
      </c>
      <c r="CJ11" s="166">
        <v>0</v>
      </c>
      <c r="CK11" s="166">
        <v>3.8355999999999999</v>
      </c>
      <c r="CL11" s="166">
        <v>8.7420000000000009</v>
      </c>
      <c r="CM11" s="166">
        <v>-18.399999999999999</v>
      </c>
      <c r="CN11" s="166">
        <v>-17.899999999999999</v>
      </c>
      <c r="CO11" s="166">
        <v>-2.78</v>
      </c>
      <c r="CP11" s="166">
        <v>12.799799999999999</v>
      </c>
      <c r="CQ11" s="166">
        <v>13.0853</v>
      </c>
      <c r="CR11" s="166">
        <v>11.473000000000001</v>
      </c>
      <c r="CS11" s="166">
        <v>50.847200000000001</v>
      </c>
      <c r="CT11" s="166">
        <v>51.004100000000001</v>
      </c>
      <c r="CU11" s="166">
        <v>-29.288</v>
      </c>
      <c r="CV11" s="166">
        <v>-26.3931</v>
      </c>
      <c r="CW11" s="166">
        <v>-28.820499999999999</v>
      </c>
      <c r="CX11" s="166">
        <v>3.0293000000000001</v>
      </c>
      <c r="CY11" s="166">
        <v>25.67</v>
      </c>
      <c r="CZ11" s="166">
        <v>9.34</v>
      </c>
      <c r="DA11" s="166">
        <v>5.0049000000000001</v>
      </c>
      <c r="DB11" s="166">
        <v>4.0069999999999997</v>
      </c>
      <c r="DC11" s="166">
        <v>-6.9485999999999999</v>
      </c>
      <c r="DD11" s="167"/>
      <c r="DE11" s="167"/>
      <c r="DF11" s="167"/>
      <c r="DG11" s="166">
        <v>20.668700000000001</v>
      </c>
      <c r="DH11" s="167"/>
      <c r="DI11" s="167"/>
      <c r="DJ11" s="167"/>
      <c r="DK11" s="167"/>
      <c r="DL11" s="166">
        <v>0.50839999999999996</v>
      </c>
      <c r="DM11" s="166">
        <v>-0.5</v>
      </c>
      <c r="DN11" s="166">
        <v>3.54</v>
      </c>
      <c r="DO11" s="166">
        <v>3.34</v>
      </c>
      <c r="DP11" s="166">
        <v>-2.2000000000000002</v>
      </c>
      <c r="DQ11" s="166">
        <v>-1.17</v>
      </c>
      <c r="DR11" s="166">
        <v>12.756500000000001</v>
      </c>
      <c r="DS11" s="166">
        <v>-21.358699999999999</v>
      </c>
      <c r="DT11" s="166">
        <v>-14.08</v>
      </c>
      <c r="DU11" s="166">
        <v>-14.14</v>
      </c>
      <c r="DV11" s="166">
        <v>29.96</v>
      </c>
      <c r="DW11" s="166">
        <v>-0.34</v>
      </c>
      <c r="DX11" s="166">
        <v>-23.6</v>
      </c>
      <c r="DY11" s="166">
        <v>-11.790900000000001</v>
      </c>
      <c r="DZ11" s="166">
        <v>-38.1877</v>
      </c>
      <c r="EA11" s="166">
        <v>-36.427300000000002</v>
      </c>
      <c r="EB11" s="167"/>
      <c r="EC11" s="166">
        <v>-24.232399999999998</v>
      </c>
      <c r="ED11" s="166">
        <v>-30.574000000000002</v>
      </c>
      <c r="EE11" s="166">
        <v>-30.374199999999998</v>
      </c>
      <c r="EF11" s="166">
        <v>-24.208400000000001</v>
      </c>
      <c r="EG11" s="166">
        <v>-29.198699999999999</v>
      </c>
      <c r="EH11" s="166">
        <v>-13.897</v>
      </c>
      <c r="EI11" s="166">
        <v>-98.8005</v>
      </c>
      <c r="EJ11" s="166">
        <v>1.3978999999999999</v>
      </c>
      <c r="EK11" s="167"/>
      <c r="EL11" s="166">
        <v>-7.9996</v>
      </c>
      <c r="EM11" s="166">
        <v>-7.6341999999999999</v>
      </c>
      <c r="EN11" s="167"/>
      <c r="EO11" s="166">
        <v>-14.2982</v>
      </c>
      <c r="EP11" s="166">
        <v>-13.6503</v>
      </c>
      <c r="EQ11" s="166">
        <v>-5.6360000000000001</v>
      </c>
      <c r="ER11" s="166">
        <v>-14.709300000000001</v>
      </c>
      <c r="ES11" s="166">
        <v>-14.435</v>
      </c>
      <c r="ET11" s="166">
        <v>16.816800000000001</v>
      </c>
      <c r="EU11" s="166">
        <v>0</v>
      </c>
      <c r="EV11" s="166">
        <v>-3.44</v>
      </c>
      <c r="EW11" s="166">
        <v>0.3</v>
      </c>
      <c r="EX11" s="166">
        <v>1.8623000000000001</v>
      </c>
      <c r="EY11" s="166">
        <v>-17.9466</v>
      </c>
      <c r="EZ11" s="166">
        <v>-8.6349999999999998</v>
      </c>
      <c r="FA11" s="166">
        <v>-8.9166000000000007</v>
      </c>
      <c r="FB11" s="166">
        <v>8.5763999999999996</v>
      </c>
      <c r="FC11" s="166">
        <v>19.742699999999999</v>
      </c>
      <c r="FD11" s="166">
        <v>-33.073700000000002</v>
      </c>
      <c r="FE11" s="166">
        <v>6.8314000000000004</v>
      </c>
      <c r="FF11" s="166">
        <v>0.19650000000000001</v>
      </c>
      <c r="FG11" s="167"/>
      <c r="FH11" s="166">
        <v>0</v>
      </c>
      <c r="FI11" s="166">
        <v>0</v>
      </c>
      <c r="FJ11" s="167"/>
      <c r="FK11" s="166">
        <v>4.5213000000000001</v>
      </c>
      <c r="FL11" s="166">
        <v>4.5213000000000001</v>
      </c>
      <c r="FM11" s="166">
        <v>-12.559200000000001</v>
      </c>
      <c r="FN11" s="166">
        <v>17.929500000000001</v>
      </c>
      <c r="FO11" s="166">
        <v>18.080300000000001</v>
      </c>
      <c r="FP11" s="166">
        <v>0.23519999999999999</v>
      </c>
      <c r="FQ11" s="166">
        <v>13.739599999999999</v>
      </c>
      <c r="FR11" s="166">
        <v>19.420500000000001</v>
      </c>
      <c r="FS11" s="166">
        <v>-12.03</v>
      </c>
      <c r="FT11" s="167"/>
      <c r="FU11" s="166">
        <v>0.13850000000000001</v>
      </c>
      <c r="FV11" s="166">
        <v>-0.32</v>
      </c>
      <c r="FW11" s="166">
        <v>0.71</v>
      </c>
      <c r="FX11" s="166">
        <v>-19.724499999999999</v>
      </c>
      <c r="FY11" s="167"/>
      <c r="FZ11" s="166">
        <v>4.9240000000000004</v>
      </c>
      <c r="GA11" s="166">
        <v>0.41299999999999998</v>
      </c>
      <c r="GB11" s="167"/>
      <c r="GC11" s="166">
        <v>13.65</v>
      </c>
      <c r="GD11" s="166">
        <v>-25.2515</v>
      </c>
      <c r="GE11" s="166">
        <v>-15.726100000000001</v>
      </c>
      <c r="GF11" s="166">
        <v>-1.84</v>
      </c>
      <c r="GG11" s="166">
        <v>21.085000000000001</v>
      </c>
      <c r="GH11" s="167"/>
      <c r="GI11" s="166">
        <v>14.5692</v>
      </c>
      <c r="GJ11" s="166">
        <v>-1.3768</v>
      </c>
      <c r="GK11" s="166">
        <v>0</v>
      </c>
      <c r="GL11" s="166">
        <v>1.7485999999999999</v>
      </c>
      <c r="GM11" s="167"/>
      <c r="GN11" s="167"/>
      <c r="GO11" s="166">
        <v>-12.327199999999999</v>
      </c>
      <c r="GP11" s="166">
        <v>62.742400000000004</v>
      </c>
      <c r="GQ11" s="166">
        <v>0.52529999999999999</v>
      </c>
      <c r="GR11" s="166">
        <v>-19.326000000000001</v>
      </c>
      <c r="GS11" s="166">
        <v>-6.4786999999999999</v>
      </c>
      <c r="GT11" s="166">
        <v>-6.7121000000000004</v>
      </c>
      <c r="GU11" s="166">
        <v>105.73050000000001</v>
      </c>
      <c r="GV11" s="166">
        <v>-6.5670999999999999</v>
      </c>
      <c r="GW11" s="166">
        <v>-7.6702000000000004</v>
      </c>
      <c r="GX11" s="166">
        <v>10.390499999999999</v>
      </c>
      <c r="GY11" s="166">
        <v>3.9039000000000001</v>
      </c>
      <c r="GZ11" s="166">
        <v>4.7765000000000004</v>
      </c>
      <c r="HA11" s="166">
        <v>4.8105000000000002</v>
      </c>
      <c r="HB11" s="166">
        <v>2.9661</v>
      </c>
      <c r="HC11" s="166">
        <v>-2.0385</v>
      </c>
      <c r="HD11" s="166">
        <v>0</v>
      </c>
      <c r="HE11" s="166">
        <v>-2.5099999999999998</v>
      </c>
      <c r="HF11" s="166">
        <v>0</v>
      </c>
      <c r="HG11" s="166">
        <v>34.500399999999999</v>
      </c>
      <c r="HH11" s="166">
        <v>36.174799999999998</v>
      </c>
      <c r="HI11" s="166">
        <v>89.166200000000003</v>
      </c>
      <c r="HJ11" s="166">
        <v>0</v>
      </c>
      <c r="HK11" s="166">
        <v>49.891100000000002</v>
      </c>
      <c r="HL11" s="166">
        <v>0</v>
      </c>
      <c r="HM11" s="166">
        <v>-12.221299999999999</v>
      </c>
      <c r="HN11" s="166">
        <v>0</v>
      </c>
      <c r="HO11" s="166">
        <v>0</v>
      </c>
      <c r="HP11" s="167"/>
      <c r="HQ11" s="167"/>
      <c r="HR11" s="166">
        <v>-20.636800000000001</v>
      </c>
      <c r="HS11" s="166">
        <v>-20.0215</v>
      </c>
      <c r="HT11" s="166">
        <v>-4.8243999999999998</v>
      </c>
      <c r="HU11" s="166">
        <v>-4.7934999999999999</v>
      </c>
      <c r="HV11" s="166">
        <v>7.72</v>
      </c>
      <c r="HW11" s="166">
        <v>8.1199999999999992</v>
      </c>
      <c r="HX11" s="166">
        <v>-30.9</v>
      </c>
      <c r="HY11" s="166">
        <v>-30.7</v>
      </c>
      <c r="HZ11" s="166">
        <v>1.9199999999999998E-2</v>
      </c>
      <c r="IA11" s="166">
        <v>-9.1999999999999993</v>
      </c>
      <c r="IB11" s="166">
        <v>72.809200000000004</v>
      </c>
      <c r="IC11" s="166">
        <v>11.5947</v>
      </c>
      <c r="ID11" s="166">
        <v>10.8965</v>
      </c>
      <c r="IE11" s="166">
        <v>-20.399999999999999</v>
      </c>
      <c r="IF11" s="166">
        <v>-44.4</v>
      </c>
      <c r="IG11" s="166">
        <v>4.7</v>
      </c>
      <c r="IH11" s="166">
        <v>4.2</v>
      </c>
      <c r="II11" s="166">
        <v>-18.0915</v>
      </c>
      <c r="IJ11" s="167"/>
      <c r="IK11" s="166">
        <v>-74.342299999999994</v>
      </c>
      <c r="IL11" s="166">
        <v>43.875900000000001</v>
      </c>
      <c r="IM11" s="166">
        <v>-294.44110000000001</v>
      </c>
      <c r="IN11" s="166">
        <v>-30.687899999999999</v>
      </c>
      <c r="IO11" s="166">
        <v>-24.2347</v>
      </c>
      <c r="IP11" s="166">
        <v>129.7713</v>
      </c>
      <c r="IQ11" s="166">
        <v>33.080199999999998</v>
      </c>
      <c r="IR11" s="166">
        <v>151.30840000000001</v>
      </c>
      <c r="IS11" s="166">
        <v>86.349599999999995</v>
      </c>
      <c r="IT11" s="166">
        <v>63.867699999999999</v>
      </c>
      <c r="IU11" s="166">
        <v>20.882200000000001</v>
      </c>
      <c r="IV11" s="166">
        <v>20.4025</v>
      </c>
      <c r="IW11" s="166">
        <v>-42.327199999999998</v>
      </c>
      <c r="IX11" s="166">
        <v>251.3083</v>
      </c>
      <c r="IY11" s="166">
        <v>-187.60820000000001</v>
      </c>
      <c r="IZ11" s="166">
        <v>66.232799999999997</v>
      </c>
      <c r="JA11" s="166">
        <v>-55.883200000000002</v>
      </c>
      <c r="JB11" s="166">
        <v>-4.5199999999999997E-2</v>
      </c>
      <c r="JC11" s="166">
        <v>10.709</v>
      </c>
      <c r="JD11" s="166">
        <v>-6.72</v>
      </c>
      <c r="JE11" s="166">
        <v>-2.0169999999999999</v>
      </c>
      <c r="JF11" s="166">
        <v>-2.036</v>
      </c>
      <c r="JG11" s="166">
        <v>1.84</v>
      </c>
      <c r="JH11" s="166">
        <v>-1.28</v>
      </c>
      <c r="JI11" s="166">
        <v>-1.8378000000000001</v>
      </c>
      <c r="JJ11" s="166">
        <v>-4.5975000000000001</v>
      </c>
      <c r="JK11" s="166">
        <v>10.255599999999999</v>
      </c>
      <c r="JL11" s="166">
        <v>-8.2902000000000005</v>
      </c>
      <c r="JM11" s="166">
        <v>-1</v>
      </c>
      <c r="JN11" s="166">
        <v>8.4350000000000005</v>
      </c>
      <c r="JO11" s="166">
        <v>8.83</v>
      </c>
      <c r="JP11" s="166">
        <v>1.8703000000000001</v>
      </c>
      <c r="JQ11" s="167"/>
      <c r="JR11" s="166">
        <v>4.5674000000000001</v>
      </c>
      <c r="JS11" s="166">
        <v>3.7435</v>
      </c>
      <c r="JT11" s="166">
        <v>3.9479000000000002</v>
      </c>
      <c r="JU11" s="167"/>
      <c r="JV11" s="166">
        <v>28.9</v>
      </c>
      <c r="JW11" s="166">
        <v>1.9621</v>
      </c>
      <c r="JX11" s="166">
        <v>-0.13</v>
      </c>
      <c r="JY11" s="167"/>
      <c r="JZ11" s="166">
        <v>-5.9081999999999999</v>
      </c>
      <c r="KA11" s="166">
        <v>-16.221900000000002</v>
      </c>
      <c r="KB11" s="166">
        <v>-16.899100000000001</v>
      </c>
      <c r="KC11" s="166">
        <v>-2.1006999999999998</v>
      </c>
      <c r="KD11" s="166">
        <v>11.2591</v>
      </c>
      <c r="KE11" s="166">
        <v>-11.544700000000001</v>
      </c>
      <c r="KF11" s="166">
        <v>0</v>
      </c>
      <c r="KG11" s="166">
        <v>-24</v>
      </c>
      <c r="KH11" s="166">
        <v>5.7</v>
      </c>
      <c r="KI11" s="166">
        <v>63.6008</v>
      </c>
      <c r="KJ11" s="166">
        <v>-128.36760000000001</v>
      </c>
    </row>
    <row r="12" spans="1:296" ht="18" customHeight="1" x14ac:dyDescent="0.3">
      <c r="A12" s="162" t="s">
        <v>67</v>
      </c>
      <c r="B12" s="162" t="s">
        <v>811</v>
      </c>
      <c r="C12" s="166">
        <v>0</v>
      </c>
      <c r="D12" s="167"/>
      <c r="E12" s="166">
        <v>1.3514999999999999</v>
      </c>
      <c r="F12" s="166">
        <v>-6.8281999999999998</v>
      </c>
      <c r="G12" s="166">
        <v>3.8361999999999998</v>
      </c>
      <c r="H12" s="166">
        <v>8.6999999999999993</v>
      </c>
      <c r="I12" s="167"/>
      <c r="J12" s="166">
        <v>9.7021999999999995</v>
      </c>
      <c r="K12" s="167"/>
      <c r="L12" s="166">
        <v>13.862399999999999</v>
      </c>
      <c r="M12" s="166">
        <v>5.8868</v>
      </c>
      <c r="N12" s="166">
        <v>6.8284000000000002</v>
      </c>
      <c r="O12" s="166">
        <v>2.2200000000000002</v>
      </c>
      <c r="P12" s="166">
        <v>-24.2</v>
      </c>
      <c r="Q12" s="166">
        <v>0</v>
      </c>
      <c r="R12" s="166">
        <v>0.82799999999999996</v>
      </c>
      <c r="S12" s="166">
        <v>-17.600000000000001</v>
      </c>
      <c r="T12" s="166">
        <v>4.2290000000000001</v>
      </c>
      <c r="U12" s="166">
        <v>-11.5192</v>
      </c>
      <c r="V12" s="167"/>
      <c r="W12" s="166">
        <v>3.1307999999999998</v>
      </c>
      <c r="X12" s="166">
        <v>6.1590999999999996</v>
      </c>
      <c r="Y12" s="166">
        <v>3.8176000000000001</v>
      </c>
      <c r="Z12" s="166">
        <v>-0.4249</v>
      </c>
      <c r="AA12" s="166">
        <v>0.65720000000000001</v>
      </c>
      <c r="AB12" s="167"/>
      <c r="AC12" s="166">
        <v>-1.0584</v>
      </c>
      <c r="AD12" s="166">
        <v>-0.76400000000000001</v>
      </c>
      <c r="AE12" s="166">
        <v>-0.75600000000000001</v>
      </c>
      <c r="AF12" s="166">
        <v>2.5470000000000002</v>
      </c>
      <c r="AG12" s="166">
        <v>-24.42</v>
      </c>
      <c r="AH12" s="166">
        <v>-11</v>
      </c>
      <c r="AI12" s="166">
        <v>-1.4419999999999999</v>
      </c>
      <c r="AJ12" s="166">
        <v>0.26900000000000002</v>
      </c>
      <c r="AK12" s="166">
        <v>-11.49</v>
      </c>
      <c r="AL12" s="167"/>
      <c r="AM12" s="167"/>
      <c r="AN12" s="166">
        <v>-9.34</v>
      </c>
      <c r="AO12" s="166">
        <v>-9.35</v>
      </c>
      <c r="AP12" s="167"/>
      <c r="AQ12" s="166">
        <v>3.4527000000000001</v>
      </c>
      <c r="AR12" s="166">
        <v>13.406000000000001</v>
      </c>
      <c r="AS12" s="166">
        <v>14.9977</v>
      </c>
      <c r="AT12" s="166">
        <v>-17.766400000000001</v>
      </c>
      <c r="AU12" s="166">
        <v>-9.9602000000000004</v>
      </c>
      <c r="AV12" s="166">
        <v>-9.1696000000000009</v>
      </c>
      <c r="AW12" s="166">
        <v>15.4061</v>
      </c>
      <c r="AX12" s="166">
        <v>18.7593</v>
      </c>
      <c r="AY12" s="166">
        <v>-19.049700000000001</v>
      </c>
      <c r="AZ12" s="166">
        <v>-16.950700000000001</v>
      </c>
      <c r="BA12" s="166">
        <v>18.4148</v>
      </c>
      <c r="BB12" s="166">
        <v>16.784199999999998</v>
      </c>
      <c r="BC12" s="166">
        <v>12.5396</v>
      </c>
      <c r="BD12" s="166">
        <v>10.3491</v>
      </c>
      <c r="BE12" s="166">
        <v>-4.5</v>
      </c>
      <c r="BF12" s="166">
        <v>-4.5</v>
      </c>
      <c r="BG12" s="166">
        <v>-21.480699999999999</v>
      </c>
      <c r="BH12" s="166">
        <v>-21.913900000000002</v>
      </c>
      <c r="BI12" s="166">
        <v>-1.6153</v>
      </c>
      <c r="BJ12" s="167"/>
      <c r="BK12" s="166">
        <v>-1.2017</v>
      </c>
      <c r="BL12" s="166">
        <v>2.6815000000000002</v>
      </c>
      <c r="BM12" s="166">
        <v>-0.33100000000000002</v>
      </c>
      <c r="BN12" s="166">
        <v>-0.1295</v>
      </c>
      <c r="BO12" s="166">
        <v>-89.510800000000003</v>
      </c>
      <c r="BP12" s="166">
        <v>5.5237999999999996</v>
      </c>
      <c r="BQ12" s="166">
        <v>5.3407</v>
      </c>
      <c r="BR12" s="166">
        <v>30.2376</v>
      </c>
      <c r="BS12" s="166">
        <v>-223.6814</v>
      </c>
      <c r="BT12" s="167"/>
      <c r="BU12" s="167"/>
      <c r="BV12" s="167"/>
      <c r="BW12" s="166">
        <v>8.5126000000000008</v>
      </c>
      <c r="BX12" s="166">
        <v>9.57</v>
      </c>
      <c r="BY12" s="166">
        <v>5.84</v>
      </c>
      <c r="BZ12" s="166">
        <v>-13.01</v>
      </c>
      <c r="CA12" s="166">
        <v>5.51</v>
      </c>
      <c r="CB12" s="166">
        <v>-18.347899999999999</v>
      </c>
      <c r="CC12" s="166">
        <v>-17.946100000000001</v>
      </c>
      <c r="CD12" s="166">
        <v>31.9117</v>
      </c>
      <c r="CE12" s="166">
        <v>30.246200000000002</v>
      </c>
      <c r="CF12" s="166">
        <v>-2.7496</v>
      </c>
      <c r="CG12" s="166">
        <v>-25.0457</v>
      </c>
      <c r="CH12" s="166">
        <v>-24.899100000000001</v>
      </c>
      <c r="CI12" s="166">
        <v>0.65659999999999996</v>
      </c>
      <c r="CJ12" s="166">
        <v>0</v>
      </c>
      <c r="CK12" s="166">
        <v>3.6393</v>
      </c>
      <c r="CL12" s="166">
        <v>8.8330000000000002</v>
      </c>
      <c r="CM12" s="166">
        <v>-12.4</v>
      </c>
      <c r="CN12" s="166">
        <v>-12.2</v>
      </c>
      <c r="CO12" s="166">
        <v>-2.68</v>
      </c>
      <c r="CP12" s="166">
        <v>9.2684999999999995</v>
      </c>
      <c r="CQ12" s="166">
        <v>9.2082999999999995</v>
      </c>
      <c r="CR12" s="166">
        <v>8.0536999999999992</v>
      </c>
      <c r="CS12" s="166">
        <v>34.655700000000003</v>
      </c>
      <c r="CT12" s="166">
        <v>33.886000000000003</v>
      </c>
      <c r="CU12" s="166">
        <v>-28.006799999999998</v>
      </c>
      <c r="CV12" s="166">
        <v>-10.4216</v>
      </c>
      <c r="CW12" s="166">
        <v>-27.2988</v>
      </c>
      <c r="CX12" s="166">
        <v>2.8635000000000002</v>
      </c>
      <c r="CY12" s="166">
        <v>24.74</v>
      </c>
      <c r="CZ12" s="166">
        <v>8.8800000000000008</v>
      </c>
      <c r="DA12" s="166">
        <v>4.5361000000000002</v>
      </c>
      <c r="DB12" s="166">
        <v>3.5186999999999999</v>
      </c>
      <c r="DC12" s="166">
        <v>-6.5246000000000004</v>
      </c>
      <c r="DD12" s="167"/>
      <c r="DE12" s="167"/>
      <c r="DF12" s="167"/>
      <c r="DG12" s="166">
        <v>20.404499999999999</v>
      </c>
      <c r="DH12" s="167"/>
      <c r="DI12" s="167"/>
      <c r="DJ12" s="166">
        <v>-12.6</v>
      </c>
      <c r="DK12" s="166">
        <v>-11.7</v>
      </c>
      <c r="DL12" s="166">
        <v>0.307</v>
      </c>
      <c r="DM12" s="166">
        <v>-0.7</v>
      </c>
      <c r="DN12" s="166">
        <v>3.08</v>
      </c>
      <c r="DO12" s="166">
        <v>3</v>
      </c>
      <c r="DP12" s="166">
        <v>-2.2799999999999998</v>
      </c>
      <c r="DQ12" s="166">
        <v>-1.1499999999999999</v>
      </c>
      <c r="DR12" s="166">
        <v>12.586</v>
      </c>
      <c r="DS12" s="166">
        <v>-21.3187</v>
      </c>
      <c r="DT12" s="166">
        <v>-14.26</v>
      </c>
      <c r="DU12" s="166">
        <v>-14.45</v>
      </c>
      <c r="DV12" s="166">
        <v>30.16</v>
      </c>
      <c r="DW12" s="166">
        <v>-0.63</v>
      </c>
      <c r="DX12" s="166">
        <v>-22.6</v>
      </c>
      <c r="DY12" s="166">
        <v>-11.8</v>
      </c>
      <c r="DZ12" s="166">
        <v>-38.309399999999997</v>
      </c>
      <c r="EA12" s="166">
        <v>-37.4</v>
      </c>
      <c r="EB12" s="167"/>
      <c r="EC12" s="166">
        <v>-25.696999999999999</v>
      </c>
      <c r="ED12" s="166">
        <v>-31.838100000000001</v>
      </c>
      <c r="EE12" s="166">
        <v>-31.840900000000001</v>
      </c>
      <c r="EF12" s="166">
        <v>-15.338200000000001</v>
      </c>
      <c r="EG12" s="166">
        <v>-19.0749</v>
      </c>
      <c r="EH12" s="166">
        <v>-13.481</v>
      </c>
      <c r="EI12" s="166">
        <v>-109.2063</v>
      </c>
      <c r="EJ12" s="166">
        <v>10.894</v>
      </c>
      <c r="EK12" s="167"/>
      <c r="EL12" s="166">
        <v>-7.6852999999999998</v>
      </c>
      <c r="EM12" s="166">
        <v>-7.3586</v>
      </c>
      <c r="EN12" s="167"/>
      <c r="EO12" s="166">
        <v>-21.040700000000001</v>
      </c>
      <c r="EP12" s="166">
        <v>-21.0275</v>
      </c>
      <c r="EQ12" s="166">
        <v>8.7200000000000006</v>
      </c>
      <c r="ER12" s="166">
        <v>-14.5548</v>
      </c>
      <c r="ES12" s="166">
        <v>-14.3241</v>
      </c>
      <c r="ET12" s="166">
        <v>17.325199999999999</v>
      </c>
      <c r="EU12" s="166">
        <v>0</v>
      </c>
      <c r="EV12" s="166">
        <v>-4.16</v>
      </c>
      <c r="EW12" s="166">
        <v>0.9</v>
      </c>
      <c r="EX12" s="166">
        <v>1.6061000000000001</v>
      </c>
      <c r="EY12" s="166">
        <v>-28.788699999999999</v>
      </c>
      <c r="EZ12" s="166">
        <v>-8.4234000000000009</v>
      </c>
      <c r="FA12" s="166">
        <v>-8.7004000000000001</v>
      </c>
      <c r="FB12" s="166">
        <v>8.8208000000000002</v>
      </c>
      <c r="FC12" s="166">
        <v>16.739799999999999</v>
      </c>
      <c r="FD12" s="166">
        <v>-31.5398</v>
      </c>
      <c r="FE12" s="166">
        <v>7.6707999999999998</v>
      </c>
      <c r="FF12" s="166">
        <v>-0.40239999999999998</v>
      </c>
      <c r="FG12" s="167"/>
      <c r="FH12" s="166">
        <v>0</v>
      </c>
      <c r="FI12" s="166">
        <v>0</v>
      </c>
      <c r="FJ12" s="167"/>
      <c r="FK12" s="166">
        <v>5.0236999999999998</v>
      </c>
      <c r="FL12" s="166">
        <v>5.0236999999999998</v>
      </c>
      <c r="FM12" s="166">
        <v>-9.7125000000000004</v>
      </c>
      <c r="FN12" s="166">
        <v>18.486799999999999</v>
      </c>
      <c r="FO12" s="166">
        <v>18.6264</v>
      </c>
      <c r="FP12" s="166">
        <v>1.5293000000000001</v>
      </c>
      <c r="FQ12" s="166">
        <v>14.9445</v>
      </c>
      <c r="FR12" s="166">
        <v>19.415600000000001</v>
      </c>
      <c r="FS12" s="166">
        <v>-11.81</v>
      </c>
      <c r="FT12" s="167"/>
      <c r="FU12" s="166">
        <v>0.16500000000000001</v>
      </c>
      <c r="FV12" s="166">
        <v>-0.28000000000000003</v>
      </c>
      <c r="FW12" s="166">
        <v>0.61</v>
      </c>
      <c r="FX12" s="166">
        <v>-19.571300000000001</v>
      </c>
      <c r="FY12" s="167"/>
      <c r="FZ12" s="166">
        <v>4.9800000000000004</v>
      </c>
      <c r="GA12" s="166">
        <v>0.40100000000000002</v>
      </c>
      <c r="GB12" s="167"/>
      <c r="GC12" s="166">
        <v>13.75</v>
      </c>
      <c r="GD12" s="166">
        <v>-26.272200000000002</v>
      </c>
      <c r="GE12" s="166">
        <v>-17.719000000000001</v>
      </c>
      <c r="GF12" s="166">
        <v>-1.64</v>
      </c>
      <c r="GG12" s="166">
        <v>21.082699999999999</v>
      </c>
      <c r="GH12" s="167"/>
      <c r="GI12" s="166">
        <v>19.978899999999999</v>
      </c>
      <c r="GJ12" s="166">
        <v>-3.1758000000000002</v>
      </c>
      <c r="GK12" s="166">
        <v>-3.448</v>
      </c>
      <c r="GL12" s="166">
        <v>1.742</v>
      </c>
      <c r="GM12" s="167"/>
      <c r="GN12" s="167"/>
      <c r="GO12" s="166">
        <v>-12.324199999999999</v>
      </c>
      <c r="GP12" s="166">
        <v>66.412599999999998</v>
      </c>
      <c r="GQ12" s="166">
        <v>0.41670000000000001</v>
      </c>
      <c r="GR12" s="166">
        <v>-22.564499999999999</v>
      </c>
      <c r="GS12" s="166">
        <v>-7.1698000000000004</v>
      </c>
      <c r="GT12" s="166">
        <v>-7.1757</v>
      </c>
      <c r="GU12" s="166">
        <v>107.7059</v>
      </c>
      <c r="GV12" s="166">
        <v>-5.6619000000000002</v>
      </c>
      <c r="GW12" s="166">
        <v>-10.3453</v>
      </c>
      <c r="GX12" s="166">
        <v>7.9847000000000001</v>
      </c>
      <c r="GY12" s="166">
        <v>3.3721999999999999</v>
      </c>
      <c r="GZ12" s="166">
        <v>4.8497000000000003</v>
      </c>
      <c r="HA12" s="166">
        <v>4.8262999999999998</v>
      </c>
      <c r="HB12" s="166">
        <v>2.7551000000000001</v>
      </c>
      <c r="HC12" s="166">
        <v>-4.2828999999999997</v>
      </c>
      <c r="HD12" s="166">
        <v>-2.1497000000000002</v>
      </c>
      <c r="HE12" s="166">
        <v>-3.77</v>
      </c>
      <c r="HF12" s="166">
        <v>0</v>
      </c>
      <c r="HG12" s="166">
        <v>26.316500000000001</v>
      </c>
      <c r="HH12" s="166">
        <v>31.936699999999998</v>
      </c>
      <c r="HI12" s="166">
        <v>94.0702</v>
      </c>
      <c r="HJ12" s="166">
        <v>0</v>
      </c>
      <c r="HK12" s="166">
        <v>49.878</v>
      </c>
      <c r="HL12" s="166">
        <v>0</v>
      </c>
      <c r="HM12" s="166">
        <v>-10.1318</v>
      </c>
      <c r="HN12" s="166">
        <v>0</v>
      </c>
      <c r="HO12" s="166">
        <v>0</v>
      </c>
      <c r="HP12" s="167"/>
      <c r="HQ12" s="167"/>
      <c r="HR12" s="166">
        <v>-21.065200000000001</v>
      </c>
      <c r="HS12" s="166">
        <v>-20.400500000000001</v>
      </c>
      <c r="HT12" s="166">
        <v>-5.1703000000000001</v>
      </c>
      <c r="HU12" s="166">
        <v>-4.7812999999999999</v>
      </c>
      <c r="HV12" s="166">
        <v>8.02</v>
      </c>
      <c r="HW12" s="166">
        <v>8.32</v>
      </c>
      <c r="HX12" s="166">
        <v>-30</v>
      </c>
      <c r="HY12" s="166">
        <v>-30.6</v>
      </c>
      <c r="HZ12" s="166">
        <v>3.5700000000000003E-2</v>
      </c>
      <c r="IA12" s="166">
        <v>-9.44</v>
      </c>
      <c r="IB12" s="166">
        <v>73.381100000000004</v>
      </c>
      <c r="IC12" s="166">
        <v>9.5127000000000006</v>
      </c>
      <c r="ID12" s="166">
        <v>9.4315999999999995</v>
      </c>
      <c r="IE12" s="166">
        <v>-20.399999999999999</v>
      </c>
      <c r="IF12" s="166">
        <v>-43.9</v>
      </c>
      <c r="IG12" s="166">
        <v>5.2</v>
      </c>
      <c r="IH12" s="166">
        <v>4.5999999999999996</v>
      </c>
      <c r="II12" s="166">
        <v>-18.200099999999999</v>
      </c>
      <c r="IJ12" s="166">
        <v>-18.114999999999998</v>
      </c>
      <c r="IK12" s="166">
        <v>-76.677599999999998</v>
      </c>
      <c r="IL12" s="166">
        <v>46.577500000000001</v>
      </c>
      <c r="IM12" s="166">
        <v>-294.92419999999998</v>
      </c>
      <c r="IN12" s="166">
        <v>-30.759799999999998</v>
      </c>
      <c r="IO12" s="166">
        <v>-23.526199999999999</v>
      </c>
      <c r="IP12" s="166">
        <v>128.0471</v>
      </c>
      <c r="IQ12" s="166">
        <v>37.215499999999999</v>
      </c>
      <c r="IR12" s="166">
        <v>155.3031</v>
      </c>
      <c r="IS12" s="166">
        <v>87.638499999999993</v>
      </c>
      <c r="IT12" s="166">
        <v>64.220500000000001</v>
      </c>
      <c r="IU12" s="166">
        <v>22.555299999999999</v>
      </c>
      <c r="IV12" s="166">
        <v>20.109400000000001</v>
      </c>
      <c r="IW12" s="166">
        <v>-42.817700000000002</v>
      </c>
      <c r="IX12" s="166">
        <v>250.1651</v>
      </c>
      <c r="IY12" s="166">
        <v>-186.6987</v>
      </c>
      <c r="IZ12" s="166">
        <v>66.825900000000004</v>
      </c>
      <c r="JA12" s="166">
        <v>-52.682200000000002</v>
      </c>
      <c r="JB12" s="166">
        <v>0.61160000000000003</v>
      </c>
      <c r="JC12" s="166">
        <v>10.823</v>
      </c>
      <c r="JD12" s="166">
        <v>-6.4</v>
      </c>
      <c r="JE12" s="166">
        <v>-2.0129999999999999</v>
      </c>
      <c r="JF12" s="166">
        <v>-2.0209999999999999</v>
      </c>
      <c r="JG12" s="166">
        <v>1.68</v>
      </c>
      <c r="JH12" s="166">
        <v>-1.2</v>
      </c>
      <c r="JI12" s="166">
        <v>-1.8024</v>
      </c>
      <c r="JJ12" s="166">
        <v>-4.8324999999999996</v>
      </c>
      <c r="JK12" s="166">
        <v>10.695</v>
      </c>
      <c r="JL12" s="166">
        <v>-7.9086999999999996</v>
      </c>
      <c r="JM12" s="166">
        <v>-1.1000000000000001</v>
      </c>
      <c r="JN12" s="166">
        <v>8.1029999999999998</v>
      </c>
      <c r="JO12" s="166">
        <v>8.6050000000000004</v>
      </c>
      <c r="JP12" s="167"/>
      <c r="JQ12" s="167"/>
      <c r="JR12" s="166">
        <v>4.4710999999999999</v>
      </c>
      <c r="JS12" s="166">
        <v>2.9584000000000001</v>
      </c>
      <c r="JT12" s="166">
        <v>3.6364000000000001</v>
      </c>
      <c r="JU12" s="167"/>
      <c r="JV12" s="166">
        <v>28.3</v>
      </c>
      <c r="JW12" s="166">
        <v>2.1678000000000002</v>
      </c>
      <c r="JX12" s="166">
        <v>-0.09</v>
      </c>
      <c r="JY12" s="167"/>
      <c r="JZ12" s="166">
        <v>-5.1509999999999998</v>
      </c>
      <c r="KA12" s="166">
        <v>-16.171600000000002</v>
      </c>
      <c r="KB12" s="166">
        <v>-17.346699999999998</v>
      </c>
      <c r="KC12" s="166">
        <v>-2.1147999999999998</v>
      </c>
      <c r="KD12" s="166">
        <v>12.0055</v>
      </c>
      <c r="KE12" s="166">
        <v>-12.496</v>
      </c>
      <c r="KF12" s="166">
        <v>0</v>
      </c>
      <c r="KG12" s="166">
        <v>-23.1</v>
      </c>
      <c r="KH12" s="166">
        <v>4.8</v>
      </c>
      <c r="KI12" s="166">
        <v>65.272000000000006</v>
      </c>
      <c r="KJ12" s="166">
        <v>-134.27969999999999</v>
      </c>
    </row>
    <row r="13" spans="1:296" ht="18" customHeight="1" x14ac:dyDescent="0.3">
      <c r="A13" s="162" t="s">
        <v>67</v>
      </c>
      <c r="B13" s="162" t="s">
        <v>812</v>
      </c>
      <c r="C13" s="166">
        <v>0</v>
      </c>
      <c r="D13" s="167"/>
      <c r="E13" s="166">
        <v>1.3595999999999999</v>
      </c>
      <c r="F13" s="166">
        <v>-6.7176999999999998</v>
      </c>
      <c r="G13" s="166">
        <v>3.9761000000000002</v>
      </c>
      <c r="H13" s="166">
        <v>8.8541000000000007</v>
      </c>
      <c r="I13" s="167"/>
      <c r="J13" s="166">
        <v>9.5815999999999999</v>
      </c>
      <c r="K13" s="167"/>
      <c r="L13" s="166">
        <v>14.347</v>
      </c>
      <c r="M13" s="166">
        <v>6.3188000000000004</v>
      </c>
      <c r="N13" s="166">
        <v>7.5720999999999998</v>
      </c>
      <c r="O13" s="166">
        <v>4.4400000000000004</v>
      </c>
      <c r="P13" s="166">
        <v>-22</v>
      </c>
      <c r="Q13" s="167"/>
      <c r="R13" s="167"/>
      <c r="S13" s="167"/>
      <c r="T13" s="166">
        <v>4.2622999999999998</v>
      </c>
      <c r="U13" s="166">
        <v>-10.450799999999999</v>
      </c>
      <c r="V13" s="167"/>
      <c r="W13" s="166">
        <v>3.3271000000000002</v>
      </c>
      <c r="X13" s="166">
        <v>6.4047999999999998</v>
      </c>
      <c r="Y13" s="166">
        <v>3.7574000000000001</v>
      </c>
      <c r="Z13" s="166">
        <v>-0.50119999999999998</v>
      </c>
      <c r="AA13" s="166">
        <v>0.81830000000000003</v>
      </c>
      <c r="AB13" s="167"/>
      <c r="AC13" s="166">
        <v>-1.2199</v>
      </c>
      <c r="AD13" s="166">
        <v>-0.80100000000000005</v>
      </c>
      <c r="AE13" s="166">
        <v>-0.77200000000000002</v>
      </c>
      <c r="AF13" s="166">
        <v>2.7229999999999999</v>
      </c>
      <c r="AG13" s="166">
        <v>-24.42</v>
      </c>
      <c r="AH13" s="166">
        <v>-13.2</v>
      </c>
      <c r="AI13" s="166">
        <v>-1.49</v>
      </c>
      <c r="AJ13" s="166">
        <v>0.27</v>
      </c>
      <c r="AK13" s="166">
        <v>-11.64</v>
      </c>
      <c r="AL13" s="167"/>
      <c r="AM13" s="167"/>
      <c r="AN13" s="166">
        <v>-8.66</v>
      </c>
      <c r="AO13" s="166">
        <v>-8.6999999999999993</v>
      </c>
      <c r="AP13" s="167"/>
      <c r="AQ13" s="166">
        <v>3.5655000000000001</v>
      </c>
      <c r="AR13" s="166">
        <v>12.6066</v>
      </c>
      <c r="AS13" s="166">
        <v>14.666600000000001</v>
      </c>
      <c r="AT13" s="166">
        <v>-17.461200000000002</v>
      </c>
      <c r="AU13" s="166">
        <v>-8.3462999999999994</v>
      </c>
      <c r="AV13" s="166">
        <v>-8.3077000000000005</v>
      </c>
      <c r="AW13" s="166">
        <v>12.671200000000001</v>
      </c>
      <c r="AX13" s="166">
        <v>12.923400000000001</v>
      </c>
      <c r="AY13" s="166">
        <v>-17.9297</v>
      </c>
      <c r="AZ13" s="166">
        <v>-15.8505</v>
      </c>
      <c r="BA13" s="166">
        <v>14.5924</v>
      </c>
      <c r="BB13" s="166">
        <v>17.208200000000001</v>
      </c>
      <c r="BC13" s="166">
        <v>10.020899999999999</v>
      </c>
      <c r="BD13" s="166">
        <v>10.414899999999999</v>
      </c>
      <c r="BE13" s="166">
        <v>-4.5999999999999996</v>
      </c>
      <c r="BF13" s="166">
        <v>-4.7</v>
      </c>
      <c r="BG13" s="166">
        <v>-23.5273</v>
      </c>
      <c r="BH13" s="166">
        <v>-23.485800000000001</v>
      </c>
      <c r="BI13" s="166">
        <v>-1.6272</v>
      </c>
      <c r="BJ13" s="167"/>
      <c r="BK13" s="166">
        <v>1.4650000000000001</v>
      </c>
      <c r="BL13" s="166">
        <v>2.4998</v>
      </c>
      <c r="BM13" s="166">
        <v>-0.30309999999999998</v>
      </c>
      <c r="BN13" s="166">
        <v>-0.16600000000000001</v>
      </c>
      <c r="BO13" s="166">
        <v>-97.1404</v>
      </c>
      <c r="BP13" s="166">
        <v>11.047700000000001</v>
      </c>
      <c r="BQ13" s="166">
        <v>11.017200000000001</v>
      </c>
      <c r="BR13" s="166">
        <v>46.442500000000003</v>
      </c>
      <c r="BS13" s="166">
        <v>-204.54239999999999</v>
      </c>
      <c r="BT13" s="167"/>
      <c r="BU13" s="167"/>
      <c r="BV13" s="167"/>
      <c r="BW13" s="166">
        <v>8.5225000000000009</v>
      </c>
      <c r="BX13" s="166">
        <v>9.77</v>
      </c>
      <c r="BY13" s="166">
        <v>6.13</v>
      </c>
      <c r="BZ13" s="166">
        <v>-13.31</v>
      </c>
      <c r="CA13" s="166">
        <v>5.0999999999999996</v>
      </c>
      <c r="CB13" s="166">
        <v>-18.6158</v>
      </c>
      <c r="CC13" s="166">
        <v>-18.213999999999999</v>
      </c>
      <c r="CD13" s="166">
        <v>32.058900000000001</v>
      </c>
      <c r="CE13" s="166">
        <v>30.9054</v>
      </c>
      <c r="CF13" s="166">
        <v>-1.7499</v>
      </c>
      <c r="CG13" s="166">
        <v>-22.035699999999999</v>
      </c>
      <c r="CH13" s="166">
        <v>-22.5472</v>
      </c>
      <c r="CI13" s="166">
        <v>2.0731000000000002</v>
      </c>
      <c r="CJ13" s="167"/>
      <c r="CK13" s="167"/>
      <c r="CL13" s="166">
        <v>8.9260000000000002</v>
      </c>
      <c r="CM13" s="166">
        <v>-13.3</v>
      </c>
      <c r="CN13" s="166">
        <v>-13.9</v>
      </c>
      <c r="CO13" s="166">
        <v>-2.72</v>
      </c>
      <c r="CP13" s="166">
        <v>9.343</v>
      </c>
      <c r="CQ13" s="166">
        <v>9.5859000000000005</v>
      </c>
      <c r="CR13" s="166">
        <v>8.3506999999999998</v>
      </c>
      <c r="CS13" s="166">
        <v>36.118699999999997</v>
      </c>
      <c r="CT13" s="166">
        <v>36.360700000000001</v>
      </c>
      <c r="CU13" s="166">
        <v>-26.351500000000001</v>
      </c>
      <c r="CV13" s="166">
        <v>-14.9137</v>
      </c>
      <c r="CW13" s="166">
        <v>-24.396699999999999</v>
      </c>
      <c r="CX13" s="166">
        <v>2.8277000000000001</v>
      </c>
      <c r="CY13" s="166">
        <v>25.05</v>
      </c>
      <c r="CZ13" s="166">
        <v>9.01</v>
      </c>
      <c r="DA13" s="166">
        <v>4.6924000000000001</v>
      </c>
      <c r="DB13" s="166">
        <v>3.6162999999999998</v>
      </c>
      <c r="DC13" s="166">
        <v>-6.8002000000000002</v>
      </c>
      <c r="DD13" s="167"/>
      <c r="DE13" s="167"/>
      <c r="DF13" s="167"/>
      <c r="DG13" s="166">
        <v>22.2683</v>
      </c>
      <c r="DH13" s="167"/>
      <c r="DI13" s="167"/>
      <c r="DJ13" s="167"/>
      <c r="DK13" s="167"/>
      <c r="DL13" s="166">
        <v>0.43880000000000002</v>
      </c>
      <c r="DM13" s="166">
        <v>-1.1000000000000001</v>
      </c>
      <c r="DN13" s="166">
        <v>3.08</v>
      </c>
      <c r="DO13" s="166">
        <v>2.74</v>
      </c>
      <c r="DP13" s="166">
        <v>-2.72</v>
      </c>
      <c r="DQ13" s="166">
        <v>-1.1599999999999999</v>
      </c>
      <c r="DR13" s="166">
        <v>12.183</v>
      </c>
      <c r="DS13" s="166">
        <v>-23.801400000000001</v>
      </c>
      <c r="DT13" s="166">
        <v>-14.1</v>
      </c>
      <c r="DU13" s="166">
        <v>-14.11</v>
      </c>
      <c r="DV13" s="166">
        <v>30.09</v>
      </c>
      <c r="DW13" s="166">
        <v>-0.97</v>
      </c>
      <c r="DX13" s="166">
        <v>-24.818200000000001</v>
      </c>
      <c r="DY13" s="166">
        <v>-12.4818</v>
      </c>
      <c r="DZ13" s="166">
        <v>-36.3262</v>
      </c>
      <c r="EA13" s="166">
        <v>-35.6</v>
      </c>
      <c r="EB13" s="167"/>
      <c r="EC13" s="166">
        <v>-26.460899999999999</v>
      </c>
      <c r="ED13" s="166">
        <v>-32.152900000000002</v>
      </c>
      <c r="EE13" s="166">
        <v>-32.395899999999997</v>
      </c>
      <c r="EF13" s="166">
        <v>-15.7125</v>
      </c>
      <c r="EG13" s="166">
        <v>-20.045000000000002</v>
      </c>
      <c r="EH13" s="166">
        <v>-13.622999999999999</v>
      </c>
      <c r="EI13" s="166">
        <v>-127.2616</v>
      </c>
      <c r="EJ13" s="166">
        <v>9.4438999999999993</v>
      </c>
      <c r="EK13" s="167"/>
      <c r="EL13" s="166">
        <v>-7.5279999999999996</v>
      </c>
      <c r="EM13" s="166">
        <v>-7.3120000000000003</v>
      </c>
      <c r="EN13" s="167"/>
      <c r="EO13" s="166">
        <v>-19.870699999999999</v>
      </c>
      <c r="EP13" s="166">
        <v>-19.021799999999999</v>
      </c>
      <c r="EQ13" s="166">
        <v>5.1360000000000001</v>
      </c>
      <c r="ER13" s="166">
        <v>-14.0322</v>
      </c>
      <c r="ES13" s="166">
        <v>-13.189</v>
      </c>
      <c r="ET13" s="166">
        <v>17.824999999999999</v>
      </c>
      <c r="EU13" s="166">
        <v>0</v>
      </c>
      <c r="EV13" s="166">
        <v>0</v>
      </c>
      <c r="EW13" s="166">
        <v>0.7</v>
      </c>
      <c r="EX13" s="166">
        <v>1.5797000000000001</v>
      </c>
      <c r="EY13" s="166">
        <v>-27.956800000000001</v>
      </c>
      <c r="EZ13" s="166">
        <v>-9.8179999999999996</v>
      </c>
      <c r="FA13" s="166">
        <v>-9.9629999999999992</v>
      </c>
      <c r="FB13" s="166">
        <v>8.5818999999999992</v>
      </c>
      <c r="FC13" s="166">
        <v>19.110399999999998</v>
      </c>
      <c r="FD13" s="166">
        <v>-32.517099999999999</v>
      </c>
      <c r="FE13" s="166">
        <v>7.0141</v>
      </c>
      <c r="FF13" s="166">
        <v>0.84140000000000004</v>
      </c>
      <c r="FG13" s="167"/>
      <c r="FH13" s="166">
        <v>3.1206</v>
      </c>
      <c r="FI13" s="166">
        <v>3.9146999999999998</v>
      </c>
      <c r="FJ13" s="166">
        <v>2.4114</v>
      </c>
      <c r="FK13" s="166">
        <v>5.0236999999999998</v>
      </c>
      <c r="FL13" s="166">
        <v>5.3586</v>
      </c>
      <c r="FM13" s="166">
        <v>-9.5449999999999999</v>
      </c>
      <c r="FN13" s="166">
        <v>16.3782</v>
      </c>
      <c r="FO13" s="166">
        <v>16.344899999999999</v>
      </c>
      <c r="FP13" s="166">
        <v>1.2618</v>
      </c>
      <c r="FQ13" s="166">
        <v>15.4964</v>
      </c>
      <c r="FR13" s="166">
        <v>19.415600000000001</v>
      </c>
      <c r="FS13" s="166">
        <v>-11.88</v>
      </c>
      <c r="FT13" s="167"/>
      <c r="FU13" s="166">
        <v>0.16500000000000001</v>
      </c>
      <c r="FV13" s="166">
        <v>-0.27</v>
      </c>
      <c r="FW13" s="166">
        <v>0.52</v>
      </c>
      <c r="FX13" s="166">
        <v>-19.446400000000001</v>
      </c>
      <c r="FY13" s="167"/>
      <c r="FZ13" s="166">
        <v>5.0129999999999999</v>
      </c>
      <c r="GA13" s="166">
        <v>1.095</v>
      </c>
      <c r="GB13" s="167"/>
      <c r="GC13" s="166">
        <v>12.76</v>
      </c>
      <c r="GD13" s="166">
        <v>-26.118600000000001</v>
      </c>
      <c r="GE13" s="166">
        <v>-16.908899999999999</v>
      </c>
      <c r="GF13" s="166">
        <v>-2.0099999999999998</v>
      </c>
      <c r="GG13" s="166">
        <v>19.907599999999999</v>
      </c>
      <c r="GH13" s="167"/>
      <c r="GI13" s="166">
        <v>19.7807</v>
      </c>
      <c r="GJ13" s="166">
        <v>-2.8132999999999999</v>
      </c>
      <c r="GK13" s="166">
        <v>-3.2094999999999998</v>
      </c>
      <c r="GL13" s="166">
        <v>1.7110000000000001</v>
      </c>
      <c r="GM13" s="167"/>
      <c r="GN13" s="167"/>
      <c r="GO13" s="166">
        <v>-12.121499999999999</v>
      </c>
      <c r="GP13" s="166">
        <v>65.735799999999998</v>
      </c>
      <c r="GQ13" s="166">
        <v>0.72640000000000005</v>
      </c>
      <c r="GR13" s="166">
        <v>-22.434899999999999</v>
      </c>
      <c r="GS13" s="166">
        <v>-7.1749999999999998</v>
      </c>
      <c r="GT13" s="166">
        <v>-7.0895999999999999</v>
      </c>
      <c r="GU13" s="166">
        <v>101.6866</v>
      </c>
      <c r="GV13" s="166">
        <v>-5.7588999999999997</v>
      </c>
      <c r="GW13" s="166">
        <v>-10.586</v>
      </c>
      <c r="GX13" s="166">
        <v>8.4209999999999994</v>
      </c>
      <c r="GY13" s="166">
        <v>3.3199000000000001</v>
      </c>
      <c r="GZ13" s="166">
        <v>4.8277000000000001</v>
      </c>
      <c r="HA13" s="166">
        <v>4.8658999999999999</v>
      </c>
      <c r="HB13" s="166">
        <v>2.5371999999999999</v>
      </c>
      <c r="HC13" s="166">
        <v>-4.5153999999999996</v>
      </c>
      <c r="HD13" s="166">
        <v>-2.3864999999999998</v>
      </c>
      <c r="HE13" s="166">
        <v>-4.6100000000000003</v>
      </c>
      <c r="HF13" s="166">
        <v>0</v>
      </c>
      <c r="HG13" s="166">
        <v>33.5959</v>
      </c>
      <c r="HH13" s="166">
        <v>29.4392</v>
      </c>
      <c r="HI13" s="166">
        <v>96.470600000000005</v>
      </c>
      <c r="HJ13" s="166">
        <v>0</v>
      </c>
      <c r="HK13" s="166">
        <v>49.807600000000001</v>
      </c>
      <c r="HL13" s="167"/>
      <c r="HM13" s="166">
        <v>-10.5016</v>
      </c>
      <c r="HN13" s="166">
        <v>0</v>
      </c>
      <c r="HO13" s="166">
        <v>0</v>
      </c>
      <c r="HP13" s="167"/>
      <c r="HQ13" s="167"/>
      <c r="HR13" s="166">
        <v>-20.708200000000001</v>
      </c>
      <c r="HS13" s="166">
        <v>-20.038</v>
      </c>
      <c r="HT13" s="166">
        <v>-5.1688000000000001</v>
      </c>
      <c r="HU13" s="166">
        <v>-5.7092000000000001</v>
      </c>
      <c r="HV13" s="166">
        <v>7.66</v>
      </c>
      <c r="HW13" s="166">
        <v>7.91</v>
      </c>
      <c r="HX13" s="166">
        <v>-30.8</v>
      </c>
      <c r="HY13" s="166">
        <v>-30.8</v>
      </c>
      <c r="HZ13" s="166">
        <v>1.9199999999999998E-2</v>
      </c>
      <c r="IA13" s="166">
        <v>-8.4</v>
      </c>
      <c r="IB13" s="166">
        <v>70.671199999999999</v>
      </c>
      <c r="IC13" s="166">
        <v>11.4872</v>
      </c>
      <c r="ID13" s="166">
        <v>11.001899999999999</v>
      </c>
      <c r="IE13" s="167"/>
      <c r="IF13" s="166">
        <v>-44.8</v>
      </c>
      <c r="IG13" s="166">
        <v>5.6</v>
      </c>
      <c r="IH13" s="166">
        <v>5.0999999999999996</v>
      </c>
      <c r="II13" s="167"/>
      <c r="IJ13" s="167"/>
      <c r="IK13" s="166">
        <v>-81.800799999999995</v>
      </c>
      <c r="IL13" s="166">
        <v>44.203299999999999</v>
      </c>
      <c r="IM13" s="166">
        <v>-293.52659999999997</v>
      </c>
      <c r="IN13" s="166">
        <v>-28.356400000000001</v>
      </c>
      <c r="IO13" s="166">
        <v>-25.478300000000001</v>
      </c>
      <c r="IP13" s="166">
        <v>124.74630000000001</v>
      </c>
      <c r="IQ13" s="166">
        <v>39.643799999999999</v>
      </c>
      <c r="IR13" s="166">
        <v>156.75620000000001</v>
      </c>
      <c r="IS13" s="166">
        <v>84.434399999999997</v>
      </c>
      <c r="IT13" s="166">
        <v>60.769500000000001</v>
      </c>
      <c r="IU13" s="166">
        <v>19.027999999999999</v>
      </c>
      <c r="IV13" s="166">
        <v>20.370999999999999</v>
      </c>
      <c r="IW13" s="166">
        <v>-45.787199999999999</v>
      </c>
      <c r="IX13" s="166">
        <v>244.56960000000001</v>
      </c>
      <c r="IY13" s="166">
        <v>-187.15690000000001</v>
      </c>
      <c r="IZ13" s="166">
        <v>62.695099999999996</v>
      </c>
      <c r="JA13" s="166">
        <v>-52.612900000000003</v>
      </c>
      <c r="JB13" s="166">
        <v>0.3992</v>
      </c>
      <c r="JC13" s="166">
        <v>10.486000000000001</v>
      </c>
      <c r="JD13" s="166">
        <v>-6.72</v>
      </c>
      <c r="JE13" s="166">
        <v>-1.9890000000000001</v>
      </c>
      <c r="JF13" s="166">
        <v>-1.9970000000000001</v>
      </c>
      <c r="JG13" s="166">
        <v>1.92</v>
      </c>
      <c r="JH13" s="166">
        <v>-1.76</v>
      </c>
      <c r="JI13" s="166">
        <v>-1.8366</v>
      </c>
      <c r="JJ13" s="166">
        <v>-4.3045999999999998</v>
      </c>
      <c r="JK13" s="166">
        <v>10.5486</v>
      </c>
      <c r="JL13" s="166">
        <v>-8.1437000000000008</v>
      </c>
      <c r="JM13" s="166">
        <v>-0.9</v>
      </c>
      <c r="JN13" s="166">
        <v>8.452</v>
      </c>
      <c r="JO13" s="166">
        <v>8.1270000000000007</v>
      </c>
      <c r="JP13" s="167"/>
      <c r="JQ13" s="167"/>
      <c r="JR13" s="166">
        <v>3.1543999999999999</v>
      </c>
      <c r="JS13" s="166">
        <v>3.4201999999999999</v>
      </c>
      <c r="JT13" s="166">
        <v>3.7484999999999999</v>
      </c>
      <c r="JU13" s="167"/>
      <c r="JV13" s="166">
        <v>28.3</v>
      </c>
      <c r="JW13" s="166">
        <v>1.8914</v>
      </c>
      <c r="JX13" s="166">
        <v>-0.1</v>
      </c>
      <c r="JY13" s="167"/>
      <c r="JZ13" s="166">
        <v>-4.2698</v>
      </c>
      <c r="KA13" s="166">
        <v>-15.981999999999999</v>
      </c>
      <c r="KB13" s="166">
        <v>-17.332100000000001</v>
      </c>
      <c r="KC13" s="166">
        <v>-1.5455000000000001</v>
      </c>
      <c r="KD13" s="166">
        <v>11.969099999999999</v>
      </c>
      <c r="KE13" s="166">
        <v>-12.417400000000001</v>
      </c>
      <c r="KF13" s="166">
        <v>0</v>
      </c>
      <c r="KG13" s="166">
        <v>-23.2</v>
      </c>
      <c r="KH13" s="166">
        <v>5</v>
      </c>
      <c r="KI13" s="166">
        <v>70.823499999999996</v>
      </c>
      <c r="KJ13" s="166">
        <v>-137.01320000000001</v>
      </c>
    </row>
    <row r="14" spans="1:296" ht="18" customHeight="1" x14ac:dyDescent="0.3">
      <c r="A14" s="162" t="s">
        <v>67</v>
      </c>
      <c r="B14" s="162" t="s">
        <v>813</v>
      </c>
      <c r="C14" s="166">
        <v>0</v>
      </c>
      <c r="D14" s="167"/>
      <c r="E14" s="166">
        <v>1.1892</v>
      </c>
      <c r="F14" s="166">
        <v>-6.5716000000000001</v>
      </c>
      <c r="G14" s="166">
        <v>3.8485999999999998</v>
      </c>
      <c r="H14" s="166">
        <v>8.7577999999999996</v>
      </c>
      <c r="I14" s="167"/>
      <c r="J14" s="166">
        <v>9.4787999999999997</v>
      </c>
      <c r="K14" s="167"/>
      <c r="L14" s="166">
        <v>15.3978</v>
      </c>
      <c r="M14" s="166">
        <v>6.3688000000000002</v>
      </c>
      <c r="N14" s="166">
        <v>7.8196000000000003</v>
      </c>
      <c r="O14" s="166">
        <v>2.2200000000000002</v>
      </c>
      <c r="P14" s="166">
        <v>-22</v>
      </c>
      <c r="Q14" s="167"/>
      <c r="R14" s="166">
        <v>0.82799999999999996</v>
      </c>
      <c r="S14" s="166">
        <v>-17.600000000000001</v>
      </c>
      <c r="T14" s="166">
        <v>4.1132</v>
      </c>
      <c r="U14" s="166">
        <v>-10.333399999999999</v>
      </c>
      <c r="V14" s="167"/>
      <c r="W14" s="166">
        <v>2.8552</v>
      </c>
      <c r="X14" s="166">
        <v>5.6401000000000003</v>
      </c>
      <c r="Y14" s="166">
        <v>2.2603</v>
      </c>
      <c r="Z14" s="166">
        <v>-0.52280000000000004</v>
      </c>
      <c r="AA14" s="166">
        <v>1.4787999999999999</v>
      </c>
      <c r="AB14" s="167"/>
      <c r="AC14" s="166">
        <v>-0.9194</v>
      </c>
      <c r="AD14" s="166">
        <v>-0.879</v>
      </c>
      <c r="AE14" s="166">
        <v>-0.86199999999999999</v>
      </c>
      <c r="AF14" s="166">
        <v>2.38</v>
      </c>
      <c r="AG14" s="166">
        <v>-24.42</v>
      </c>
      <c r="AH14" s="166">
        <v>-13.2</v>
      </c>
      <c r="AI14" s="166">
        <v>-1.3420000000000001</v>
      </c>
      <c r="AJ14" s="166">
        <v>0.26200000000000001</v>
      </c>
      <c r="AK14" s="166">
        <v>-12.07</v>
      </c>
      <c r="AL14" s="167"/>
      <c r="AM14" s="167"/>
      <c r="AN14" s="166">
        <v>-10.039999999999999</v>
      </c>
      <c r="AO14" s="166">
        <v>-10.17</v>
      </c>
      <c r="AP14" s="167"/>
      <c r="AQ14" s="166">
        <v>3.5169000000000001</v>
      </c>
      <c r="AR14" s="166">
        <v>14.303800000000001</v>
      </c>
      <c r="AS14" s="166">
        <v>16.500499999999999</v>
      </c>
      <c r="AT14" s="166">
        <v>-16.582699999999999</v>
      </c>
      <c r="AU14" s="166">
        <v>-7.2117000000000004</v>
      </c>
      <c r="AV14" s="166">
        <v>-6.8891999999999998</v>
      </c>
      <c r="AW14" s="166">
        <v>2.8643999999999998</v>
      </c>
      <c r="AX14" s="166">
        <v>2.8258000000000001</v>
      </c>
      <c r="AY14" s="166">
        <v>-16.438800000000001</v>
      </c>
      <c r="AZ14" s="166">
        <v>-14.122199999999999</v>
      </c>
      <c r="BA14" s="166">
        <v>11.421900000000001</v>
      </c>
      <c r="BB14" s="166">
        <v>11.9215</v>
      </c>
      <c r="BC14" s="166">
        <v>10.908899999999999</v>
      </c>
      <c r="BD14" s="166">
        <v>10.7433</v>
      </c>
      <c r="BE14" s="166">
        <v>-4.5999999999999996</v>
      </c>
      <c r="BF14" s="166">
        <v>-4.8</v>
      </c>
      <c r="BG14" s="166">
        <v>-25.226600000000001</v>
      </c>
      <c r="BH14" s="166">
        <v>-25.0717</v>
      </c>
      <c r="BI14" s="166">
        <v>-1.8828</v>
      </c>
      <c r="BJ14" s="167"/>
      <c r="BK14" s="166">
        <v>3.1175000000000002</v>
      </c>
      <c r="BL14" s="166">
        <v>2.1541999999999999</v>
      </c>
      <c r="BM14" s="166">
        <v>-0.28420000000000001</v>
      </c>
      <c r="BN14" s="166">
        <v>-1.23E-2</v>
      </c>
      <c r="BO14" s="166">
        <v>-107.66930000000001</v>
      </c>
      <c r="BP14" s="166">
        <v>11.2308</v>
      </c>
      <c r="BQ14" s="166">
        <v>11.2308</v>
      </c>
      <c r="BR14" s="166">
        <v>51.353299999999997</v>
      </c>
      <c r="BS14" s="166">
        <v>-216.0385</v>
      </c>
      <c r="BT14" s="167"/>
      <c r="BU14" s="167"/>
      <c r="BV14" s="167"/>
      <c r="BW14" s="166">
        <v>8.6821999999999999</v>
      </c>
      <c r="BX14" s="166">
        <v>9.5500000000000007</v>
      </c>
      <c r="BY14" s="166">
        <v>6.06</v>
      </c>
      <c r="BZ14" s="166">
        <v>-13.03</v>
      </c>
      <c r="CA14" s="166">
        <v>5.03</v>
      </c>
      <c r="CB14" s="166">
        <v>-17.812100000000001</v>
      </c>
      <c r="CC14" s="166">
        <v>-17.678100000000001</v>
      </c>
      <c r="CD14" s="166">
        <v>30.5441</v>
      </c>
      <c r="CE14" s="166">
        <v>29.138400000000001</v>
      </c>
      <c r="CF14" s="166">
        <v>-4.4858000000000002</v>
      </c>
      <c r="CG14" s="166">
        <v>-24.7621</v>
      </c>
      <c r="CH14" s="166">
        <v>-23.8323</v>
      </c>
      <c r="CI14" s="166">
        <v>3.0339</v>
      </c>
      <c r="CJ14" s="167"/>
      <c r="CK14" s="166">
        <v>3.6393</v>
      </c>
      <c r="CL14" s="167"/>
      <c r="CM14" s="166">
        <v>-13.9</v>
      </c>
      <c r="CN14" s="166">
        <v>-13.7</v>
      </c>
      <c r="CO14" s="166">
        <v>-2.71</v>
      </c>
      <c r="CP14" s="166">
        <v>8.0864999999999991</v>
      </c>
      <c r="CQ14" s="166">
        <v>8.2979000000000003</v>
      </c>
      <c r="CR14" s="166">
        <v>7.1150000000000002</v>
      </c>
      <c r="CS14" s="166">
        <v>35.677100000000003</v>
      </c>
      <c r="CT14" s="166">
        <v>36.102699999999999</v>
      </c>
      <c r="CU14" s="166">
        <v>-24.883800000000001</v>
      </c>
      <c r="CV14" s="166">
        <v>-15.1967</v>
      </c>
      <c r="CW14" s="166">
        <v>-23.1023</v>
      </c>
      <c r="CX14" s="166">
        <v>2.9424999999999999</v>
      </c>
      <c r="CY14" s="166">
        <v>27.17</v>
      </c>
      <c r="CZ14" s="166">
        <v>9.83</v>
      </c>
      <c r="DA14" s="166">
        <v>4.5361000000000002</v>
      </c>
      <c r="DB14" s="166">
        <v>3.6162999999999998</v>
      </c>
      <c r="DC14" s="166">
        <v>-6.6379000000000001</v>
      </c>
      <c r="DD14" s="167"/>
      <c r="DE14" s="167"/>
      <c r="DF14" s="167"/>
      <c r="DG14" s="166">
        <v>17.127800000000001</v>
      </c>
      <c r="DH14" s="167"/>
      <c r="DI14" s="167"/>
      <c r="DJ14" s="167"/>
      <c r="DK14" s="167"/>
      <c r="DL14" s="166">
        <v>0.13980000000000001</v>
      </c>
      <c r="DM14" s="166">
        <v>-1</v>
      </c>
      <c r="DN14" s="166">
        <v>5.62</v>
      </c>
      <c r="DO14" s="166">
        <v>2.7</v>
      </c>
      <c r="DP14" s="166">
        <v>-2.66</v>
      </c>
      <c r="DQ14" s="166">
        <v>-2.31</v>
      </c>
      <c r="DR14" s="166">
        <v>11.702500000000001</v>
      </c>
      <c r="DS14" s="166">
        <v>-20.092400000000001</v>
      </c>
      <c r="DT14" s="166">
        <v>-13.77</v>
      </c>
      <c r="DU14" s="166">
        <v>-13.99</v>
      </c>
      <c r="DV14" s="166">
        <v>29.13</v>
      </c>
      <c r="DW14" s="166">
        <v>-1.77</v>
      </c>
      <c r="DX14" s="166">
        <v>-21.9636</v>
      </c>
      <c r="DY14" s="166">
        <v>-10.8545</v>
      </c>
      <c r="DZ14" s="166">
        <v>-34.662100000000002</v>
      </c>
      <c r="EA14" s="166">
        <v>-33.736400000000003</v>
      </c>
      <c r="EB14" s="167"/>
      <c r="EC14" s="166">
        <v>-25.247199999999999</v>
      </c>
      <c r="ED14" s="166">
        <v>-30.4283</v>
      </c>
      <c r="EE14" s="166">
        <v>-29.957100000000001</v>
      </c>
      <c r="EF14" s="166">
        <v>-17.360299999999999</v>
      </c>
      <c r="EG14" s="166">
        <v>-21.6751</v>
      </c>
      <c r="EH14" s="166">
        <v>-13.473000000000001</v>
      </c>
      <c r="EI14" s="166">
        <v>-130.24629999999999</v>
      </c>
      <c r="EJ14" s="166">
        <v>12.401300000000001</v>
      </c>
      <c r="EK14" s="167"/>
      <c r="EL14" s="166">
        <v>-7.5178000000000003</v>
      </c>
      <c r="EM14" s="166">
        <v>-7.3589000000000002</v>
      </c>
      <c r="EN14" s="167"/>
      <c r="EO14" s="166">
        <v>-20.7666</v>
      </c>
      <c r="EP14" s="166">
        <v>-17.994900000000001</v>
      </c>
      <c r="EQ14" s="166">
        <v>3.6</v>
      </c>
      <c r="ER14" s="166">
        <v>-13.8576</v>
      </c>
      <c r="ES14" s="166">
        <v>-14.342599999999999</v>
      </c>
      <c r="ET14" s="166">
        <v>14.0251</v>
      </c>
      <c r="EU14" s="166">
        <v>-7.82</v>
      </c>
      <c r="EV14" s="166">
        <v>0</v>
      </c>
      <c r="EW14" s="166">
        <v>-5.7</v>
      </c>
      <c r="EX14" s="166">
        <v>1.8609</v>
      </c>
      <c r="EY14" s="166">
        <v>-24.417100000000001</v>
      </c>
      <c r="EZ14" s="166">
        <v>-9.5351999999999997</v>
      </c>
      <c r="FA14" s="166">
        <v>-9.6395999999999997</v>
      </c>
      <c r="FB14" s="166">
        <v>8.4591999999999992</v>
      </c>
      <c r="FC14" s="166">
        <v>18.698499999999999</v>
      </c>
      <c r="FD14" s="166">
        <v>-31.662199999999999</v>
      </c>
      <c r="FE14" s="166">
        <v>7.9104999999999999</v>
      </c>
      <c r="FF14" s="166">
        <v>8.6199999999999999E-2</v>
      </c>
      <c r="FG14" s="167"/>
      <c r="FH14" s="166">
        <v>3.2745000000000002</v>
      </c>
      <c r="FI14" s="166">
        <v>4.0594999999999999</v>
      </c>
      <c r="FJ14" s="166">
        <v>3.4992999999999999</v>
      </c>
      <c r="FK14" s="166">
        <v>4.8562000000000003</v>
      </c>
      <c r="FL14" s="166">
        <v>4.5213000000000001</v>
      </c>
      <c r="FM14" s="166">
        <v>-8.0379000000000005</v>
      </c>
      <c r="FN14" s="166">
        <v>14.8118</v>
      </c>
      <c r="FO14" s="166">
        <v>15.1198</v>
      </c>
      <c r="FP14" s="166">
        <v>1.8013999999999999</v>
      </c>
      <c r="FQ14" s="166">
        <v>16.093299999999999</v>
      </c>
      <c r="FR14" s="166">
        <v>18.3902</v>
      </c>
      <c r="FS14" s="166">
        <v>-11.84</v>
      </c>
      <c r="FT14" s="167"/>
      <c r="FU14" s="166">
        <v>0.16500000000000001</v>
      </c>
      <c r="FV14" s="166">
        <v>-0.31</v>
      </c>
      <c r="FW14" s="166">
        <v>1.5</v>
      </c>
      <c r="FX14" s="166">
        <v>-18.467099999999999</v>
      </c>
      <c r="FY14" s="167"/>
      <c r="FZ14" s="166">
        <v>4.9710000000000001</v>
      </c>
      <c r="GA14" s="166">
        <v>0.92100000000000004</v>
      </c>
      <c r="GB14" s="167"/>
      <c r="GC14" s="166">
        <v>12.86</v>
      </c>
      <c r="GD14" s="166">
        <v>-25.8734</v>
      </c>
      <c r="GE14" s="166">
        <v>-17.432099999999998</v>
      </c>
      <c r="GF14" s="166">
        <v>-1.76</v>
      </c>
      <c r="GG14" s="166">
        <v>20.1492</v>
      </c>
      <c r="GH14" s="167"/>
      <c r="GI14" s="166">
        <v>19.5593</v>
      </c>
      <c r="GJ14" s="166">
        <v>-2.726</v>
      </c>
      <c r="GK14" s="166">
        <v>-2.9630999999999998</v>
      </c>
      <c r="GL14" s="166">
        <v>1.7229000000000001</v>
      </c>
      <c r="GM14" s="167"/>
      <c r="GN14" s="167"/>
      <c r="GO14" s="166">
        <v>-11.4549</v>
      </c>
      <c r="GP14" s="166">
        <v>65.259399999999999</v>
      </c>
      <c r="GQ14" s="166">
        <v>0.64549999999999996</v>
      </c>
      <c r="GR14" s="166">
        <v>-22.660799999999998</v>
      </c>
      <c r="GS14" s="166">
        <v>-7.0140000000000002</v>
      </c>
      <c r="GT14" s="166">
        <v>-7.2035</v>
      </c>
      <c r="GU14" s="166">
        <v>98.050299999999993</v>
      </c>
      <c r="GV14" s="166">
        <v>-5.9504999999999999</v>
      </c>
      <c r="GW14" s="166">
        <v>-10.679500000000001</v>
      </c>
      <c r="GX14" s="166">
        <v>8.3394999999999992</v>
      </c>
      <c r="GY14" s="166">
        <v>3.6536</v>
      </c>
      <c r="GZ14" s="166">
        <v>4.8936000000000002</v>
      </c>
      <c r="HA14" s="166">
        <v>4.8342000000000001</v>
      </c>
      <c r="HB14" s="166">
        <v>2.9024999999999999</v>
      </c>
      <c r="HC14" s="166">
        <v>-4.3078000000000003</v>
      </c>
      <c r="HD14" s="166">
        <v>-2.8304999999999998</v>
      </c>
      <c r="HE14" s="166">
        <v>-4.6100000000000003</v>
      </c>
      <c r="HF14" s="166">
        <v>0</v>
      </c>
      <c r="HG14" s="166">
        <v>25.9282</v>
      </c>
      <c r="HH14" s="166">
        <v>29.776800000000001</v>
      </c>
      <c r="HI14" s="166">
        <v>99.313299999999998</v>
      </c>
      <c r="HJ14" s="166">
        <v>0</v>
      </c>
      <c r="HK14" s="166">
        <v>49.000500000000002</v>
      </c>
      <c r="HL14" s="166">
        <v>0</v>
      </c>
      <c r="HM14" s="166">
        <v>-11.178100000000001</v>
      </c>
      <c r="HN14" s="166">
        <v>0</v>
      </c>
      <c r="HO14" s="166">
        <v>0</v>
      </c>
      <c r="HP14" s="167"/>
      <c r="HQ14" s="166">
        <v>38.334899999999998</v>
      </c>
      <c r="HR14" s="166">
        <v>-18.889900000000001</v>
      </c>
      <c r="HS14" s="166">
        <v>-18.335100000000001</v>
      </c>
      <c r="HT14" s="166">
        <v>-5.2407000000000004</v>
      </c>
      <c r="HU14" s="166">
        <v>-4.9817</v>
      </c>
      <c r="HV14" s="166">
        <v>7.03</v>
      </c>
      <c r="HW14" s="166">
        <v>7.22</v>
      </c>
      <c r="HX14" s="166">
        <v>-30.1</v>
      </c>
      <c r="HY14" s="166">
        <v>-30.2</v>
      </c>
      <c r="HZ14" s="166">
        <v>0.1071</v>
      </c>
      <c r="IA14" s="166">
        <v>-8.16</v>
      </c>
      <c r="IB14" s="166">
        <v>66.303600000000003</v>
      </c>
      <c r="IC14" s="166">
        <v>13.0929</v>
      </c>
      <c r="ID14" s="166">
        <v>13.0899</v>
      </c>
      <c r="IE14" s="166">
        <v>-20.399999999999999</v>
      </c>
      <c r="IF14" s="166">
        <v>-44.8</v>
      </c>
      <c r="IG14" s="166">
        <v>3.4</v>
      </c>
      <c r="IH14" s="166">
        <v>2.9</v>
      </c>
      <c r="II14" s="167"/>
      <c r="IJ14" s="166">
        <v>-18.159600000000001</v>
      </c>
      <c r="IK14" s="166">
        <v>-88.297200000000004</v>
      </c>
      <c r="IL14" s="166">
        <v>44.330100000000002</v>
      </c>
      <c r="IM14" s="166">
        <v>-290.24380000000002</v>
      </c>
      <c r="IN14" s="166">
        <v>-25.772099999999998</v>
      </c>
      <c r="IO14" s="166">
        <v>-25.37</v>
      </c>
      <c r="IP14" s="166">
        <v>122.5501</v>
      </c>
      <c r="IQ14" s="166">
        <v>42.482799999999997</v>
      </c>
      <c r="IR14" s="166">
        <v>148.27350000000001</v>
      </c>
      <c r="IS14" s="166">
        <v>83.672200000000004</v>
      </c>
      <c r="IT14" s="166">
        <v>60.962499999999999</v>
      </c>
      <c r="IU14" s="166">
        <v>19.293700000000001</v>
      </c>
      <c r="IV14" s="166">
        <v>19.659800000000001</v>
      </c>
      <c r="IW14" s="166">
        <v>-41.515599999999999</v>
      </c>
      <c r="IX14" s="166">
        <v>243.7055</v>
      </c>
      <c r="IY14" s="166">
        <v>-181.99270000000001</v>
      </c>
      <c r="IZ14" s="166">
        <v>65.996300000000005</v>
      </c>
      <c r="JA14" s="166">
        <v>-53.947099999999999</v>
      </c>
      <c r="JB14" s="166">
        <v>-0.60909999999999997</v>
      </c>
      <c r="JC14" s="166">
        <v>10.193</v>
      </c>
      <c r="JD14" s="166">
        <v>-7.04</v>
      </c>
      <c r="JE14" s="166">
        <v>-1.9870000000000001</v>
      </c>
      <c r="JF14" s="166">
        <v>-1.9790000000000001</v>
      </c>
      <c r="JG14" s="166">
        <v>1.84</v>
      </c>
      <c r="JH14" s="166">
        <v>-1.2</v>
      </c>
      <c r="JI14" s="166">
        <v>-2.1747000000000001</v>
      </c>
      <c r="JJ14" s="166">
        <v>-4.7165999999999997</v>
      </c>
      <c r="JK14" s="166">
        <v>10.695</v>
      </c>
      <c r="JL14" s="166">
        <v>-8.2017000000000007</v>
      </c>
      <c r="JM14" s="166">
        <v>-0.8</v>
      </c>
      <c r="JN14" s="166">
        <v>9.7360000000000007</v>
      </c>
      <c r="JO14" s="166">
        <v>7.782</v>
      </c>
      <c r="JP14" s="166">
        <v>1.8634999999999999</v>
      </c>
      <c r="JQ14" s="166">
        <v>2.0840000000000001</v>
      </c>
      <c r="JR14" s="166">
        <v>3.6707000000000001</v>
      </c>
      <c r="JS14" s="166">
        <v>4.2876000000000003</v>
      </c>
      <c r="JT14" s="166">
        <v>2.8868999999999998</v>
      </c>
      <c r="JU14" s="167"/>
      <c r="JV14" s="166">
        <v>28.7</v>
      </c>
      <c r="JW14" s="166">
        <v>2.2349999999999999</v>
      </c>
      <c r="JX14" s="166">
        <v>-0.1</v>
      </c>
      <c r="JY14" s="167"/>
      <c r="JZ14" s="166">
        <v>-5.3673999999999999</v>
      </c>
      <c r="KA14" s="166">
        <v>-16.818300000000001</v>
      </c>
      <c r="KB14" s="166">
        <v>-17.4025</v>
      </c>
      <c r="KC14" s="166">
        <v>-2.0960999999999999</v>
      </c>
      <c r="KD14" s="166">
        <v>12.6074</v>
      </c>
      <c r="KE14" s="166">
        <v>-11.7121</v>
      </c>
      <c r="KF14" s="166">
        <v>0</v>
      </c>
      <c r="KG14" s="166">
        <v>-23.5</v>
      </c>
      <c r="KH14" s="166">
        <v>5.6</v>
      </c>
      <c r="KI14" s="166">
        <v>68.076899999999995</v>
      </c>
      <c r="KJ14" s="166">
        <v>-136.97239999999999</v>
      </c>
    </row>
    <row r="15" spans="1:296" ht="18" customHeight="1" x14ac:dyDescent="0.3">
      <c r="A15" s="162" t="s">
        <v>67</v>
      </c>
      <c r="B15" s="162" t="s">
        <v>814</v>
      </c>
      <c r="C15" s="166">
        <v>0</v>
      </c>
      <c r="D15" s="167"/>
      <c r="E15" s="166">
        <v>1.2253000000000001</v>
      </c>
      <c r="F15" s="166">
        <v>-6.5918000000000001</v>
      </c>
      <c r="G15" s="166">
        <v>3.7690000000000001</v>
      </c>
      <c r="H15" s="166">
        <v>8.7318999999999996</v>
      </c>
      <c r="I15" s="167"/>
      <c r="J15" s="166">
        <v>9.5699000000000005</v>
      </c>
      <c r="K15" s="167"/>
      <c r="L15" s="166">
        <v>14.5069</v>
      </c>
      <c r="M15" s="166">
        <v>6.1848000000000001</v>
      </c>
      <c r="N15" s="166">
        <v>7.6951000000000001</v>
      </c>
      <c r="O15" s="166">
        <v>4.4400000000000004</v>
      </c>
      <c r="P15" s="166">
        <v>-22</v>
      </c>
      <c r="Q15" s="167"/>
      <c r="R15" s="166">
        <v>0</v>
      </c>
      <c r="S15" s="166">
        <v>-17.600000000000001</v>
      </c>
      <c r="T15" s="166">
        <v>4.2384000000000004</v>
      </c>
      <c r="U15" s="166">
        <v>-10.8154</v>
      </c>
      <c r="V15" s="167"/>
      <c r="W15" s="166">
        <v>2.3834</v>
      </c>
      <c r="X15" s="166">
        <v>4.7515999999999998</v>
      </c>
      <c r="Y15" s="166">
        <v>1.456</v>
      </c>
      <c r="Z15" s="166">
        <v>-0.54790000000000005</v>
      </c>
      <c r="AA15" s="166">
        <v>1.3875999999999999</v>
      </c>
      <c r="AB15" s="167"/>
      <c r="AC15" s="166">
        <v>-1.0239</v>
      </c>
      <c r="AD15" s="166">
        <v>-0.75700000000000001</v>
      </c>
      <c r="AE15" s="166">
        <v>-0.753</v>
      </c>
      <c r="AF15" s="166">
        <v>2.1269999999999998</v>
      </c>
      <c r="AG15" s="166">
        <v>-24.42</v>
      </c>
      <c r="AH15" s="167"/>
      <c r="AI15" s="166">
        <v>-1.3460000000000001</v>
      </c>
      <c r="AJ15" s="166">
        <v>0.25600000000000001</v>
      </c>
      <c r="AK15" s="166">
        <v>-11.2</v>
      </c>
      <c r="AL15" s="167"/>
      <c r="AM15" s="167"/>
      <c r="AN15" s="166">
        <v>-9.6199999999999992</v>
      </c>
      <c r="AO15" s="166">
        <v>-9.6199999999999992</v>
      </c>
      <c r="AP15" s="167"/>
      <c r="AQ15" s="166">
        <v>3.4514999999999998</v>
      </c>
      <c r="AR15" s="166">
        <v>13.5593</v>
      </c>
      <c r="AS15" s="166">
        <v>15.3652</v>
      </c>
      <c r="AT15" s="166">
        <v>-18.336200000000002</v>
      </c>
      <c r="AU15" s="166">
        <v>-6.2866</v>
      </c>
      <c r="AV15" s="166">
        <v>-5.9721000000000002</v>
      </c>
      <c r="AW15" s="166">
        <v>17.920999999999999</v>
      </c>
      <c r="AX15" s="166">
        <v>16.105399999999999</v>
      </c>
      <c r="AY15" s="166">
        <v>-19.839099999999998</v>
      </c>
      <c r="AZ15" s="166">
        <v>-16.981300000000001</v>
      </c>
      <c r="BA15" s="166">
        <v>16.8856</v>
      </c>
      <c r="BB15" s="166">
        <v>22.344200000000001</v>
      </c>
      <c r="BC15" s="166">
        <v>4.3201999999999998</v>
      </c>
      <c r="BD15" s="166">
        <v>9.1663999999999994</v>
      </c>
      <c r="BE15" s="166">
        <v>-4.0999999999999996</v>
      </c>
      <c r="BF15" s="166">
        <v>-4.2</v>
      </c>
      <c r="BG15" s="166">
        <v>-23.0261</v>
      </c>
      <c r="BH15" s="166">
        <v>-22.9178</v>
      </c>
      <c r="BI15" s="166">
        <v>-1.5829</v>
      </c>
      <c r="BJ15" s="167"/>
      <c r="BK15" s="166">
        <v>4.4470000000000001</v>
      </c>
      <c r="BL15" s="166">
        <v>1.7166999999999999</v>
      </c>
      <c r="BM15" s="166">
        <v>-0.38819999999999999</v>
      </c>
      <c r="BN15" s="166">
        <v>-8.8900000000000007E-2</v>
      </c>
      <c r="BO15" s="166">
        <v>-97.262500000000003</v>
      </c>
      <c r="BP15" s="166">
        <v>12.1464</v>
      </c>
      <c r="BQ15" s="166">
        <v>12.329499999999999</v>
      </c>
      <c r="BR15" s="166">
        <v>44.002400000000002</v>
      </c>
      <c r="BS15" s="166">
        <v>-205.80779999999999</v>
      </c>
      <c r="BT15" s="167"/>
      <c r="BU15" s="167"/>
      <c r="BV15" s="167"/>
      <c r="BW15" s="166">
        <v>7.6443000000000003</v>
      </c>
      <c r="BX15" s="166">
        <v>9.77</v>
      </c>
      <c r="BY15" s="166">
        <v>6.15</v>
      </c>
      <c r="BZ15" s="166">
        <v>-13.03</v>
      </c>
      <c r="CA15" s="166">
        <v>4.83</v>
      </c>
      <c r="CB15" s="166">
        <v>-19.5535</v>
      </c>
      <c r="CC15" s="166">
        <v>-19.017700000000001</v>
      </c>
      <c r="CD15" s="166">
        <v>31.4666</v>
      </c>
      <c r="CE15" s="166">
        <v>30.143000000000001</v>
      </c>
      <c r="CF15" s="166">
        <v>-4.7004000000000001</v>
      </c>
      <c r="CG15" s="166">
        <v>-22.8078</v>
      </c>
      <c r="CH15" s="166">
        <v>-22.7196</v>
      </c>
      <c r="CI15" s="166">
        <v>3.8403</v>
      </c>
      <c r="CJ15" s="167"/>
      <c r="CK15" s="166">
        <v>3.6393</v>
      </c>
      <c r="CL15" s="167"/>
      <c r="CM15" s="166">
        <v>-14.6</v>
      </c>
      <c r="CN15" s="166">
        <v>-14.4</v>
      </c>
      <c r="CO15" s="166">
        <v>-2.69</v>
      </c>
      <c r="CP15" s="166">
        <v>8.4902999999999995</v>
      </c>
      <c r="CQ15" s="166">
        <v>8.6076999999999995</v>
      </c>
      <c r="CR15" s="166">
        <v>7.5594999999999999</v>
      </c>
      <c r="CS15" s="166">
        <v>34.423400000000001</v>
      </c>
      <c r="CT15" s="166">
        <v>34.895299999999999</v>
      </c>
      <c r="CU15" s="166">
        <v>-20.641999999999999</v>
      </c>
      <c r="CV15" s="166">
        <v>-16.9876</v>
      </c>
      <c r="CW15" s="166">
        <v>-20.0688</v>
      </c>
      <c r="CX15" s="166">
        <v>2.9142999999999999</v>
      </c>
      <c r="CY15" s="166">
        <v>26.8</v>
      </c>
      <c r="CZ15" s="166">
        <v>9.67</v>
      </c>
      <c r="DA15" s="166">
        <v>4.3799000000000001</v>
      </c>
      <c r="DB15" s="166">
        <v>3.3233999999999999</v>
      </c>
      <c r="DC15" s="166">
        <v>-6.5026000000000002</v>
      </c>
      <c r="DD15" s="167"/>
      <c r="DE15" s="167"/>
      <c r="DF15" s="167"/>
      <c r="DG15" s="166">
        <v>21.180900000000001</v>
      </c>
      <c r="DH15" s="167"/>
      <c r="DI15" s="167"/>
      <c r="DJ15" s="167"/>
      <c r="DK15" s="167"/>
      <c r="DL15" s="166">
        <v>1.89E-2</v>
      </c>
      <c r="DM15" s="166">
        <v>-1.3</v>
      </c>
      <c r="DN15" s="166">
        <v>5.3</v>
      </c>
      <c r="DO15" s="166">
        <v>2.5</v>
      </c>
      <c r="DP15" s="166">
        <v>-2.86</v>
      </c>
      <c r="DQ15" s="166">
        <v>-2.11</v>
      </c>
      <c r="DR15" s="166">
        <v>11.8575</v>
      </c>
      <c r="DS15" s="166">
        <v>-22.571300000000001</v>
      </c>
      <c r="DT15" s="166">
        <v>-12.76</v>
      </c>
      <c r="DU15" s="166">
        <v>-12.79</v>
      </c>
      <c r="DV15" s="166">
        <v>26.75</v>
      </c>
      <c r="DW15" s="166">
        <v>-1.4</v>
      </c>
      <c r="DX15" s="166">
        <v>-23.945499999999999</v>
      </c>
      <c r="DY15" s="166">
        <v>-11.6</v>
      </c>
      <c r="DZ15" s="166">
        <v>-36.627899999999997</v>
      </c>
      <c r="EA15" s="166">
        <v>-35.690899999999999</v>
      </c>
      <c r="EB15" s="167"/>
      <c r="EC15" s="166">
        <v>-24.921500000000002</v>
      </c>
      <c r="ED15" s="166">
        <v>-31.8889</v>
      </c>
      <c r="EE15" s="166">
        <v>-33.088299999999997</v>
      </c>
      <c r="EF15" s="166">
        <v>-16.123200000000001</v>
      </c>
      <c r="EG15" s="166">
        <v>-22.173400000000001</v>
      </c>
      <c r="EH15" s="166">
        <v>-13.69</v>
      </c>
      <c r="EI15" s="166">
        <v>-125.3835</v>
      </c>
      <c r="EJ15" s="166">
        <v>15.761799999999999</v>
      </c>
      <c r="EK15" s="167"/>
      <c r="EL15" s="166">
        <v>-7.5983999999999998</v>
      </c>
      <c r="EM15" s="166">
        <v>-7.4572000000000003</v>
      </c>
      <c r="EN15" s="167"/>
      <c r="EO15" s="166">
        <v>-19.818200000000001</v>
      </c>
      <c r="EP15" s="166">
        <v>-20.7607</v>
      </c>
      <c r="EQ15" s="166">
        <v>11.792</v>
      </c>
      <c r="ER15" s="166">
        <v>-14.595599999999999</v>
      </c>
      <c r="ES15" s="166">
        <v>-14.617800000000001</v>
      </c>
      <c r="ET15" s="166">
        <v>17.613199999999999</v>
      </c>
      <c r="EU15" s="166">
        <v>-0.96</v>
      </c>
      <c r="EV15" s="166">
        <v>-5.93</v>
      </c>
      <c r="EW15" s="166">
        <v>-1.5</v>
      </c>
      <c r="EX15" s="166">
        <v>1.6722999999999999</v>
      </c>
      <c r="EY15" s="166">
        <v>-28.881399999999999</v>
      </c>
      <c r="EZ15" s="166">
        <v>-9.1710999999999991</v>
      </c>
      <c r="FA15" s="166">
        <v>-9.3673999999999999</v>
      </c>
      <c r="FB15" s="166">
        <v>9.3824000000000005</v>
      </c>
      <c r="FC15" s="166">
        <v>11.949299999999999</v>
      </c>
      <c r="FD15" s="166">
        <v>-30.386800000000001</v>
      </c>
      <c r="FE15" s="166">
        <v>6.9093</v>
      </c>
      <c r="FF15" s="166">
        <v>0.1208</v>
      </c>
      <c r="FG15" s="167"/>
      <c r="FH15" s="166">
        <v>4.0136000000000003</v>
      </c>
      <c r="FI15" s="166">
        <v>4.1185999999999998</v>
      </c>
      <c r="FJ15" s="166">
        <v>2.9628999999999999</v>
      </c>
      <c r="FK15" s="166">
        <v>6.1959</v>
      </c>
      <c r="FL15" s="166">
        <v>5.8609999999999998</v>
      </c>
      <c r="FM15" s="166">
        <v>-8.2053999999999991</v>
      </c>
      <c r="FN15" s="166">
        <v>16.555700000000002</v>
      </c>
      <c r="FO15" s="166">
        <v>17.8004</v>
      </c>
      <c r="FP15" s="166">
        <v>1.1454</v>
      </c>
      <c r="FQ15" s="166">
        <v>15.3863</v>
      </c>
      <c r="FR15" s="166">
        <v>19.9283</v>
      </c>
      <c r="FS15" s="166">
        <v>-11.69</v>
      </c>
      <c r="FT15" s="167"/>
      <c r="FU15" s="166">
        <v>0.1293</v>
      </c>
      <c r="FV15" s="166">
        <v>-0.28000000000000003</v>
      </c>
      <c r="FW15" s="166">
        <v>0.03</v>
      </c>
      <c r="FX15" s="166">
        <v>-20.0061</v>
      </c>
      <c r="FY15" s="167"/>
      <c r="FZ15" s="166">
        <v>4.9729999999999999</v>
      </c>
      <c r="GA15" s="166">
        <v>0.95199999999999996</v>
      </c>
      <c r="GB15" s="167"/>
      <c r="GC15" s="166">
        <v>12.37</v>
      </c>
      <c r="GD15" s="166">
        <v>-25.820599999999999</v>
      </c>
      <c r="GE15" s="166">
        <v>-17.601700000000001</v>
      </c>
      <c r="GF15" s="166">
        <v>-1.72</v>
      </c>
      <c r="GG15" s="166">
        <v>19.669</v>
      </c>
      <c r="GH15" s="167"/>
      <c r="GI15" s="166">
        <v>19.5566</v>
      </c>
      <c r="GJ15" s="166">
        <v>-2.7294</v>
      </c>
      <c r="GK15" s="166">
        <v>-3.0539000000000001</v>
      </c>
      <c r="GL15" s="166">
        <v>1.7061999999999999</v>
      </c>
      <c r="GM15" s="167"/>
      <c r="GN15" s="167"/>
      <c r="GO15" s="166">
        <v>-12.007400000000001</v>
      </c>
      <c r="GP15" s="166">
        <v>66.292199999999994</v>
      </c>
      <c r="GQ15" s="166">
        <v>0.91</v>
      </c>
      <c r="GR15" s="166">
        <v>-22.6813</v>
      </c>
      <c r="GS15" s="166">
        <v>-7.1759000000000004</v>
      </c>
      <c r="GT15" s="166">
        <v>-7.4340999999999999</v>
      </c>
      <c r="GU15" s="166">
        <v>101.0303</v>
      </c>
      <c r="GV15" s="166">
        <v>-5.9420000000000002</v>
      </c>
      <c r="GW15" s="166">
        <v>-10.4527</v>
      </c>
      <c r="GX15" s="166">
        <v>8.5164000000000009</v>
      </c>
      <c r="GY15" s="166">
        <v>3.6608000000000001</v>
      </c>
      <c r="GZ15" s="166">
        <v>4.8643000000000001</v>
      </c>
      <c r="HA15" s="166">
        <v>4.8183999999999996</v>
      </c>
      <c r="HB15" s="166">
        <v>3.2886000000000002</v>
      </c>
      <c r="HC15" s="166">
        <v>-5.4955999999999996</v>
      </c>
      <c r="HD15" s="166">
        <v>-3.0005999999999999</v>
      </c>
      <c r="HE15" s="166">
        <v>-4.6100000000000003</v>
      </c>
      <c r="HF15" s="166">
        <v>0</v>
      </c>
      <c r="HG15" s="166">
        <v>24.153400000000001</v>
      </c>
      <c r="HH15" s="166">
        <v>29.4511</v>
      </c>
      <c r="HI15" s="166">
        <v>99.346999999999994</v>
      </c>
      <c r="HJ15" s="166">
        <v>0</v>
      </c>
      <c r="HK15" s="166">
        <v>49.625999999999998</v>
      </c>
      <c r="HL15" s="166">
        <v>0</v>
      </c>
      <c r="HM15" s="166">
        <v>-9.1309000000000005</v>
      </c>
      <c r="HN15" s="166">
        <v>-12.3018</v>
      </c>
      <c r="HO15" s="166">
        <v>-11.785299999999999</v>
      </c>
      <c r="HP15" s="167"/>
      <c r="HQ15" s="167"/>
      <c r="HR15" s="166">
        <v>-21.065200000000001</v>
      </c>
      <c r="HS15" s="166">
        <v>-20.510400000000001</v>
      </c>
      <c r="HT15" s="166">
        <v>-5.8575999999999997</v>
      </c>
      <c r="HU15" s="166">
        <v>-5.9869000000000003</v>
      </c>
      <c r="HV15" s="166">
        <v>7.84</v>
      </c>
      <c r="HW15" s="166">
        <v>8.2799999999999994</v>
      </c>
      <c r="HX15" s="166">
        <v>-30.1</v>
      </c>
      <c r="HY15" s="166">
        <v>-30.1</v>
      </c>
      <c r="HZ15" s="166">
        <v>3.5700000000000003E-2</v>
      </c>
      <c r="IA15" s="166">
        <v>-8.24</v>
      </c>
      <c r="IB15" s="166">
        <v>70.480699999999999</v>
      </c>
      <c r="IC15" s="166">
        <v>10.8301</v>
      </c>
      <c r="ID15" s="166">
        <v>10.386100000000001</v>
      </c>
      <c r="IE15" s="166">
        <v>-19.899999999999999</v>
      </c>
      <c r="IF15" s="166">
        <v>-43.9</v>
      </c>
      <c r="IG15" s="166">
        <v>4.7</v>
      </c>
      <c r="IH15" s="166">
        <v>4.2</v>
      </c>
      <c r="II15" s="167"/>
      <c r="IJ15" s="167"/>
      <c r="IK15" s="166">
        <v>-87.781199999999998</v>
      </c>
      <c r="IL15" s="166">
        <v>45.125900000000001</v>
      </c>
      <c r="IM15" s="166">
        <v>-290.48669999999998</v>
      </c>
      <c r="IN15" s="166">
        <v>-27.4922</v>
      </c>
      <c r="IO15" s="166">
        <v>-26.446999999999999</v>
      </c>
      <c r="IP15" s="166">
        <v>124.754</v>
      </c>
      <c r="IQ15" s="166">
        <v>39.483899999999998</v>
      </c>
      <c r="IR15" s="166">
        <v>155.119</v>
      </c>
      <c r="IS15" s="166">
        <v>85.985600000000005</v>
      </c>
      <c r="IT15" s="166">
        <v>60.5959</v>
      </c>
      <c r="IU15" s="166">
        <v>22.011500000000002</v>
      </c>
      <c r="IV15" s="166">
        <v>21.0974</v>
      </c>
      <c r="IW15" s="166">
        <v>-45.423200000000001</v>
      </c>
      <c r="IX15" s="166">
        <v>247.47409999999999</v>
      </c>
      <c r="IY15" s="166">
        <v>-184.39400000000001</v>
      </c>
      <c r="IZ15" s="166">
        <v>63.188600000000001</v>
      </c>
      <c r="JA15" s="166">
        <v>-51.893700000000003</v>
      </c>
      <c r="JB15" s="166">
        <v>-2.3199999999999998E-2</v>
      </c>
      <c r="JC15" s="166">
        <v>10.298</v>
      </c>
      <c r="JD15" s="166">
        <v>-6.24</v>
      </c>
      <c r="JE15" s="166">
        <v>-1.958</v>
      </c>
      <c r="JF15" s="166">
        <v>-1.9630000000000001</v>
      </c>
      <c r="JG15" s="166">
        <v>1.1200000000000001</v>
      </c>
      <c r="JH15" s="166">
        <v>-1.1200000000000001</v>
      </c>
      <c r="JI15" s="166">
        <v>-2.0503999999999998</v>
      </c>
      <c r="JJ15" s="166">
        <v>-4.7439999999999998</v>
      </c>
      <c r="JK15" s="166">
        <v>10.695</v>
      </c>
      <c r="JL15" s="166">
        <v>-8.7876999999999992</v>
      </c>
      <c r="JM15" s="166">
        <v>-1.9</v>
      </c>
      <c r="JN15" s="166">
        <v>9.1660000000000004</v>
      </c>
      <c r="JO15" s="166">
        <v>8.0399999999999991</v>
      </c>
      <c r="JP15" s="167"/>
      <c r="JQ15" s="167"/>
      <c r="JR15" s="166">
        <v>3.1065</v>
      </c>
      <c r="JS15" s="166">
        <v>2.8820999999999999</v>
      </c>
      <c r="JT15" s="166">
        <v>3.319</v>
      </c>
      <c r="JU15" s="167"/>
      <c r="JV15" s="166">
        <v>28.4</v>
      </c>
      <c r="JW15" s="166">
        <v>2.2176999999999998</v>
      </c>
      <c r="JX15" s="166">
        <v>-0.09</v>
      </c>
      <c r="JY15" s="167"/>
      <c r="JZ15" s="166">
        <v>-4.9103000000000003</v>
      </c>
      <c r="KA15" s="166">
        <v>-16.473800000000001</v>
      </c>
      <c r="KB15" s="166">
        <v>-18.030799999999999</v>
      </c>
      <c r="KC15" s="166">
        <v>-1.6627000000000001</v>
      </c>
      <c r="KD15" s="166">
        <v>12.341200000000001</v>
      </c>
      <c r="KE15" s="166">
        <v>-13.2075</v>
      </c>
      <c r="KF15" s="166">
        <v>0</v>
      </c>
      <c r="KG15" s="166">
        <v>-23</v>
      </c>
      <c r="KH15" s="166">
        <v>4.8</v>
      </c>
      <c r="KI15" s="166">
        <v>67.813100000000006</v>
      </c>
      <c r="KJ15" s="166">
        <v>-133.46119999999999</v>
      </c>
    </row>
    <row r="16" spans="1:296" ht="18" customHeight="1" x14ac:dyDescent="0.3">
      <c r="A16" s="162" t="s">
        <v>67</v>
      </c>
      <c r="B16" s="162" t="s">
        <v>815</v>
      </c>
      <c r="C16" s="169">
        <v>0</v>
      </c>
      <c r="D16" s="170"/>
      <c r="E16" s="169">
        <v>0.998</v>
      </c>
      <c r="F16" s="169">
        <v>-6.1638999999999999</v>
      </c>
      <c r="G16" s="169">
        <v>3.7871000000000001</v>
      </c>
      <c r="H16" s="169">
        <v>9.5524000000000004</v>
      </c>
      <c r="I16" s="170"/>
      <c r="J16" s="169">
        <v>9.2010000000000005</v>
      </c>
      <c r="K16" s="170"/>
      <c r="L16" s="169">
        <v>14.604699999999999</v>
      </c>
      <c r="M16" s="169">
        <v>6.2218</v>
      </c>
      <c r="N16" s="169">
        <v>7.4790000000000001</v>
      </c>
      <c r="O16" s="169">
        <v>2.2200000000000002</v>
      </c>
      <c r="P16" s="169">
        <v>-22</v>
      </c>
      <c r="Q16" s="170"/>
      <c r="R16" s="169">
        <v>0.82799999999999996</v>
      </c>
      <c r="S16" s="169">
        <v>-15.4</v>
      </c>
      <c r="T16" s="169">
        <v>4.2145000000000001</v>
      </c>
      <c r="U16" s="169">
        <v>-11.0189</v>
      </c>
      <c r="V16" s="170"/>
      <c r="W16" s="169">
        <v>2.6612</v>
      </c>
      <c r="X16" s="169">
        <v>5.4089999999999998</v>
      </c>
      <c r="Y16" s="169">
        <v>1.9621</v>
      </c>
      <c r="Z16" s="169">
        <v>-0.42330000000000001</v>
      </c>
      <c r="AA16" s="169">
        <v>1.3948</v>
      </c>
      <c r="AB16" s="170"/>
      <c r="AC16" s="169">
        <v>-1.1180000000000001</v>
      </c>
      <c r="AD16" s="169">
        <v>-0.82</v>
      </c>
      <c r="AE16" s="169">
        <v>-0.80400000000000005</v>
      </c>
      <c r="AF16" s="169">
        <v>2.004</v>
      </c>
      <c r="AG16" s="169">
        <v>-24.42</v>
      </c>
      <c r="AH16" s="170"/>
      <c r="AI16" s="169">
        <v>-1.242</v>
      </c>
      <c r="AJ16" s="169">
        <v>0.255</v>
      </c>
      <c r="AK16" s="169">
        <v>-11.84</v>
      </c>
      <c r="AL16" s="170"/>
      <c r="AM16" s="170"/>
      <c r="AN16" s="169">
        <v>-9.68</v>
      </c>
      <c r="AO16" s="169">
        <v>-9.69</v>
      </c>
      <c r="AP16" s="170"/>
      <c r="AQ16" s="169">
        <v>3.5983999999999998</v>
      </c>
      <c r="AR16" s="169">
        <v>13.3003</v>
      </c>
      <c r="AS16" s="169">
        <v>15.3849</v>
      </c>
      <c r="AT16" s="169">
        <v>-18.058499999999999</v>
      </c>
      <c r="AU16" s="169">
        <v>-9.0545000000000009</v>
      </c>
      <c r="AV16" s="169">
        <v>-8.7878000000000007</v>
      </c>
      <c r="AW16" s="169">
        <v>13.703900000000001</v>
      </c>
      <c r="AX16" s="169">
        <v>14.582700000000001</v>
      </c>
      <c r="AY16" s="169">
        <v>-19.238800000000001</v>
      </c>
      <c r="AZ16" s="169">
        <v>-17.5808</v>
      </c>
      <c r="BA16" s="169">
        <v>22.1999</v>
      </c>
      <c r="BB16" s="169">
        <v>17.6557</v>
      </c>
      <c r="BC16" s="169">
        <v>9.3800000000000008</v>
      </c>
      <c r="BD16" s="169">
        <v>10.3042</v>
      </c>
      <c r="BE16" s="169">
        <v>-4.7</v>
      </c>
      <c r="BF16" s="169">
        <v>-4.5999999999999996</v>
      </c>
      <c r="BG16" s="169">
        <v>-22.905799999999999</v>
      </c>
      <c r="BH16" s="169">
        <v>-23.184899999999999</v>
      </c>
      <c r="BI16" s="169">
        <v>-1.5888</v>
      </c>
      <c r="BJ16" s="170"/>
      <c r="BK16" s="169">
        <v>1.9327000000000001</v>
      </c>
      <c r="BL16" s="169">
        <v>2.1459999999999999</v>
      </c>
      <c r="BM16" s="169">
        <v>-0.30270000000000002</v>
      </c>
      <c r="BN16" s="169">
        <v>-0.1124</v>
      </c>
      <c r="BO16" s="169">
        <v>-93.813900000000004</v>
      </c>
      <c r="BP16" s="169">
        <v>9.6133000000000006</v>
      </c>
      <c r="BQ16" s="169">
        <v>9.7354000000000003</v>
      </c>
      <c r="BR16" s="169">
        <v>46.280900000000003</v>
      </c>
      <c r="BS16" s="169">
        <v>-210.3672</v>
      </c>
      <c r="BT16" s="170"/>
      <c r="BU16" s="170"/>
      <c r="BV16" s="170"/>
      <c r="BW16" s="170"/>
      <c r="BX16" s="169">
        <v>9.42</v>
      </c>
      <c r="BY16" s="169">
        <v>5.74</v>
      </c>
      <c r="BZ16" s="169">
        <v>-13.09</v>
      </c>
      <c r="CA16" s="169">
        <v>4.66</v>
      </c>
      <c r="CB16" s="169">
        <v>-20.089400000000001</v>
      </c>
      <c r="CC16" s="169">
        <v>-19.6875</v>
      </c>
      <c r="CD16" s="169">
        <v>32.895200000000003</v>
      </c>
      <c r="CE16" s="169">
        <v>31.803899999999999</v>
      </c>
      <c r="CF16" s="169">
        <v>-5.0061</v>
      </c>
      <c r="CG16" s="169">
        <v>-21.409700000000001</v>
      </c>
      <c r="CH16" s="169">
        <v>-20.8567</v>
      </c>
      <c r="CI16" s="169">
        <v>1.0952</v>
      </c>
      <c r="CJ16" s="170"/>
      <c r="CK16" s="169">
        <v>3.8355999999999999</v>
      </c>
      <c r="CL16" s="169">
        <v>8.9960000000000004</v>
      </c>
      <c r="CM16" s="169">
        <v>-14</v>
      </c>
      <c r="CN16" s="169">
        <v>-13.8</v>
      </c>
      <c r="CO16" s="169">
        <v>-2.59</v>
      </c>
      <c r="CP16" s="169">
        <v>8.7645999999999997</v>
      </c>
      <c r="CQ16" s="169">
        <v>8.4821000000000009</v>
      </c>
      <c r="CR16" s="169">
        <v>7.4348999999999998</v>
      </c>
      <c r="CS16" s="169">
        <v>36.964399999999998</v>
      </c>
      <c r="CT16" s="169">
        <v>37.141300000000001</v>
      </c>
      <c r="CU16" s="169">
        <v>-26.6921</v>
      </c>
      <c r="CV16" s="169">
        <v>-12.7249</v>
      </c>
      <c r="CW16" s="169">
        <v>-25.7896</v>
      </c>
      <c r="CX16" s="169">
        <v>2.9750000000000001</v>
      </c>
      <c r="CY16" s="169">
        <v>26.59</v>
      </c>
      <c r="CZ16" s="169">
        <v>9.7100000000000009</v>
      </c>
      <c r="DA16" s="169">
        <v>4.2236000000000002</v>
      </c>
      <c r="DB16" s="169">
        <v>3.3233999999999999</v>
      </c>
      <c r="DC16" s="169">
        <v>-6.4503000000000004</v>
      </c>
      <c r="DD16" s="170"/>
      <c r="DE16" s="170"/>
      <c r="DF16" s="170"/>
      <c r="DG16" s="169">
        <v>22.046399999999998</v>
      </c>
      <c r="DH16" s="170"/>
      <c r="DI16" s="170"/>
      <c r="DJ16" s="170"/>
      <c r="DK16" s="170"/>
      <c r="DL16" s="169">
        <v>0.17519999999999999</v>
      </c>
      <c r="DM16" s="169">
        <v>-1.1000000000000001</v>
      </c>
      <c r="DN16" s="169">
        <v>5.3</v>
      </c>
      <c r="DO16" s="169">
        <v>2.58</v>
      </c>
      <c r="DP16" s="169">
        <v>-2.7</v>
      </c>
      <c r="DQ16" s="169">
        <v>-2.16</v>
      </c>
      <c r="DR16" s="169">
        <v>12.477499999999999</v>
      </c>
      <c r="DS16" s="169">
        <v>-22.8813</v>
      </c>
      <c r="DT16" s="169">
        <v>-12.7</v>
      </c>
      <c r="DU16" s="169">
        <v>-12.83</v>
      </c>
      <c r="DV16" s="169">
        <v>26.64</v>
      </c>
      <c r="DW16" s="169">
        <v>-1.4</v>
      </c>
      <c r="DX16" s="169">
        <v>-24.054500000000001</v>
      </c>
      <c r="DY16" s="169">
        <v>-12.1455</v>
      </c>
      <c r="DZ16" s="169">
        <v>-38.049799999999998</v>
      </c>
      <c r="EA16" s="169">
        <v>-37.2545</v>
      </c>
      <c r="EB16" s="170"/>
      <c r="EC16" s="169">
        <v>-26.910699999999999</v>
      </c>
      <c r="ED16" s="169">
        <v>-33.1569</v>
      </c>
      <c r="EE16" s="169">
        <v>-33.197800000000001</v>
      </c>
      <c r="EF16" s="169">
        <v>-13.9941</v>
      </c>
      <c r="EG16" s="169">
        <v>-17.156300000000002</v>
      </c>
      <c r="EH16" s="169">
        <v>-13.744</v>
      </c>
      <c r="EI16" s="169">
        <v>-125.9918</v>
      </c>
      <c r="EJ16" s="169">
        <v>12.5997</v>
      </c>
      <c r="EK16" s="170"/>
      <c r="EL16" s="169">
        <v>-7.6809000000000003</v>
      </c>
      <c r="EM16" s="169">
        <v>-7.6551</v>
      </c>
      <c r="EN16" s="170"/>
      <c r="EO16" s="169">
        <v>-18.421099999999999</v>
      </c>
      <c r="EP16" s="169">
        <v>-20.611899999999999</v>
      </c>
      <c r="EQ16" s="169">
        <v>-0.51600000000000001</v>
      </c>
      <c r="ER16" s="169">
        <v>-15.738799999999999</v>
      </c>
      <c r="ES16" s="169">
        <v>-14.8134</v>
      </c>
      <c r="ET16" s="169">
        <v>19.407</v>
      </c>
      <c r="EU16" s="169">
        <v>0</v>
      </c>
      <c r="EV16" s="169">
        <v>-3.06</v>
      </c>
      <c r="EW16" s="169">
        <v>6.6</v>
      </c>
      <c r="EX16" s="169">
        <v>1.6578999999999999</v>
      </c>
      <c r="EY16" s="169">
        <v>-27.3005</v>
      </c>
      <c r="EZ16" s="169">
        <v>-10.2834</v>
      </c>
      <c r="FA16" s="169">
        <v>-10.5198</v>
      </c>
      <c r="FB16" s="169">
        <v>8.8057999999999996</v>
      </c>
      <c r="FC16" s="169">
        <v>16.2</v>
      </c>
      <c r="FD16" s="169">
        <v>-32.15</v>
      </c>
      <c r="FE16" s="169">
        <v>8.1308000000000007</v>
      </c>
      <c r="FF16" s="169">
        <v>0.82499999999999996</v>
      </c>
      <c r="FG16" s="170"/>
      <c r="FH16" s="169">
        <v>0</v>
      </c>
      <c r="FI16" s="169">
        <v>0</v>
      </c>
      <c r="FJ16" s="169">
        <v>0</v>
      </c>
      <c r="FK16" s="169">
        <v>6.6982999999999997</v>
      </c>
      <c r="FL16" s="169">
        <v>6.5308000000000002</v>
      </c>
      <c r="FM16" s="169">
        <v>-9.2101000000000006</v>
      </c>
      <c r="FN16" s="169">
        <v>18.244199999999999</v>
      </c>
      <c r="FO16" s="169">
        <v>18.245000000000001</v>
      </c>
      <c r="FP16" s="169">
        <v>2.2378</v>
      </c>
      <c r="FQ16" s="169">
        <v>15.511900000000001</v>
      </c>
      <c r="FR16" s="169">
        <v>19.459499999999998</v>
      </c>
      <c r="FS16" s="169">
        <v>-11.78</v>
      </c>
      <c r="FT16" s="170"/>
      <c r="FU16" s="169">
        <v>0.1641</v>
      </c>
      <c r="FV16" s="169">
        <v>-0.3</v>
      </c>
      <c r="FW16" s="169">
        <v>0.44</v>
      </c>
      <c r="FX16" s="169">
        <v>-19.8384</v>
      </c>
      <c r="FY16" s="170"/>
      <c r="FZ16" s="169">
        <v>4.9800000000000004</v>
      </c>
      <c r="GA16" s="169">
        <v>0.71899999999999997</v>
      </c>
      <c r="GB16" s="170"/>
      <c r="GC16" s="169">
        <v>13.04</v>
      </c>
      <c r="GD16" s="169">
        <v>-26.854600000000001</v>
      </c>
      <c r="GE16" s="169">
        <v>-18.364899999999999</v>
      </c>
      <c r="GF16" s="169">
        <v>-1.46</v>
      </c>
      <c r="GG16" s="169">
        <v>20.426600000000001</v>
      </c>
      <c r="GH16" s="170"/>
      <c r="GI16" s="169">
        <v>19.581900000000001</v>
      </c>
      <c r="GJ16" s="169">
        <v>-2.7492999999999999</v>
      </c>
      <c r="GK16" s="169">
        <v>-3.0954000000000002</v>
      </c>
      <c r="GL16" s="169">
        <v>1.6552</v>
      </c>
      <c r="GM16" s="170"/>
      <c r="GN16" s="170"/>
      <c r="GO16" s="170"/>
      <c r="GP16" s="169">
        <v>66.453199999999995</v>
      </c>
      <c r="GQ16" s="169">
        <v>1.2589999999999999</v>
      </c>
      <c r="GR16" s="169">
        <v>-22.453399999999998</v>
      </c>
      <c r="GS16" s="169">
        <v>-7.2915999999999999</v>
      </c>
      <c r="GT16" s="169">
        <v>-7.0045999999999999</v>
      </c>
      <c r="GU16" s="169">
        <v>102.6066</v>
      </c>
      <c r="GV16" s="169">
        <v>-6.0010000000000003</v>
      </c>
      <c r="GW16" s="169">
        <v>-10.371499999999999</v>
      </c>
      <c r="GX16" s="169">
        <v>8.2920999999999996</v>
      </c>
      <c r="GY16" s="169">
        <v>3.008</v>
      </c>
      <c r="GZ16" s="169">
        <v>4.9448999999999996</v>
      </c>
      <c r="HA16" s="169">
        <v>4.9607999999999999</v>
      </c>
      <c r="HB16" s="169">
        <v>2.3956</v>
      </c>
      <c r="HC16" s="169">
        <v>-5.0617999999999999</v>
      </c>
      <c r="HD16" s="169">
        <v>-3.6758000000000002</v>
      </c>
      <c r="HE16" s="169">
        <v>-4.1900000000000004</v>
      </c>
      <c r="HF16" s="169">
        <v>0</v>
      </c>
      <c r="HG16" s="169">
        <v>24.054400000000001</v>
      </c>
      <c r="HH16" s="169">
        <v>27.301100000000002</v>
      </c>
      <c r="HI16" s="169">
        <v>99.384399999999999</v>
      </c>
      <c r="HJ16" s="169">
        <v>-1.2799</v>
      </c>
      <c r="HK16" s="169">
        <v>49.319899999999997</v>
      </c>
      <c r="HL16" s="170"/>
      <c r="HM16" s="169">
        <v>-9.9010999999999996</v>
      </c>
      <c r="HN16" s="169">
        <v>0</v>
      </c>
      <c r="HO16" s="169">
        <v>0</v>
      </c>
      <c r="HP16" s="170"/>
      <c r="HQ16" s="170"/>
      <c r="HR16" s="169">
        <v>-19.560099999999998</v>
      </c>
      <c r="HS16" s="169">
        <v>-18.807500000000001</v>
      </c>
      <c r="HT16" s="169">
        <v>-6.1818</v>
      </c>
      <c r="HU16" s="169">
        <v>-6.0622999999999996</v>
      </c>
      <c r="HV16" s="169">
        <v>7.36</v>
      </c>
      <c r="HW16" s="169">
        <v>7.62</v>
      </c>
      <c r="HX16" s="169">
        <v>-29.9</v>
      </c>
      <c r="HY16" s="169">
        <v>-29.6</v>
      </c>
      <c r="HZ16" s="169">
        <v>0.24629999999999999</v>
      </c>
      <c r="IA16" s="169">
        <v>-7.12</v>
      </c>
      <c r="IB16" s="169">
        <v>66.2119</v>
      </c>
      <c r="IC16" s="169">
        <v>13.2661</v>
      </c>
      <c r="ID16" s="169">
        <v>13.2014</v>
      </c>
      <c r="IE16" s="169">
        <v>-20</v>
      </c>
      <c r="IF16" s="169">
        <v>-44.8</v>
      </c>
      <c r="IG16" s="169">
        <v>4.3</v>
      </c>
      <c r="IH16" s="169">
        <v>3.8</v>
      </c>
      <c r="II16" s="170"/>
      <c r="IJ16" s="170"/>
      <c r="IK16" s="169">
        <v>-85.924400000000006</v>
      </c>
      <c r="IL16" s="169">
        <v>44.089500000000001</v>
      </c>
      <c r="IM16" s="169">
        <v>-290.95240000000001</v>
      </c>
      <c r="IN16" s="169">
        <v>-25.8689</v>
      </c>
      <c r="IO16" s="169">
        <v>-24.831499999999998</v>
      </c>
      <c r="IP16" s="169">
        <v>121.83969999999999</v>
      </c>
      <c r="IQ16" s="169">
        <v>44.368099999999998</v>
      </c>
      <c r="IR16" s="169">
        <v>151.8931</v>
      </c>
      <c r="IS16" s="169">
        <v>81.787000000000006</v>
      </c>
      <c r="IT16" s="169">
        <v>58.798299999999998</v>
      </c>
      <c r="IU16" s="169">
        <v>22.156500000000001</v>
      </c>
      <c r="IV16" s="169">
        <v>18.136099999999999</v>
      </c>
      <c r="IW16" s="169">
        <v>-39.1248</v>
      </c>
      <c r="IX16" s="169">
        <v>242.9127</v>
      </c>
      <c r="IY16" s="169">
        <v>-183.73929999999999</v>
      </c>
      <c r="IZ16" s="169">
        <v>67.682299999999998</v>
      </c>
      <c r="JA16" s="169">
        <v>-53.983199999999997</v>
      </c>
      <c r="JB16" s="169">
        <v>-0.42109999999999997</v>
      </c>
      <c r="JC16" s="169">
        <v>10.512</v>
      </c>
      <c r="JD16" s="169">
        <v>-6.16</v>
      </c>
      <c r="JE16" s="169">
        <v>-1.9550000000000001</v>
      </c>
      <c r="JF16" s="169">
        <v>-1.9670000000000001</v>
      </c>
      <c r="JG16" s="169">
        <v>1.52</v>
      </c>
      <c r="JH16" s="169">
        <v>-1.36</v>
      </c>
      <c r="JI16" s="169">
        <v>-2.2595000000000001</v>
      </c>
      <c r="JJ16" s="169">
        <v>-4.5701000000000001</v>
      </c>
      <c r="JK16" s="169">
        <v>10.7256</v>
      </c>
      <c r="JL16" s="169">
        <v>-8.6991999999999994</v>
      </c>
      <c r="JM16" s="169">
        <v>-1.6</v>
      </c>
      <c r="JN16" s="169">
        <v>8.1920000000000002</v>
      </c>
      <c r="JO16" s="169">
        <v>7.6319999999999997</v>
      </c>
      <c r="JP16" s="169">
        <v>1.8581000000000001</v>
      </c>
      <c r="JQ16" s="170"/>
      <c r="JR16" s="169">
        <v>5.08</v>
      </c>
      <c r="JS16" s="169">
        <v>4.6085000000000003</v>
      </c>
      <c r="JT16" s="169">
        <v>3.1070000000000002</v>
      </c>
      <c r="JU16" s="170"/>
      <c r="JV16" s="169">
        <v>28.5</v>
      </c>
      <c r="JW16" s="169">
        <v>1.3359000000000001</v>
      </c>
      <c r="JX16" s="169">
        <v>-7.0000000000000007E-2</v>
      </c>
      <c r="JY16" s="170"/>
      <c r="JZ16" s="169">
        <v>-4.6363000000000003</v>
      </c>
      <c r="KA16" s="169">
        <v>-15.931800000000001</v>
      </c>
      <c r="KB16" s="169">
        <v>-17.129100000000001</v>
      </c>
      <c r="KC16" s="169">
        <v>-1.7401</v>
      </c>
      <c r="KD16" s="169">
        <v>12.166399999999999</v>
      </c>
      <c r="KE16" s="169">
        <v>-12.2606</v>
      </c>
      <c r="KF16" s="169">
        <v>0</v>
      </c>
      <c r="KG16" s="169">
        <v>-23.7</v>
      </c>
      <c r="KH16" s="169">
        <v>5.9</v>
      </c>
      <c r="KI16" s="169">
        <v>67.249300000000005</v>
      </c>
      <c r="KJ16" s="169">
        <v>-135.79079999999999</v>
      </c>
    </row>
    <row r="17" spans="1:296" ht="18" customHeight="1" x14ac:dyDescent="0.3">
      <c r="A17" s="162" t="s">
        <v>67</v>
      </c>
      <c r="B17" s="162" t="s">
        <v>816</v>
      </c>
      <c r="C17" s="163">
        <v>0</v>
      </c>
      <c r="D17" s="164"/>
      <c r="E17" s="163">
        <v>1.0213000000000001</v>
      </c>
      <c r="F17" s="163">
        <v>-6.2801</v>
      </c>
      <c r="G17" s="163">
        <v>3.9567999999999999</v>
      </c>
      <c r="H17" s="163">
        <v>9.3092000000000006</v>
      </c>
      <c r="I17" s="164"/>
      <c r="J17" s="163">
        <v>9.56</v>
      </c>
      <c r="K17" s="164"/>
      <c r="L17" s="163">
        <v>15.110099999999999</v>
      </c>
      <c r="M17" s="163">
        <v>6.4238</v>
      </c>
      <c r="N17" s="163">
        <v>7.7729999999999997</v>
      </c>
      <c r="O17" s="163">
        <v>2.2200000000000002</v>
      </c>
      <c r="P17" s="163">
        <v>-22</v>
      </c>
      <c r="Q17" s="164"/>
      <c r="R17" s="163">
        <v>0</v>
      </c>
      <c r="S17" s="163">
        <v>-15.4</v>
      </c>
      <c r="T17" s="163">
        <v>3.9514</v>
      </c>
      <c r="U17" s="163">
        <v>-10.635300000000001</v>
      </c>
      <c r="V17" s="164"/>
      <c r="W17" s="163">
        <v>3.3704000000000001</v>
      </c>
      <c r="X17" s="163">
        <v>6.1421999999999999</v>
      </c>
      <c r="Y17" s="163">
        <v>1.782</v>
      </c>
      <c r="Z17" s="163">
        <v>-0.48949999999999999</v>
      </c>
      <c r="AA17" s="163">
        <v>1.4123000000000001</v>
      </c>
      <c r="AB17" s="164"/>
      <c r="AC17" s="163">
        <v>-1.1888000000000001</v>
      </c>
      <c r="AD17" s="163">
        <v>-0.90600000000000003</v>
      </c>
      <c r="AE17" s="163">
        <v>-0.89100000000000001</v>
      </c>
      <c r="AF17" s="163">
        <v>1.99</v>
      </c>
      <c r="AG17" s="163">
        <v>-24.42</v>
      </c>
      <c r="AH17" s="164"/>
      <c r="AI17" s="163">
        <v>-1.625</v>
      </c>
      <c r="AJ17" s="163">
        <v>0.25900000000000001</v>
      </c>
      <c r="AK17" s="163">
        <v>-12.36</v>
      </c>
      <c r="AL17" s="164"/>
      <c r="AM17" s="164"/>
      <c r="AN17" s="163">
        <v>-9.86</v>
      </c>
      <c r="AO17" s="163">
        <v>-9.82</v>
      </c>
      <c r="AP17" s="164"/>
      <c r="AQ17" s="163">
        <v>3.7067000000000001</v>
      </c>
      <c r="AR17" s="163">
        <v>13.8095</v>
      </c>
      <c r="AS17" s="163">
        <v>15.682499999999999</v>
      </c>
      <c r="AT17" s="163">
        <v>-15.9984</v>
      </c>
      <c r="AU17" s="163">
        <v>-9.0797000000000008</v>
      </c>
      <c r="AV17" s="163">
        <v>-9.0305</v>
      </c>
      <c r="AW17" s="163">
        <v>3.8826999999999998</v>
      </c>
      <c r="AX17" s="163">
        <v>4.2854999999999999</v>
      </c>
      <c r="AY17" s="163">
        <v>-16.4938</v>
      </c>
      <c r="AZ17" s="163">
        <v>-14.285399999999999</v>
      </c>
      <c r="BA17" s="163">
        <v>12.2592</v>
      </c>
      <c r="BB17" s="163">
        <v>13.4039</v>
      </c>
      <c r="BC17" s="163">
        <v>13.172599999999999</v>
      </c>
      <c r="BD17" s="163">
        <v>11.152900000000001</v>
      </c>
      <c r="BE17" s="163">
        <v>-5</v>
      </c>
      <c r="BF17" s="163">
        <v>-5.2</v>
      </c>
      <c r="BG17" s="163">
        <v>-24.2151</v>
      </c>
      <c r="BH17" s="163">
        <v>-24.1096</v>
      </c>
      <c r="BI17" s="163">
        <v>-1.8439000000000001</v>
      </c>
      <c r="BJ17" s="164"/>
      <c r="BK17" s="163">
        <v>0.56310000000000004</v>
      </c>
      <c r="BL17" s="163">
        <v>2.9056999999999999</v>
      </c>
      <c r="BM17" s="163">
        <v>-0.23949999999999999</v>
      </c>
      <c r="BN17" s="163">
        <v>-3.7600000000000001E-2</v>
      </c>
      <c r="BO17" s="163">
        <v>-103.5188</v>
      </c>
      <c r="BP17" s="163">
        <v>11.6275</v>
      </c>
      <c r="BQ17" s="163">
        <v>11.780099999999999</v>
      </c>
      <c r="BR17" s="163">
        <v>48.633299999999998</v>
      </c>
      <c r="BS17" s="163">
        <v>-209.94579999999999</v>
      </c>
      <c r="BT17" s="164"/>
      <c r="BU17" s="164"/>
      <c r="BV17" s="164"/>
      <c r="BW17" s="163">
        <v>8.7919999999999998</v>
      </c>
      <c r="BX17" s="163">
        <v>9.31</v>
      </c>
      <c r="BY17" s="163">
        <v>5.85</v>
      </c>
      <c r="BZ17" s="163">
        <v>-13.06</v>
      </c>
      <c r="CA17" s="163">
        <v>4.71</v>
      </c>
      <c r="CB17" s="163">
        <v>-19.5535</v>
      </c>
      <c r="CC17" s="163">
        <v>-19.8215</v>
      </c>
      <c r="CD17" s="163">
        <v>31.936199999999999</v>
      </c>
      <c r="CE17" s="163">
        <v>30.889500000000002</v>
      </c>
      <c r="CF17" s="163">
        <v>-5.3274999999999997</v>
      </c>
      <c r="CG17" s="163">
        <v>-21.386399999999998</v>
      </c>
      <c r="CH17" s="163">
        <v>-21.340499999999999</v>
      </c>
      <c r="CI17" s="163">
        <v>0.44690000000000002</v>
      </c>
      <c r="CJ17" s="164"/>
      <c r="CK17" s="163">
        <v>3.8355999999999999</v>
      </c>
      <c r="CL17" s="163">
        <v>8.8350000000000009</v>
      </c>
      <c r="CM17" s="163">
        <v>-14</v>
      </c>
      <c r="CN17" s="163">
        <v>-13.6</v>
      </c>
      <c r="CO17" s="163">
        <v>-2.67</v>
      </c>
      <c r="CP17" s="163">
        <v>9.1601999999999997</v>
      </c>
      <c r="CQ17" s="163">
        <v>9.6882999999999999</v>
      </c>
      <c r="CR17" s="163">
        <v>8.2085000000000008</v>
      </c>
      <c r="CS17" s="163">
        <v>39.196800000000003</v>
      </c>
      <c r="CT17" s="163">
        <v>39.145699999999998</v>
      </c>
      <c r="CU17" s="163">
        <v>-29.147300000000001</v>
      </c>
      <c r="CV17" s="163">
        <v>-13.3673</v>
      </c>
      <c r="CW17" s="163">
        <v>-28.456700000000001</v>
      </c>
      <c r="CX17" s="163">
        <v>2.9295</v>
      </c>
      <c r="CY17" s="163">
        <v>26.97</v>
      </c>
      <c r="CZ17" s="163">
        <v>9.65</v>
      </c>
      <c r="DA17" s="163">
        <v>4.5361000000000002</v>
      </c>
      <c r="DB17" s="163">
        <v>3.5186999999999999</v>
      </c>
      <c r="DC17" s="163">
        <v>-6.5057999999999998</v>
      </c>
      <c r="DD17" s="164"/>
      <c r="DE17" s="164"/>
      <c r="DF17" s="164"/>
      <c r="DG17" s="163">
        <v>21.003299999999999</v>
      </c>
      <c r="DH17" s="164"/>
      <c r="DI17" s="164"/>
      <c r="DJ17" s="164"/>
      <c r="DK17" s="164"/>
      <c r="DL17" s="163">
        <v>0.152</v>
      </c>
      <c r="DM17" s="163">
        <v>-1.1000000000000001</v>
      </c>
      <c r="DN17" s="163">
        <v>5.66</v>
      </c>
      <c r="DO17" s="163">
        <v>2.74</v>
      </c>
      <c r="DP17" s="163">
        <v>-2.71</v>
      </c>
      <c r="DQ17" s="163">
        <v>-2.27</v>
      </c>
      <c r="DR17" s="163">
        <v>11.439</v>
      </c>
      <c r="DS17" s="163">
        <v>-23.258800000000001</v>
      </c>
      <c r="DT17" s="163">
        <v>-13.25</v>
      </c>
      <c r="DU17" s="163">
        <v>-13.17</v>
      </c>
      <c r="DV17" s="163">
        <v>28.26</v>
      </c>
      <c r="DW17" s="163">
        <v>-1.17</v>
      </c>
      <c r="DX17" s="163">
        <v>-23.327300000000001</v>
      </c>
      <c r="DY17" s="163">
        <v>-11.6182</v>
      </c>
      <c r="DZ17" s="163">
        <v>-36.871499999999997</v>
      </c>
      <c r="EA17" s="163">
        <v>-35.927300000000002</v>
      </c>
      <c r="EB17" s="164"/>
      <c r="EC17" s="163">
        <v>-25.8338</v>
      </c>
      <c r="ED17" s="163">
        <v>-31.205300000000001</v>
      </c>
      <c r="EE17" s="163">
        <v>-31.790900000000001</v>
      </c>
      <c r="EF17" s="163">
        <v>-15.016400000000001</v>
      </c>
      <c r="EG17" s="163">
        <v>-20.012</v>
      </c>
      <c r="EH17" s="163">
        <v>-13.38</v>
      </c>
      <c r="EI17" s="163">
        <v>-128.85</v>
      </c>
      <c r="EJ17" s="163">
        <v>4.5290999999999997</v>
      </c>
      <c r="EK17" s="164"/>
      <c r="EL17" s="163">
        <v>-8.1029</v>
      </c>
      <c r="EM17" s="163">
        <v>-7.2755999999999998</v>
      </c>
      <c r="EN17" s="164"/>
      <c r="EO17" s="163">
        <v>-19.128499999999999</v>
      </c>
      <c r="EP17" s="163">
        <v>-18.177499999999998</v>
      </c>
      <c r="EQ17" s="163">
        <v>-1.54</v>
      </c>
      <c r="ER17" s="163">
        <v>-15.049300000000001</v>
      </c>
      <c r="ES17" s="163">
        <v>-14.53</v>
      </c>
      <c r="ET17" s="163">
        <v>15.9884</v>
      </c>
      <c r="EU17" s="163">
        <v>6.54</v>
      </c>
      <c r="EV17" s="163">
        <v>-13.83</v>
      </c>
      <c r="EW17" s="163">
        <v>0</v>
      </c>
      <c r="EX17" s="163">
        <v>1.7571000000000001</v>
      </c>
      <c r="EY17" s="163">
        <v>-25.482299999999999</v>
      </c>
      <c r="EZ17" s="163">
        <v>-9.6326999999999998</v>
      </c>
      <c r="FA17" s="163">
        <v>-9.9486000000000008</v>
      </c>
      <c r="FB17" s="163">
        <v>9.7638999999999996</v>
      </c>
      <c r="FC17" s="163">
        <v>18.6739</v>
      </c>
      <c r="FD17" s="163">
        <v>-34.911900000000003</v>
      </c>
      <c r="FE17" s="163">
        <v>6.7896999999999998</v>
      </c>
      <c r="FF17" s="163">
        <v>0.1181</v>
      </c>
      <c r="FG17" s="164"/>
      <c r="FH17" s="163">
        <v>3.4824000000000002</v>
      </c>
      <c r="FI17" s="163">
        <v>3.46</v>
      </c>
      <c r="FJ17" s="163">
        <v>0</v>
      </c>
      <c r="FK17" s="163">
        <v>6.8657000000000004</v>
      </c>
      <c r="FL17" s="163">
        <v>6.8657000000000004</v>
      </c>
      <c r="FM17" s="163">
        <v>-10.5497</v>
      </c>
      <c r="FN17" s="163">
        <v>17.2743</v>
      </c>
      <c r="FO17" s="163">
        <v>17.2241</v>
      </c>
      <c r="FP17" s="163">
        <v>0.64480000000000004</v>
      </c>
      <c r="FQ17" s="163">
        <v>14.1213</v>
      </c>
      <c r="FR17" s="163">
        <v>20.396999999999998</v>
      </c>
      <c r="FS17" s="163">
        <v>-11.56</v>
      </c>
      <c r="FT17" s="164"/>
      <c r="FU17" s="163">
        <v>0.13850000000000001</v>
      </c>
      <c r="FV17" s="163">
        <v>-0.31</v>
      </c>
      <c r="FW17" s="163">
        <v>0.02</v>
      </c>
      <c r="FX17" s="163">
        <v>-20.215699999999998</v>
      </c>
      <c r="FY17" s="164"/>
      <c r="FZ17" s="163">
        <v>5.0270000000000001</v>
      </c>
      <c r="GA17" s="163">
        <v>0.80500000000000005</v>
      </c>
      <c r="GB17" s="164"/>
      <c r="GC17" s="163">
        <v>13.09</v>
      </c>
      <c r="GD17" s="163">
        <v>-25.956700000000001</v>
      </c>
      <c r="GE17" s="163">
        <v>-17.290299999999998</v>
      </c>
      <c r="GF17" s="164"/>
      <c r="GG17" s="163">
        <v>20.1874</v>
      </c>
      <c r="GH17" s="164"/>
      <c r="GI17" s="163">
        <v>19.674800000000001</v>
      </c>
      <c r="GJ17" s="163">
        <v>-2.7418999999999998</v>
      </c>
      <c r="GK17" s="163">
        <v>-3.0392999999999999</v>
      </c>
      <c r="GL17" s="163">
        <v>1.6600999999999999</v>
      </c>
      <c r="GM17" s="164"/>
      <c r="GN17" s="164"/>
      <c r="GO17" s="163">
        <v>-12.930999999999999</v>
      </c>
      <c r="GP17" s="163">
        <v>65.722700000000003</v>
      </c>
      <c r="GQ17" s="163">
        <v>0.72850000000000004</v>
      </c>
      <c r="GR17" s="163">
        <v>-22.541</v>
      </c>
      <c r="GS17" s="163">
        <v>-7.2431000000000001</v>
      </c>
      <c r="GT17" s="163">
        <v>-7.4847000000000001</v>
      </c>
      <c r="GU17" s="163">
        <v>101.86539999999999</v>
      </c>
      <c r="GV17" s="163">
        <v>-5.9222000000000001</v>
      </c>
      <c r="GW17" s="163">
        <v>-10.4641</v>
      </c>
      <c r="GX17" s="163">
        <v>8.5166000000000004</v>
      </c>
      <c r="GY17" s="163">
        <v>3.3582999999999998</v>
      </c>
      <c r="GZ17" s="163">
        <v>4.9889000000000001</v>
      </c>
      <c r="HA17" s="163">
        <v>4.9924999999999997</v>
      </c>
      <c r="HB17" s="163">
        <v>2.9293999999999998</v>
      </c>
      <c r="HC17" s="163">
        <v>-7.907</v>
      </c>
      <c r="HD17" s="163">
        <v>-6.6170999999999998</v>
      </c>
      <c r="HE17" s="163">
        <v>-5.87</v>
      </c>
      <c r="HF17" s="163">
        <v>0</v>
      </c>
      <c r="HG17" s="163">
        <v>31.3431</v>
      </c>
      <c r="HH17" s="163">
        <v>21.608899999999998</v>
      </c>
      <c r="HI17" s="163">
        <v>92.230699999999999</v>
      </c>
      <c r="HJ17" s="163">
        <v>-5.6741999999999999</v>
      </c>
      <c r="HK17" s="163">
        <v>46.206899999999997</v>
      </c>
      <c r="HL17" s="164"/>
      <c r="HM17" s="163">
        <v>-7.8197000000000001</v>
      </c>
      <c r="HN17" s="163">
        <v>-11.0656</v>
      </c>
      <c r="HO17" s="163">
        <v>-10.891400000000001</v>
      </c>
      <c r="HP17" s="163">
        <v>35.546500000000002</v>
      </c>
      <c r="HQ17" s="164"/>
      <c r="HR17" s="163">
        <v>-21.482700000000001</v>
      </c>
      <c r="HS17" s="163">
        <v>-20.889399999999998</v>
      </c>
      <c r="HT17" s="163">
        <v>-6.9909999999999997</v>
      </c>
      <c r="HU17" s="163">
        <v>-6.6120999999999999</v>
      </c>
      <c r="HV17" s="163">
        <v>6.28</v>
      </c>
      <c r="HW17" s="163">
        <v>6.72</v>
      </c>
      <c r="HX17" s="163">
        <v>-31.8</v>
      </c>
      <c r="HY17" s="163">
        <v>-31.9</v>
      </c>
      <c r="HZ17" s="163">
        <v>1.9199999999999998E-2</v>
      </c>
      <c r="IA17" s="163">
        <v>-7.04</v>
      </c>
      <c r="IB17" s="163">
        <v>62.957299999999996</v>
      </c>
      <c r="IC17" s="163">
        <v>13.7158</v>
      </c>
      <c r="ID17" s="163">
        <v>13.012700000000001</v>
      </c>
      <c r="IE17" s="163">
        <v>-19.899999999999999</v>
      </c>
      <c r="IF17" s="163">
        <v>-44</v>
      </c>
      <c r="IG17" s="163">
        <v>5.6</v>
      </c>
      <c r="IH17" s="163">
        <v>5.0999999999999996</v>
      </c>
      <c r="II17" s="164"/>
      <c r="IJ17" s="164"/>
      <c r="IK17" s="163">
        <v>-90.659599999999998</v>
      </c>
      <c r="IL17" s="163">
        <v>44.573799999999999</v>
      </c>
      <c r="IM17" s="163">
        <v>-292.29199999999997</v>
      </c>
      <c r="IN17" s="163">
        <v>-26.517800000000001</v>
      </c>
      <c r="IO17" s="163">
        <v>-25.764299999999999</v>
      </c>
      <c r="IP17" s="163">
        <v>115.9937</v>
      </c>
      <c r="IQ17" s="163">
        <v>51.997</v>
      </c>
      <c r="IR17" s="163">
        <v>153.95050000000001</v>
      </c>
      <c r="IS17" s="163">
        <v>77.488</v>
      </c>
      <c r="IT17" s="163">
        <v>50.735999999999997</v>
      </c>
      <c r="IU17" s="163">
        <v>15.5732</v>
      </c>
      <c r="IV17" s="163">
        <v>17.621099999999998</v>
      </c>
      <c r="IW17" s="163">
        <v>-42.0794</v>
      </c>
      <c r="IX17" s="163">
        <v>232.8716</v>
      </c>
      <c r="IY17" s="163">
        <v>-180.48400000000001</v>
      </c>
      <c r="IZ17" s="163">
        <v>57.486899999999999</v>
      </c>
      <c r="JA17" s="163">
        <v>-46.406799999999997</v>
      </c>
      <c r="JB17" s="163">
        <v>2.5600000000000001E-2</v>
      </c>
      <c r="JC17" s="163">
        <v>10.813000000000001</v>
      </c>
      <c r="JD17" s="163">
        <v>-6.8</v>
      </c>
      <c r="JE17" s="163">
        <v>-1.9370000000000001</v>
      </c>
      <c r="JF17" s="163">
        <v>-1.9330000000000001</v>
      </c>
      <c r="JG17" s="163">
        <v>2</v>
      </c>
      <c r="JH17" s="163">
        <v>-1.44</v>
      </c>
      <c r="JI17" s="163">
        <v>-2.1</v>
      </c>
      <c r="JJ17" s="163">
        <v>-4.2465999999999999</v>
      </c>
      <c r="JK17" s="163">
        <v>10.8995</v>
      </c>
      <c r="JL17" s="163">
        <v>-8.4946999999999999</v>
      </c>
      <c r="JM17" s="163">
        <v>-3</v>
      </c>
      <c r="JN17" s="163">
        <v>9.0510000000000002</v>
      </c>
      <c r="JO17" s="163">
        <v>7.548</v>
      </c>
      <c r="JP17" s="164"/>
      <c r="JQ17" s="164"/>
      <c r="JR17" s="163">
        <v>4.1069000000000004</v>
      </c>
      <c r="JS17" s="163">
        <v>3.5402999999999998</v>
      </c>
      <c r="JT17" s="163">
        <v>4.1787999999999998</v>
      </c>
      <c r="JU17" s="164"/>
      <c r="JV17" s="163">
        <v>29.3</v>
      </c>
      <c r="JW17" s="163">
        <v>0.88670000000000004</v>
      </c>
      <c r="JX17" s="163">
        <v>-0.08</v>
      </c>
      <c r="JY17" s="164"/>
      <c r="JZ17" s="163">
        <v>-3.2440000000000002</v>
      </c>
      <c r="KA17" s="163">
        <v>-17.4436</v>
      </c>
      <c r="KB17" s="163">
        <v>-18.686900000000001</v>
      </c>
      <c r="KC17" s="163">
        <v>0</v>
      </c>
      <c r="KD17" s="163">
        <v>13.0891</v>
      </c>
      <c r="KE17" s="163">
        <v>-13.8142</v>
      </c>
      <c r="KF17" s="163">
        <v>0</v>
      </c>
      <c r="KG17" s="163">
        <v>-23.9</v>
      </c>
      <c r="KH17" s="163">
        <v>6</v>
      </c>
      <c r="KI17" s="163">
        <v>64.207800000000006</v>
      </c>
      <c r="KJ17" s="163">
        <v>-133.9898</v>
      </c>
    </row>
    <row r="18" spans="1:296" ht="18" customHeight="1" x14ac:dyDescent="0.3">
      <c r="A18" s="162" t="s">
        <v>67</v>
      </c>
      <c r="B18" s="162" t="s">
        <v>817</v>
      </c>
      <c r="C18" s="166">
        <v>0</v>
      </c>
      <c r="D18" s="167"/>
      <c r="E18" s="166">
        <v>1.0732999999999999</v>
      </c>
      <c r="F18" s="166">
        <v>-6.1022999999999996</v>
      </c>
      <c r="G18" s="166">
        <v>3.4283000000000001</v>
      </c>
      <c r="H18" s="166">
        <v>9.4559999999999995</v>
      </c>
      <c r="I18" s="167"/>
      <c r="J18" s="166">
        <v>9.8681000000000001</v>
      </c>
      <c r="K18" s="167"/>
      <c r="L18" s="166">
        <v>15.024800000000001</v>
      </c>
      <c r="M18" s="166">
        <v>6.4538000000000002</v>
      </c>
      <c r="N18" s="166">
        <v>7.7304000000000004</v>
      </c>
      <c r="O18" s="166">
        <v>2.2200000000000002</v>
      </c>
      <c r="P18" s="166">
        <v>-24.2</v>
      </c>
      <c r="Q18" s="167"/>
      <c r="R18" s="166">
        <v>0</v>
      </c>
      <c r="S18" s="166">
        <v>-17.600000000000001</v>
      </c>
      <c r="T18" s="166">
        <v>4.1898999999999997</v>
      </c>
      <c r="U18" s="166">
        <v>-10.639799999999999</v>
      </c>
      <c r="V18" s="167"/>
      <c r="W18" s="166">
        <v>3.6055000000000001</v>
      </c>
      <c r="X18" s="166">
        <v>6.4423000000000004</v>
      </c>
      <c r="Y18" s="166">
        <v>1.8814</v>
      </c>
      <c r="Z18" s="166">
        <v>-0.53220000000000001</v>
      </c>
      <c r="AA18" s="166">
        <v>1.3878999999999999</v>
      </c>
      <c r="AB18" s="167"/>
      <c r="AC18" s="166">
        <v>-1.1304000000000001</v>
      </c>
      <c r="AD18" s="166">
        <v>-0.90600000000000003</v>
      </c>
      <c r="AE18" s="166">
        <v>-0.88700000000000001</v>
      </c>
      <c r="AF18" s="166">
        <v>2.1709999999999998</v>
      </c>
      <c r="AG18" s="167"/>
      <c r="AH18" s="166">
        <v>-13.2</v>
      </c>
      <c r="AI18" s="166">
        <v>-1.5489999999999999</v>
      </c>
      <c r="AJ18" s="166">
        <v>0.26300000000000001</v>
      </c>
      <c r="AK18" s="166">
        <v>-12.47</v>
      </c>
      <c r="AL18" s="167"/>
      <c r="AM18" s="167"/>
      <c r="AN18" s="166">
        <v>-9.6199999999999992</v>
      </c>
      <c r="AO18" s="166">
        <v>-9.67</v>
      </c>
      <c r="AP18" s="167"/>
      <c r="AQ18" s="166">
        <v>3.7267000000000001</v>
      </c>
      <c r="AR18" s="166">
        <v>13.678100000000001</v>
      </c>
      <c r="AS18" s="166">
        <v>15.482699999999999</v>
      </c>
      <c r="AT18" s="166">
        <v>-15.9635</v>
      </c>
      <c r="AU18" s="166">
        <v>-9.7528000000000006</v>
      </c>
      <c r="AV18" s="166">
        <v>-9.5896000000000008</v>
      </c>
      <c r="AW18" s="166">
        <v>3.9735999999999998</v>
      </c>
      <c r="AX18" s="166">
        <v>3.903</v>
      </c>
      <c r="AY18" s="166">
        <v>-16.424099999999999</v>
      </c>
      <c r="AZ18" s="166">
        <v>-14.3668</v>
      </c>
      <c r="BA18" s="166">
        <v>12.0763</v>
      </c>
      <c r="BB18" s="166">
        <v>12.285</v>
      </c>
      <c r="BC18" s="166">
        <v>15.285600000000001</v>
      </c>
      <c r="BD18" s="166">
        <v>11.2178</v>
      </c>
      <c r="BE18" s="166">
        <v>-5</v>
      </c>
      <c r="BF18" s="166">
        <v>-5</v>
      </c>
      <c r="BG18" s="166">
        <v>-23.932600000000001</v>
      </c>
      <c r="BH18" s="166">
        <v>-23.9131</v>
      </c>
      <c r="BI18" s="166">
        <v>-1.7502</v>
      </c>
      <c r="BJ18" s="167"/>
      <c r="BK18" s="166">
        <v>0.66090000000000004</v>
      </c>
      <c r="BL18" s="166">
        <v>2.77</v>
      </c>
      <c r="BM18" s="166">
        <v>-0.1239</v>
      </c>
      <c r="BN18" s="166">
        <v>-5.5800000000000002E-2</v>
      </c>
      <c r="BO18" s="166">
        <v>-102.8779</v>
      </c>
      <c r="BP18" s="166">
        <v>11.810700000000001</v>
      </c>
      <c r="BQ18" s="166">
        <v>11.719099999999999</v>
      </c>
      <c r="BR18" s="166">
        <v>48.612900000000003</v>
      </c>
      <c r="BS18" s="166">
        <v>-206.44290000000001</v>
      </c>
      <c r="BT18" s="167"/>
      <c r="BU18" s="167"/>
      <c r="BV18" s="167"/>
      <c r="BW18" s="167"/>
      <c r="BX18" s="166">
        <v>9.2799999999999994</v>
      </c>
      <c r="BY18" s="166">
        <v>5.74</v>
      </c>
      <c r="BZ18" s="166">
        <v>-12.8</v>
      </c>
      <c r="CA18" s="166">
        <v>5.01</v>
      </c>
      <c r="CB18" s="166">
        <v>-21.027100000000001</v>
      </c>
      <c r="CC18" s="166">
        <v>-20.8931</v>
      </c>
      <c r="CD18" s="166">
        <v>33.593499999999999</v>
      </c>
      <c r="CE18" s="166">
        <v>31.978400000000001</v>
      </c>
      <c r="CF18" s="166">
        <v>-5.3673000000000002</v>
      </c>
      <c r="CG18" s="166">
        <v>-22.0547</v>
      </c>
      <c r="CH18" s="166">
        <v>-21.984999999999999</v>
      </c>
      <c r="CI18" s="166">
        <v>0.51680000000000004</v>
      </c>
      <c r="CJ18" s="167"/>
      <c r="CK18" s="166">
        <v>3.8355999999999999</v>
      </c>
      <c r="CL18" s="166">
        <v>8.6910000000000007</v>
      </c>
      <c r="CM18" s="166">
        <v>-13.9</v>
      </c>
      <c r="CN18" s="166">
        <v>-13.8</v>
      </c>
      <c r="CO18" s="166">
        <v>-2.64</v>
      </c>
      <c r="CP18" s="166">
        <v>9.8376999999999999</v>
      </c>
      <c r="CQ18" s="166">
        <v>9.9390000000000001</v>
      </c>
      <c r="CR18" s="166">
        <v>8.5639000000000003</v>
      </c>
      <c r="CS18" s="166">
        <v>39.371499999999997</v>
      </c>
      <c r="CT18" s="166">
        <v>39.0809</v>
      </c>
      <c r="CU18" s="166">
        <v>-29.6372</v>
      </c>
      <c r="CV18" s="166">
        <v>-13.1464</v>
      </c>
      <c r="CW18" s="166">
        <v>-28.812100000000001</v>
      </c>
      <c r="CX18" s="166">
        <v>2.8839000000000001</v>
      </c>
      <c r="CY18" s="166">
        <v>26.94</v>
      </c>
      <c r="CZ18" s="166">
        <v>9.82</v>
      </c>
      <c r="DA18" s="166">
        <v>4.5361000000000002</v>
      </c>
      <c r="DB18" s="166">
        <v>3.5186999999999999</v>
      </c>
      <c r="DC18" s="166">
        <v>-6.6677999999999997</v>
      </c>
      <c r="DD18" s="167"/>
      <c r="DE18" s="167"/>
      <c r="DF18" s="167"/>
      <c r="DG18" s="166">
        <v>21.913399999999999</v>
      </c>
      <c r="DH18" s="167"/>
      <c r="DI18" s="167"/>
      <c r="DJ18" s="167"/>
      <c r="DK18" s="166">
        <v>-14.1</v>
      </c>
      <c r="DL18" s="166">
        <v>1.4E-2</v>
      </c>
      <c r="DM18" s="166">
        <v>-0.6</v>
      </c>
      <c r="DN18" s="166">
        <v>5.62</v>
      </c>
      <c r="DO18" s="166">
        <v>3.18</v>
      </c>
      <c r="DP18" s="166">
        <v>-2.2999999999999998</v>
      </c>
      <c r="DQ18" s="166">
        <v>-2.1</v>
      </c>
      <c r="DR18" s="166">
        <v>12.183</v>
      </c>
      <c r="DS18" s="166">
        <v>-22.7438</v>
      </c>
      <c r="DT18" s="166">
        <v>-13.2</v>
      </c>
      <c r="DU18" s="166">
        <v>-13.31</v>
      </c>
      <c r="DV18" s="166">
        <v>28.14</v>
      </c>
      <c r="DW18" s="166">
        <v>-0.62</v>
      </c>
      <c r="DX18" s="166">
        <v>-24.127300000000002</v>
      </c>
      <c r="DY18" s="166">
        <v>-12.1455</v>
      </c>
      <c r="DZ18" s="166">
        <v>-38.646900000000002</v>
      </c>
      <c r="EA18" s="166">
        <v>-38.109099999999998</v>
      </c>
      <c r="EB18" s="167"/>
      <c r="EC18" s="166">
        <v>-24.817499999999999</v>
      </c>
      <c r="ED18" s="166">
        <v>-31.404599999999999</v>
      </c>
      <c r="EE18" s="166">
        <v>-31.395399999999999</v>
      </c>
      <c r="EF18" s="166">
        <v>-23.915199999999999</v>
      </c>
      <c r="EG18" s="166">
        <v>-29.8033</v>
      </c>
      <c r="EH18" s="166">
        <v>-13.67</v>
      </c>
      <c r="EI18" s="166">
        <v>-126.6379</v>
      </c>
      <c r="EJ18" s="166">
        <v>4.1832000000000003</v>
      </c>
      <c r="EK18" s="167"/>
      <c r="EL18" s="166">
        <v>-7.8860000000000001</v>
      </c>
      <c r="EM18" s="166">
        <v>-7.6215999999999999</v>
      </c>
      <c r="EN18" s="167"/>
      <c r="EO18" s="166">
        <v>-14.039</v>
      </c>
      <c r="EP18" s="166">
        <v>-14.2988</v>
      </c>
      <c r="EQ18" s="166">
        <v>2.5760000000000001</v>
      </c>
      <c r="ER18" s="166">
        <v>-16.461600000000001</v>
      </c>
      <c r="ES18" s="166">
        <v>-16.028400000000001</v>
      </c>
      <c r="ET18" s="166">
        <v>17.199100000000001</v>
      </c>
      <c r="EU18" s="166">
        <v>0</v>
      </c>
      <c r="EV18" s="166">
        <v>-9.5399999999999991</v>
      </c>
      <c r="EW18" s="166">
        <v>0.2</v>
      </c>
      <c r="EX18" s="166">
        <v>2.1341000000000001</v>
      </c>
      <c r="EY18" s="166">
        <v>-17.875</v>
      </c>
      <c r="EZ18" s="166">
        <v>-10.0571</v>
      </c>
      <c r="FA18" s="166">
        <v>-10.251200000000001</v>
      </c>
      <c r="FB18" s="166">
        <v>9.5763999999999996</v>
      </c>
      <c r="FC18" s="166">
        <v>19.771100000000001</v>
      </c>
      <c r="FD18" s="166">
        <v>-32.126800000000003</v>
      </c>
      <c r="FE18" s="166">
        <v>7.5933000000000002</v>
      </c>
      <c r="FF18" s="166">
        <v>0.17369999999999999</v>
      </c>
      <c r="FG18" s="167"/>
      <c r="FH18" s="166">
        <v>0</v>
      </c>
      <c r="FI18" s="166">
        <v>0</v>
      </c>
      <c r="FJ18" s="166">
        <v>0</v>
      </c>
      <c r="FK18" s="166">
        <v>8.0379000000000005</v>
      </c>
      <c r="FL18" s="166">
        <v>7.7030000000000003</v>
      </c>
      <c r="FM18" s="166">
        <v>-11.387</v>
      </c>
      <c r="FN18" s="166">
        <v>18.956499999999998</v>
      </c>
      <c r="FO18" s="166">
        <v>19.283799999999999</v>
      </c>
      <c r="FP18" s="166">
        <v>1.1732</v>
      </c>
      <c r="FQ18" s="166">
        <v>14.3283</v>
      </c>
      <c r="FR18" s="166">
        <v>21.280799999999999</v>
      </c>
      <c r="FS18" s="166">
        <v>-10.83</v>
      </c>
      <c r="FT18" s="167"/>
      <c r="FU18" s="166">
        <v>0.1293</v>
      </c>
      <c r="FV18" s="166">
        <v>-0.32</v>
      </c>
      <c r="FW18" s="166">
        <v>-0.67</v>
      </c>
      <c r="FX18" s="166">
        <v>-21.196899999999999</v>
      </c>
      <c r="FY18" s="167"/>
      <c r="FZ18" s="166">
        <v>4.9800000000000004</v>
      </c>
      <c r="GA18" s="166">
        <v>0.9</v>
      </c>
      <c r="GB18" s="166">
        <v>2.8894000000000002</v>
      </c>
      <c r="GC18" s="166">
        <v>12.42</v>
      </c>
      <c r="GD18" s="166">
        <v>-26.005700000000001</v>
      </c>
      <c r="GE18" s="166">
        <v>-17.364000000000001</v>
      </c>
      <c r="GF18" s="166">
        <v>-1.64</v>
      </c>
      <c r="GG18" s="166">
        <v>19.9421</v>
      </c>
      <c r="GH18" s="167"/>
      <c r="GI18" s="166">
        <v>19.400700000000001</v>
      </c>
      <c r="GJ18" s="166">
        <v>-2.8087</v>
      </c>
      <c r="GK18" s="166">
        <v>-3.1177000000000001</v>
      </c>
      <c r="GL18" s="166">
        <v>1.7011000000000001</v>
      </c>
      <c r="GM18" s="167"/>
      <c r="GN18" s="167"/>
      <c r="GO18" s="166">
        <v>-12.702</v>
      </c>
      <c r="GP18" s="166">
        <v>66.567400000000006</v>
      </c>
      <c r="GQ18" s="166">
        <v>1.0111000000000001</v>
      </c>
      <c r="GR18" s="166">
        <v>-21.991800000000001</v>
      </c>
      <c r="GS18" s="166">
        <v>-7.1528999999999998</v>
      </c>
      <c r="GT18" s="166">
        <v>-7.3514999999999997</v>
      </c>
      <c r="GU18" s="166">
        <v>103.8532</v>
      </c>
      <c r="GV18" s="166">
        <v>-5.8582999999999998</v>
      </c>
      <c r="GW18" s="166">
        <v>-10.139099999999999</v>
      </c>
      <c r="GX18" s="166">
        <v>8.3127999999999993</v>
      </c>
      <c r="GY18" s="166">
        <v>3.9904000000000002</v>
      </c>
      <c r="GZ18" s="166">
        <v>4.9962</v>
      </c>
      <c r="HA18" s="166">
        <v>5.0162000000000004</v>
      </c>
      <c r="HB18" s="166">
        <v>2.4982000000000002</v>
      </c>
      <c r="HC18" s="166">
        <v>-5.8174999999999999</v>
      </c>
      <c r="HD18" s="166">
        <v>-4.1482000000000001</v>
      </c>
      <c r="HE18" s="166">
        <v>-7.12</v>
      </c>
      <c r="HF18" s="166">
        <v>0</v>
      </c>
      <c r="HG18" s="166">
        <v>29.8245</v>
      </c>
      <c r="HH18" s="166">
        <v>23.449400000000001</v>
      </c>
      <c r="HI18" s="166">
        <v>93.647400000000005</v>
      </c>
      <c r="HJ18" s="166">
        <v>0</v>
      </c>
      <c r="HK18" s="166">
        <v>49.393799999999999</v>
      </c>
      <c r="HL18" s="167"/>
      <c r="HM18" s="166">
        <v>-9.9892000000000003</v>
      </c>
      <c r="HN18" s="166">
        <v>0</v>
      </c>
      <c r="HO18" s="166">
        <v>-10.6693</v>
      </c>
      <c r="HP18" s="167"/>
      <c r="HQ18" s="166">
        <v>33.393500000000003</v>
      </c>
      <c r="HR18" s="166">
        <v>-21.565100000000001</v>
      </c>
      <c r="HS18" s="166">
        <v>-20.884</v>
      </c>
      <c r="HT18" s="166">
        <v>-6.4508999999999999</v>
      </c>
      <c r="HU18" s="166">
        <v>-6.5411999999999999</v>
      </c>
      <c r="HV18" s="166">
        <v>6.58</v>
      </c>
      <c r="HW18" s="166">
        <v>6.82</v>
      </c>
      <c r="HX18" s="166">
        <v>-31.5</v>
      </c>
      <c r="HY18" s="166">
        <v>-31.9</v>
      </c>
      <c r="HZ18" s="166">
        <v>5.3999999999999999E-2</v>
      </c>
      <c r="IA18" s="166">
        <v>-6.8</v>
      </c>
      <c r="IB18" s="166">
        <v>69.428799999999995</v>
      </c>
      <c r="IC18" s="166">
        <v>10.103199999999999</v>
      </c>
      <c r="ID18" s="166">
        <v>9.7410999999999994</v>
      </c>
      <c r="IE18" s="166">
        <v>-19.5</v>
      </c>
      <c r="IF18" s="166">
        <v>-45.2</v>
      </c>
      <c r="IG18" s="166">
        <v>6</v>
      </c>
      <c r="IH18" s="166">
        <v>5.4</v>
      </c>
      <c r="II18" s="167"/>
      <c r="IJ18" s="166">
        <v>-18.128399999999999</v>
      </c>
      <c r="IK18" s="166">
        <v>-90.816000000000003</v>
      </c>
      <c r="IL18" s="166">
        <v>42.827599999999997</v>
      </c>
      <c r="IM18" s="166">
        <v>-292.10320000000002</v>
      </c>
      <c r="IN18" s="166">
        <v>-24.6693</v>
      </c>
      <c r="IO18" s="166">
        <v>-25.5703</v>
      </c>
      <c r="IP18" s="166">
        <v>119.2855</v>
      </c>
      <c r="IQ18" s="166">
        <v>47.758400000000002</v>
      </c>
      <c r="IR18" s="166">
        <v>155.1421</v>
      </c>
      <c r="IS18" s="166">
        <v>81.475800000000007</v>
      </c>
      <c r="IT18" s="166">
        <v>51.0672</v>
      </c>
      <c r="IU18" s="166">
        <v>17.2898</v>
      </c>
      <c r="IV18" s="166">
        <v>15.962400000000001</v>
      </c>
      <c r="IW18" s="166">
        <v>-46.086799999999997</v>
      </c>
      <c r="IX18" s="166">
        <v>238.13159999999999</v>
      </c>
      <c r="IY18" s="166">
        <v>-182.1044</v>
      </c>
      <c r="IZ18" s="166">
        <v>56.2393</v>
      </c>
      <c r="JA18" s="166">
        <v>-44.8872</v>
      </c>
      <c r="JB18" s="166">
        <v>0.32840000000000003</v>
      </c>
      <c r="JC18" s="166">
        <v>9.9749999999999996</v>
      </c>
      <c r="JD18" s="166">
        <v>-7.52</v>
      </c>
      <c r="JE18" s="166">
        <v>-2.0760000000000001</v>
      </c>
      <c r="JF18" s="166">
        <v>-2.081</v>
      </c>
      <c r="JG18" s="166">
        <v>2.88</v>
      </c>
      <c r="JH18" s="166">
        <v>-1.76</v>
      </c>
      <c r="JI18" s="166">
        <v>-2.4958</v>
      </c>
      <c r="JJ18" s="166">
        <v>-4.3930999999999996</v>
      </c>
      <c r="JK18" s="166">
        <v>10.8721</v>
      </c>
      <c r="JL18" s="166">
        <v>-9.7551000000000005</v>
      </c>
      <c r="JM18" s="166">
        <v>-2</v>
      </c>
      <c r="JN18" s="166">
        <v>9.2799999999999994</v>
      </c>
      <c r="JO18" s="166">
        <v>9.1890000000000001</v>
      </c>
      <c r="JP18" s="167"/>
      <c r="JQ18" s="167"/>
      <c r="JR18" s="166">
        <v>4.3293999999999997</v>
      </c>
      <c r="JS18" s="166">
        <v>3.1753</v>
      </c>
      <c r="JT18" s="166">
        <v>3.6659000000000002</v>
      </c>
      <c r="JU18" s="167"/>
      <c r="JV18" s="166">
        <v>30.2</v>
      </c>
      <c r="JW18" s="166">
        <v>0.37669999999999998</v>
      </c>
      <c r="JX18" s="166">
        <v>-0.04</v>
      </c>
      <c r="JY18" s="167"/>
      <c r="JZ18" s="166">
        <v>-3.8893</v>
      </c>
      <c r="KA18" s="166">
        <v>-16.456299999999999</v>
      </c>
      <c r="KB18" s="166">
        <v>-18.334700000000002</v>
      </c>
      <c r="KC18" s="166">
        <v>-0.80930000000000002</v>
      </c>
      <c r="KD18" s="166">
        <v>12.118399999999999</v>
      </c>
      <c r="KE18" s="166">
        <v>-12.5709</v>
      </c>
      <c r="KF18" s="166">
        <v>0</v>
      </c>
      <c r="KG18" s="166">
        <v>-24.6</v>
      </c>
      <c r="KH18" s="166">
        <v>6.1</v>
      </c>
      <c r="KI18" s="166">
        <v>64.862300000000005</v>
      </c>
      <c r="KJ18" s="166">
        <v>-133.58260000000001</v>
      </c>
    </row>
    <row r="19" spans="1:296" ht="18" customHeight="1" x14ac:dyDescent="0.3">
      <c r="A19" s="162" t="s">
        <v>67</v>
      </c>
      <c r="B19" s="162" t="s">
        <v>818</v>
      </c>
      <c r="C19" s="166">
        <v>0</v>
      </c>
      <c r="D19" s="167"/>
      <c r="E19" s="166">
        <v>0.86660000000000004</v>
      </c>
      <c r="F19" s="166">
        <v>-5.7107999999999999</v>
      </c>
      <c r="G19" s="166">
        <v>3.6206</v>
      </c>
      <c r="H19" s="166">
        <v>9.8582999999999998</v>
      </c>
      <c r="I19" s="167"/>
      <c r="J19" s="166">
        <v>10.57</v>
      </c>
      <c r="K19" s="167"/>
      <c r="L19" s="166">
        <v>13.975300000000001</v>
      </c>
      <c r="M19" s="166">
        <v>5.8277999999999999</v>
      </c>
      <c r="N19" s="166">
        <v>7.0179999999999998</v>
      </c>
      <c r="O19" s="167"/>
      <c r="P19" s="166">
        <v>-24.2</v>
      </c>
      <c r="Q19" s="167"/>
      <c r="R19" s="166">
        <v>0.82799999999999996</v>
      </c>
      <c r="S19" s="167"/>
      <c r="T19" s="166">
        <v>3.7263999999999999</v>
      </c>
      <c r="U19" s="166">
        <v>-11.2598</v>
      </c>
      <c r="V19" s="167"/>
      <c r="W19" s="166">
        <v>4.0243000000000002</v>
      </c>
      <c r="X19" s="166">
        <v>6.9760999999999997</v>
      </c>
      <c r="Y19" s="166">
        <v>1.7201</v>
      </c>
      <c r="Z19" s="166">
        <v>-0.54</v>
      </c>
      <c r="AA19" s="166">
        <v>1.5731999999999999</v>
      </c>
      <c r="AB19" s="167"/>
      <c r="AC19" s="166">
        <v>-1.0867</v>
      </c>
      <c r="AD19" s="166">
        <v>-0.79900000000000004</v>
      </c>
      <c r="AE19" s="166">
        <v>-0.77</v>
      </c>
      <c r="AF19" s="166">
        <v>1.881</v>
      </c>
      <c r="AG19" s="166">
        <v>-24.42</v>
      </c>
      <c r="AH19" s="166">
        <v>-11</v>
      </c>
      <c r="AI19" s="166">
        <v>-1.5589999999999999</v>
      </c>
      <c r="AJ19" s="166">
        <v>0.27100000000000002</v>
      </c>
      <c r="AK19" s="166">
        <v>-11.25</v>
      </c>
      <c r="AL19" s="167"/>
      <c r="AM19" s="167"/>
      <c r="AN19" s="166">
        <v>-9.6199999999999992</v>
      </c>
      <c r="AO19" s="166">
        <v>-9.6300000000000008</v>
      </c>
      <c r="AP19" s="167"/>
      <c r="AQ19" s="166">
        <v>3.8485999999999998</v>
      </c>
      <c r="AR19" s="166">
        <v>14.608000000000001</v>
      </c>
      <c r="AS19" s="166">
        <v>16.5107</v>
      </c>
      <c r="AT19" s="166">
        <v>-16.962299999999999</v>
      </c>
      <c r="AU19" s="166">
        <v>-6.7563000000000004</v>
      </c>
      <c r="AV19" s="166">
        <v>-6.3028000000000004</v>
      </c>
      <c r="AW19" s="166">
        <v>3.6372</v>
      </c>
      <c r="AX19" s="166">
        <v>4.3704000000000001</v>
      </c>
      <c r="AY19" s="166">
        <v>-16.924399999999999</v>
      </c>
      <c r="AZ19" s="166">
        <v>-14.343999999999999</v>
      </c>
      <c r="BA19" s="166">
        <v>9.8811</v>
      </c>
      <c r="BB19" s="166">
        <v>10.260999999999999</v>
      </c>
      <c r="BC19" s="166">
        <v>15.855700000000001</v>
      </c>
      <c r="BD19" s="166">
        <v>9.6427999999999994</v>
      </c>
      <c r="BE19" s="166">
        <v>-4.2</v>
      </c>
      <c r="BF19" s="166">
        <v>-4.2</v>
      </c>
      <c r="BG19" s="166">
        <v>-24.441700000000001</v>
      </c>
      <c r="BH19" s="166">
        <v>-24.753</v>
      </c>
      <c r="BI19" s="166">
        <v>-1.7806999999999999</v>
      </c>
      <c r="BJ19" s="167"/>
      <c r="BK19" s="166">
        <v>4.7872000000000003</v>
      </c>
      <c r="BL19" s="166">
        <v>2.2027000000000001</v>
      </c>
      <c r="BM19" s="166">
        <v>-8.8599999999999998E-2</v>
      </c>
      <c r="BN19" s="166">
        <v>-5.5800000000000002E-2</v>
      </c>
      <c r="BO19" s="166">
        <v>-97.659199999999998</v>
      </c>
      <c r="BP19" s="166">
        <v>13.244999999999999</v>
      </c>
      <c r="BQ19" s="166">
        <v>13.183999999999999</v>
      </c>
      <c r="BR19" s="166">
        <v>44.183300000000003</v>
      </c>
      <c r="BS19" s="166">
        <v>-198.70419999999999</v>
      </c>
      <c r="BT19" s="167"/>
      <c r="BU19" s="167"/>
      <c r="BV19" s="167"/>
      <c r="BW19" s="166">
        <v>10.249000000000001</v>
      </c>
      <c r="BX19" s="166">
        <v>9.7899999999999991</v>
      </c>
      <c r="BY19" s="166">
        <v>6.18</v>
      </c>
      <c r="BZ19" s="166">
        <v>-12.02</v>
      </c>
      <c r="CA19" s="166">
        <v>5.57</v>
      </c>
      <c r="CB19" s="166">
        <v>-22.232700000000001</v>
      </c>
      <c r="CC19" s="166">
        <v>-21.9648</v>
      </c>
      <c r="CD19" s="166">
        <v>33.869999999999997</v>
      </c>
      <c r="CE19" s="166">
        <v>32.346499999999999</v>
      </c>
      <c r="CF19" s="166">
        <v>-5.4501999999999997</v>
      </c>
      <c r="CG19" s="166">
        <v>-21.6035</v>
      </c>
      <c r="CH19" s="166">
        <v>-21.6435</v>
      </c>
      <c r="CI19" s="166">
        <v>4.9311999999999996</v>
      </c>
      <c r="CJ19" s="167"/>
      <c r="CK19" s="166">
        <v>3.6393</v>
      </c>
      <c r="CL19" s="166">
        <v>8.5060000000000002</v>
      </c>
      <c r="CM19" s="166">
        <v>-11</v>
      </c>
      <c r="CN19" s="166">
        <v>-11.3</v>
      </c>
      <c r="CO19" s="166">
        <v>-2.87</v>
      </c>
      <c r="CP19" s="166">
        <v>11.1921</v>
      </c>
      <c r="CQ19" s="166">
        <v>11.6995</v>
      </c>
      <c r="CR19" s="166">
        <v>10.3025</v>
      </c>
      <c r="CS19" s="166">
        <v>35.207299999999996</v>
      </c>
      <c r="CT19" s="166">
        <v>35.286000000000001</v>
      </c>
      <c r="CU19" s="166">
        <v>-25.0077</v>
      </c>
      <c r="CV19" s="166">
        <v>-14.4772</v>
      </c>
      <c r="CW19" s="166">
        <v>-24.354399999999998</v>
      </c>
      <c r="CX19" s="166">
        <v>2.7629000000000001</v>
      </c>
      <c r="CY19" s="166">
        <v>27.31</v>
      </c>
      <c r="CZ19" s="166">
        <v>9.81</v>
      </c>
      <c r="DA19" s="166">
        <v>4.8486000000000002</v>
      </c>
      <c r="DB19" s="166">
        <v>3.9093</v>
      </c>
      <c r="DC19" s="166">
        <v>-6.7621000000000002</v>
      </c>
      <c r="DD19" s="167"/>
      <c r="DE19" s="167"/>
      <c r="DF19" s="167"/>
      <c r="DG19" s="166">
        <v>22.507400000000001</v>
      </c>
      <c r="DH19" s="167"/>
      <c r="DI19" s="167"/>
      <c r="DJ19" s="166">
        <v>-14.9</v>
      </c>
      <c r="DK19" s="167"/>
      <c r="DL19" s="166">
        <v>0.50839999999999996</v>
      </c>
      <c r="DM19" s="166">
        <v>0.1</v>
      </c>
      <c r="DN19" s="166">
        <v>6.22</v>
      </c>
      <c r="DO19" s="166">
        <v>4.0599999999999996</v>
      </c>
      <c r="DP19" s="166">
        <v>-1.61</v>
      </c>
      <c r="DQ19" s="166">
        <v>-2.16</v>
      </c>
      <c r="DR19" s="166">
        <v>11.718</v>
      </c>
      <c r="DS19" s="166">
        <v>-22.251300000000001</v>
      </c>
      <c r="DT19" s="166">
        <v>-13.57</v>
      </c>
      <c r="DU19" s="166">
        <v>-13.56</v>
      </c>
      <c r="DV19" s="166">
        <v>28.99</v>
      </c>
      <c r="DW19" s="166">
        <v>0.47</v>
      </c>
      <c r="DX19" s="166">
        <v>-23.2182</v>
      </c>
      <c r="DY19" s="166">
        <v>-11.563599999999999</v>
      </c>
      <c r="DZ19" s="166">
        <v>-40.403300000000002</v>
      </c>
      <c r="EA19" s="166">
        <v>-38.9636</v>
      </c>
      <c r="EB19" s="167"/>
      <c r="EC19" s="166">
        <v>-21.775600000000001</v>
      </c>
      <c r="ED19" s="166">
        <v>-28.880800000000001</v>
      </c>
      <c r="EE19" s="166">
        <v>-29.1783</v>
      </c>
      <c r="EF19" s="166">
        <v>-23.8429</v>
      </c>
      <c r="EG19" s="166">
        <v>-28.4969</v>
      </c>
      <c r="EH19" s="166">
        <v>-13.226000000000001</v>
      </c>
      <c r="EI19" s="166">
        <v>-120.1417</v>
      </c>
      <c r="EJ19" s="166">
        <v>-0.77439999999999998</v>
      </c>
      <c r="EK19" s="167"/>
      <c r="EL19" s="166">
        <v>-8.25</v>
      </c>
      <c r="EM19" s="166">
        <v>-7.8173000000000004</v>
      </c>
      <c r="EN19" s="167"/>
      <c r="EO19" s="166">
        <v>-14.861800000000001</v>
      </c>
      <c r="EP19" s="166">
        <v>-14.602600000000001</v>
      </c>
      <c r="EQ19" s="166">
        <v>-3.5880000000000001</v>
      </c>
      <c r="ER19" s="166">
        <v>-17.708500000000001</v>
      </c>
      <c r="ES19" s="166">
        <v>-17.434000000000001</v>
      </c>
      <c r="ET19" s="166">
        <v>18.7347</v>
      </c>
      <c r="EU19" s="166">
        <v>6.57</v>
      </c>
      <c r="EV19" s="166">
        <v>-14.83</v>
      </c>
      <c r="EW19" s="166">
        <v>0</v>
      </c>
      <c r="EX19" s="166">
        <v>2.2980999999999998</v>
      </c>
      <c r="EY19" s="166">
        <v>-20.433399999999999</v>
      </c>
      <c r="EZ19" s="166">
        <v>-10.3995</v>
      </c>
      <c r="FA19" s="166">
        <v>-10.590999999999999</v>
      </c>
      <c r="FB19" s="166">
        <v>9.6297999999999995</v>
      </c>
      <c r="FC19" s="166">
        <v>20.426200000000001</v>
      </c>
      <c r="FD19" s="166">
        <v>-34.057400000000001</v>
      </c>
      <c r="FE19" s="166">
        <v>7.6917</v>
      </c>
      <c r="FF19" s="166">
        <v>0.32250000000000001</v>
      </c>
      <c r="FG19" s="167"/>
      <c r="FH19" s="167"/>
      <c r="FI19" s="166">
        <v>0</v>
      </c>
      <c r="FJ19" s="167"/>
      <c r="FK19" s="166">
        <v>10.0474</v>
      </c>
      <c r="FL19" s="166">
        <v>9.5449999999999999</v>
      </c>
      <c r="FM19" s="166">
        <v>-12.224299999999999</v>
      </c>
      <c r="FN19" s="166">
        <v>20.6264</v>
      </c>
      <c r="FO19" s="166">
        <v>20.8049</v>
      </c>
      <c r="FP19" s="166">
        <v>-0.16039999999999999</v>
      </c>
      <c r="FQ19" s="166">
        <v>12.2637</v>
      </c>
      <c r="FR19" s="166">
        <v>19.9283</v>
      </c>
      <c r="FS19" s="166">
        <v>-12.33</v>
      </c>
      <c r="FT19" s="167"/>
      <c r="FU19" s="166">
        <v>0.17510000000000001</v>
      </c>
      <c r="FV19" s="166">
        <v>-0.34</v>
      </c>
      <c r="FW19" s="166">
        <v>1.25</v>
      </c>
      <c r="FX19" s="166">
        <v>-20.051300000000001</v>
      </c>
      <c r="FY19" s="167"/>
      <c r="FZ19" s="166">
        <v>4.9139999999999997</v>
      </c>
      <c r="GA19" s="166">
        <v>1.0740000000000001</v>
      </c>
      <c r="GB19" s="167"/>
      <c r="GC19" s="166">
        <v>11.9</v>
      </c>
      <c r="GD19" s="166">
        <v>-24.227499999999999</v>
      </c>
      <c r="GE19" s="166">
        <v>-15.867000000000001</v>
      </c>
      <c r="GF19" s="166">
        <v>-1.23</v>
      </c>
      <c r="GG19" s="166">
        <v>18.838000000000001</v>
      </c>
      <c r="GH19" s="167"/>
      <c r="GI19" s="166">
        <v>18.833600000000001</v>
      </c>
      <c r="GJ19" s="166">
        <v>-3.1206999999999998</v>
      </c>
      <c r="GK19" s="166">
        <v>-3.4986999999999999</v>
      </c>
      <c r="GL19" s="166">
        <v>1.7558</v>
      </c>
      <c r="GM19" s="167"/>
      <c r="GN19" s="167"/>
      <c r="GO19" s="167"/>
      <c r="GP19" s="166">
        <v>66.744500000000002</v>
      </c>
      <c r="GQ19" s="166">
        <v>-0.1522</v>
      </c>
      <c r="GR19" s="166">
        <v>-21.452200000000001</v>
      </c>
      <c r="GS19" s="166">
        <v>-6.4230999999999998</v>
      </c>
      <c r="GT19" s="166">
        <v>-6.9104999999999999</v>
      </c>
      <c r="GU19" s="166">
        <v>105.5072</v>
      </c>
      <c r="GV19" s="166">
        <v>-5.4611999999999998</v>
      </c>
      <c r="GW19" s="166">
        <v>-9.3451000000000004</v>
      </c>
      <c r="GX19" s="166">
        <v>8.0435999999999996</v>
      </c>
      <c r="GY19" s="166">
        <v>3.6640999999999999</v>
      </c>
      <c r="GZ19" s="166">
        <v>5.0475000000000003</v>
      </c>
      <c r="HA19" s="166">
        <v>5.0795000000000003</v>
      </c>
      <c r="HB19" s="166">
        <v>3.2404000000000002</v>
      </c>
      <c r="HC19" s="166">
        <v>-4.7774999999999999</v>
      </c>
      <c r="HD19" s="166">
        <v>-2.9626999999999999</v>
      </c>
      <c r="HE19" s="166">
        <v>-5.03</v>
      </c>
      <c r="HF19" s="166">
        <v>0</v>
      </c>
      <c r="HG19" s="166">
        <v>24.886099999999999</v>
      </c>
      <c r="HH19" s="166">
        <v>26.846499999999999</v>
      </c>
      <c r="HI19" s="166">
        <v>91.055899999999994</v>
      </c>
      <c r="HJ19" s="166">
        <v>0</v>
      </c>
      <c r="HK19" s="166">
        <v>49.664499999999997</v>
      </c>
      <c r="HL19" s="167"/>
      <c r="HM19" s="166">
        <v>-11.9819</v>
      </c>
      <c r="HN19" s="166">
        <v>0</v>
      </c>
      <c r="HO19" s="166">
        <v>0</v>
      </c>
      <c r="HP19" s="167"/>
      <c r="HQ19" s="167"/>
      <c r="HR19" s="166">
        <v>-21.499199999999998</v>
      </c>
      <c r="HS19" s="166">
        <v>-21.246500000000001</v>
      </c>
      <c r="HT19" s="166">
        <v>-7.1356999999999999</v>
      </c>
      <c r="HU19" s="166">
        <v>-7.1593</v>
      </c>
      <c r="HV19" s="166">
        <v>2.2400000000000002</v>
      </c>
      <c r="HW19" s="166">
        <v>2.37</v>
      </c>
      <c r="HX19" s="166">
        <v>-31.6</v>
      </c>
      <c r="HY19" s="166">
        <v>-31.6</v>
      </c>
      <c r="HZ19" s="166">
        <v>0.2298</v>
      </c>
      <c r="IA19" s="166">
        <v>-6.08</v>
      </c>
      <c r="IB19" s="166">
        <v>70.796199999999999</v>
      </c>
      <c r="IC19" s="166">
        <v>10.0943</v>
      </c>
      <c r="ID19" s="166">
        <v>10.007300000000001</v>
      </c>
      <c r="IE19" s="166">
        <v>-19.100000000000001</v>
      </c>
      <c r="IF19" s="166">
        <v>-45.2</v>
      </c>
      <c r="IG19" s="166">
        <v>5.3</v>
      </c>
      <c r="IH19" s="166">
        <v>4.9000000000000004</v>
      </c>
      <c r="II19" s="167"/>
      <c r="IJ19" s="167"/>
      <c r="IK19" s="166">
        <v>-87.5959</v>
      </c>
      <c r="IL19" s="166">
        <v>46.6706</v>
      </c>
      <c r="IM19" s="166">
        <v>-293.62819999999999</v>
      </c>
      <c r="IN19" s="166">
        <v>-27.240500000000001</v>
      </c>
      <c r="IO19" s="166">
        <v>-25.706499999999998</v>
      </c>
      <c r="IP19" s="166">
        <v>121.4158</v>
      </c>
      <c r="IQ19" s="166">
        <v>44.003</v>
      </c>
      <c r="IR19" s="166">
        <v>155.58330000000001</v>
      </c>
      <c r="IS19" s="166">
        <v>83.398499999999999</v>
      </c>
      <c r="IT19" s="166">
        <v>59.398200000000003</v>
      </c>
      <c r="IU19" s="166">
        <v>9.5249000000000006</v>
      </c>
      <c r="IV19" s="166">
        <v>8.9651999999999994</v>
      </c>
      <c r="IW19" s="166">
        <v>-45.256</v>
      </c>
      <c r="IX19" s="166">
        <v>243.71729999999999</v>
      </c>
      <c r="IY19" s="166">
        <v>-184.43440000000001</v>
      </c>
      <c r="IZ19" s="166">
        <v>63.282200000000003</v>
      </c>
      <c r="JA19" s="166">
        <v>-48.488500000000002</v>
      </c>
      <c r="JB19" s="166">
        <v>0.63360000000000005</v>
      </c>
      <c r="JC19" s="166">
        <v>10.403</v>
      </c>
      <c r="JD19" s="166">
        <v>-8.08</v>
      </c>
      <c r="JE19" s="166">
        <v>-2.0550000000000002</v>
      </c>
      <c r="JF19" s="166">
        <v>-2.0569999999999999</v>
      </c>
      <c r="JG19" s="166">
        <v>3.12</v>
      </c>
      <c r="JH19" s="166">
        <v>-1.84</v>
      </c>
      <c r="JI19" s="166">
        <v>-2.6743999999999999</v>
      </c>
      <c r="JJ19" s="166">
        <v>-4.0420999999999996</v>
      </c>
      <c r="JK19" s="166">
        <v>10.1671</v>
      </c>
      <c r="JL19" s="166">
        <v>-9.6390999999999991</v>
      </c>
      <c r="JM19" s="166">
        <v>-0.4</v>
      </c>
      <c r="JN19" s="166">
        <v>7.99</v>
      </c>
      <c r="JO19" s="166">
        <v>8.9979999999999993</v>
      </c>
      <c r="JP19" s="167"/>
      <c r="JQ19" s="167"/>
      <c r="JR19" s="166">
        <v>3.4527999999999999</v>
      </c>
      <c r="JS19" s="166">
        <v>3.2618999999999998</v>
      </c>
      <c r="JT19" s="166">
        <v>3.0278999999999998</v>
      </c>
      <c r="JU19" s="167"/>
      <c r="JV19" s="166">
        <v>30.8</v>
      </c>
      <c r="JW19" s="166">
        <v>1.1709000000000001</v>
      </c>
      <c r="JX19" s="166">
        <v>-0.03</v>
      </c>
      <c r="JY19" s="167"/>
      <c r="JZ19" s="166">
        <v>-2.9737</v>
      </c>
      <c r="KA19" s="166">
        <v>-16.389800000000001</v>
      </c>
      <c r="KB19" s="166">
        <v>-17.900700000000001</v>
      </c>
      <c r="KC19" s="166">
        <v>-0.89180000000000004</v>
      </c>
      <c r="KD19" s="166">
        <v>11.7096</v>
      </c>
      <c r="KE19" s="166">
        <v>-12.026400000000001</v>
      </c>
      <c r="KF19" s="167"/>
      <c r="KG19" s="166">
        <v>-25.2</v>
      </c>
      <c r="KH19" s="166">
        <v>6.9</v>
      </c>
      <c r="KI19" s="166">
        <v>56.596200000000003</v>
      </c>
      <c r="KJ19" s="166">
        <v>-127.5746</v>
      </c>
    </row>
    <row r="20" spans="1:296" ht="18" customHeight="1" x14ac:dyDescent="0.3">
      <c r="A20" s="162" t="s">
        <v>67</v>
      </c>
      <c r="B20" s="162" t="s">
        <v>819</v>
      </c>
      <c r="C20" s="166">
        <v>0</v>
      </c>
      <c r="D20" s="167"/>
      <c r="E20" s="166">
        <v>1.0760000000000001</v>
      </c>
      <c r="F20" s="166">
        <v>-6.1242000000000001</v>
      </c>
      <c r="G20" s="166">
        <v>3.5036</v>
      </c>
      <c r="H20" s="166">
        <v>9.2977000000000007</v>
      </c>
      <c r="I20" s="167"/>
      <c r="J20" s="166">
        <v>10.9572</v>
      </c>
      <c r="K20" s="167"/>
      <c r="L20" s="166">
        <v>12.456899999999999</v>
      </c>
      <c r="M20" s="166">
        <v>5.1007999999999996</v>
      </c>
      <c r="N20" s="166">
        <v>6.6199000000000003</v>
      </c>
      <c r="O20" s="166">
        <v>-4.4400000000000004</v>
      </c>
      <c r="P20" s="167"/>
      <c r="Q20" s="167"/>
      <c r="R20" s="166">
        <v>0</v>
      </c>
      <c r="S20" s="167"/>
      <c r="T20" s="166">
        <v>3.8832</v>
      </c>
      <c r="U20" s="166">
        <v>-12.1226</v>
      </c>
      <c r="V20" s="167"/>
      <c r="W20" s="166">
        <v>4.8037999999999998</v>
      </c>
      <c r="X20" s="166">
        <v>8.4890000000000008</v>
      </c>
      <c r="Y20" s="166">
        <v>1.6802999999999999</v>
      </c>
      <c r="Z20" s="166">
        <v>-0.51090000000000002</v>
      </c>
      <c r="AA20" s="166">
        <v>1.4232</v>
      </c>
      <c r="AB20" s="167"/>
      <c r="AC20" s="166">
        <v>-1.1363000000000001</v>
      </c>
      <c r="AD20" s="166">
        <v>-0.92</v>
      </c>
      <c r="AE20" s="166">
        <v>-0.90400000000000003</v>
      </c>
      <c r="AF20" s="166">
        <v>2.359</v>
      </c>
      <c r="AG20" s="166">
        <v>-17.760000000000002</v>
      </c>
      <c r="AH20" s="167"/>
      <c r="AI20" s="166">
        <v>-1.5640000000000001</v>
      </c>
      <c r="AJ20" s="166">
        <v>0.28899999999999998</v>
      </c>
      <c r="AK20" s="166">
        <v>-11.93</v>
      </c>
      <c r="AL20" s="167"/>
      <c r="AM20" s="167"/>
      <c r="AN20" s="166">
        <v>-9.2899999999999991</v>
      </c>
      <c r="AO20" s="166">
        <v>-9.4600000000000009</v>
      </c>
      <c r="AP20" s="167"/>
      <c r="AQ20" s="166">
        <v>4.0782999999999996</v>
      </c>
      <c r="AR20" s="166">
        <v>16.242000000000001</v>
      </c>
      <c r="AS20" s="166">
        <v>18.008800000000001</v>
      </c>
      <c r="AT20" s="166">
        <v>-16.341200000000001</v>
      </c>
      <c r="AU20" s="166">
        <v>-9.7220999999999993</v>
      </c>
      <c r="AV20" s="166">
        <v>-8.7530999999999999</v>
      </c>
      <c r="AW20" s="166">
        <v>9.0989000000000004</v>
      </c>
      <c r="AX20" s="166">
        <v>10.1938</v>
      </c>
      <c r="AY20" s="166">
        <v>-17.287199999999999</v>
      </c>
      <c r="AZ20" s="166">
        <v>-14.8919</v>
      </c>
      <c r="BA20" s="166">
        <v>15.002000000000001</v>
      </c>
      <c r="BB20" s="166">
        <v>14.5274</v>
      </c>
      <c r="BC20" s="166">
        <v>9.4962</v>
      </c>
      <c r="BD20" s="166">
        <v>9.5013000000000005</v>
      </c>
      <c r="BE20" s="166">
        <v>-4.2</v>
      </c>
      <c r="BF20" s="166">
        <v>-4.3</v>
      </c>
      <c r="BG20" s="166">
        <v>-21.848700000000001</v>
      </c>
      <c r="BH20" s="166">
        <v>-21.133800000000001</v>
      </c>
      <c r="BI20" s="166">
        <v>-1.7603</v>
      </c>
      <c r="BJ20" s="167"/>
      <c r="BK20" s="166">
        <v>2.9123000000000001</v>
      </c>
      <c r="BL20" s="166">
        <v>2.4281999999999999</v>
      </c>
      <c r="BM20" s="166">
        <v>0.16039999999999999</v>
      </c>
      <c r="BN20" s="166">
        <v>0.15559999999999999</v>
      </c>
      <c r="BO20" s="166">
        <v>-90.731499999999997</v>
      </c>
      <c r="BP20" s="166">
        <v>13.0314</v>
      </c>
      <c r="BQ20" s="166">
        <v>13.0924</v>
      </c>
      <c r="BR20" s="166">
        <v>26.726199999999999</v>
      </c>
      <c r="BS20" s="166">
        <v>-197.66980000000001</v>
      </c>
      <c r="BT20" s="167"/>
      <c r="BU20" s="167"/>
      <c r="BV20" s="167"/>
      <c r="BW20" s="166">
        <v>12.3148</v>
      </c>
      <c r="BX20" s="166">
        <v>9.9700000000000006</v>
      </c>
      <c r="BY20" s="166">
        <v>6.49</v>
      </c>
      <c r="BZ20" s="166">
        <v>-11.5</v>
      </c>
      <c r="CA20" s="166">
        <v>5.91</v>
      </c>
      <c r="CB20" s="166">
        <v>-21.027100000000001</v>
      </c>
      <c r="CC20" s="166">
        <v>-21.428899999999999</v>
      </c>
      <c r="CD20" s="166">
        <v>32.854999999999997</v>
      </c>
      <c r="CE20" s="166">
        <v>31.418600000000001</v>
      </c>
      <c r="CF20" s="166">
        <v>-5.9035000000000002</v>
      </c>
      <c r="CG20" s="166">
        <v>-19.6524</v>
      </c>
      <c r="CH20" s="166">
        <v>-20.0579</v>
      </c>
      <c r="CI20" s="166">
        <v>2.2719999999999998</v>
      </c>
      <c r="CJ20" s="167"/>
      <c r="CK20" s="166">
        <v>3.456</v>
      </c>
      <c r="CL20" s="166">
        <v>9.3879999999999999</v>
      </c>
      <c r="CM20" s="166">
        <v>-9.3000000000000007</v>
      </c>
      <c r="CN20" s="166">
        <v>-9.6</v>
      </c>
      <c r="CO20" s="166">
        <v>-2.75</v>
      </c>
      <c r="CP20" s="166">
        <v>13.469200000000001</v>
      </c>
      <c r="CQ20" s="166">
        <v>13.9564</v>
      </c>
      <c r="CR20" s="166">
        <v>12.3948</v>
      </c>
      <c r="CS20" s="166">
        <v>34.235900000000001</v>
      </c>
      <c r="CT20" s="166">
        <v>33.638500000000001</v>
      </c>
      <c r="CU20" s="166">
        <v>-27.1005</v>
      </c>
      <c r="CV20" s="166">
        <v>-11.4975</v>
      </c>
      <c r="CW20" s="166">
        <v>-26.6983</v>
      </c>
      <c r="CX20" s="166">
        <v>2.9348999999999998</v>
      </c>
      <c r="CY20" s="166">
        <v>28.08</v>
      </c>
      <c r="CZ20" s="166">
        <v>10.33</v>
      </c>
      <c r="DA20" s="166">
        <v>5.4736000000000002</v>
      </c>
      <c r="DB20" s="166">
        <v>4.5929000000000002</v>
      </c>
      <c r="DC20" s="166">
        <v>-7.1764000000000001</v>
      </c>
      <c r="DD20" s="167"/>
      <c r="DE20" s="167"/>
      <c r="DF20" s="167"/>
      <c r="DG20" s="166">
        <v>19.872900000000001</v>
      </c>
      <c r="DH20" s="167"/>
      <c r="DI20" s="167"/>
      <c r="DJ20" s="166">
        <v>-14.6</v>
      </c>
      <c r="DK20" s="166">
        <v>-16.399999999999999</v>
      </c>
      <c r="DL20" s="166">
        <v>0.10929999999999999</v>
      </c>
      <c r="DM20" s="166">
        <v>1.6</v>
      </c>
      <c r="DN20" s="166">
        <v>8.02</v>
      </c>
      <c r="DO20" s="166">
        <v>5.56</v>
      </c>
      <c r="DP20" s="166">
        <v>-0.54</v>
      </c>
      <c r="DQ20" s="166">
        <v>-2.69</v>
      </c>
      <c r="DR20" s="166">
        <v>11.2995</v>
      </c>
      <c r="DS20" s="166">
        <v>-21.106200000000001</v>
      </c>
      <c r="DT20" s="166">
        <v>-11.4</v>
      </c>
      <c r="DU20" s="166">
        <v>-11.5</v>
      </c>
      <c r="DV20" s="166">
        <v>27.54</v>
      </c>
      <c r="DW20" s="166">
        <v>1.0900000000000001</v>
      </c>
      <c r="DX20" s="166">
        <v>-22.5091</v>
      </c>
      <c r="DY20" s="166">
        <v>-11.0182</v>
      </c>
      <c r="DZ20" s="166">
        <v>-39.232999999999997</v>
      </c>
      <c r="EA20" s="166">
        <v>-38.209099999999999</v>
      </c>
      <c r="EB20" s="167"/>
      <c r="EC20" s="166">
        <v>-19.991800000000001</v>
      </c>
      <c r="ED20" s="166">
        <v>-26.7012</v>
      </c>
      <c r="EE20" s="166">
        <v>-26.3504</v>
      </c>
      <c r="EF20" s="166">
        <v>-16.8186</v>
      </c>
      <c r="EG20" s="166">
        <v>-20.676400000000001</v>
      </c>
      <c r="EH20" s="166">
        <v>-13.275</v>
      </c>
      <c r="EI20" s="166">
        <v>-104.0478</v>
      </c>
      <c r="EJ20" s="166">
        <v>-4.7441000000000004</v>
      </c>
      <c r="EK20" s="167"/>
      <c r="EL20" s="166">
        <v>-7.8042999999999996</v>
      </c>
      <c r="EM20" s="166">
        <v>-7.3844000000000003</v>
      </c>
      <c r="EN20" s="167"/>
      <c r="EO20" s="166">
        <v>-19.266300000000001</v>
      </c>
      <c r="EP20" s="166">
        <v>-17.550899999999999</v>
      </c>
      <c r="EQ20" s="166">
        <v>8.2080000000000002</v>
      </c>
      <c r="ER20" s="166">
        <v>-13.7698</v>
      </c>
      <c r="ES20" s="166">
        <v>-13.2837</v>
      </c>
      <c r="ET20" s="166">
        <v>16.790400000000002</v>
      </c>
      <c r="EU20" s="166">
        <v>6.22</v>
      </c>
      <c r="EV20" s="166">
        <v>-10.9</v>
      </c>
      <c r="EW20" s="166">
        <v>0.7</v>
      </c>
      <c r="EX20" s="166">
        <v>2.6017999999999999</v>
      </c>
      <c r="EY20" s="166">
        <v>-27.852599999999999</v>
      </c>
      <c r="EZ20" s="166">
        <v>-9.6125000000000007</v>
      </c>
      <c r="FA20" s="166">
        <v>-9.9862000000000002</v>
      </c>
      <c r="FB20" s="166">
        <v>9.5204000000000004</v>
      </c>
      <c r="FC20" s="166">
        <v>16.864599999999999</v>
      </c>
      <c r="FD20" s="166">
        <v>-28.9696</v>
      </c>
      <c r="FE20" s="166">
        <v>7.3932000000000002</v>
      </c>
      <c r="FF20" s="166">
        <v>3.7999999999999999E-2</v>
      </c>
      <c r="FG20" s="167"/>
      <c r="FH20" s="167"/>
      <c r="FI20" s="166">
        <v>0</v>
      </c>
      <c r="FJ20" s="167"/>
      <c r="FK20" s="166">
        <v>9.0426000000000002</v>
      </c>
      <c r="FL20" s="166">
        <v>8.5403000000000002</v>
      </c>
      <c r="FM20" s="166">
        <v>-16.075800000000001</v>
      </c>
      <c r="FN20" s="166">
        <v>19.843299999999999</v>
      </c>
      <c r="FO20" s="166">
        <v>20.039100000000001</v>
      </c>
      <c r="FP20" s="166">
        <v>-2.2652999999999999</v>
      </c>
      <c r="FQ20" s="166">
        <v>10.3977</v>
      </c>
      <c r="FR20" s="166">
        <v>21.608000000000001</v>
      </c>
      <c r="FS20" s="166">
        <v>-12.56</v>
      </c>
      <c r="FT20" s="167"/>
      <c r="FU20" s="166">
        <v>0.1449</v>
      </c>
      <c r="FV20" s="166">
        <v>-0.31</v>
      </c>
      <c r="FW20" s="166">
        <v>0.48</v>
      </c>
      <c r="FX20" s="166">
        <v>-21.380400000000002</v>
      </c>
      <c r="FY20" s="167"/>
      <c r="FZ20" s="166">
        <v>4.9329999999999998</v>
      </c>
      <c r="GA20" s="166">
        <v>1.022</v>
      </c>
      <c r="GB20" s="167"/>
      <c r="GC20" s="166">
        <v>10.56</v>
      </c>
      <c r="GD20" s="166">
        <v>-22.1418</v>
      </c>
      <c r="GE20" s="166">
        <v>-14.2942</v>
      </c>
      <c r="GF20" s="166">
        <v>-2.16</v>
      </c>
      <c r="GG20" s="166">
        <v>17.4831</v>
      </c>
      <c r="GH20" s="167"/>
      <c r="GI20" s="166">
        <v>19.136800000000001</v>
      </c>
      <c r="GJ20" s="166">
        <v>-3.2059000000000002</v>
      </c>
      <c r="GK20" s="166">
        <v>-3.5142000000000002</v>
      </c>
      <c r="GL20" s="166">
        <v>1.9052</v>
      </c>
      <c r="GM20" s="167"/>
      <c r="GN20" s="167"/>
      <c r="GO20" s="166">
        <v>-12.3725</v>
      </c>
      <c r="GP20" s="166">
        <v>65.390900000000002</v>
      </c>
      <c r="GQ20" s="166">
        <v>-0.27610000000000001</v>
      </c>
      <c r="GR20" s="166">
        <v>-20.936199999999999</v>
      </c>
      <c r="GS20" s="166">
        <v>-7.6254</v>
      </c>
      <c r="GT20" s="166">
        <v>-7.7599</v>
      </c>
      <c r="GU20" s="166">
        <v>107.23220000000001</v>
      </c>
      <c r="GV20" s="166">
        <v>-5.1978</v>
      </c>
      <c r="GW20" s="166">
        <v>-9.1812000000000005</v>
      </c>
      <c r="GX20" s="166">
        <v>7.8449</v>
      </c>
      <c r="GY20" s="166">
        <v>2.9394</v>
      </c>
      <c r="GZ20" s="166">
        <v>5.1646000000000001</v>
      </c>
      <c r="HA20" s="166">
        <v>5.1901999999999999</v>
      </c>
      <c r="HB20" s="166">
        <v>2.3283999999999998</v>
      </c>
      <c r="HC20" s="166">
        <v>-7.9741999999999997</v>
      </c>
      <c r="HD20" s="166">
        <v>-6.1642000000000001</v>
      </c>
      <c r="HE20" s="166">
        <v>-5.03</v>
      </c>
      <c r="HF20" s="166">
        <v>7.1391999999999998</v>
      </c>
      <c r="HG20" s="166">
        <v>45.370100000000001</v>
      </c>
      <c r="HH20" s="166">
        <v>32.075000000000003</v>
      </c>
      <c r="HI20" s="166">
        <v>82.391599999999997</v>
      </c>
      <c r="HJ20" s="166">
        <v>0</v>
      </c>
      <c r="HK20" s="166">
        <v>49.8553</v>
      </c>
      <c r="HL20" s="167"/>
      <c r="HM20" s="166">
        <v>-9.0289999999999999</v>
      </c>
      <c r="HN20" s="166">
        <v>-11.3607</v>
      </c>
      <c r="HO20" s="166">
        <v>-11.881399999999999</v>
      </c>
      <c r="HP20" s="167"/>
      <c r="HQ20" s="167"/>
      <c r="HR20" s="166">
        <v>-20.741099999999999</v>
      </c>
      <c r="HS20" s="166">
        <v>-19.560099999999998</v>
      </c>
      <c r="HT20" s="166">
        <v>-7.2051999999999996</v>
      </c>
      <c r="HU20" s="166">
        <v>-6.7808999999999999</v>
      </c>
      <c r="HV20" s="166">
        <v>6.87</v>
      </c>
      <c r="HW20" s="166">
        <v>7.11</v>
      </c>
      <c r="HX20" s="166">
        <v>-30.4</v>
      </c>
      <c r="HY20" s="166">
        <v>-31.1</v>
      </c>
      <c r="HZ20" s="166">
        <v>0.1419</v>
      </c>
      <c r="IA20" s="166">
        <v>-7.68</v>
      </c>
      <c r="IB20" s="166">
        <v>68.808199999999999</v>
      </c>
      <c r="IC20" s="166">
        <v>13.0433</v>
      </c>
      <c r="ID20" s="166">
        <v>12.963800000000001</v>
      </c>
      <c r="IE20" s="166">
        <v>-19.100000000000001</v>
      </c>
      <c r="IF20" s="166">
        <v>-43.7</v>
      </c>
      <c r="IG20" s="166">
        <v>4.7</v>
      </c>
      <c r="IH20" s="166">
        <v>4.2</v>
      </c>
      <c r="II20" s="167"/>
      <c r="IJ20" s="167"/>
      <c r="IK20" s="166">
        <v>-69.302800000000005</v>
      </c>
      <c r="IL20" s="166">
        <v>37.137799999999999</v>
      </c>
      <c r="IM20" s="166">
        <v>-293.25009999999997</v>
      </c>
      <c r="IN20" s="166">
        <v>-29.547899999999998</v>
      </c>
      <c r="IO20" s="166">
        <v>-23.3583</v>
      </c>
      <c r="IP20" s="166">
        <v>120.2514</v>
      </c>
      <c r="IQ20" s="166">
        <v>43.417000000000002</v>
      </c>
      <c r="IR20" s="166">
        <v>153.4383</v>
      </c>
      <c r="IS20" s="166">
        <v>81.649600000000007</v>
      </c>
      <c r="IT20" s="166">
        <v>56.127299999999998</v>
      </c>
      <c r="IU20" s="166">
        <v>15.723599999999999</v>
      </c>
      <c r="IV20" s="166">
        <v>16.28</v>
      </c>
      <c r="IW20" s="166">
        <v>-43.6449</v>
      </c>
      <c r="IX20" s="166">
        <v>242.0958</v>
      </c>
      <c r="IY20" s="166">
        <v>-182.63</v>
      </c>
      <c r="IZ20" s="166">
        <v>60.197800000000001</v>
      </c>
      <c r="JA20" s="166">
        <v>-50.211399999999998</v>
      </c>
      <c r="JB20" s="166">
        <v>-0.32590000000000002</v>
      </c>
      <c r="JC20" s="166">
        <v>9.5809999999999995</v>
      </c>
      <c r="JD20" s="166">
        <v>-8.16</v>
      </c>
      <c r="JE20" s="166">
        <v>-2.0470000000000002</v>
      </c>
      <c r="JF20" s="166">
        <v>-2.0529999999999999</v>
      </c>
      <c r="JG20" s="166">
        <v>3.2</v>
      </c>
      <c r="JH20" s="166">
        <v>-0.56000000000000005</v>
      </c>
      <c r="JI20" s="166">
        <v>-2.9512</v>
      </c>
      <c r="JJ20" s="166">
        <v>-5.4764999999999997</v>
      </c>
      <c r="JK20" s="166">
        <v>10.521100000000001</v>
      </c>
      <c r="JL20" s="166">
        <v>-8.0551999999999992</v>
      </c>
      <c r="JM20" s="166">
        <v>-0.6</v>
      </c>
      <c r="JN20" s="166">
        <v>7.6529999999999996</v>
      </c>
      <c r="JO20" s="166">
        <v>9.2050000000000001</v>
      </c>
      <c r="JP20" s="166">
        <v>1.8637999999999999</v>
      </c>
      <c r="JQ20" s="166">
        <v>2.0893000000000002</v>
      </c>
      <c r="JR20" s="166">
        <v>3.5444</v>
      </c>
      <c r="JS20" s="166">
        <v>2.8757999999999999</v>
      </c>
      <c r="JT20" s="166">
        <v>4.0209000000000001</v>
      </c>
      <c r="JU20" s="167"/>
      <c r="JV20" s="166">
        <v>28.5</v>
      </c>
      <c r="JW20" s="166">
        <v>0.88790000000000002</v>
      </c>
      <c r="JX20" s="166">
        <v>0.09</v>
      </c>
      <c r="JY20" s="167"/>
      <c r="JZ20" s="166">
        <v>-3.1779999999999999</v>
      </c>
      <c r="KA20" s="166">
        <v>-16.901800000000001</v>
      </c>
      <c r="KB20" s="166">
        <v>-19.116</v>
      </c>
      <c r="KC20" s="166">
        <v>0</v>
      </c>
      <c r="KD20" s="166">
        <v>12.389799999999999</v>
      </c>
      <c r="KE20" s="166">
        <v>-13.7583</v>
      </c>
      <c r="KF20" s="167"/>
      <c r="KG20" s="166">
        <v>-23.4</v>
      </c>
      <c r="KH20" s="166">
        <v>4.8</v>
      </c>
      <c r="KI20" s="166">
        <v>67.295500000000004</v>
      </c>
      <c r="KJ20" s="166">
        <v>-136.23589999999999</v>
      </c>
    </row>
    <row r="21" spans="1:296" ht="18" customHeight="1" x14ac:dyDescent="0.3">
      <c r="A21" s="162" t="s">
        <v>67</v>
      </c>
      <c r="B21" s="162" t="s">
        <v>820</v>
      </c>
      <c r="C21" s="166">
        <v>0</v>
      </c>
      <c r="D21" s="167"/>
      <c r="E21" s="166">
        <v>1.4480999999999999</v>
      </c>
      <c r="F21" s="166">
        <v>-6.3941999999999997</v>
      </c>
      <c r="G21" s="166">
        <v>3.7101999999999999</v>
      </c>
      <c r="H21" s="166">
        <v>9.6008999999999993</v>
      </c>
      <c r="I21" s="167"/>
      <c r="J21" s="166">
        <v>11.879899999999999</v>
      </c>
      <c r="K21" s="167"/>
      <c r="L21" s="166">
        <v>12.2789</v>
      </c>
      <c r="M21" s="166">
        <v>4.8888999999999996</v>
      </c>
      <c r="N21" s="166">
        <v>6.2969999999999997</v>
      </c>
      <c r="O21" s="166">
        <v>-6.66</v>
      </c>
      <c r="P21" s="166">
        <v>-22</v>
      </c>
      <c r="Q21" s="166">
        <v>0</v>
      </c>
      <c r="R21" s="166">
        <v>0.82799999999999996</v>
      </c>
      <c r="S21" s="166">
        <v>-15.4</v>
      </c>
      <c r="T21" s="166">
        <v>3.8986999999999998</v>
      </c>
      <c r="U21" s="166">
        <v>-12.448700000000001</v>
      </c>
      <c r="V21" s="167"/>
      <c r="W21" s="166">
        <v>6.0399000000000003</v>
      </c>
      <c r="X21" s="166">
        <v>10.202199999999999</v>
      </c>
      <c r="Y21" s="166">
        <v>1.6926000000000001</v>
      </c>
      <c r="Z21" s="166">
        <v>-0.4284</v>
      </c>
      <c r="AA21" s="166">
        <v>1.4739</v>
      </c>
      <c r="AB21" s="167"/>
      <c r="AC21" s="166">
        <v>-1.0559000000000001</v>
      </c>
      <c r="AD21" s="166">
        <v>-0.86499999999999999</v>
      </c>
      <c r="AE21" s="166">
        <v>-0.84899999999999998</v>
      </c>
      <c r="AF21" s="166">
        <v>2.2770000000000001</v>
      </c>
      <c r="AG21" s="166">
        <v>-15.54</v>
      </c>
      <c r="AH21" s="166">
        <v>-13.2</v>
      </c>
      <c r="AI21" s="166">
        <v>-1.0940000000000001</v>
      </c>
      <c r="AJ21" s="166">
        <v>0.29099999999999998</v>
      </c>
      <c r="AK21" s="166">
        <v>-11.07</v>
      </c>
      <c r="AL21" s="167"/>
      <c r="AM21" s="167"/>
      <c r="AN21" s="166">
        <v>-9.8800000000000008</v>
      </c>
      <c r="AO21" s="166">
        <v>-9.8699999999999992</v>
      </c>
      <c r="AP21" s="167"/>
      <c r="AQ21" s="166">
        <v>3.7458</v>
      </c>
      <c r="AR21" s="166">
        <v>18.644600000000001</v>
      </c>
      <c r="AS21" s="166">
        <v>20.677499999999998</v>
      </c>
      <c r="AT21" s="166">
        <v>-15.633100000000001</v>
      </c>
      <c r="AU21" s="166">
        <v>-6.7030000000000003</v>
      </c>
      <c r="AV21" s="166">
        <v>-6.6353999999999997</v>
      </c>
      <c r="AW21" s="166">
        <v>2.3401999999999998</v>
      </c>
      <c r="AX21" s="166">
        <v>2.2848000000000002</v>
      </c>
      <c r="AY21" s="166">
        <v>-14.465</v>
      </c>
      <c r="AZ21" s="166">
        <v>-12.116300000000001</v>
      </c>
      <c r="BA21" s="166">
        <v>7.1506999999999996</v>
      </c>
      <c r="BB21" s="166">
        <v>7.4593999999999996</v>
      </c>
      <c r="BC21" s="166">
        <v>16.838100000000001</v>
      </c>
      <c r="BD21" s="166">
        <v>9.5640000000000001</v>
      </c>
      <c r="BE21" s="166">
        <v>-4.7</v>
      </c>
      <c r="BF21" s="166">
        <v>-4.8</v>
      </c>
      <c r="BG21" s="166">
        <v>-23.972200000000001</v>
      </c>
      <c r="BH21" s="166">
        <v>-23.791</v>
      </c>
      <c r="BI21" s="166">
        <v>-1.643</v>
      </c>
      <c r="BJ21" s="167"/>
      <c r="BK21" s="166">
        <v>5.8625999999999996</v>
      </c>
      <c r="BL21" s="166">
        <v>2.6438999999999999</v>
      </c>
      <c r="BM21" s="166">
        <v>1.0580000000000001</v>
      </c>
      <c r="BN21" s="166">
        <v>0.78659999999999997</v>
      </c>
      <c r="BO21" s="166">
        <v>-94.454800000000006</v>
      </c>
      <c r="BP21" s="166">
        <v>14.5878</v>
      </c>
      <c r="BQ21" s="166">
        <v>14.5573</v>
      </c>
      <c r="BR21" s="166">
        <v>15.553699999999999</v>
      </c>
      <c r="BS21" s="166">
        <v>-192.37200000000001</v>
      </c>
      <c r="BT21" s="167"/>
      <c r="BU21" s="167"/>
      <c r="BV21" s="167"/>
      <c r="BW21" s="166">
        <v>11.2669</v>
      </c>
      <c r="BX21" s="166">
        <v>9.5299999999999994</v>
      </c>
      <c r="BY21" s="166">
        <v>6.33</v>
      </c>
      <c r="BZ21" s="166">
        <v>-10.76</v>
      </c>
      <c r="CA21" s="166">
        <v>5.3</v>
      </c>
      <c r="CB21" s="166">
        <v>-23.840199999999999</v>
      </c>
      <c r="CC21" s="166">
        <v>-23.438300000000002</v>
      </c>
      <c r="CD21" s="166">
        <v>27.528700000000001</v>
      </c>
      <c r="CE21" s="166">
        <v>26.028300000000002</v>
      </c>
      <c r="CF21" s="166">
        <v>-7.3489000000000004</v>
      </c>
      <c r="CG21" s="166">
        <v>-13.918200000000001</v>
      </c>
      <c r="CH21" s="166">
        <v>-14.0406</v>
      </c>
      <c r="CI21" s="166">
        <v>5.492</v>
      </c>
      <c r="CJ21" s="167"/>
      <c r="CK21" s="166">
        <v>3.2595999999999998</v>
      </c>
      <c r="CL21" s="166">
        <v>8.2940000000000005</v>
      </c>
      <c r="CM21" s="166">
        <v>-7.9</v>
      </c>
      <c r="CN21" s="166">
        <v>-8.1999999999999993</v>
      </c>
      <c r="CO21" s="166">
        <v>-2.84</v>
      </c>
      <c r="CP21" s="166">
        <v>17.386399999999998</v>
      </c>
      <c r="CQ21" s="166">
        <v>17.0684</v>
      </c>
      <c r="CR21" s="166">
        <v>15.8896</v>
      </c>
      <c r="CS21" s="166">
        <v>31.921800000000001</v>
      </c>
      <c r="CT21" s="166">
        <v>32.441800000000001</v>
      </c>
      <c r="CU21" s="166">
        <v>-24.9955</v>
      </c>
      <c r="CV21" s="166">
        <v>-12.695</v>
      </c>
      <c r="CW21" s="166">
        <v>-23.7273</v>
      </c>
      <c r="CX21" s="166">
        <v>2.9775999999999998</v>
      </c>
      <c r="CY21" s="166">
        <v>30.6</v>
      </c>
      <c r="CZ21" s="166">
        <v>11.36</v>
      </c>
      <c r="DA21" s="166">
        <v>6.8799000000000001</v>
      </c>
      <c r="DB21" s="166">
        <v>5.7648000000000001</v>
      </c>
      <c r="DC21" s="166">
        <v>-7.7577999999999996</v>
      </c>
      <c r="DD21" s="167"/>
      <c r="DE21" s="167"/>
      <c r="DF21" s="167"/>
      <c r="DG21" s="166">
        <v>20.581600000000002</v>
      </c>
      <c r="DH21" s="167"/>
      <c r="DI21" s="167"/>
      <c r="DJ21" s="166">
        <v>-17.600000000000001</v>
      </c>
      <c r="DK21" s="166">
        <v>-16.5</v>
      </c>
      <c r="DL21" s="166">
        <v>-0.19289999999999999</v>
      </c>
      <c r="DM21" s="166">
        <v>4.4000000000000004</v>
      </c>
      <c r="DN21" s="166">
        <v>11.62</v>
      </c>
      <c r="DO21" s="166">
        <v>8.52</v>
      </c>
      <c r="DP21" s="166">
        <v>1.56</v>
      </c>
      <c r="DQ21" s="166">
        <v>-3.38</v>
      </c>
      <c r="DR21" s="166">
        <v>11.4855</v>
      </c>
      <c r="DS21" s="166">
        <v>-21.5487</v>
      </c>
      <c r="DT21" s="166">
        <v>-13.81</v>
      </c>
      <c r="DU21" s="166">
        <v>-13.94</v>
      </c>
      <c r="DV21" s="166">
        <v>33.299999999999997</v>
      </c>
      <c r="DW21" s="166">
        <v>3.22</v>
      </c>
      <c r="DX21" s="166">
        <v>-22.127300000000002</v>
      </c>
      <c r="DY21" s="166">
        <v>-11.3909</v>
      </c>
      <c r="DZ21" s="166">
        <v>-38.911900000000003</v>
      </c>
      <c r="EA21" s="166">
        <v>-37.736400000000003</v>
      </c>
      <c r="EB21" s="166">
        <v>13.7576</v>
      </c>
      <c r="EC21" s="166">
        <v>-12.099299999999999</v>
      </c>
      <c r="ED21" s="166">
        <v>-20.041399999999999</v>
      </c>
      <c r="EE21" s="166">
        <v>-19.600000000000001</v>
      </c>
      <c r="EF21" s="166">
        <v>-16.662600000000001</v>
      </c>
      <c r="EG21" s="166">
        <v>-21.2074</v>
      </c>
      <c r="EH21" s="166">
        <v>-12.372</v>
      </c>
      <c r="EI21" s="166">
        <v>-93.238900000000001</v>
      </c>
      <c r="EJ21" s="166">
        <v>-12.0303</v>
      </c>
      <c r="EK21" s="167"/>
      <c r="EL21" s="166">
        <v>-9.4635999999999996</v>
      </c>
      <c r="EM21" s="166">
        <v>-8.9501000000000008</v>
      </c>
      <c r="EN21" s="167"/>
      <c r="EO21" s="166">
        <v>-19.5473</v>
      </c>
      <c r="EP21" s="166">
        <v>-18.957999999999998</v>
      </c>
      <c r="EQ21" s="166">
        <v>5.6479999999999997</v>
      </c>
      <c r="ER21" s="166">
        <v>-14.751899999999999</v>
      </c>
      <c r="ES21" s="166">
        <v>-14.4176</v>
      </c>
      <c r="ET21" s="166">
        <v>16.192399999999999</v>
      </c>
      <c r="EU21" s="166">
        <v>-7.26</v>
      </c>
      <c r="EV21" s="166">
        <v>-4.95</v>
      </c>
      <c r="EW21" s="166">
        <v>1.6</v>
      </c>
      <c r="EX21" s="166">
        <v>3.22</v>
      </c>
      <c r="EY21" s="166">
        <v>-33.257100000000001</v>
      </c>
      <c r="EZ21" s="166">
        <v>-8.5530000000000008</v>
      </c>
      <c r="FA21" s="166">
        <v>-8.7863000000000007</v>
      </c>
      <c r="FB21" s="166">
        <v>7.7206000000000001</v>
      </c>
      <c r="FC21" s="166">
        <v>18.130199999999999</v>
      </c>
      <c r="FD21" s="166">
        <v>-28.579599999999999</v>
      </c>
      <c r="FE21" s="166">
        <v>7.7652000000000001</v>
      </c>
      <c r="FF21" s="166">
        <v>0.16089999999999999</v>
      </c>
      <c r="FG21" s="167"/>
      <c r="FH21" s="166">
        <v>4.5518000000000001</v>
      </c>
      <c r="FI21" s="166">
        <v>3.9887999999999999</v>
      </c>
      <c r="FJ21" s="166">
        <v>3.7179000000000002</v>
      </c>
      <c r="FK21" s="166">
        <v>12.224299999999999</v>
      </c>
      <c r="FL21" s="166">
        <v>11.8894</v>
      </c>
      <c r="FM21" s="166">
        <v>-20.597100000000001</v>
      </c>
      <c r="FN21" s="166">
        <v>20.398099999999999</v>
      </c>
      <c r="FO21" s="166">
        <v>20.607199999999999</v>
      </c>
      <c r="FP21" s="166">
        <v>-5.3451000000000004</v>
      </c>
      <c r="FQ21" s="166">
        <v>0</v>
      </c>
      <c r="FR21" s="166">
        <v>23.092400000000001</v>
      </c>
      <c r="FS21" s="166">
        <v>-13.04</v>
      </c>
      <c r="FT21" s="167"/>
      <c r="FU21" s="166">
        <v>0.14399999999999999</v>
      </c>
      <c r="FV21" s="166">
        <v>-0.3</v>
      </c>
      <c r="FW21" s="166">
        <v>-0.12</v>
      </c>
      <c r="FX21" s="166">
        <v>-22.8279</v>
      </c>
      <c r="FY21" s="167"/>
      <c r="FZ21" s="166">
        <v>5.2279999999999998</v>
      </c>
      <c r="GA21" s="166">
        <v>1.048</v>
      </c>
      <c r="GB21" s="167"/>
      <c r="GC21" s="166">
        <v>9.16</v>
      </c>
      <c r="GD21" s="166">
        <v>-19.111799999999999</v>
      </c>
      <c r="GE21" s="166">
        <v>-9.8331999999999997</v>
      </c>
      <c r="GF21" s="166">
        <v>-2.4300000000000002</v>
      </c>
      <c r="GG21" s="166">
        <v>16.048300000000001</v>
      </c>
      <c r="GH21" s="167"/>
      <c r="GI21" s="166">
        <v>19.439499999999999</v>
      </c>
      <c r="GJ21" s="166">
        <v>-3.0070999999999999</v>
      </c>
      <c r="GK21" s="166">
        <v>-3.3323</v>
      </c>
      <c r="GL21" s="166">
        <v>2.0024999999999999</v>
      </c>
      <c r="GM21" s="167"/>
      <c r="GN21" s="167"/>
      <c r="GO21" s="167"/>
      <c r="GP21" s="166">
        <v>67.164400000000001</v>
      </c>
      <c r="GQ21" s="166">
        <v>-0.95520000000000005</v>
      </c>
      <c r="GR21" s="166">
        <v>-20.3889</v>
      </c>
      <c r="GS21" s="166">
        <v>-7.4202000000000004</v>
      </c>
      <c r="GT21" s="166">
        <v>-7.3895999999999997</v>
      </c>
      <c r="GU21" s="166">
        <v>110.2997</v>
      </c>
      <c r="GV21" s="166">
        <v>-4.944</v>
      </c>
      <c r="GW21" s="166">
        <v>-10.1806</v>
      </c>
      <c r="GX21" s="166">
        <v>8.3315000000000001</v>
      </c>
      <c r="GY21" s="166">
        <v>2.9352999999999998</v>
      </c>
      <c r="GZ21" s="166">
        <v>5.5088999999999997</v>
      </c>
      <c r="HA21" s="166">
        <v>5.5777999999999999</v>
      </c>
      <c r="HB21" s="166">
        <v>2.3073999999999999</v>
      </c>
      <c r="HC21" s="166">
        <v>-8.8110999999999997</v>
      </c>
      <c r="HD21" s="166">
        <v>-7.5819999999999999</v>
      </c>
      <c r="HE21" s="166">
        <v>-3.35</v>
      </c>
      <c r="HF21" s="166">
        <v>6.4988000000000001</v>
      </c>
      <c r="HG21" s="166">
        <v>44.927700000000002</v>
      </c>
      <c r="HH21" s="166">
        <v>32.608400000000003</v>
      </c>
      <c r="HI21" s="166">
        <v>76.287899999999993</v>
      </c>
      <c r="HJ21" s="166">
        <v>-2.0186999999999999</v>
      </c>
      <c r="HK21" s="166">
        <v>49.904899999999998</v>
      </c>
      <c r="HL21" s="167"/>
      <c r="HM21" s="166">
        <v>-9.5174000000000003</v>
      </c>
      <c r="HN21" s="166">
        <v>-12.456899999999999</v>
      </c>
      <c r="HO21" s="166">
        <v>-13.986700000000001</v>
      </c>
      <c r="HP21" s="167"/>
      <c r="HQ21" s="167"/>
      <c r="HR21" s="166">
        <v>-19.362300000000001</v>
      </c>
      <c r="HS21" s="166">
        <v>-18.977799999999998</v>
      </c>
      <c r="HT21" s="166">
        <v>-8.0299999999999994</v>
      </c>
      <c r="HU21" s="166">
        <v>-7.7495000000000003</v>
      </c>
      <c r="HV21" s="166">
        <v>7.81</v>
      </c>
      <c r="HW21" s="166">
        <v>8.33</v>
      </c>
      <c r="HX21" s="166">
        <v>-30.3</v>
      </c>
      <c r="HY21" s="166">
        <v>-30.4</v>
      </c>
      <c r="HZ21" s="166">
        <v>0.19500000000000001</v>
      </c>
      <c r="IA21" s="166">
        <v>-8.32</v>
      </c>
      <c r="IB21" s="166">
        <v>59.895400000000002</v>
      </c>
      <c r="IC21" s="166">
        <v>14.8003</v>
      </c>
      <c r="ID21" s="166">
        <v>14.6836</v>
      </c>
      <c r="IE21" s="166">
        <v>-18.7</v>
      </c>
      <c r="IF21" s="166">
        <v>-43.4</v>
      </c>
      <c r="IG21" s="166">
        <v>3.9</v>
      </c>
      <c r="IH21" s="166">
        <v>3.3</v>
      </c>
      <c r="II21" s="166">
        <v>-18.140699999999999</v>
      </c>
      <c r="IJ21" s="166">
        <v>-18.061199999999999</v>
      </c>
      <c r="IK21" s="166">
        <v>-69.6678</v>
      </c>
      <c r="IL21" s="166">
        <v>38.204500000000003</v>
      </c>
      <c r="IM21" s="166">
        <v>-294.93849999999998</v>
      </c>
      <c r="IN21" s="166">
        <v>-30.484300000000001</v>
      </c>
      <c r="IO21" s="166">
        <v>-23.2895</v>
      </c>
      <c r="IP21" s="166">
        <v>116.88079999999999</v>
      </c>
      <c r="IQ21" s="166">
        <v>47.861199999999997</v>
      </c>
      <c r="IR21" s="166">
        <v>149.9237</v>
      </c>
      <c r="IS21" s="166">
        <v>76.140500000000003</v>
      </c>
      <c r="IT21" s="166">
        <v>52.840299999999999</v>
      </c>
      <c r="IU21" s="166">
        <v>14.702500000000001</v>
      </c>
      <c r="IV21" s="166">
        <v>13.0738</v>
      </c>
      <c r="IW21" s="166">
        <v>-41.549900000000001</v>
      </c>
      <c r="IX21" s="166">
        <v>238.66380000000001</v>
      </c>
      <c r="IY21" s="166">
        <v>-179.376</v>
      </c>
      <c r="IZ21" s="166">
        <v>61.322400000000002</v>
      </c>
      <c r="JA21" s="166">
        <v>-50.046799999999998</v>
      </c>
      <c r="JB21" s="166">
        <v>-0.77270000000000005</v>
      </c>
      <c r="JC21" s="166">
        <v>9.5340000000000007</v>
      </c>
      <c r="JD21" s="166">
        <v>-7.92</v>
      </c>
      <c r="JE21" s="166">
        <v>-2.0169999999999999</v>
      </c>
      <c r="JF21" s="166">
        <v>-2.016</v>
      </c>
      <c r="JG21" s="166">
        <v>2.8</v>
      </c>
      <c r="JH21" s="166">
        <v>-0.32</v>
      </c>
      <c r="JI21" s="166">
        <v>-3.2778</v>
      </c>
      <c r="JJ21" s="166">
        <v>-5.5955000000000004</v>
      </c>
      <c r="JK21" s="166">
        <v>9.7002000000000006</v>
      </c>
      <c r="JL21" s="166">
        <v>-6.5903999999999998</v>
      </c>
      <c r="JM21" s="166">
        <v>-0.6</v>
      </c>
      <c r="JN21" s="166">
        <v>8.5839999999999996</v>
      </c>
      <c r="JO21" s="166">
        <v>7.9530000000000003</v>
      </c>
      <c r="JP21" s="166">
        <v>1.6342000000000001</v>
      </c>
      <c r="JQ21" s="166">
        <v>1.8140000000000001</v>
      </c>
      <c r="JR21" s="166">
        <v>3.6518000000000002</v>
      </c>
      <c r="JS21" s="166">
        <v>3.0413999999999999</v>
      </c>
      <c r="JT21" s="166">
        <v>3.4220000000000002</v>
      </c>
      <c r="JU21" s="167"/>
      <c r="JV21" s="166">
        <v>27.9</v>
      </c>
      <c r="JW21" s="166">
        <v>0.89539999999999997</v>
      </c>
      <c r="JX21" s="166">
        <v>0.42</v>
      </c>
      <c r="JY21" s="167"/>
      <c r="JZ21" s="166">
        <v>0</v>
      </c>
      <c r="KA21" s="166">
        <v>-16.295000000000002</v>
      </c>
      <c r="KB21" s="166">
        <v>-18.524000000000001</v>
      </c>
      <c r="KC21" s="166">
        <v>0</v>
      </c>
      <c r="KD21" s="166">
        <v>12.0318</v>
      </c>
      <c r="KE21" s="166">
        <v>-14.2775</v>
      </c>
      <c r="KF21" s="166">
        <v>0</v>
      </c>
      <c r="KG21" s="166">
        <v>-22.6</v>
      </c>
      <c r="KH21" s="166">
        <v>4.4000000000000004</v>
      </c>
      <c r="KI21" s="166">
        <v>59.1982</v>
      </c>
      <c r="KJ21" s="166">
        <v>-132.63210000000001</v>
      </c>
    </row>
    <row r="22" spans="1:296" ht="18" customHeight="1" x14ac:dyDescent="0.3">
      <c r="A22" s="162" t="s">
        <v>67</v>
      </c>
      <c r="B22" s="162" t="s">
        <v>821</v>
      </c>
      <c r="C22" s="166">
        <v>0</v>
      </c>
      <c r="D22" s="167"/>
      <c r="E22" s="166">
        <v>1.4410000000000001</v>
      </c>
      <c r="F22" s="166">
        <v>-6.4255000000000004</v>
      </c>
      <c r="G22" s="166">
        <v>4.6144999999999996</v>
      </c>
      <c r="H22" s="166">
        <v>9.4189000000000007</v>
      </c>
      <c r="I22" s="167"/>
      <c r="J22" s="166">
        <v>12.6157</v>
      </c>
      <c r="K22" s="167"/>
      <c r="L22" s="166">
        <v>11.690899999999999</v>
      </c>
      <c r="M22" s="166">
        <v>4.5269000000000004</v>
      </c>
      <c r="N22" s="166">
        <v>5.9414999999999996</v>
      </c>
      <c r="O22" s="166">
        <v>-4.4400000000000004</v>
      </c>
      <c r="P22" s="166">
        <v>-24.2</v>
      </c>
      <c r="Q22" s="167"/>
      <c r="R22" s="167"/>
      <c r="S22" s="166">
        <v>-17.600000000000001</v>
      </c>
      <c r="T22" s="166">
        <v>4.0732999999999997</v>
      </c>
      <c r="U22" s="166">
        <v>-12.5783</v>
      </c>
      <c r="V22" s="167"/>
      <c r="W22" s="166">
        <v>5.6722999999999999</v>
      </c>
      <c r="X22" s="166">
        <v>10.058400000000001</v>
      </c>
      <c r="Y22" s="166">
        <v>1.3701000000000001</v>
      </c>
      <c r="Z22" s="166">
        <v>-0.64490000000000003</v>
      </c>
      <c r="AA22" s="166">
        <v>1.3541000000000001</v>
      </c>
      <c r="AB22" s="167"/>
      <c r="AC22" s="166">
        <v>-1.0637000000000001</v>
      </c>
      <c r="AD22" s="166">
        <v>-0.85899999999999999</v>
      </c>
      <c r="AE22" s="166">
        <v>-0.85</v>
      </c>
      <c r="AF22" s="166">
        <v>2.8330000000000002</v>
      </c>
      <c r="AG22" s="166">
        <v>-15.54</v>
      </c>
      <c r="AH22" s="166">
        <v>-11</v>
      </c>
      <c r="AI22" s="166">
        <v>-1.0089999999999999</v>
      </c>
      <c r="AJ22" s="166">
        <v>0.29899999999999999</v>
      </c>
      <c r="AK22" s="166">
        <v>-10.96</v>
      </c>
      <c r="AL22" s="167"/>
      <c r="AM22" s="167"/>
      <c r="AN22" s="166">
        <v>-9.4</v>
      </c>
      <c r="AO22" s="166">
        <v>-9.24</v>
      </c>
      <c r="AP22" s="166">
        <v>0.24790000000000001</v>
      </c>
      <c r="AQ22" s="166">
        <v>3.7103000000000002</v>
      </c>
      <c r="AR22" s="166">
        <v>19.220700000000001</v>
      </c>
      <c r="AS22" s="166">
        <v>21.077999999999999</v>
      </c>
      <c r="AT22" s="166">
        <v>-16.657800000000002</v>
      </c>
      <c r="AU22" s="166">
        <v>-10.9636</v>
      </c>
      <c r="AV22" s="166">
        <v>-10.6792</v>
      </c>
      <c r="AW22" s="166">
        <v>11.737500000000001</v>
      </c>
      <c r="AX22" s="166">
        <v>12.115399999999999</v>
      </c>
      <c r="AY22" s="166">
        <v>-15.282999999999999</v>
      </c>
      <c r="AZ22" s="166">
        <v>-13.0749</v>
      </c>
      <c r="BA22" s="166">
        <v>14.3348</v>
      </c>
      <c r="BB22" s="166">
        <v>11.852600000000001</v>
      </c>
      <c r="BC22" s="166">
        <v>16.741599999999998</v>
      </c>
      <c r="BD22" s="166">
        <v>9.7919</v>
      </c>
      <c r="BE22" s="166">
        <v>-5</v>
      </c>
      <c r="BF22" s="166">
        <v>-5.0999999999999996</v>
      </c>
      <c r="BG22" s="166">
        <v>-21.042000000000002</v>
      </c>
      <c r="BH22" s="166">
        <v>-20.768000000000001</v>
      </c>
      <c r="BI22" s="166">
        <v>-1.3769</v>
      </c>
      <c r="BJ22" s="167"/>
      <c r="BK22" s="166">
        <v>1.0659000000000001</v>
      </c>
      <c r="BL22" s="166">
        <v>3.6526999999999998</v>
      </c>
      <c r="BM22" s="166">
        <v>1.5953999999999999</v>
      </c>
      <c r="BN22" s="166">
        <v>1.2148000000000001</v>
      </c>
      <c r="BO22" s="166">
        <v>-77.730599999999995</v>
      </c>
      <c r="BP22" s="166">
        <v>13.275499999999999</v>
      </c>
      <c r="BQ22" s="166">
        <v>13.367100000000001</v>
      </c>
      <c r="BR22" s="166">
        <v>19.489000000000001</v>
      </c>
      <c r="BS22" s="166">
        <v>-175.61359999999999</v>
      </c>
      <c r="BT22" s="167"/>
      <c r="BU22" s="167"/>
      <c r="BV22" s="167"/>
      <c r="BW22" s="166">
        <v>9.1712000000000007</v>
      </c>
      <c r="BX22" s="166">
        <v>9.0299999999999994</v>
      </c>
      <c r="BY22" s="166">
        <v>6.31</v>
      </c>
      <c r="BZ22" s="166">
        <v>-11.62</v>
      </c>
      <c r="CA22" s="166">
        <v>4.04</v>
      </c>
      <c r="CB22" s="166">
        <v>-24.51</v>
      </c>
      <c r="CC22" s="166">
        <v>-24.376000000000001</v>
      </c>
      <c r="CD22" s="166">
        <v>28.4602</v>
      </c>
      <c r="CE22" s="166">
        <v>26.689</v>
      </c>
      <c r="CF22" s="166">
        <v>-7.4672999999999998</v>
      </c>
      <c r="CG22" s="166">
        <v>-15.799099999999999</v>
      </c>
      <c r="CH22" s="166">
        <v>-16.008199999999999</v>
      </c>
      <c r="CI22" s="166">
        <v>1.0631999999999999</v>
      </c>
      <c r="CJ22" s="167"/>
      <c r="CK22" s="166">
        <v>3.456</v>
      </c>
      <c r="CL22" s="166">
        <v>8.5679999999999996</v>
      </c>
      <c r="CM22" s="166">
        <v>-6.6</v>
      </c>
      <c r="CN22" s="166">
        <v>-7.2</v>
      </c>
      <c r="CO22" s="166">
        <v>-2.87</v>
      </c>
      <c r="CP22" s="166">
        <v>17.045400000000001</v>
      </c>
      <c r="CQ22" s="166">
        <v>16.9727</v>
      </c>
      <c r="CR22" s="166">
        <v>15.47</v>
      </c>
      <c r="CS22" s="166">
        <v>33.137099999999997</v>
      </c>
      <c r="CT22" s="166">
        <v>33.282899999999998</v>
      </c>
      <c r="CU22" s="166">
        <v>-29.129799999999999</v>
      </c>
      <c r="CV22" s="166">
        <v>-9.2222000000000008</v>
      </c>
      <c r="CW22" s="166">
        <v>-26.9072</v>
      </c>
      <c r="CX22" s="166">
        <v>2.9659</v>
      </c>
      <c r="CY22" s="166">
        <v>30.94</v>
      </c>
      <c r="CZ22" s="166">
        <v>11.44</v>
      </c>
      <c r="DA22" s="166">
        <v>7.3486000000000002</v>
      </c>
      <c r="DB22" s="166">
        <v>6.1554000000000002</v>
      </c>
      <c r="DC22" s="166">
        <v>-7.5251999999999999</v>
      </c>
      <c r="DD22" s="167"/>
      <c r="DE22" s="167"/>
      <c r="DF22" s="167"/>
      <c r="DG22" s="166">
        <v>20.98</v>
      </c>
      <c r="DH22" s="167"/>
      <c r="DI22" s="167"/>
      <c r="DJ22" s="167"/>
      <c r="DK22" s="166">
        <v>-16.5</v>
      </c>
      <c r="DL22" s="166">
        <v>-0.15379999999999999</v>
      </c>
      <c r="DM22" s="166">
        <v>5.7</v>
      </c>
      <c r="DN22" s="166">
        <v>11.56</v>
      </c>
      <c r="DO22" s="166">
        <v>9.66</v>
      </c>
      <c r="DP22" s="166">
        <v>2.61</v>
      </c>
      <c r="DQ22" s="166">
        <v>-3.52</v>
      </c>
      <c r="DR22" s="166">
        <v>9.8889999999999993</v>
      </c>
      <c r="DS22" s="166">
        <v>-21.043700000000001</v>
      </c>
      <c r="DT22" s="166">
        <v>-9.64</v>
      </c>
      <c r="DU22" s="166">
        <v>-9.85</v>
      </c>
      <c r="DV22" s="166">
        <v>24.65</v>
      </c>
      <c r="DW22" s="166">
        <v>2.0699999999999998</v>
      </c>
      <c r="DX22" s="166">
        <v>-21.690899999999999</v>
      </c>
      <c r="DY22" s="166">
        <v>-11.4</v>
      </c>
      <c r="DZ22" s="166">
        <v>-40.313400000000001</v>
      </c>
      <c r="EA22" s="166">
        <v>-39.081800000000001</v>
      </c>
      <c r="EB22" s="166">
        <v>11.5145</v>
      </c>
      <c r="EC22" s="166">
        <v>-14.406599999999999</v>
      </c>
      <c r="ED22" s="166">
        <v>-22.0547</v>
      </c>
      <c r="EE22" s="166">
        <v>-21.657900000000001</v>
      </c>
      <c r="EF22" s="166">
        <v>-17.7638</v>
      </c>
      <c r="EG22" s="166">
        <v>-25.410299999999999</v>
      </c>
      <c r="EH22" s="166">
        <v>-11.714</v>
      </c>
      <c r="EI22" s="166">
        <v>-95.735100000000003</v>
      </c>
      <c r="EJ22" s="166">
        <v>-39.2196</v>
      </c>
      <c r="EK22" s="167"/>
      <c r="EL22" s="166">
        <v>-10.6746</v>
      </c>
      <c r="EM22" s="166">
        <v>-10.023899999999999</v>
      </c>
      <c r="EN22" s="167"/>
      <c r="EO22" s="166">
        <v>-18.094000000000001</v>
      </c>
      <c r="EP22" s="166">
        <v>-16.070399999999999</v>
      </c>
      <c r="EQ22" s="166">
        <v>-2.052</v>
      </c>
      <c r="ER22" s="166">
        <v>-17.306799999999999</v>
      </c>
      <c r="ES22" s="166">
        <v>-16.811900000000001</v>
      </c>
      <c r="ET22" s="166">
        <v>15.729200000000001</v>
      </c>
      <c r="EU22" s="166">
        <v>6.36</v>
      </c>
      <c r="EV22" s="166">
        <v>-15.07</v>
      </c>
      <c r="EW22" s="166">
        <v>-0.8</v>
      </c>
      <c r="EX22" s="166">
        <v>3.1747000000000001</v>
      </c>
      <c r="EY22" s="166">
        <v>-27.758700000000001</v>
      </c>
      <c r="EZ22" s="166">
        <v>-8.3964999999999996</v>
      </c>
      <c r="FA22" s="166">
        <v>-8.7596000000000007</v>
      </c>
      <c r="FB22" s="166">
        <v>7.9386000000000001</v>
      </c>
      <c r="FC22" s="166">
        <v>18.0566</v>
      </c>
      <c r="FD22" s="166">
        <v>-25.5182</v>
      </c>
      <c r="FE22" s="166">
        <v>8.0587</v>
      </c>
      <c r="FF22" s="166">
        <v>0.5121</v>
      </c>
      <c r="FG22" s="167"/>
      <c r="FH22" s="166">
        <v>3.4529999999999998</v>
      </c>
      <c r="FI22" s="166">
        <v>2.9706999999999999</v>
      </c>
      <c r="FJ22" s="166">
        <v>0</v>
      </c>
      <c r="FK22" s="166">
        <v>12.3918</v>
      </c>
      <c r="FL22" s="166">
        <v>12.224299999999999</v>
      </c>
      <c r="FM22" s="166">
        <v>-20.4297</v>
      </c>
      <c r="FN22" s="166">
        <v>21.511399999999998</v>
      </c>
      <c r="FO22" s="166">
        <v>21.563099999999999</v>
      </c>
      <c r="FP22" s="166">
        <v>-4.6588000000000003</v>
      </c>
      <c r="FQ22" s="166">
        <v>0</v>
      </c>
      <c r="FR22" s="166">
        <v>23.5123</v>
      </c>
      <c r="FS22" s="166">
        <v>-13.9</v>
      </c>
      <c r="FT22" s="167"/>
      <c r="FU22" s="166">
        <v>0.1925</v>
      </c>
      <c r="FV22" s="166">
        <v>-0.27</v>
      </c>
      <c r="FW22" s="166">
        <v>-0.08</v>
      </c>
      <c r="FX22" s="166">
        <v>-23.464300000000001</v>
      </c>
      <c r="FY22" s="167"/>
      <c r="FZ22" s="166">
        <v>5.7270000000000003</v>
      </c>
      <c r="GA22" s="166">
        <v>1.0229999999999999</v>
      </c>
      <c r="GB22" s="167"/>
      <c r="GC22" s="166">
        <v>9.84</v>
      </c>
      <c r="GD22" s="166">
        <v>-20.812799999999999</v>
      </c>
      <c r="GE22" s="166">
        <v>-12.058400000000001</v>
      </c>
      <c r="GF22" s="166">
        <v>-2.93</v>
      </c>
      <c r="GG22" s="166">
        <v>16.3917</v>
      </c>
      <c r="GH22" s="167"/>
      <c r="GI22" s="166">
        <v>19.413599999999999</v>
      </c>
      <c r="GJ22" s="166">
        <v>-3.4474</v>
      </c>
      <c r="GK22" s="166">
        <v>-3.7904</v>
      </c>
      <c r="GL22" s="166">
        <v>1.9662999999999999</v>
      </c>
      <c r="GM22" s="167"/>
      <c r="GN22" s="167"/>
      <c r="GO22" s="166">
        <v>-11.2638</v>
      </c>
      <c r="GP22" s="166">
        <v>66.047200000000004</v>
      </c>
      <c r="GQ22" s="166">
        <v>-0.69120000000000004</v>
      </c>
      <c r="GR22" s="166">
        <v>-19.748200000000001</v>
      </c>
      <c r="GS22" s="166">
        <v>-7.2450000000000001</v>
      </c>
      <c r="GT22" s="166">
        <v>-7.4245000000000001</v>
      </c>
      <c r="GU22" s="166">
        <v>116.8421</v>
      </c>
      <c r="GV22" s="166">
        <v>-4.3941999999999997</v>
      </c>
      <c r="GW22" s="166">
        <v>-9.1889000000000003</v>
      </c>
      <c r="GX22" s="166">
        <v>7.4090999999999996</v>
      </c>
      <c r="GY22" s="166">
        <v>3.2256999999999998</v>
      </c>
      <c r="GZ22" s="166">
        <v>5.6113999999999997</v>
      </c>
      <c r="HA22" s="166">
        <v>5.7359999999999998</v>
      </c>
      <c r="HB22" s="166">
        <v>2.4906999999999999</v>
      </c>
      <c r="HC22" s="166">
        <v>-14.7037</v>
      </c>
      <c r="HD22" s="166">
        <v>-13.145899999999999</v>
      </c>
      <c r="HE22" s="166">
        <v>-9.2200000000000006</v>
      </c>
      <c r="HF22" s="166">
        <v>7.7100999999999997</v>
      </c>
      <c r="HG22" s="166">
        <v>40.780500000000004</v>
      </c>
      <c r="HH22" s="166">
        <v>16.539300000000001</v>
      </c>
      <c r="HI22" s="166">
        <v>65.196799999999996</v>
      </c>
      <c r="HJ22" s="166">
        <v>-11.119899999999999</v>
      </c>
      <c r="HK22" s="166">
        <v>41.0608</v>
      </c>
      <c r="HL22" s="167"/>
      <c r="HM22" s="166">
        <v>-8.1026000000000007</v>
      </c>
      <c r="HN22" s="166">
        <v>-11.461399999999999</v>
      </c>
      <c r="HO22" s="166">
        <v>-12.4687</v>
      </c>
      <c r="HP22" s="166">
        <v>26.1188</v>
      </c>
      <c r="HQ22" s="167"/>
      <c r="HR22" s="166">
        <v>-21.2136</v>
      </c>
      <c r="HS22" s="166">
        <v>-20.960899999999999</v>
      </c>
      <c r="HT22" s="166">
        <v>-10.1181</v>
      </c>
      <c r="HU22" s="166">
        <v>-10.1105</v>
      </c>
      <c r="HV22" s="166">
        <v>12.95</v>
      </c>
      <c r="HW22" s="166">
        <v>12.92</v>
      </c>
      <c r="HX22" s="166">
        <v>-30.5</v>
      </c>
      <c r="HY22" s="166">
        <v>-30.9</v>
      </c>
      <c r="HZ22" s="166">
        <v>3.5700000000000003E-2</v>
      </c>
      <c r="IA22" s="166">
        <v>-6.08</v>
      </c>
      <c r="IB22" s="166">
        <v>69.048100000000005</v>
      </c>
      <c r="IC22" s="166">
        <v>11.0299</v>
      </c>
      <c r="ID22" s="166">
        <v>10.7455</v>
      </c>
      <c r="IE22" s="166">
        <v>-18.2</v>
      </c>
      <c r="IF22" s="166">
        <v>-42.7</v>
      </c>
      <c r="IG22" s="166">
        <v>5.2</v>
      </c>
      <c r="IH22" s="166">
        <v>4.5999999999999996</v>
      </c>
      <c r="II22" s="167"/>
      <c r="IJ22" s="166">
        <v>-18.331800000000001</v>
      </c>
      <c r="IK22" s="166">
        <v>-91.432199999999995</v>
      </c>
      <c r="IL22" s="166">
        <v>39.162599999999998</v>
      </c>
      <c r="IM22" s="166">
        <v>-292.41520000000003</v>
      </c>
      <c r="IN22" s="166">
        <v>-26.399100000000001</v>
      </c>
      <c r="IO22" s="166">
        <v>-27.029199999999999</v>
      </c>
      <c r="IP22" s="166">
        <v>96.461399999999998</v>
      </c>
      <c r="IQ22" s="166">
        <v>69.389499999999998</v>
      </c>
      <c r="IR22" s="166">
        <v>160.83459999999999</v>
      </c>
      <c r="IS22" s="166">
        <v>60.103000000000002</v>
      </c>
      <c r="IT22" s="166">
        <v>26.389800000000001</v>
      </c>
      <c r="IU22" s="166">
        <v>12.6976</v>
      </c>
      <c r="IV22" s="166">
        <v>11.075900000000001</v>
      </c>
      <c r="IW22" s="166">
        <v>-50.483899999999998</v>
      </c>
      <c r="IX22" s="166">
        <v>207.8212</v>
      </c>
      <c r="IY22" s="166">
        <v>-170.8074</v>
      </c>
      <c r="IZ22" s="166">
        <v>35.692399999999999</v>
      </c>
      <c r="JA22" s="166">
        <v>-28.0854</v>
      </c>
      <c r="JB22" s="166">
        <v>1.5954999999999999</v>
      </c>
      <c r="JC22" s="166">
        <v>10.151999999999999</v>
      </c>
      <c r="JD22" s="166">
        <v>-8.64</v>
      </c>
      <c r="JE22" s="166">
        <v>-2.06</v>
      </c>
      <c r="JF22" s="166">
        <v>-2.0760000000000001</v>
      </c>
      <c r="JG22" s="166">
        <v>3.52</v>
      </c>
      <c r="JH22" s="166">
        <v>-1.84</v>
      </c>
      <c r="JI22" s="166">
        <v>-3.2038000000000002</v>
      </c>
      <c r="JJ22" s="166">
        <v>-4.4236000000000004</v>
      </c>
      <c r="JK22" s="166">
        <v>8.0002999999999993</v>
      </c>
      <c r="JL22" s="166">
        <v>-6.2088999999999999</v>
      </c>
      <c r="JM22" s="166">
        <v>-0.3</v>
      </c>
      <c r="JN22" s="166">
        <v>7.7779999999999996</v>
      </c>
      <c r="JO22" s="167"/>
      <c r="JP22" s="167"/>
      <c r="JQ22" s="167"/>
      <c r="JR22" s="166">
        <v>3.4076</v>
      </c>
      <c r="JS22" s="166">
        <v>2.9811000000000001</v>
      </c>
      <c r="JT22" s="166">
        <v>4.4859999999999998</v>
      </c>
      <c r="JU22" s="167"/>
      <c r="JV22" s="166">
        <v>26.7</v>
      </c>
      <c r="JW22" s="166">
        <v>-2.63E-2</v>
      </c>
      <c r="JX22" s="166">
        <v>0.48</v>
      </c>
      <c r="JY22" s="167"/>
      <c r="JZ22" s="166">
        <v>0</v>
      </c>
      <c r="KA22" s="166">
        <v>-18.546700000000001</v>
      </c>
      <c r="KB22" s="166">
        <v>-20.758800000000001</v>
      </c>
      <c r="KC22" s="166">
        <v>2.3862999999999999</v>
      </c>
      <c r="KD22" s="166">
        <v>13.854699999999999</v>
      </c>
      <c r="KE22" s="166">
        <v>-15.5627</v>
      </c>
      <c r="KF22" s="166">
        <v>0</v>
      </c>
      <c r="KG22" s="166">
        <v>-21.3</v>
      </c>
      <c r="KH22" s="166">
        <v>3.3</v>
      </c>
      <c r="KI22" s="166">
        <v>41.223399999999998</v>
      </c>
      <c r="KJ22" s="166">
        <v>-114.2752</v>
      </c>
    </row>
    <row r="23" spans="1:296" ht="18" customHeight="1" x14ac:dyDescent="0.3">
      <c r="A23" s="162" t="s">
        <v>67</v>
      </c>
      <c r="B23" s="162" t="s">
        <v>822</v>
      </c>
      <c r="C23" s="166">
        <v>0</v>
      </c>
      <c r="D23" s="167"/>
      <c r="E23" s="166">
        <v>2.2397999999999998</v>
      </c>
      <c r="F23" s="166">
        <v>-7.3204000000000002</v>
      </c>
      <c r="G23" s="166">
        <v>4.2325999999999997</v>
      </c>
      <c r="H23" s="166">
        <v>9.5634999999999994</v>
      </c>
      <c r="I23" s="167"/>
      <c r="J23" s="166">
        <v>13.4373</v>
      </c>
      <c r="K23" s="167"/>
      <c r="L23" s="166">
        <v>14.568</v>
      </c>
      <c r="M23" s="166">
        <v>6.2468000000000004</v>
      </c>
      <c r="N23" s="166">
        <v>7.6885000000000003</v>
      </c>
      <c r="O23" s="166">
        <v>-6.66</v>
      </c>
      <c r="P23" s="166">
        <v>-22</v>
      </c>
      <c r="Q23" s="166">
        <v>-2.2000000000000002</v>
      </c>
      <c r="R23" s="166">
        <v>1.6559999999999999</v>
      </c>
      <c r="S23" s="166">
        <v>-13.2</v>
      </c>
      <c r="T23" s="166">
        <v>4.2077999999999998</v>
      </c>
      <c r="U23" s="166">
        <v>-10.301399999999999</v>
      </c>
      <c r="V23" s="167"/>
      <c r="W23" s="166">
        <v>6.101</v>
      </c>
      <c r="X23" s="166">
        <v>10.5814</v>
      </c>
      <c r="Y23" s="166">
        <v>1.6278999999999999</v>
      </c>
      <c r="Z23" s="166">
        <v>-0.5847</v>
      </c>
      <c r="AA23" s="166">
        <v>1.3308</v>
      </c>
      <c r="AB23" s="167"/>
      <c r="AC23" s="166">
        <v>-1.0778000000000001</v>
      </c>
      <c r="AD23" s="166">
        <v>-0.89100000000000001</v>
      </c>
      <c r="AE23" s="166">
        <v>-0.86699999999999999</v>
      </c>
      <c r="AF23" s="166">
        <v>2.7530000000000001</v>
      </c>
      <c r="AG23" s="166">
        <v>-13.32</v>
      </c>
      <c r="AH23" s="166">
        <v>-11</v>
      </c>
      <c r="AI23" s="166">
        <v>-0.98299999999999998</v>
      </c>
      <c r="AJ23" s="166">
        <v>0.29199999999999998</v>
      </c>
      <c r="AK23" s="166">
        <v>-10.7</v>
      </c>
      <c r="AL23" s="167"/>
      <c r="AM23" s="167"/>
      <c r="AN23" s="166">
        <v>-9.61</v>
      </c>
      <c r="AO23" s="166">
        <v>-9.6999999999999993</v>
      </c>
      <c r="AP23" s="166">
        <v>1.0011000000000001</v>
      </c>
      <c r="AQ23" s="166">
        <v>3.4891000000000001</v>
      </c>
      <c r="AR23" s="166">
        <v>20.9575</v>
      </c>
      <c r="AS23" s="166">
        <v>23.601099999999999</v>
      </c>
      <c r="AT23" s="166">
        <v>-12.2502</v>
      </c>
      <c r="AU23" s="166">
        <v>-8.3922000000000008</v>
      </c>
      <c r="AV23" s="166">
        <v>-7.1360999999999999</v>
      </c>
      <c r="AW23" s="166">
        <v>11.3841</v>
      </c>
      <c r="AX23" s="166">
        <v>19.869199999999999</v>
      </c>
      <c r="AY23" s="166">
        <v>-13.9482</v>
      </c>
      <c r="AZ23" s="166">
        <v>-10.232100000000001</v>
      </c>
      <c r="BA23" s="166">
        <v>23.4039</v>
      </c>
      <c r="BB23" s="166">
        <v>24.6297</v>
      </c>
      <c r="BC23" s="166">
        <v>73.805599999999998</v>
      </c>
      <c r="BD23" s="166">
        <v>11.539300000000001</v>
      </c>
      <c r="BE23" s="166">
        <v>-5.4</v>
      </c>
      <c r="BF23" s="166">
        <v>-5.5</v>
      </c>
      <c r="BG23" s="166">
        <v>-23.638999999999999</v>
      </c>
      <c r="BH23" s="166">
        <v>-26.4648</v>
      </c>
      <c r="BI23" s="166">
        <v>-1.6218999999999999</v>
      </c>
      <c r="BJ23" s="167"/>
      <c r="BK23" s="166">
        <v>2.0289999999999999</v>
      </c>
      <c r="BL23" s="166">
        <v>4.7327000000000004</v>
      </c>
      <c r="BM23" s="166">
        <v>2.0261</v>
      </c>
      <c r="BN23" s="166">
        <v>1.4215</v>
      </c>
      <c r="BO23" s="166">
        <v>-134.2509</v>
      </c>
      <c r="BP23" s="166">
        <v>52.369700000000002</v>
      </c>
      <c r="BQ23" s="166">
        <v>52.430799999999998</v>
      </c>
      <c r="BR23" s="166">
        <v>7.8887</v>
      </c>
      <c r="BS23" s="166">
        <v>-154.2619</v>
      </c>
      <c r="BT23" s="167"/>
      <c r="BU23" s="167"/>
      <c r="BV23" s="167"/>
      <c r="BW23" s="166">
        <v>16.296600000000002</v>
      </c>
      <c r="BX23" s="166">
        <v>9.6300000000000008</v>
      </c>
      <c r="BY23" s="166">
        <v>7.07</v>
      </c>
      <c r="BZ23" s="166">
        <v>-9.6199999999999992</v>
      </c>
      <c r="CA23" s="166">
        <v>6.12</v>
      </c>
      <c r="CB23" s="166">
        <v>-24.242000000000001</v>
      </c>
      <c r="CC23" s="166">
        <v>-24.242000000000001</v>
      </c>
      <c r="CD23" s="166">
        <v>27.180199999999999</v>
      </c>
      <c r="CE23" s="166">
        <v>25.719000000000001</v>
      </c>
      <c r="CF23" s="166">
        <v>-9.1259999999999994</v>
      </c>
      <c r="CG23" s="166">
        <v>-1.7628999999999999</v>
      </c>
      <c r="CH23" s="166">
        <v>-1.3297000000000001</v>
      </c>
      <c r="CI23" s="166">
        <v>2.2934999999999999</v>
      </c>
      <c r="CJ23" s="166">
        <v>0</v>
      </c>
      <c r="CK23" s="166">
        <v>3.456</v>
      </c>
      <c r="CL23" s="166">
        <v>8.7899999999999991</v>
      </c>
      <c r="CM23" s="166">
        <v>-11.4</v>
      </c>
      <c r="CN23" s="166">
        <v>-11.4</v>
      </c>
      <c r="CO23" s="166">
        <v>-3.51</v>
      </c>
      <c r="CP23" s="166">
        <v>22.865300000000001</v>
      </c>
      <c r="CQ23" s="166">
        <v>23.2226</v>
      </c>
      <c r="CR23" s="166">
        <v>21.467199999999998</v>
      </c>
      <c r="CS23" s="166">
        <v>52.856400000000001</v>
      </c>
      <c r="CT23" s="166">
        <v>52.521299999999997</v>
      </c>
      <c r="CU23" s="166">
        <v>-29.522400000000001</v>
      </c>
      <c r="CV23" s="166">
        <v>-31.652100000000001</v>
      </c>
      <c r="CW23" s="166">
        <v>-26.572099999999999</v>
      </c>
      <c r="CX23" s="166">
        <v>2.7715000000000001</v>
      </c>
      <c r="CY23" s="166">
        <v>35.15</v>
      </c>
      <c r="CZ23" s="166">
        <v>13.68</v>
      </c>
      <c r="DA23" s="166">
        <v>8.2860999999999994</v>
      </c>
      <c r="DB23" s="166">
        <v>7.2295999999999996</v>
      </c>
      <c r="DC23" s="166">
        <v>-8.4524000000000008</v>
      </c>
      <c r="DD23" s="167"/>
      <c r="DE23" s="167"/>
      <c r="DF23" s="167"/>
      <c r="DG23" s="166">
        <v>22.250499999999999</v>
      </c>
      <c r="DH23" s="167"/>
      <c r="DI23" s="167"/>
      <c r="DJ23" s="166">
        <v>-28.2</v>
      </c>
      <c r="DK23" s="166">
        <v>-27.9</v>
      </c>
      <c r="DL23" s="166">
        <v>0.49380000000000002</v>
      </c>
      <c r="DM23" s="166">
        <v>7.8</v>
      </c>
      <c r="DN23" s="166">
        <v>13.26</v>
      </c>
      <c r="DO23" s="166">
        <v>12.32</v>
      </c>
      <c r="DP23" s="166">
        <v>4.22</v>
      </c>
      <c r="DQ23" s="166">
        <v>-3.95</v>
      </c>
      <c r="DR23" s="166">
        <v>11.191000000000001</v>
      </c>
      <c r="DS23" s="166">
        <v>-23.2288</v>
      </c>
      <c r="DT23" s="166">
        <v>-9.6</v>
      </c>
      <c r="DU23" s="166">
        <v>-9.6</v>
      </c>
      <c r="DV23" s="166">
        <v>26.46</v>
      </c>
      <c r="DW23" s="166">
        <v>3.73</v>
      </c>
      <c r="DX23" s="166">
        <v>-23.327300000000001</v>
      </c>
      <c r="DY23" s="166">
        <v>-11.7818</v>
      </c>
      <c r="DZ23" s="166">
        <v>-40.904899999999998</v>
      </c>
      <c r="EA23" s="166">
        <v>-39.209099999999999</v>
      </c>
      <c r="EB23" s="166">
        <v>16.959199999999999</v>
      </c>
      <c r="EC23" s="166">
        <v>-9.2975999999999992</v>
      </c>
      <c r="ED23" s="166">
        <v>-17.8674</v>
      </c>
      <c r="EE23" s="166">
        <v>-17.316800000000001</v>
      </c>
      <c r="EF23" s="166">
        <v>-17.186699999999998</v>
      </c>
      <c r="EG23" s="166">
        <v>-24.576799999999999</v>
      </c>
      <c r="EH23" s="166">
        <v>-11.756</v>
      </c>
      <c r="EI23" s="166">
        <v>-81.507499999999993</v>
      </c>
      <c r="EJ23" s="166">
        <v>-47.153700000000001</v>
      </c>
      <c r="EK23" s="167"/>
      <c r="EL23" s="166">
        <v>-10.669</v>
      </c>
      <c r="EM23" s="166">
        <v>-11.1374</v>
      </c>
      <c r="EN23" s="167"/>
      <c r="EO23" s="166">
        <v>-18.8734</v>
      </c>
      <c r="EP23" s="166">
        <v>-17.797999999999998</v>
      </c>
      <c r="EQ23" s="166">
        <v>14.864000000000001</v>
      </c>
      <c r="ER23" s="166">
        <v>-18.908799999999999</v>
      </c>
      <c r="ES23" s="166">
        <v>-19.209399999999999</v>
      </c>
      <c r="ET23" s="166">
        <v>11.5222</v>
      </c>
      <c r="EU23" s="166">
        <v>0</v>
      </c>
      <c r="EV23" s="166">
        <v>-13.16</v>
      </c>
      <c r="EW23" s="166">
        <v>-2.9</v>
      </c>
      <c r="EX23" s="166">
        <v>3.6057999999999999</v>
      </c>
      <c r="EY23" s="166">
        <v>-27.275500000000001</v>
      </c>
      <c r="EZ23" s="166">
        <v>-8.3926999999999996</v>
      </c>
      <c r="FA23" s="166">
        <v>-8.5759000000000007</v>
      </c>
      <c r="FB23" s="166">
        <v>8.2824000000000009</v>
      </c>
      <c r="FC23" s="166">
        <v>10.8261</v>
      </c>
      <c r="FD23" s="166">
        <v>-25.193300000000001</v>
      </c>
      <c r="FE23" s="166">
        <v>8.4963999999999995</v>
      </c>
      <c r="FF23" s="166">
        <v>0.46920000000000001</v>
      </c>
      <c r="FG23" s="167"/>
      <c r="FH23" s="166">
        <v>3.2162999999999999</v>
      </c>
      <c r="FI23" s="166">
        <v>4.6277999999999997</v>
      </c>
      <c r="FJ23" s="166">
        <v>3.2374000000000001</v>
      </c>
      <c r="FK23" s="166">
        <v>12.224299999999999</v>
      </c>
      <c r="FL23" s="166">
        <v>12.056900000000001</v>
      </c>
      <c r="FM23" s="166">
        <v>-18.922599999999999</v>
      </c>
      <c r="FN23" s="166">
        <v>22.262</v>
      </c>
      <c r="FO23" s="166">
        <v>22.895</v>
      </c>
      <c r="FP23" s="166">
        <v>-3.8914</v>
      </c>
      <c r="FQ23" s="166">
        <v>10.5054</v>
      </c>
      <c r="FR23" s="166">
        <v>24.024999999999999</v>
      </c>
      <c r="FS23" s="166">
        <v>-14.79</v>
      </c>
      <c r="FT23" s="167"/>
      <c r="FU23" s="166">
        <v>0.1467</v>
      </c>
      <c r="FV23" s="166">
        <v>-0.24</v>
      </c>
      <c r="FW23" s="166">
        <v>0.56000000000000005</v>
      </c>
      <c r="FX23" s="166">
        <v>-23.669</v>
      </c>
      <c r="FY23" s="167"/>
      <c r="FZ23" s="166">
        <v>5.84</v>
      </c>
      <c r="GA23" s="166">
        <v>1.117</v>
      </c>
      <c r="GB23" s="167"/>
      <c r="GC23" s="166">
        <v>8.57</v>
      </c>
      <c r="GD23" s="166">
        <v>-21.525099999999998</v>
      </c>
      <c r="GE23" s="166">
        <v>-12.74</v>
      </c>
      <c r="GF23" s="166">
        <v>-2.82</v>
      </c>
      <c r="GG23" s="166">
        <v>15.8119</v>
      </c>
      <c r="GH23" s="167"/>
      <c r="GI23" s="166">
        <v>21.010999999999999</v>
      </c>
      <c r="GJ23" s="166">
        <v>-4.3789999999999996</v>
      </c>
      <c r="GK23" s="166">
        <v>-4.7720000000000002</v>
      </c>
      <c r="GL23" s="166">
        <v>2.0617999999999999</v>
      </c>
      <c r="GM23" s="167"/>
      <c r="GN23" s="167"/>
      <c r="GO23" s="167"/>
      <c r="GP23" s="166">
        <v>68.688000000000002</v>
      </c>
      <c r="GQ23" s="166">
        <v>-0.50390000000000001</v>
      </c>
      <c r="GR23" s="166">
        <v>-21.643899999999999</v>
      </c>
      <c r="GS23" s="166">
        <v>-7.4805000000000001</v>
      </c>
      <c r="GT23" s="166">
        <v>-7.2721999999999998</v>
      </c>
      <c r="GU23" s="166">
        <v>116.6147</v>
      </c>
      <c r="GV23" s="166">
        <v>-3.6137000000000001</v>
      </c>
      <c r="GW23" s="166">
        <v>-8.5981000000000005</v>
      </c>
      <c r="GX23" s="166">
        <v>5.3125999999999998</v>
      </c>
      <c r="GY23" s="166">
        <v>3.0731999999999999</v>
      </c>
      <c r="GZ23" s="166">
        <v>5.8898000000000001</v>
      </c>
      <c r="HA23" s="166">
        <v>5.9100999999999999</v>
      </c>
      <c r="HB23" s="166">
        <v>2.3429000000000002</v>
      </c>
      <c r="HC23" s="166">
        <v>-18.1204</v>
      </c>
      <c r="HD23" s="166">
        <v>-17.783200000000001</v>
      </c>
      <c r="HE23" s="166">
        <v>-9.2200000000000006</v>
      </c>
      <c r="HF23" s="166">
        <v>4.0804</v>
      </c>
      <c r="HG23" s="166">
        <v>25.147300000000001</v>
      </c>
      <c r="HH23" s="166">
        <v>19.3247</v>
      </c>
      <c r="HI23" s="166">
        <v>72.858400000000003</v>
      </c>
      <c r="HJ23" s="166">
        <v>-18.474399999999999</v>
      </c>
      <c r="HK23" s="166">
        <v>33.393099999999997</v>
      </c>
      <c r="HL23" s="167"/>
      <c r="HM23" s="166">
        <v>-6.0553999999999997</v>
      </c>
      <c r="HN23" s="166">
        <v>-10.4633</v>
      </c>
      <c r="HO23" s="166">
        <v>-12.710900000000001</v>
      </c>
      <c r="HP23" s="167"/>
      <c r="HQ23" s="166">
        <v>20.549900000000001</v>
      </c>
      <c r="HR23" s="166">
        <v>-18.615200000000002</v>
      </c>
      <c r="HS23" s="166">
        <v>-18.340599999999998</v>
      </c>
      <c r="HT23" s="166">
        <v>-11.735099999999999</v>
      </c>
      <c r="HU23" s="166">
        <v>-11.897500000000001</v>
      </c>
      <c r="HV23" s="166">
        <v>16.100000000000001</v>
      </c>
      <c r="HW23" s="166">
        <v>16.23</v>
      </c>
      <c r="HX23" s="166">
        <v>-30.4</v>
      </c>
      <c r="HY23" s="166">
        <v>-30.4</v>
      </c>
      <c r="HZ23" s="166">
        <v>0.28289999999999998</v>
      </c>
      <c r="IA23" s="166">
        <v>-4.08</v>
      </c>
      <c r="IB23" s="166">
        <v>68.933999999999997</v>
      </c>
      <c r="IC23" s="166">
        <v>15.0343</v>
      </c>
      <c r="ID23" s="166">
        <v>15.267799999999999</v>
      </c>
      <c r="IE23" s="166">
        <v>-17.399999999999999</v>
      </c>
      <c r="IF23" s="166">
        <v>-42.7</v>
      </c>
      <c r="IG23" s="166">
        <v>2.2000000000000002</v>
      </c>
      <c r="IH23" s="166">
        <v>1.6</v>
      </c>
      <c r="II23" s="166">
        <v>-18.169599999999999</v>
      </c>
      <c r="IJ23" s="166">
        <v>-17.962900000000001</v>
      </c>
      <c r="IK23" s="166">
        <v>-125.6771</v>
      </c>
      <c r="IL23" s="166">
        <v>23.748100000000001</v>
      </c>
      <c r="IM23" s="166">
        <v>-247.667</v>
      </c>
      <c r="IN23" s="166">
        <v>-23.543399999999998</v>
      </c>
      <c r="IO23" s="166">
        <v>-28.257300000000001</v>
      </c>
      <c r="IP23" s="166">
        <v>80.225399999999993</v>
      </c>
      <c r="IQ23" s="166">
        <v>85.962400000000002</v>
      </c>
      <c r="IR23" s="166">
        <v>126.4787</v>
      </c>
      <c r="IS23" s="166">
        <v>101.24079999999999</v>
      </c>
      <c r="IT23" s="166">
        <v>4.3383000000000003</v>
      </c>
      <c r="IU23" s="166">
        <v>18.319400000000002</v>
      </c>
      <c r="IV23" s="166">
        <v>17.108599999999999</v>
      </c>
      <c r="IW23" s="166">
        <v>-18.148</v>
      </c>
      <c r="IX23" s="166">
        <v>143.6841</v>
      </c>
      <c r="IY23" s="166">
        <v>-214.59520000000001</v>
      </c>
      <c r="IZ23" s="166">
        <v>74.007900000000006</v>
      </c>
      <c r="JA23" s="166">
        <v>-68.093999999999994</v>
      </c>
      <c r="JB23" s="166">
        <v>-0.77270000000000005</v>
      </c>
      <c r="JC23" s="166">
        <v>9.9870000000000001</v>
      </c>
      <c r="JD23" s="166">
        <v>-9.0399999999999991</v>
      </c>
      <c r="JE23" s="166">
        <v>-2.069</v>
      </c>
      <c r="JF23" s="166">
        <v>-2.0699999999999998</v>
      </c>
      <c r="JG23" s="166">
        <v>4.08</v>
      </c>
      <c r="JH23" s="166">
        <v>-1.92</v>
      </c>
      <c r="JI23" s="166">
        <v>-3.6903000000000001</v>
      </c>
      <c r="JJ23" s="166">
        <v>-4.2465999999999999</v>
      </c>
      <c r="JK23" s="166">
        <v>7.0023999999999997</v>
      </c>
      <c r="JL23" s="166">
        <v>-5.6535000000000002</v>
      </c>
      <c r="JM23" s="166">
        <v>-0.7</v>
      </c>
      <c r="JN23" s="166">
        <v>8.2270000000000003</v>
      </c>
      <c r="JO23" s="166">
        <v>5.798</v>
      </c>
      <c r="JP23" s="167"/>
      <c r="JQ23" s="167"/>
      <c r="JR23" s="166">
        <v>3.6945999999999999</v>
      </c>
      <c r="JS23" s="166">
        <v>3.6423000000000001</v>
      </c>
      <c r="JT23" s="166">
        <v>4.7262000000000004</v>
      </c>
      <c r="JU23" s="167"/>
      <c r="JV23" s="166">
        <v>27</v>
      </c>
      <c r="JW23" s="166">
        <v>0.55369999999999997</v>
      </c>
      <c r="JX23" s="166">
        <v>0.63</v>
      </c>
      <c r="JY23" s="167"/>
      <c r="JZ23" s="167"/>
      <c r="KA23" s="166">
        <v>-18.876100000000001</v>
      </c>
      <c r="KB23" s="166">
        <v>-21.034400000000002</v>
      </c>
      <c r="KC23" s="166">
        <v>2.7696999999999998</v>
      </c>
      <c r="KD23" s="166">
        <v>14.6347</v>
      </c>
      <c r="KE23" s="166">
        <v>-16.178000000000001</v>
      </c>
      <c r="KF23" s="166">
        <v>0</v>
      </c>
      <c r="KG23" s="166">
        <v>-22</v>
      </c>
      <c r="KH23" s="166">
        <v>4.0999999999999996</v>
      </c>
      <c r="KI23" s="166">
        <v>33.021299999999997</v>
      </c>
      <c r="KJ23" s="166">
        <v>-105.4816</v>
      </c>
    </row>
    <row r="24" spans="1:296" ht="18" customHeight="1" x14ac:dyDescent="0.3">
      <c r="A24" s="162" t="s">
        <v>67</v>
      </c>
      <c r="B24" s="162" t="s">
        <v>823</v>
      </c>
      <c r="C24" s="169">
        <v>0</v>
      </c>
      <c r="D24" s="170"/>
      <c r="E24" s="169">
        <v>2.2370000000000001</v>
      </c>
      <c r="F24" s="169">
        <v>-10.3485</v>
      </c>
      <c r="G24" s="169">
        <v>3.1457999999999999</v>
      </c>
      <c r="H24" s="169">
        <v>9.6047999999999991</v>
      </c>
      <c r="I24" s="170"/>
      <c r="J24" s="169">
        <v>13.7719</v>
      </c>
      <c r="K24" s="170"/>
      <c r="L24" s="169">
        <v>13.723699999999999</v>
      </c>
      <c r="M24" s="169">
        <v>5.4157999999999999</v>
      </c>
      <c r="N24" s="169">
        <v>6.8575999999999997</v>
      </c>
      <c r="O24" s="169">
        <v>-8.8800000000000008</v>
      </c>
      <c r="P24" s="169">
        <v>-22</v>
      </c>
      <c r="Q24" s="169">
        <v>-2.2000000000000002</v>
      </c>
      <c r="R24" s="169">
        <v>2.484</v>
      </c>
      <c r="S24" s="169">
        <v>-13.2</v>
      </c>
      <c r="T24" s="169">
        <v>4.2309000000000001</v>
      </c>
      <c r="U24" s="169">
        <v>-11.9031</v>
      </c>
      <c r="V24" s="170"/>
      <c r="W24" s="169">
        <v>6.5780000000000003</v>
      </c>
      <c r="X24" s="169">
        <v>11.4322</v>
      </c>
      <c r="Y24" s="169">
        <v>1.575</v>
      </c>
      <c r="Z24" s="169">
        <v>-0.55249999999999999</v>
      </c>
      <c r="AA24" s="169">
        <v>1.383</v>
      </c>
      <c r="AB24" s="170"/>
      <c r="AC24" s="169">
        <v>-1.1246</v>
      </c>
      <c r="AD24" s="169">
        <v>-0.89100000000000001</v>
      </c>
      <c r="AE24" s="169">
        <v>-0.88200000000000001</v>
      </c>
      <c r="AF24" s="169">
        <v>2.738</v>
      </c>
      <c r="AG24" s="169">
        <v>-11.1</v>
      </c>
      <c r="AH24" s="169">
        <v>-11</v>
      </c>
      <c r="AI24" s="169">
        <v>-0.93700000000000006</v>
      </c>
      <c r="AJ24" s="169">
        <v>0.29399999999999998</v>
      </c>
      <c r="AK24" s="169">
        <v>-10.77</v>
      </c>
      <c r="AL24" s="170"/>
      <c r="AM24" s="170"/>
      <c r="AN24" s="169">
        <v>-10.49</v>
      </c>
      <c r="AO24" s="169">
        <v>-10.46</v>
      </c>
      <c r="AP24" s="169">
        <v>1.9406000000000001</v>
      </c>
      <c r="AQ24" s="169">
        <v>3.4049999999999998</v>
      </c>
      <c r="AR24" s="169">
        <v>22.532900000000001</v>
      </c>
      <c r="AS24" s="169">
        <v>24.980499999999999</v>
      </c>
      <c r="AT24" s="169">
        <v>-10.4931</v>
      </c>
      <c r="AU24" s="169">
        <v>-6.8479999999999999</v>
      </c>
      <c r="AV24" s="169">
        <v>-6.5926</v>
      </c>
      <c r="AW24" s="169">
        <v>4.1116000000000001</v>
      </c>
      <c r="AX24" s="169">
        <v>4.9504999999999999</v>
      </c>
      <c r="AY24" s="169">
        <v>-10.280099999999999</v>
      </c>
      <c r="AZ24" s="169">
        <v>-7.7596999999999996</v>
      </c>
      <c r="BA24" s="169">
        <v>14.495900000000001</v>
      </c>
      <c r="BB24" s="169">
        <v>15.122</v>
      </c>
      <c r="BC24" s="169">
        <v>78.244</v>
      </c>
      <c r="BD24" s="169">
        <v>10.466900000000001</v>
      </c>
      <c r="BE24" s="169">
        <v>-5.8</v>
      </c>
      <c r="BF24" s="169">
        <v>-5.7</v>
      </c>
      <c r="BG24" s="169">
        <v>-27.2925</v>
      </c>
      <c r="BH24" s="169">
        <v>-27.0337</v>
      </c>
      <c r="BI24" s="169">
        <v>-2.0173000000000001</v>
      </c>
      <c r="BJ24" s="170"/>
      <c r="BK24" s="169">
        <v>4.2423999999999999</v>
      </c>
      <c r="BL24" s="169">
        <v>4.4377000000000004</v>
      </c>
      <c r="BM24" s="169">
        <v>0</v>
      </c>
      <c r="BN24" s="169">
        <v>0.18629999999999999</v>
      </c>
      <c r="BO24" s="169">
        <v>-130.9854</v>
      </c>
      <c r="BP24" s="169">
        <v>52.827500000000001</v>
      </c>
      <c r="BQ24" s="169">
        <v>53.041200000000003</v>
      </c>
      <c r="BR24" s="169">
        <v>-1.3865000000000001</v>
      </c>
      <c r="BS24" s="169">
        <v>-154.11760000000001</v>
      </c>
      <c r="BT24" s="170"/>
      <c r="BU24" s="170"/>
      <c r="BV24" s="170"/>
      <c r="BW24" s="169">
        <v>20.5778</v>
      </c>
      <c r="BX24" s="169">
        <v>10.46</v>
      </c>
      <c r="BY24" s="169">
        <v>8.17</v>
      </c>
      <c r="BZ24" s="169">
        <v>-7.35</v>
      </c>
      <c r="CA24" s="169">
        <v>8.26</v>
      </c>
      <c r="CB24" s="169">
        <v>-25.447700000000001</v>
      </c>
      <c r="CC24" s="169">
        <v>-25.313700000000001</v>
      </c>
      <c r="CD24" s="169">
        <v>28.091799999999999</v>
      </c>
      <c r="CE24" s="169">
        <v>26.563600000000001</v>
      </c>
      <c r="CF24" s="169">
        <v>-11.527699999999999</v>
      </c>
      <c r="CG24" s="169">
        <v>3.7014</v>
      </c>
      <c r="CH24" s="169">
        <v>4.1840000000000002</v>
      </c>
      <c r="CI24" s="169">
        <v>4.1961000000000004</v>
      </c>
      <c r="CJ24" s="169">
        <v>0</v>
      </c>
      <c r="CK24" s="169">
        <v>3.456</v>
      </c>
      <c r="CL24" s="169">
        <v>8.6069999999999993</v>
      </c>
      <c r="CM24" s="169">
        <v>-8.3000000000000007</v>
      </c>
      <c r="CN24" s="169">
        <v>-8.8000000000000007</v>
      </c>
      <c r="CO24" s="169">
        <v>-3.75</v>
      </c>
      <c r="CP24" s="169">
        <v>28.3811</v>
      </c>
      <c r="CQ24" s="169">
        <v>28.815200000000001</v>
      </c>
      <c r="CR24" s="169">
        <v>26.7883</v>
      </c>
      <c r="CS24" s="169">
        <v>48.8718</v>
      </c>
      <c r="CT24" s="169">
        <v>49.432000000000002</v>
      </c>
      <c r="CU24" s="169">
        <v>-29.954999999999998</v>
      </c>
      <c r="CV24" s="169">
        <v>-29.547000000000001</v>
      </c>
      <c r="CW24" s="169">
        <v>-27.190200000000001</v>
      </c>
      <c r="CX24" s="169">
        <v>3.0312000000000001</v>
      </c>
      <c r="CY24" s="169">
        <v>38.08</v>
      </c>
      <c r="CZ24" s="169">
        <v>14.95</v>
      </c>
      <c r="DA24" s="169">
        <v>9.0673999999999992</v>
      </c>
      <c r="DB24" s="169">
        <v>8.0108999999999995</v>
      </c>
      <c r="DC24" s="169">
        <v>-8.7141999999999999</v>
      </c>
      <c r="DD24" s="170"/>
      <c r="DE24" s="170"/>
      <c r="DF24" s="170"/>
      <c r="DG24" s="169">
        <v>27.118400000000001</v>
      </c>
      <c r="DH24" s="170"/>
      <c r="DI24" s="170"/>
      <c r="DJ24" s="169">
        <v>-30.1</v>
      </c>
      <c r="DK24" s="169">
        <v>-31.9</v>
      </c>
      <c r="DL24" s="169">
        <v>0.44009999999999999</v>
      </c>
      <c r="DM24" s="169">
        <v>9.5</v>
      </c>
      <c r="DN24" s="169">
        <v>14.92</v>
      </c>
      <c r="DO24" s="169">
        <v>13.86</v>
      </c>
      <c r="DP24" s="169">
        <v>5.66</v>
      </c>
      <c r="DQ24" s="169">
        <v>-4.38</v>
      </c>
      <c r="DR24" s="169">
        <v>13.8725</v>
      </c>
      <c r="DS24" s="169">
        <v>-27.276599999999998</v>
      </c>
      <c r="DT24" s="169">
        <v>-8.9499999999999993</v>
      </c>
      <c r="DU24" s="169">
        <v>-9.0500000000000007</v>
      </c>
      <c r="DV24" s="169">
        <v>26.99</v>
      </c>
      <c r="DW24" s="169">
        <v>5.58</v>
      </c>
      <c r="DX24" s="169">
        <v>-28.4909</v>
      </c>
      <c r="DY24" s="169">
        <v>-14.181800000000001</v>
      </c>
      <c r="DZ24" s="169">
        <v>0</v>
      </c>
      <c r="EA24" s="169">
        <v>-45.690899999999999</v>
      </c>
      <c r="EB24" s="169">
        <v>29.428799999999999</v>
      </c>
      <c r="EC24" s="169">
        <v>0.48430000000000001</v>
      </c>
      <c r="ED24" s="169">
        <v>-8.6545000000000005</v>
      </c>
      <c r="EE24" s="169">
        <v>-8.3928999999999991</v>
      </c>
      <c r="EF24" s="169">
        <v>-20.5108</v>
      </c>
      <c r="EG24" s="169">
        <v>-27.194199999999999</v>
      </c>
      <c r="EH24" s="169">
        <v>-11.279</v>
      </c>
      <c r="EI24" s="169">
        <v>-69.067899999999995</v>
      </c>
      <c r="EJ24" s="169">
        <v>-61.2761</v>
      </c>
      <c r="EK24" s="170"/>
      <c r="EL24" s="169">
        <v>-11.5853</v>
      </c>
      <c r="EM24" s="169">
        <v>-11.2804</v>
      </c>
      <c r="EN24" s="170"/>
      <c r="EO24" s="169">
        <v>-16.844799999999999</v>
      </c>
      <c r="EP24" s="169">
        <v>-16.2441</v>
      </c>
      <c r="EQ24" s="169">
        <v>20.495999999999999</v>
      </c>
      <c r="ER24" s="169">
        <v>-21.870999999999999</v>
      </c>
      <c r="ES24" s="169">
        <v>-21.5639</v>
      </c>
      <c r="ET24" s="169">
        <v>8.4878999999999998</v>
      </c>
      <c r="EU24" s="169">
        <v>-19.87</v>
      </c>
      <c r="EV24" s="169">
        <v>-11.63</v>
      </c>
      <c r="EW24" s="169">
        <v>0.3</v>
      </c>
      <c r="EX24" s="169">
        <v>3.7267999999999999</v>
      </c>
      <c r="EY24" s="169">
        <v>-27.8094</v>
      </c>
      <c r="EZ24" s="169">
        <v>-6.8133999999999997</v>
      </c>
      <c r="FA24" s="169">
        <v>-6.8090000000000002</v>
      </c>
      <c r="FB24" s="169">
        <v>8.3824000000000005</v>
      </c>
      <c r="FC24" s="169">
        <v>12.061999999999999</v>
      </c>
      <c r="FD24" s="169">
        <v>-20.233000000000001</v>
      </c>
      <c r="FE24" s="169">
        <v>8.2639999999999993</v>
      </c>
      <c r="FF24" s="169">
        <v>-1.3875</v>
      </c>
      <c r="FG24" s="170"/>
      <c r="FH24" s="169">
        <v>3.7679999999999998</v>
      </c>
      <c r="FI24" s="169">
        <v>3.5228000000000002</v>
      </c>
      <c r="FJ24" s="169">
        <v>3.6968999999999999</v>
      </c>
      <c r="FK24" s="169">
        <v>14.401199999999999</v>
      </c>
      <c r="FL24" s="169">
        <v>14.7362</v>
      </c>
      <c r="FM24" s="169">
        <v>-18.0853</v>
      </c>
      <c r="FN24" s="169">
        <v>0</v>
      </c>
      <c r="FO24" s="169">
        <v>28.956700000000001</v>
      </c>
      <c r="FP24" s="169">
        <v>-4.0197000000000003</v>
      </c>
      <c r="FQ24" s="169">
        <v>0</v>
      </c>
      <c r="FR24" s="169">
        <v>22.496700000000001</v>
      </c>
      <c r="FS24" s="169">
        <v>-15.61</v>
      </c>
      <c r="FT24" s="170"/>
      <c r="FU24" s="169">
        <v>0.13850000000000001</v>
      </c>
      <c r="FV24" s="169">
        <v>-0.24</v>
      </c>
      <c r="FW24" s="169">
        <v>0.54</v>
      </c>
      <c r="FX24" s="169">
        <v>-22.8962</v>
      </c>
      <c r="FY24" s="170"/>
      <c r="FZ24" s="169">
        <v>5.5570000000000004</v>
      </c>
      <c r="GA24" s="169">
        <v>1.087</v>
      </c>
      <c r="GB24" s="170"/>
      <c r="GC24" s="169">
        <v>9.91</v>
      </c>
      <c r="GD24" s="169">
        <v>-21.956399999999999</v>
      </c>
      <c r="GE24" s="169">
        <v>-13.7433</v>
      </c>
      <c r="GF24" s="169">
        <v>-2.68</v>
      </c>
      <c r="GG24" s="169">
        <v>17.898900000000001</v>
      </c>
      <c r="GH24" s="170"/>
      <c r="GI24" s="169">
        <v>20.813600000000001</v>
      </c>
      <c r="GJ24" s="169">
        <v>-5.1333000000000002</v>
      </c>
      <c r="GK24" s="169">
        <v>-5.5438999999999998</v>
      </c>
      <c r="GL24" s="169">
        <v>2.1153</v>
      </c>
      <c r="GM24" s="170"/>
      <c r="GN24" s="170"/>
      <c r="GO24" s="169">
        <v>-11.1303</v>
      </c>
      <c r="GP24" s="169">
        <v>72.486199999999997</v>
      </c>
      <c r="GQ24" s="169">
        <v>0.25359999999999999</v>
      </c>
      <c r="GR24" s="169">
        <v>-21.159700000000001</v>
      </c>
      <c r="GS24" s="169">
        <v>-6.7934000000000001</v>
      </c>
      <c r="GT24" s="169">
        <v>-6.5571000000000002</v>
      </c>
      <c r="GU24" s="169">
        <v>118.33799999999999</v>
      </c>
      <c r="GV24" s="169">
        <v>-2.5548000000000002</v>
      </c>
      <c r="GW24" s="169">
        <v>-7.0880000000000001</v>
      </c>
      <c r="GX24" s="169">
        <v>4.2257999999999996</v>
      </c>
      <c r="GY24" s="169">
        <v>2.5823</v>
      </c>
      <c r="GZ24" s="169">
        <v>5.7872000000000003</v>
      </c>
      <c r="HA24" s="169">
        <v>5.9259000000000004</v>
      </c>
      <c r="HB24" s="169">
        <v>2.0326</v>
      </c>
      <c r="HC24" s="169">
        <v>-23.222100000000001</v>
      </c>
      <c r="HD24" s="169">
        <v>-21.991599999999998</v>
      </c>
      <c r="HE24" s="169">
        <v>-12.15</v>
      </c>
      <c r="HF24" s="169">
        <v>6.8848000000000003</v>
      </c>
      <c r="HG24" s="169">
        <v>31.3794</v>
      </c>
      <c r="HH24" s="169">
        <v>11.865</v>
      </c>
      <c r="HI24" s="169">
        <v>63.779400000000003</v>
      </c>
      <c r="HJ24" s="169">
        <v>-23.584099999999999</v>
      </c>
      <c r="HK24" s="169">
        <v>29.2836</v>
      </c>
      <c r="HL24" s="170"/>
      <c r="HM24" s="169">
        <v>-6.0477999999999996</v>
      </c>
      <c r="HN24" s="169">
        <v>0</v>
      </c>
      <c r="HO24" s="169">
        <v>-10.2333</v>
      </c>
      <c r="HP24" s="169">
        <v>12.657400000000001</v>
      </c>
      <c r="HQ24" s="169">
        <v>8.2459000000000007</v>
      </c>
      <c r="HR24" s="169">
        <v>-18.950299999999999</v>
      </c>
      <c r="HS24" s="169">
        <v>-18.351600000000001</v>
      </c>
      <c r="HT24" s="169">
        <v>-14.885999999999999</v>
      </c>
      <c r="HU24" s="169">
        <v>-15.063000000000001</v>
      </c>
      <c r="HV24" s="169">
        <v>21.65</v>
      </c>
      <c r="HW24" s="169">
        <v>21.59</v>
      </c>
      <c r="HX24" s="169">
        <v>-31.1</v>
      </c>
      <c r="HY24" s="169">
        <v>-30.4</v>
      </c>
      <c r="HZ24" s="169">
        <v>8.9999999999999998E-4</v>
      </c>
      <c r="IA24" s="169">
        <v>-0.32</v>
      </c>
      <c r="IB24" s="169">
        <v>73.3078</v>
      </c>
      <c r="IC24" s="169">
        <v>16.508900000000001</v>
      </c>
      <c r="ID24" s="169">
        <v>16.589600000000001</v>
      </c>
      <c r="IE24" s="169">
        <v>-17</v>
      </c>
      <c r="IF24" s="169">
        <v>-43.1</v>
      </c>
      <c r="IG24" s="169">
        <v>1.8</v>
      </c>
      <c r="IH24" s="169">
        <v>1.3</v>
      </c>
      <c r="II24" s="170"/>
      <c r="IJ24" s="169">
        <v>-18.210999999999999</v>
      </c>
      <c r="IK24" s="169">
        <v>-136.499</v>
      </c>
      <c r="IL24" s="169">
        <v>15.7471</v>
      </c>
      <c r="IM24" s="169">
        <v>-245.55170000000001</v>
      </c>
      <c r="IN24" s="169">
        <v>-20.062899999999999</v>
      </c>
      <c r="IO24" s="169">
        <v>-30.860600000000002</v>
      </c>
      <c r="IP24" s="169">
        <v>64.245199999999997</v>
      </c>
      <c r="IQ24" s="169">
        <v>103.8673</v>
      </c>
      <c r="IR24" s="169">
        <v>124.76390000000001</v>
      </c>
      <c r="IS24" s="169">
        <v>89.190899999999999</v>
      </c>
      <c r="IT24" s="169">
        <v>-12.868499999999999</v>
      </c>
      <c r="IU24" s="169">
        <v>20.864599999999999</v>
      </c>
      <c r="IV24" s="169">
        <v>20.826000000000001</v>
      </c>
      <c r="IW24" s="169">
        <v>-19.598099999999999</v>
      </c>
      <c r="IX24" s="169">
        <v>122.4024</v>
      </c>
      <c r="IY24" s="169">
        <v>-205.86330000000001</v>
      </c>
      <c r="IZ24" s="169">
        <v>57.691899999999997</v>
      </c>
      <c r="JA24" s="169">
        <v>-55.367100000000001</v>
      </c>
      <c r="JB24" s="169">
        <v>-1.0290999999999999</v>
      </c>
      <c r="JC24" s="169">
        <v>9.4290000000000003</v>
      </c>
      <c r="JD24" s="169">
        <v>-9.76</v>
      </c>
      <c r="JE24" s="169">
        <v>-2.0619999999999998</v>
      </c>
      <c r="JF24" s="169">
        <v>-2.0510000000000002</v>
      </c>
      <c r="JG24" s="169">
        <v>4.96</v>
      </c>
      <c r="JH24" s="169">
        <v>-2.88</v>
      </c>
      <c r="JI24" s="169">
        <v>-3.5914999999999999</v>
      </c>
      <c r="JJ24" s="169">
        <v>-3.2517</v>
      </c>
      <c r="JK24" s="169">
        <v>5.0400999999999998</v>
      </c>
      <c r="JL24" s="169">
        <v>-5.7115</v>
      </c>
      <c r="JM24" s="169">
        <v>-0.7</v>
      </c>
      <c r="JN24" s="169">
        <v>6.7880000000000003</v>
      </c>
      <c r="JO24" s="169">
        <v>5.7990000000000004</v>
      </c>
      <c r="JP24" s="170"/>
      <c r="JQ24" s="170"/>
      <c r="JR24" s="169">
        <v>4.8970000000000002</v>
      </c>
      <c r="JS24" s="169">
        <v>3.9544999999999999</v>
      </c>
      <c r="JT24" s="169">
        <v>3.7753000000000001</v>
      </c>
      <c r="JU24" s="170"/>
      <c r="JV24" s="169">
        <v>27</v>
      </c>
      <c r="JW24" s="169">
        <v>0.40839999999999999</v>
      </c>
      <c r="JX24" s="169">
        <v>0.64</v>
      </c>
      <c r="JY24" s="170"/>
      <c r="JZ24" s="169">
        <v>0</v>
      </c>
      <c r="KA24" s="169">
        <v>-19.032800000000002</v>
      </c>
      <c r="KB24" s="169">
        <v>-21.353400000000001</v>
      </c>
      <c r="KC24" s="169">
        <v>4.7000999999999999</v>
      </c>
      <c r="KD24" s="169">
        <v>14.6021</v>
      </c>
      <c r="KE24" s="169">
        <v>-15.802</v>
      </c>
      <c r="KF24" s="169">
        <v>0</v>
      </c>
      <c r="KG24" s="169">
        <v>-22.3</v>
      </c>
      <c r="KH24" s="169">
        <v>3.5</v>
      </c>
      <c r="KI24" s="169">
        <v>29.2744</v>
      </c>
      <c r="KJ24" s="169">
        <v>-94.563299999999998</v>
      </c>
    </row>
    <row r="25" spans="1:296" ht="18" customHeight="1" x14ac:dyDescent="0.3">
      <c r="A25" s="162" t="s">
        <v>67</v>
      </c>
      <c r="B25" s="162" t="s">
        <v>824</v>
      </c>
      <c r="C25" s="163">
        <v>0</v>
      </c>
      <c r="D25" s="164"/>
      <c r="E25" s="163">
        <v>3.1295000000000002</v>
      </c>
      <c r="F25" s="163">
        <v>-8.6417999999999999</v>
      </c>
      <c r="G25" s="163">
        <v>1.1581999999999999</v>
      </c>
      <c r="H25" s="163">
        <v>10.1313</v>
      </c>
      <c r="I25" s="164"/>
      <c r="J25" s="163">
        <v>15.260899999999999</v>
      </c>
      <c r="K25" s="164"/>
      <c r="L25" s="163">
        <v>13.724600000000001</v>
      </c>
      <c r="M25" s="163">
        <v>5.2378</v>
      </c>
      <c r="N25" s="163">
        <v>6.6772</v>
      </c>
      <c r="O25" s="163">
        <v>-8.8800000000000008</v>
      </c>
      <c r="P25" s="163">
        <v>-24.2</v>
      </c>
      <c r="Q25" s="163">
        <v>2.2000000000000002</v>
      </c>
      <c r="R25" s="163">
        <v>3.3119999999999998</v>
      </c>
      <c r="S25" s="163">
        <v>-15.4</v>
      </c>
      <c r="T25" s="163">
        <v>4.1604999999999999</v>
      </c>
      <c r="U25" s="163">
        <v>-12.7705</v>
      </c>
      <c r="V25" s="164"/>
      <c r="W25" s="163">
        <v>7.8132000000000001</v>
      </c>
      <c r="X25" s="163">
        <v>13.788600000000001</v>
      </c>
      <c r="Y25" s="163">
        <v>1.909</v>
      </c>
      <c r="Z25" s="163">
        <v>-0.55549999999999999</v>
      </c>
      <c r="AA25" s="163">
        <v>1.4813000000000001</v>
      </c>
      <c r="AB25" s="164"/>
      <c r="AC25" s="163">
        <v>-1.1306</v>
      </c>
      <c r="AD25" s="163">
        <v>-0.67100000000000004</v>
      </c>
      <c r="AE25" s="163">
        <v>-0.58499999999999996</v>
      </c>
      <c r="AF25" s="163">
        <v>3.2959999999999998</v>
      </c>
      <c r="AG25" s="163">
        <v>-11.1</v>
      </c>
      <c r="AH25" s="163">
        <v>-8.8000000000000007</v>
      </c>
      <c r="AI25" s="163">
        <v>-0.70099999999999996</v>
      </c>
      <c r="AJ25" s="163">
        <v>0.30499999999999999</v>
      </c>
      <c r="AK25" s="163">
        <v>-8.4600000000000009</v>
      </c>
      <c r="AL25" s="164"/>
      <c r="AM25" s="164"/>
      <c r="AN25" s="163">
        <v>-9.74</v>
      </c>
      <c r="AO25" s="163">
        <v>-9.91</v>
      </c>
      <c r="AP25" s="163">
        <v>4.7705000000000002</v>
      </c>
      <c r="AQ25" s="163">
        <v>3.6526999999999998</v>
      </c>
      <c r="AR25" s="163">
        <v>25.268899999999999</v>
      </c>
      <c r="AS25" s="163">
        <v>27.787700000000001</v>
      </c>
      <c r="AT25" s="163">
        <v>-17.183599999999998</v>
      </c>
      <c r="AU25" s="163">
        <v>-6.3067000000000002</v>
      </c>
      <c r="AV25" s="163">
        <v>-6.6078999999999999</v>
      </c>
      <c r="AW25" s="163">
        <v>19.6205</v>
      </c>
      <c r="AX25" s="163">
        <v>19.782</v>
      </c>
      <c r="AY25" s="163">
        <v>-14.231199999999999</v>
      </c>
      <c r="AZ25" s="163">
        <v>-11.2652</v>
      </c>
      <c r="BA25" s="163">
        <v>12.765700000000001</v>
      </c>
      <c r="BB25" s="163">
        <v>33.041800000000002</v>
      </c>
      <c r="BC25" s="163">
        <v>86.455500000000001</v>
      </c>
      <c r="BD25" s="163">
        <v>7.5608000000000004</v>
      </c>
      <c r="BE25" s="163">
        <v>-4.7</v>
      </c>
      <c r="BF25" s="163">
        <v>-4.7</v>
      </c>
      <c r="BG25" s="163">
        <v>-24.9101</v>
      </c>
      <c r="BH25" s="163">
        <v>-23.709099999999999</v>
      </c>
      <c r="BI25" s="163">
        <v>-2.1215999999999999</v>
      </c>
      <c r="BJ25" s="164"/>
      <c r="BK25" s="163">
        <v>5.7887000000000004</v>
      </c>
      <c r="BL25" s="163">
        <v>7.1318000000000001</v>
      </c>
      <c r="BM25" s="164"/>
      <c r="BN25" s="163">
        <v>0.2114</v>
      </c>
      <c r="BO25" s="163">
        <v>-103.122</v>
      </c>
      <c r="BP25" s="163">
        <v>50.2029</v>
      </c>
      <c r="BQ25" s="163">
        <v>50.965899999999998</v>
      </c>
      <c r="BR25" s="163">
        <v>-18.055299999999999</v>
      </c>
      <c r="BS25" s="163">
        <v>-123.2641</v>
      </c>
      <c r="BT25" s="164"/>
      <c r="BU25" s="164"/>
      <c r="BV25" s="164"/>
      <c r="BW25" s="163">
        <v>25.378</v>
      </c>
      <c r="BX25" s="163">
        <v>10.85</v>
      </c>
      <c r="BY25" s="163">
        <v>8.93</v>
      </c>
      <c r="BZ25" s="163">
        <v>-3.97</v>
      </c>
      <c r="CA25" s="163">
        <v>11.1</v>
      </c>
      <c r="CB25" s="163">
        <v>-22.9025</v>
      </c>
      <c r="CC25" s="163">
        <v>-23.0364</v>
      </c>
      <c r="CD25" s="163">
        <v>34.015000000000001</v>
      </c>
      <c r="CE25" s="163">
        <v>32.266500000000001</v>
      </c>
      <c r="CF25" s="163">
        <v>-6.8388</v>
      </c>
      <c r="CG25" s="163">
        <v>2.5205000000000002</v>
      </c>
      <c r="CH25" s="163">
        <v>3.4348000000000001</v>
      </c>
      <c r="CI25" s="163">
        <v>4.4683999999999999</v>
      </c>
      <c r="CJ25" s="164"/>
      <c r="CK25" s="163">
        <v>3.0632999999999999</v>
      </c>
      <c r="CL25" s="163">
        <v>8.1660000000000004</v>
      </c>
      <c r="CM25" s="163">
        <v>-1.7</v>
      </c>
      <c r="CN25" s="163">
        <v>-3.2</v>
      </c>
      <c r="CO25" s="163">
        <v>-4.1399999999999997</v>
      </c>
      <c r="CP25" s="163">
        <v>34.4039</v>
      </c>
      <c r="CQ25" s="163">
        <v>33.783499999999997</v>
      </c>
      <c r="CR25" s="163">
        <v>32.0946</v>
      </c>
      <c r="CS25" s="163">
        <v>38.963000000000001</v>
      </c>
      <c r="CT25" s="163">
        <v>38.649900000000002</v>
      </c>
      <c r="CU25" s="163">
        <v>-27.939</v>
      </c>
      <c r="CV25" s="163">
        <v>-25.1447</v>
      </c>
      <c r="CW25" s="163">
        <v>-22.642800000000001</v>
      </c>
      <c r="CX25" s="163">
        <v>3.2856000000000001</v>
      </c>
      <c r="CY25" s="163">
        <v>36.28</v>
      </c>
      <c r="CZ25" s="163">
        <v>14.6</v>
      </c>
      <c r="DA25" s="163">
        <v>10.629899999999999</v>
      </c>
      <c r="DB25" s="163">
        <v>9.7687000000000008</v>
      </c>
      <c r="DC25" s="163">
        <v>-10.2401</v>
      </c>
      <c r="DD25" s="164"/>
      <c r="DE25" s="164"/>
      <c r="DF25" s="164"/>
      <c r="DG25" s="163">
        <v>27.7651</v>
      </c>
      <c r="DH25" s="164"/>
      <c r="DI25" s="164"/>
      <c r="DJ25" s="163">
        <v>-30.3</v>
      </c>
      <c r="DK25" s="163">
        <v>-32.5</v>
      </c>
      <c r="DL25" s="163">
        <v>2.3163</v>
      </c>
      <c r="DM25" s="163">
        <v>11.9</v>
      </c>
      <c r="DN25" s="163">
        <v>13.64</v>
      </c>
      <c r="DO25" s="163">
        <v>16.559999999999999</v>
      </c>
      <c r="DP25" s="163">
        <v>7.34</v>
      </c>
      <c r="DQ25" s="163">
        <v>-3.46</v>
      </c>
      <c r="DR25" s="163">
        <v>15.980499999999999</v>
      </c>
      <c r="DS25" s="163">
        <v>-27.178999999999998</v>
      </c>
      <c r="DT25" s="163">
        <v>-8.52</v>
      </c>
      <c r="DU25" s="163">
        <v>-8.6999999999999993</v>
      </c>
      <c r="DV25" s="163">
        <v>23.62</v>
      </c>
      <c r="DW25" s="163">
        <v>9.33</v>
      </c>
      <c r="DX25" s="163">
        <v>-28.545500000000001</v>
      </c>
      <c r="DY25" s="163">
        <v>-14.6091</v>
      </c>
      <c r="DZ25" s="164"/>
      <c r="EA25" s="163">
        <v>-45.4818</v>
      </c>
      <c r="EB25" s="163">
        <v>35.8551</v>
      </c>
      <c r="EC25" s="163">
        <v>5.9983000000000004</v>
      </c>
      <c r="ED25" s="163">
        <v>-3.7662</v>
      </c>
      <c r="EE25" s="163">
        <v>-3.6703000000000001</v>
      </c>
      <c r="EF25" s="163">
        <v>-17.797000000000001</v>
      </c>
      <c r="EG25" s="163">
        <v>-26.925999999999998</v>
      </c>
      <c r="EH25" s="163">
        <v>-11.315</v>
      </c>
      <c r="EI25" s="163">
        <v>-50.550899999999999</v>
      </c>
      <c r="EJ25" s="163">
        <v>-63.3797</v>
      </c>
      <c r="EK25" s="164"/>
      <c r="EL25" s="163">
        <v>-12.5451</v>
      </c>
      <c r="EM25" s="163">
        <v>-11.951599999999999</v>
      </c>
      <c r="EN25" s="164"/>
      <c r="EO25" s="163">
        <v>-15.3407</v>
      </c>
      <c r="EP25" s="163">
        <v>-15.2117</v>
      </c>
      <c r="EQ25" s="163">
        <v>-1.028</v>
      </c>
      <c r="ER25" s="163">
        <v>-18.164400000000001</v>
      </c>
      <c r="ES25" s="163">
        <v>-17.388400000000001</v>
      </c>
      <c r="ET25" s="163">
        <v>16.273199999999999</v>
      </c>
      <c r="EU25" s="163">
        <v>0</v>
      </c>
      <c r="EV25" s="163">
        <v>-4.9800000000000004</v>
      </c>
      <c r="EW25" s="163">
        <v>6.3</v>
      </c>
      <c r="EX25" s="163">
        <v>4.4541000000000004</v>
      </c>
      <c r="EY25" s="163">
        <v>-28.544599999999999</v>
      </c>
      <c r="EZ25" s="163">
        <v>-8.9859000000000009</v>
      </c>
      <c r="FA25" s="163">
        <v>-8.9725000000000001</v>
      </c>
      <c r="FB25" s="163">
        <v>8.6599000000000004</v>
      </c>
      <c r="FC25" s="163">
        <v>7.9962</v>
      </c>
      <c r="FD25" s="163">
        <v>-27.237500000000001</v>
      </c>
      <c r="FE25" s="163">
        <v>7.9730999999999996</v>
      </c>
      <c r="FF25" s="163">
        <v>-1.0922000000000001</v>
      </c>
      <c r="FG25" s="164"/>
      <c r="FH25" s="163">
        <v>4.2511999999999999</v>
      </c>
      <c r="FI25" s="163">
        <v>4.7553999999999998</v>
      </c>
      <c r="FJ25" s="163">
        <v>3.1029</v>
      </c>
      <c r="FK25" s="163">
        <v>12.559200000000001</v>
      </c>
      <c r="FL25" s="163">
        <v>12.3918</v>
      </c>
      <c r="FM25" s="163">
        <v>-16.578199999999999</v>
      </c>
      <c r="FN25" s="164"/>
      <c r="FO25" s="163">
        <v>30.718499999999999</v>
      </c>
      <c r="FP25" s="163">
        <v>-2.9548999999999999</v>
      </c>
      <c r="FQ25" s="163">
        <v>0</v>
      </c>
      <c r="FR25" s="163">
        <v>21.886299999999999</v>
      </c>
      <c r="FS25" s="163">
        <v>-15.94</v>
      </c>
      <c r="FT25" s="164"/>
      <c r="FU25" s="163">
        <v>0.14760000000000001</v>
      </c>
      <c r="FV25" s="163">
        <v>-0.34</v>
      </c>
      <c r="FW25" s="163">
        <v>1.02</v>
      </c>
      <c r="FX25" s="163">
        <v>-21.4666</v>
      </c>
      <c r="FY25" s="164"/>
      <c r="FZ25" s="163">
        <v>5.2160000000000002</v>
      </c>
      <c r="GA25" s="163">
        <v>1.1160000000000001</v>
      </c>
      <c r="GB25" s="164"/>
      <c r="GC25" s="163">
        <v>11.31</v>
      </c>
      <c r="GD25" s="163">
        <v>-22.818000000000001</v>
      </c>
      <c r="GE25" s="163">
        <v>-13.7957</v>
      </c>
      <c r="GF25" s="163">
        <v>-2.33</v>
      </c>
      <c r="GG25" s="163">
        <v>20.224900000000002</v>
      </c>
      <c r="GH25" s="164"/>
      <c r="GI25" s="163">
        <v>22.889299999999999</v>
      </c>
      <c r="GJ25" s="163">
        <v>-5.5076000000000001</v>
      </c>
      <c r="GK25" s="163">
        <v>-5.8895</v>
      </c>
      <c r="GL25" s="163">
        <v>2.3142</v>
      </c>
      <c r="GM25" s="164"/>
      <c r="GN25" s="164"/>
      <c r="GO25" s="163">
        <v>-12.569599999999999</v>
      </c>
      <c r="GP25" s="163">
        <v>77.982799999999997</v>
      </c>
      <c r="GQ25" s="163">
        <v>0.58899999999999997</v>
      </c>
      <c r="GR25" s="163">
        <v>-21.577500000000001</v>
      </c>
      <c r="GS25" s="163">
        <v>-5.9442000000000004</v>
      </c>
      <c r="GT25" s="163">
        <v>-6.1870000000000003</v>
      </c>
      <c r="GU25" s="163">
        <v>127.8746</v>
      </c>
      <c r="GV25" s="163">
        <v>-1.9737</v>
      </c>
      <c r="GW25" s="163">
        <v>-8.5166000000000004</v>
      </c>
      <c r="GX25" s="163">
        <v>4.1148999999999996</v>
      </c>
      <c r="GY25" s="163">
        <v>2.2461000000000002</v>
      </c>
      <c r="GZ25" s="163">
        <v>6.3658999999999999</v>
      </c>
      <c r="HA25" s="163">
        <v>6.5033000000000003</v>
      </c>
      <c r="HB25" s="163">
        <v>1.6515</v>
      </c>
      <c r="HC25" s="163">
        <v>-22.286200000000001</v>
      </c>
      <c r="HD25" s="163">
        <v>-20.775300000000001</v>
      </c>
      <c r="HE25" s="163">
        <v>-7.12</v>
      </c>
      <c r="HF25" s="163">
        <v>7.6647999999999996</v>
      </c>
      <c r="HG25" s="163">
        <v>35.137599999999999</v>
      </c>
      <c r="HH25" s="163">
        <v>23.236899999999999</v>
      </c>
      <c r="HI25" s="163">
        <v>55.1083</v>
      </c>
      <c r="HJ25" s="163">
        <v>-22.4038</v>
      </c>
      <c r="HK25" s="163">
        <v>29.170400000000001</v>
      </c>
      <c r="HL25" s="164"/>
      <c r="HM25" s="163">
        <v>-5.0548999999999999</v>
      </c>
      <c r="HN25" s="163">
        <v>0</v>
      </c>
      <c r="HO25" s="163">
        <v>-12.2689</v>
      </c>
      <c r="HP25" s="164"/>
      <c r="HQ25" s="164"/>
      <c r="HR25" s="163">
        <v>-19.779800000000002</v>
      </c>
      <c r="HS25" s="163">
        <v>-18.966799999999999</v>
      </c>
      <c r="HT25" s="163">
        <v>-15.023899999999999</v>
      </c>
      <c r="HU25" s="163">
        <v>-14.912599999999999</v>
      </c>
      <c r="HV25" s="163">
        <v>28.13</v>
      </c>
      <c r="HW25" s="163">
        <v>28.25</v>
      </c>
      <c r="HX25" s="163">
        <v>-30.5</v>
      </c>
      <c r="HY25" s="163">
        <v>-30.5</v>
      </c>
      <c r="HZ25" s="163">
        <v>0.1767</v>
      </c>
      <c r="IA25" s="163">
        <v>1.92</v>
      </c>
      <c r="IB25" s="163">
        <v>67.023200000000003</v>
      </c>
      <c r="IC25" s="163">
        <v>15.389099999999999</v>
      </c>
      <c r="ID25" s="163">
        <v>15.474399999999999</v>
      </c>
      <c r="IE25" s="163">
        <v>-16.100000000000001</v>
      </c>
      <c r="IF25" s="163">
        <v>-42.2</v>
      </c>
      <c r="IG25" s="163">
        <v>3.9</v>
      </c>
      <c r="IH25" s="163">
        <v>3.3</v>
      </c>
      <c r="II25" s="164"/>
      <c r="IJ25" s="163">
        <v>-17.827200000000001</v>
      </c>
      <c r="IK25" s="163">
        <v>-125.73990000000001</v>
      </c>
      <c r="IL25" s="163">
        <v>19.582699999999999</v>
      </c>
      <c r="IM25" s="163">
        <v>-249.71549999999999</v>
      </c>
      <c r="IN25" s="163">
        <v>-21.878900000000002</v>
      </c>
      <c r="IO25" s="163">
        <v>-28.176100000000002</v>
      </c>
      <c r="IP25" s="163">
        <v>65.823599999999999</v>
      </c>
      <c r="IQ25" s="163">
        <v>103.69370000000001</v>
      </c>
      <c r="IR25" s="163">
        <v>0</v>
      </c>
      <c r="IS25" s="163">
        <v>98.7149</v>
      </c>
      <c r="IT25" s="163">
        <v>-13.575200000000001</v>
      </c>
      <c r="IU25" s="163">
        <v>22.349299999999999</v>
      </c>
      <c r="IV25" s="163">
        <v>23.0566</v>
      </c>
      <c r="IW25" s="163">
        <v>0</v>
      </c>
      <c r="IX25" s="163">
        <v>138.7406</v>
      </c>
      <c r="IY25" s="163">
        <v>-211.15190000000001</v>
      </c>
      <c r="IZ25" s="163">
        <v>68.449299999999994</v>
      </c>
      <c r="JA25" s="163">
        <v>-65.741399999999999</v>
      </c>
      <c r="JB25" s="163">
        <v>-0.86550000000000005</v>
      </c>
      <c r="JC25" s="163">
        <v>9.0670000000000002</v>
      </c>
      <c r="JD25" s="163">
        <v>-8.8800000000000008</v>
      </c>
      <c r="JE25" s="163">
        <v>-2.0979999999999999</v>
      </c>
      <c r="JF25" s="163">
        <v>-2.1040000000000001</v>
      </c>
      <c r="JG25" s="163">
        <v>4.24</v>
      </c>
      <c r="JH25" s="163">
        <v>-2.64</v>
      </c>
      <c r="JI25" s="163">
        <v>-2.9824999999999999</v>
      </c>
      <c r="JJ25" s="163">
        <v>-3.4256000000000002</v>
      </c>
      <c r="JK25" s="163">
        <v>5.9770000000000003</v>
      </c>
      <c r="JL25" s="163">
        <v>-5.8273999999999999</v>
      </c>
      <c r="JM25" s="163">
        <v>-0.9</v>
      </c>
      <c r="JN25" s="163">
        <v>6.7729999999999997</v>
      </c>
      <c r="JO25" s="163">
        <v>6.7290000000000001</v>
      </c>
      <c r="JP25" s="164"/>
      <c r="JQ25" s="164"/>
      <c r="JR25" s="163">
        <v>3.5512000000000001</v>
      </c>
      <c r="JS25" s="163">
        <v>3.4472999999999998</v>
      </c>
      <c r="JT25" s="163">
        <v>3.9298000000000002</v>
      </c>
      <c r="JU25" s="164"/>
      <c r="JV25" s="163">
        <v>26.6</v>
      </c>
      <c r="JW25" s="163">
        <v>1.0795999999999999</v>
      </c>
      <c r="JX25" s="163">
        <v>0.7</v>
      </c>
      <c r="JY25" s="164"/>
      <c r="JZ25" s="163">
        <v>0</v>
      </c>
      <c r="KA25" s="163">
        <v>-17.511199999999999</v>
      </c>
      <c r="KB25" s="163">
        <v>-21.5322</v>
      </c>
      <c r="KC25" s="163">
        <v>3.3047</v>
      </c>
      <c r="KD25" s="163">
        <v>13.4558</v>
      </c>
      <c r="KE25" s="163">
        <v>-17.560199999999998</v>
      </c>
      <c r="KF25" s="163">
        <v>3.5459999999999998</v>
      </c>
      <c r="KG25" s="163">
        <v>-21.4</v>
      </c>
      <c r="KH25" s="163">
        <v>3.4</v>
      </c>
      <c r="KI25" s="163">
        <v>26.700099999999999</v>
      </c>
      <c r="KJ25" s="163">
        <v>-88.277100000000004</v>
      </c>
    </row>
    <row r="26" spans="1:296" ht="18" customHeight="1" x14ac:dyDescent="0.3">
      <c r="A26" s="162" t="s">
        <v>67</v>
      </c>
      <c r="B26" s="162" t="s">
        <v>825</v>
      </c>
      <c r="C26" s="166">
        <v>0</v>
      </c>
      <c r="D26" s="167"/>
      <c r="E26" s="166">
        <v>3.0924999999999998</v>
      </c>
      <c r="F26" s="166">
        <v>-8.5059000000000005</v>
      </c>
      <c r="G26" s="166">
        <v>4.7487000000000004</v>
      </c>
      <c r="H26" s="166">
        <v>11.175000000000001</v>
      </c>
      <c r="I26" s="167"/>
      <c r="J26" s="166">
        <v>16.730699999999999</v>
      </c>
      <c r="K26" s="167"/>
      <c r="L26" s="166">
        <v>17.596599999999999</v>
      </c>
      <c r="M26" s="166">
        <v>7.3928000000000003</v>
      </c>
      <c r="N26" s="166">
        <v>8.7815999999999992</v>
      </c>
      <c r="O26" s="166">
        <v>-15.54</v>
      </c>
      <c r="P26" s="166">
        <v>-28.6</v>
      </c>
      <c r="Q26" s="166">
        <v>4.4000000000000004</v>
      </c>
      <c r="R26" s="166">
        <v>4.1399999999999997</v>
      </c>
      <c r="S26" s="166">
        <v>-17.600000000000001</v>
      </c>
      <c r="T26" s="166">
        <v>4.0381999999999998</v>
      </c>
      <c r="U26" s="166">
        <v>-12.860300000000001</v>
      </c>
      <c r="V26" s="167"/>
      <c r="W26" s="166">
        <v>8.4869000000000003</v>
      </c>
      <c r="X26" s="166">
        <v>14.183400000000001</v>
      </c>
      <c r="Y26" s="166">
        <v>1.9429000000000001</v>
      </c>
      <c r="Z26" s="166">
        <v>-0.50349999999999995</v>
      </c>
      <c r="AA26" s="166">
        <v>1.4522999999999999</v>
      </c>
      <c r="AB26" s="167"/>
      <c r="AC26" s="166">
        <v>-1.3325</v>
      </c>
      <c r="AD26" s="166">
        <v>-0.38700000000000001</v>
      </c>
      <c r="AE26" s="166">
        <v>-0.36099999999999999</v>
      </c>
      <c r="AF26" s="166">
        <v>2.8959999999999999</v>
      </c>
      <c r="AG26" s="166">
        <v>-4.4400000000000004</v>
      </c>
      <c r="AH26" s="166">
        <v>-4.4000000000000004</v>
      </c>
      <c r="AI26" s="166">
        <v>-0.25700000000000001</v>
      </c>
      <c r="AJ26" s="166">
        <v>0.29199999999999998</v>
      </c>
      <c r="AK26" s="166">
        <v>-7.26</v>
      </c>
      <c r="AL26" s="167"/>
      <c r="AM26" s="167"/>
      <c r="AN26" s="166">
        <v>-12.63</v>
      </c>
      <c r="AO26" s="166">
        <v>-12.69</v>
      </c>
      <c r="AP26" s="166">
        <v>4.8845000000000001</v>
      </c>
      <c r="AQ26" s="166">
        <v>3.3393000000000002</v>
      </c>
      <c r="AR26" s="166">
        <v>21.442799999999998</v>
      </c>
      <c r="AS26" s="166">
        <v>25.778700000000001</v>
      </c>
      <c r="AT26" s="166">
        <v>-14.575699999999999</v>
      </c>
      <c r="AU26" s="166">
        <v>-4.3666</v>
      </c>
      <c r="AV26" s="166">
        <v>-4.2313999999999998</v>
      </c>
      <c r="AW26" s="166">
        <v>2.8144</v>
      </c>
      <c r="AX26" s="166">
        <v>3.1695000000000002</v>
      </c>
      <c r="AY26" s="166">
        <v>-13.4946</v>
      </c>
      <c r="AZ26" s="166">
        <v>-11.133100000000001</v>
      </c>
      <c r="BA26" s="166">
        <v>12.8819</v>
      </c>
      <c r="BB26" s="166">
        <v>13.4092</v>
      </c>
      <c r="BC26" s="166">
        <v>100.7878</v>
      </c>
      <c r="BD26" s="166">
        <v>8.5100999999999996</v>
      </c>
      <c r="BE26" s="166">
        <v>-4.9000000000000004</v>
      </c>
      <c r="BF26" s="166">
        <v>-4.8</v>
      </c>
      <c r="BG26" s="166">
        <v>-28.412800000000001</v>
      </c>
      <c r="BH26" s="166">
        <v>-28.291</v>
      </c>
      <c r="BI26" s="166">
        <v>-2.3620999999999999</v>
      </c>
      <c r="BJ26" s="167"/>
      <c r="BK26" s="166">
        <v>9.0267999999999997</v>
      </c>
      <c r="BL26" s="166">
        <v>7.7706999999999997</v>
      </c>
      <c r="BM26" s="167"/>
      <c r="BN26" s="166">
        <v>0.26860000000000001</v>
      </c>
      <c r="BO26" s="166">
        <v>-126.52970000000001</v>
      </c>
      <c r="BP26" s="166">
        <v>65.340100000000007</v>
      </c>
      <c r="BQ26" s="166">
        <v>65.92</v>
      </c>
      <c r="BR26" s="166">
        <v>-37.335599999999999</v>
      </c>
      <c r="BS26" s="166">
        <v>-125.604</v>
      </c>
      <c r="BT26" s="167"/>
      <c r="BU26" s="167"/>
      <c r="BV26" s="167"/>
      <c r="BW26" s="166">
        <v>28.771000000000001</v>
      </c>
      <c r="BX26" s="166">
        <v>11.94</v>
      </c>
      <c r="BY26" s="166">
        <v>9.77</v>
      </c>
      <c r="BZ26" s="166">
        <v>-2.13</v>
      </c>
      <c r="CA26" s="166">
        <v>13.76</v>
      </c>
      <c r="CB26" s="166">
        <v>-22.634599999999999</v>
      </c>
      <c r="CC26" s="166">
        <v>-22.9025</v>
      </c>
      <c r="CD26" s="166">
        <v>32.5931</v>
      </c>
      <c r="CE26" s="166">
        <v>30.531300000000002</v>
      </c>
      <c r="CF26" s="166">
        <v>-7.6304999999999996</v>
      </c>
      <c r="CG26" s="166">
        <v>-0.53210000000000002</v>
      </c>
      <c r="CH26" s="166">
        <v>-0.61950000000000005</v>
      </c>
      <c r="CI26" s="166">
        <v>8.7048000000000005</v>
      </c>
      <c r="CJ26" s="167"/>
      <c r="CK26" s="166">
        <v>3.6393</v>
      </c>
      <c r="CL26" s="166">
        <v>9.5169999999999995</v>
      </c>
      <c r="CM26" s="166">
        <v>1.6</v>
      </c>
      <c r="CN26" s="166">
        <v>0.5</v>
      </c>
      <c r="CO26" s="166">
        <v>-4.58</v>
      </c>
      <c r="CP26" s="166">
        <v>36.967399999999998</v>
      </c>
      <c r="CQ26" s="166">
        <v>36.548200000000001</v>
      </c>
      <c r="CR26" s="166">
        <v>34.749600000000001</v>
      </c>
      <c r="CS26" s="166">
        <v>37.529699999999998</v>
      </c>
      <c r="CT26" s="166">
        <v>37.571300000000001</v>
      </c>
      <c r="CU26" s="166">
        <v>-29.712499999999999</v>
      </c>
      <c r="CV26" s="166">
        <v>-23.119299999999999</v>
      </c>
      <c r="CW26" s="166">
        <v>-24.1326</v>
      </c>
      <c r="CX26" s="166">
        <v>3.4782000000000002</v>
      </c>
      <c r="CY26" s="166">
        <v>42.41</v>
      </c>
      <c r="CZ26" s="166">
        <v>17.34</v>
      </c>
      <c r="DA26" s="166">
        <v>12.036099999999999</v>
      </c>
      <c r="DB26" s="166">
        <v>10.8429</v>
      </c>
      <c r="DC26" s="166">
        <v>-10.9314</v>
      </c>
      <c r="DD26" s="167"/>
      <c r="DE26" s="167"/>
      <c r="DF26" s="167"/>
      <c r="DG26" s="166">
        <v>18.327200000000001</v>
      </c>
      <c r="DH26" s="167"/>
      <c r="DI26" s="167"/>
      <c r="DJ26" s="166">
        <v>-33.6</v>
      </c>
      <c r="DK26" s="166">
        <v>-34.5</v>
      </c>
      <c r="DL26" s="166">
        <v>2.4725000000000001</v>
      </c>
      <c r="DM26" s="166">
        <v>13.5</v>
      </c>
      <c r="DN26" s="166">
        <v>16.239999999999998</v>
      </c>
      <c r="DO26" s="166">
        <v>18.16</v>
      </c>
      <c r="DP26" s="166">
        <v>8.57</v>
      </c>
      <c r="DQ26" s="166">
        <v>-4.24</v>
      </c>
      <c r="DR26" s="166">
        <v>16.631499999999999</v>
      </c>
      <c r="DS26" s="166">
        <v>-17.885999999999999</v>
      </c>
      <c r="DT26" s="166">
        <v>-8.83</v>
      </c>
      <c r="DU26" s="166">
        <v>-8.83</v>
      </c>
      <c r="DV26" s="166">
        <v>28.63</v>
      </c>
      <c r="DW26" s="166">
        <v>11.53</v>
      </c>
      <c r="DX26" s="166">
        <v>-19.2182</v>
      </c>
      <c r="DY26" s="166">
        <v>-9.5545000000000009</v>
      </c>
      <c r="DZ26" s="167"/>
      <c r="EA26" s="166">
        <v>-42.5</v>
      </c>
      <c r="EB26" s="166">
        <v>51.024099999999997</v>
      </c>
      <c r="EC26" s="166">
        <v>15.471399999999999</v>
      </c>
      <c r="ED26" s="166">
        <v>5.0883000000000003</v>
      </c>
      <c r="EE26" s="166">
        <v>5.7104999999999997</v>
      </c>
      <c r="EF26" s="166">
        <v>-19.920500000000001</v>
      </c>
      <c r="EG26" s="166">
        <v>-27.600899999999999</v>
      </c>
      <c r="EH26" s="166">
        <v>-13.263</v>
      </c>
      <c r="EI26" s="166">
        <v>-30.0258</v>
      </c>
      <c r="EJ26" s="166">
        <v>-59.650500000000001</v>
      </c>
      <c r="EK26" s="167"/>
      <c r="EL26" s="166">
        <v>-13.7644</v>
      </c>
      <c r="EM26" s="166">
        <v>-13.1745</v>
      </c>
      <c r="EN26" s="167"/>
      <c r="EO26" s="166">
        <v>-11.807600000000001</v>
      </c>
      <c r="EP26" s="166">
        <v>-11.7003</v>
      </c>
      <c r="EQ26" s="166">
        <v>-7.6840000000000002</v>
      </c>
      <c r="ER26" s="166">
        <v>-17.291799999999999</v>
      </c>
      <c r="ES26" s="166">
        <v>-16.821899999999999</v>
      </c>
      <c r="ET26" s="166">
        <v>10.223800000000001</v>
      </c>
      <c r="EU26" s="166">
        <v>0</v>
      </c>
      <c r="EV26" s="166">
        <v>-5.55</v>
      </c>
      <c r="EW26" s="166">
        <v>0</v>
      </c>
      <c r="EX26" s="166">
        <v>4.7691999999999997</v>
      </c>
      <c r="EY26" s="166">
        <v>-20.173999999999999</v>
      </c>
      <c r="EZ26" s="166">
        <v>-9.9641000000000002</v>
      </c>
      <c r="FA26" s="166">
        <v>-10.002599999999999</v>
      </c>
      <c r="FB26" s="166">
        <v>8.7584999999999997</v>
      </c>
      <c r="FC26" s="166">
        <v>10.9047</v>
      </c>
      <c r="FD26" s="166">
        <v>-22.319099999999999</v>
      </c>
      <c r="FE26" s="166">
        <v>7.2069999999999999</v>
      </c>
      <c r="FF26" s="166">
        <v>0.75970000000000004</v>
      </c>
      <c r="FG26" s="167"/>
      <c r="FH26" s="166">
        <v>0</v>
      </c>
      <c r="FI26" s="166">
        <v>0</v>
      </c>
      <c r="FJ26" s="166">
        <v>0</v>
      </c>
      <c r="FK26" s="166">
        <v>13.3965</v>
      </c>
      <c r="FL26" s="166">
        <v>13.731400000000001</v>
      </c>
      <c r="FM26" s="166">
        <v>-16.9131</v>
      </c>
      <c r="FN26" s="167"/>
      <c r="FO26" s="166">
        <v>27.495999999999999</v>
      </c>
      <c r="FP26" s="166">
        <v>-3.2528000000000001</v>
      </c>
      <c r="FQ26" s="166">
        <v>0</v>
      </c>
      <c r="FR26" s="166">
        <v>21.280799999999999</v>
      </c>
      <c r="FS26" s="166">
        <v>-15.7</v>
      </c>
      <c r="FT26" s="167"/>
      <c r="FU26" s="166">
        <v>0.1943</v>
      </c>
      <c r="FV26" s="166">
        <v>-0.28999999999999998</v>
      </c>
      <c r="FW26" s="166">
        <v>0.44</v>
      </c>
      <c r="FX26" s="166">
        <v>-21.346599999999999</v>
      </c>
      <c r="FY26" s="167"/>
      <c r="FZ26" s="166">
        <v>4.968</v>
      </c>
      <c r="GA26" s="166">
        <v>1.204</v>
      </c>
      <c r="GB26" s="167"/>
      <c r="GC26" s="166">
        <v>11.66</v>
      </c>
      <c r="GD26" s="166">
        <v>-21.770199999999999</v>
      </c>
      <c r="GE26" s="166">
        <v>-13.981</v>
      </c>
      <c r="GF26" s="166">
        <v>-2.23</v>
      </c>
      <c r="GG26" s="166">
        <v>20.0427</v>
      </c>
      <c r="GH26" s="167"/>
      <c r="GI26" s="166">
        <v>29.107800000000001</v>
      </c>
      <c r="GJ26" s="166">
        <v>-8.9960000000000004</v>
      </c>
      <c r="GK26" s="166">
        <v>-9.7189999999999994</v>
      </c>
      <c r="GL26" s="166">
        <v>2.4554999999999998</v>
      </c>
      <c r="GM26" s="167"/>
      <c r="GN26" s="167"/>
      <c r="GO26" s="166">
        <v>-13.193300000000001</v>
      </c>
      <c r="GP26" s="166">
        <v>87.387799999999999</v>
      </c>
      <c r="GQ26" s="166">
        <v>0.33510000000000001</v>
      </c>
      <c r="GR26" s="166">
        <v>-25.0487</v>
      </c>
      <c r="GS26" s="166">
        <v>-5.93</v>
      </c>
      <c r="GT26" s="166">
        <v>-6.3651999999999997</v>
      </c>
      <c r="GU26" s="166">
        <v>128.42439999999999</v>
      </c>
      <c r="GV26" s="166">
        <v>-4.7515999999999998</v>
      </c>
      <c r="GW26" s="166">
        <v>-7.2933000000000003</v>
      </c>
      <c r="GX26" s="166">
        <v>-10.132199999999999</v>
      </c>
      <c r="GY26" s="166">
        <v>2.3794</v>
      </c>
      <c r="GZ26" s="166">
        <v>7.1276000000000002</v>
      </c>
      <c r="HA26" s="166">
        <v>7.2153</v>
      </c>
      <c r="HB26" s="166">
        <v>1.6843999999999999</v>
      </c>
      <c r="HC26" s="166">
        <v>-21.731100000000001</v>
      </c>
      <c r="HD26" s="166">
        <v>-20.426400000000001</v>
      </c>
      <c r="HE26" s="166">
        <v>-5.45</v>
      </c>
      <c r="HF26" s="166">
        <v>5.4291999999999998</v>
      </c>
      <c r="HG26" s="166">
        <v>35.224899999999998</v>
      </c>
      <c r="HH26" s="166">
        <v>27.587</v>
      </c>
      <c r="HI26" s="166">
        <v>54.184800000000003</v>
      </c>
      <c r="HJ26" s="166">
        <v>-22.785599999999999</v>
      </c>
      <c r="HK26" s="166">
        <v>29.622199999999999</v>
      </c>
      <c r="HL26" s="167"/>
      <c r="HM26" s="166">
        <v>0</v>
      </c>
      <c r="HN26" s="166">
        <v>0</v>
      </c>
      <c r="HO26" s="166">
        <v>-12.298400000000001</v>
      </c>
      <c r="HP26" s="166">
        <v>9.1584000000000003</v>
      </c>
      <c r="HQ26" s="167"/>
      <c r="HR26" s="166">
        <v>-18.093399999999999</v>
      </c>
      <c r="HS26" s="166">
        <v>-17.478100000000001</v>
      </c>
      <c r="HT26" s="166">
        <v>-16.448599999999999</v>
      </c>
      <c r="HU26" s="166">
        <v>-16.5899</v>
      </c>
      <c r="HV26" s="166">
        <v>28.49</v>
      </c>
      <c r="HW26" s="166">
        <v>28.65</v>
      </c>
      <c r="HX26" s="166">
        <v>-29.3</v>
      </c>
      <c r="HY26" s="166">
        <v>-29.7</v>
      </c>
      <c r="HZ26" s="166">
        <v>0.51</v>
      </c>
      <c r="IA26" s="166">
        <v>4.08</v>
      </c>
      <c r="IB26" s="166">
        <v>55.0092</v>
      </c>
      <c r="IC26" s="166">
        <v>18.331900000000001</v>
      </c>
      <c r="ID26" s="166">
        <v>18.262899999999998</v>
      </c>
      <c r="IE26" s="166">
        <v>-16.100000000000001</v>
      </c>
      <c r="IF26" s="166">
        <v>-41.4</v>
      </c>
      <c r="IG26" s="166">
        <v>1.8</v>
      </c>
      <c r="IH26" s="166">
        <v>1.2</v>
      </c>
      <c r="II26" s="166">
        <v>-18.047799999999999</v>
      </c>
      <c r="IJ26" s="166">
        <v>-17.831399999999999</v>
      </c>
      <c r="IK26" s="166">
        <v>-125.60209999999999</v>
      </c>
      <c r="IL26" s="166">
        <v>10.9255</v>
      </c>
      <c r="IM26" s="166">
        <v>-244.6054</v>
      </c>
      <c r="IN26" s="166">
        <v>-21.7378</v>
      </c>
      <c r="IO26" s="166">
        <v>-30.606100000000001</v>
      </c>
      <c r="IP26" s="166">
        <v>64.125200000000007</v>
      </c>
      <c r="IQ26" s="166">
        <v>104.6148</v>
      </c>
      <c r="IR26" s="167"/>
      <c r="IS26" s="166">
        <v>96.297399999999996</v>
      </c>
      <c r="IT26" s="166">
        <v>-12.2531</v>
      </c>
      <c r="IU26" s="166">
        <v>26.946300000000001</v>
      </c>
      <c r="IV26" s="166">
        <v>26.439599999999999</v>
      </c>
      <c r="IW26" s="167"/>
      <c r="IX26" s="166">
        <v>134.05619999999999</v>
      </c>
      <c r="IY26" s="166">
        <v>-207.15170000000001</v>
      </c>
      <c r="IZ26" s="166">
        <v>67.595600000000005</v>
      </c>
      <c r="JA26" s="166">
        <v>-65.093599999999995</v>
      </c>
      <c r="JB26" s="166">
        <v>-2.2717999999999998</v>
      </c>
      <c r="JC26" s="166">
        <v>7.6260000000000003</v>
      </c>
      <c r="JD26" s="166">
        <v>-8.16</v>
      </c>
      <c r="JE26" s="166">
        <v>-2.149</v>
      </c>
      <c r="JF26" s="166">
        <v>-2.1539999999999999</v>
      </c>
      <c r="JG26" s="166">
        <v>3.52</v>
      </c>
      <c r="JH26" s="166">
        <v>-2.96</v>
      </c>
      <c r="JI26" s="166">
        <v>-2.3620999999999999</v>
      </c>
      <c r="JJ26" s="166">
        <v>-2.8976999999999999</v>
      </c>
      <c r="JK26" s="166">
        <v>6.7979000000000003</v>
      </c>
      <c r="JL26" s="166">
        <v>-6.0349000000000004</v>
      </c>
      <c r="JM26" s="166">
        <v>-1.8</v>
      </c>
      <c r="JN26" s="166">
        <v>6.9779999999999998</v>
      </c>
      <c r="JO26" s="166">
        <v>6.234</v>
      </c>
      <c r="JP26" s="167"/>
      <c r="JQ26" s="167"/>
      <c r="JR26" s="166">
        <v>3.8822999999999999</v>
      </c>
      <c r="JS26" s="166">
        <v>4.7953000000000001</v>
      </c>
      <c r="JT26" s="166">
        <v>3.2416999999999998</v>
      </c>
      <c r="JU26" s="167"/>
      <c r="JV26" s="166">
        <v>26.2</v>
      </c>
      <c r="JW26" s="166">
        <v>1.5710999999999999</v>
      </c>
      <c r="JX26" s="166">
        <v>0.9</v>
      </c>
      <c r="JY26" s="167"/>
      <c r="JZ26" s="167"/>
      <c r="KA26" s="166">
        <v>-16.698799999999999</v>
      </c>
      <c r="KB26" s="166">
        <v>-22.2653</v>
      </c>
      <c r="KC26" s="166">
        <v>2.6313</v>
      </c>
      <c r="KD26" s="166">
        <v>12.7186</v>
      </c>
      <c r="KE26" s="166">
        <v>-18.140699999999999</v>
      </c>
      <c r="KF26" s="166">
        <v>4.5941000000000001</v>
      </c>
      <c r="KG26" s="166">
        <v>-20.7</v>
      </c>
      <c r="KH26" s="166">
        <v>2.9</v>
      </c>
      <c r="KI26" s="166">
        <v>31.833100000000002</v>
      </c>
      <c r="KJ26" s="166">
        <v>-89.223299999999995</v>
      </c>
    </row>
    <row r="27" spans="1:296" ht="18" customHeight="1" x14ac:dyDescent="0.3">
      <c r="A27" s="162" t="s">
        <v>67</v>
      </c>
      <c r="B27" s="162" t="s">
        <v>826</v>
      </c>
      <c r="C27" s="166">
        <v>0</v>
      </c>
      <c r="D27" s="167"/>
      <c r="E27" s="166">
        <v>4.1204000000000001</v>
      </c>
      <c r="F27" s="166">
        <v>-9.6587999999999994</v>
      </c>
      <c r="G27" s="166">
        <v>5.1265999999999998</v>
      </c>
      <c r="H27" s="166">
        <v>10.4437</v>
      </c>
      <c r="I27" s="167"/>
      <c r="J27" s="166">
        <v>17.375399999999999</v>
      </c>
      <c r="K27" s="167"/>
      <c r="L27" s="166">
        <v>17.674099999999999</v>
      </c>
      <c r="M27" s="166">
        <v>7.3827999999999996</v>
      </c>
      <c r="N27" s="166">
        <v>8.9909999999999997</v>
      </c>
      <c r="O27" s="166">
        <v>-19.98</v>
      </c>
      <c r="P27" s="166">
        <v>-30.8</v>
      </c>
      <c r="Q27" s="166">
        <v>6.6</v>
      </c>
      <c r="R27" s="166">
        <v>4.1399999999999997</v>
      </c>
      <c r="S27" s="166">
        <v>-19.8</v>
      </c>
      <c r="T27" s="166">
        <v>4.2004999999999999</v>
      </c>
      <c r="U27" s="166">
        <v>-10.098800000000001</v>
      </c>
      <c r="V27" s="167"/>
      <c r="W27" s="166">
        <v>8.8289000000000009</v>
      </c>
      <c r="X27" s="166">
        <v>15.1509</v>
      </c>
      <c r="Y27" s="166">
        <v>1.7912999999999999</v>
      </c>
      <c r="Z27" s="166">
        <v>-0.43390000000000001</v>
      </c>
      <c r="AA27" s="166">
        <v>1.4418</v>
      </c>
      <c r="AB27" s="167"/>
      <c r="AC27" s="166">
        <v>-1.19</v>
      </c>
      <c r="AD27" s="166">
        <v>-0.36</v>
      </c>
      <c r="AE27" s="166">
        <v>-0.32800000000000001</v>
      </c>
      <c r="AF27" s="166">
        <v>2.1859999999999999</v>
      </c>
      <c r="AG27" s="166">
        <v>-2.2200000000000002</v>
      </c>
      <c r="AH27" s="166">
        <v>-2.2000000000000002</v>
      </c>
      <c r="AI27" s="166">
        <v>-0.112</v>
      </c>
      <c r="AJ27" s="166">
        <v>0.27600000000000002</v>
      </c>
      <c r="AK27" s="166">
        <v>-6.78</v>
      </c>
      <c r="AL27" s="167"/>
      <c r="AM27" s="167"/>
      <c r="AN27" s="166">
        <v>-12.11</v>
      </c>
      <c r="AO27" s="166">
        <v>-12.14</v>
      </c>
      <c r="AP27" s="166">
        <v>5.2412999999999998</v>
      </c>
      <c r="AQ27" s="166">
        <v>3.2538</v>
      </c>
      <c r="AR27" s="166">
        <v>22.672799999999999</v>
      </c>
      <c r="AS27" s="166">
        <v>26.8126</v>
      </c>
      <c r="AT27" s="166">
        <v>-15.780799999999999</v>
      </c>
      <c r="AU27" s="166">
        <v>-3.1109</v>
      </c>
      <c r="AV27" s="166">
        <v>-3.0975000000000001</v>
      </c>
      <c r="AW27" s="166">
        <v>21.3688</v>
      </c>
      <c r="AX27" s="166">
        <v>21.654</v>
      </c>
      <c r="AY27" s="166">
        <v>-14.512600000000001</v>
      </c>
      <c r="AZ27" s="166">
        <v>-12.3659</v>
      </c>
      <c r="BA27" s="166">
        <v>22.228000000000002</v>
      </c>
      <c r="BB27" s="166">
        <v>22.658799999999999</v>
      </c>
      <c r="BC27" s="166">
        <v>110.2722</v>
      </c>
      <c r="BD27" s="166">
        <v>8.673</v>
      </c>
      <c r="BE27" s="166">
        <v>-4.8</v>
      </c>
      <c r="BF27" s="166">
        <v>-4.8</v>
      </c>
      <c r="BG27" s="166">
        <v>-26.589700000000001</v>
      </c>
      <c r="BH27" s="166">
        <v>-26.0868</v>
      </c>
      <c r="BI27" s="166">
        <v>-2.4853999999999998</v>
      </c>
      <c r="BJ27" s="167"/>
      <c r="BK27" s="166">
        <v>8.1016999999999992</v>
      </c>
      <c r="BL27" s="166">
        <v>9.0094999999999992</v>
      </c>
      <c r="BM27" s="167"/>
      <c r="BN27" s="166">
        <v>0.27750000000000002</v>
      </c>
      <c r="BO27" s="166">
        <v>-121.0669</v>
      </c>
      <c r="BP27" s="166">
        <v>119.3579</v>
      </c>
      <c r="BQ27" s="166">
        <v>120.2734</v>
      </c>
      <c r="BR27" s="166">
        <v>-61.490299999999998</v>
      </c>
      <c r="BS27" s="166">
        <v>-40.873699999999999</v>
      </c>
      <c r="BT27" s="167"/>
      <c r="BU27" s="167"/>
      <c r="BV27" s="167"/>
      <c r="BW27" s="166">
        <v>34.808700000000002</v>
      </c>
      <c r="BX27" s="166">
        <v>11.85</v>
      </c>
      <c r="BY27" s="166">
        <v>9.4600000000000009</v>
      </c>
      <c r="BZ27" s="166">
        <v>-1.1499999999999999</v>
      </c>
      <c r="CA27" s="166">
        <v>15.15</v>
      </c>
      <c r="CB27" s="166">
        <v>-24.242000000000001</v>
      </c>
      <c r="CC27" s="166">
        <v>-23.9741</v>
      </c>
      <c r="CD27" s="166">
        <v>33.130699999999997</v>
      </c>
      <c r="CE27" s="166">
        <v>31.8886</v>
      </c>
      <c r="CF27" s="166">
        <v>-6.0487000000000002</v>
      </c>
      <c r="CG27" s="166">
        <v>23.497199999999999</v>
      </c>
      <c r="CH27" s="166">
        <v>23.0777</v>
      </c>
      <c r="CI27" s="166">
        <v>7.0335000000000001</v>
      </c>
      <c r="CJ27" s="167"/>
      <c r="CK27" s="166">
        <v>3.456</v>
      </c>
      <c r="CL27" s="166">
        <v>9.5619999999999994</v>
      </c>
      <c r="CM27" s="166">
        <v>-9.6999999999999993</v>
      </c>
      <c r="CN27" s="166">
        <v>-9.9</v>
      </c>
      <c r="CO27" s="166">
        <v>-4.4800000000000004</v>
      </c>
      <c r="CP27" s="166">
        <v>43.838200000000001</v>
      </c>
      <c r="CQ27" s="166">
        <v>43.845500000000001</v>
      </c>
      <c r="CR27" s="166">
        <v>41.887099999999997</v>
      </c>
      <c r="CS27" s="166">
        <v>64.149900000000002</v>
      </c>
      <c r="CT27" s="166">
        <v>63.9328</v>
      </c>
      <c r="CU27" s="166">
        <v>-23.725899999999999</v>
      </c>
      <c r="CV27" s="166">
        <v>-59.837000000000003</v>
      </c>
      <c r="CW27" s="166">
        <v>-16.294</v>
      </c>
      <c r="CX27" s="166">
        <v>3.6677</v>
      </c>
      <c r="CY27" s="166">
        <v>40.29</v>
      </c>
      <c r="CZ27" s="166">
        <v>16.73</v>
      </c>
      <c r="DA27" s="166">
        <v>13.286099999999999</v>
      </c>
      <c r="DB27" s="166">
        <v>12.112399999999999</v>
      </c>
      <c r="DC27" s="166">
        <v>-12.1136</v>
      </c>
      <c r="DD27" s="167"/>
      <c r="DE27" s="167"/>
      <c r="DF27" s="167"/>
      <c r="DG27" s="166">
        <v>22.1615</v>
      </c>
      <c r="DH27" s="167"/>
      <c r="DI27" s="167"/>
      <c r="DJ27" s="166">
        <v>-47.2</v>
      </c>
      <c r="DK27" s="166">
        <v>-47</v>
      </c>
      <c r="DL27" s="166">
        <v>3.161</v>
      </c>
      <c r="DM27" s="166">
        <v>15.2</v>
      </c>
      <c r="DN27" s="166">
        <v>16.14</v>
      </c>
      <c r="DO27" s="166">
        <v>19.739999999999998</v>
      </c>
      <c r="DP27" s="166">
        <v>9.85</v>
      </c>
      <c r="DQ27" s="166">
        <v>-3.97</v>
      </c>
      <c r="DR27" s="166">
        <v>19.498999999999999</v>
      </c>
      <c r="DS27" s="166">
        <v>-22.7788</v>
      </c>
      <c r="DT27" s="166">
        <v>-9.8699999999999992</v>
      </c>
      <c r="DU27" s="166">
        <v>-9.99</v>
      </c>
      <c r="DV27" s="166">
        <v>29.34</v>
      </c>
      <c r="DW27" s="166">
        <v>12.84</v>
      </c>
      <c r="DX27" s="166">
        <v>-23.654499999999999</v>
      </c>
      <c r="DY27" s="166">
        <v>-11.427300000000001</v>
      </c>
      <c r="DZ27" s="167"/>
      <c r="EA27" s="166">
        <v>-45.881799999999998</v>
      </c>
      <c r="EB27" s="166">
        <v>51.308100000000003</v>
      </c>
      <c r="EC27" s="166">
        <v>16.449400000000001</v>
      </c>
      <c r="ED27" s="166">
        <v>5.8451000000000004</v>
      </c>
      <c r="EE27" s="166">
        <v>6.1627999999999998</v>
      </c>
      <c r="EF27" s="166">
        <v>-18.071999999999999</v>
      </c>
      <c r="EG27" s="166">
        <v>-25.622599999999998</v>
      </c>
      <c r="EH27" s="166">
        <v>-14.289</v>
      </c>
      <c r="EI27" s="166">
        <v>-2.1717</v>
      </c>
      <c r="EJ27" s="166">
        <v>-71.735100000000003</v>
      </c>
      <c r="EK27" s="167"/>
      <c r="EL27" s="166">
        <v>-13.5694</v>
      </c>
      <c r="EM27" s="166">
        <v>-13.359500000000001</v>
      </c>
      <c r="EN27" s="167"/>
      <c r="EO27" s="166">
        <v>-12.705500000000001</v>
      </c>
      <c r="EP27" s="166">
        <v>-12.4825</v>
      </c>
      <c r="EQ27" s="166">
        <v>-17.411999999999999</v>
      </c>
      <c r="ER27" s="166">
        <v>-16.453700000000001</v>
      </c>
      <c r="ES27" s="166">
        <v>-16.041</v>
      </c>
      <c r="ET27" s="166">
        <v>13.151400000000001</v>
      </c>
      <c r="EU27" s="166">
        <v>6.56</v>
      </c>
      <c r="EV27" s="166">
        <v>0</v>
      </c>
      <c r="EW27" s="166">
        <v>-0.1</v>
      </c>
      <c r="EX27" s="166">
        <v>9.2466000000000008</v>
      </c>
      <c r="EY27" s="166">
        <v>-23.505299999999998</v>
      </c>
      <c r="EZ27" s="166">
        <v>-10.190099999999999</v>
      </c>
      <c r="FA27" s="166">
        <v>-9.9923000000000002</v>
      </c>
      <c r="FB27" s="166">
        <v>7.8986000000000001</v>
      </c>
      <c r="FC27" s="166">
        <v>11.8851</v>
      </c>
      <c r="FD27" s="166">
        <v>-26.675699999999999</v>
      </c>
      <c r="FE27" s="166">
        <v>7.6989999999999998</v>
      </c>
      <c r="FF27" s="166">
        <v>0.33789999999999998</v>
      </c>
      <c r="FG27" s="167"/>
      <c r="FH27" s="166">
        <v>0</v>
      </c>
      <c r="FI27" s="166">
        <v>0</v>
      </c>
      <c r="FJ27" s="166">
        <v>0</v>
      </c>
      <c r="FK27" s="166">
        <v>13.3965</v>
      </c>
      <c r="FL27" s="166">
        <v>13.564</v>
      </c>
      <c r="FM27" s="166">
        <v>-19.759799999999998</v>
      </c>
      <c r="FN27" s="167"/>
      <c r="FO27" s="166">
        <v>30.55</v>
      </c>
      <c r="FP27" s="166">
        <v>-3.5011000000000001</v>
      </c>
      <c r="FQ27" s="166">
        <v>0</v>
      </c>
      <c r="FR27" s="166">
        <v>23.092400000000001</v>
      </c>
      <c r="FS27" s="166">
        <v>-15.58</v>
      </c>
      <c r="FT27" s="167"/>
      <c r="FU27" s="166">
        <v>0.19070000000000001</v>
      </c>
      <c r="FV27" s="166">
        <v>-0.28000000000000003</v>
      </c>
      <c r="FW27" s="166">
        <v>-1.83</v>
      </c>
      <c r="FX27" s="166">
        <v>-22.763400000000001</v>
      </c>
      <c r="FY27" s="167"/>
      <c r="FZ27" s="166">
        <v>4.7350000000000003</v>
      </c>
      <c r="GA27" s="166">
        <v>1.103</v>
      </c>
      <c r="GB27" s="167"/>
      <c r="GC27" s="166">
        <v>11.51</v>
      </c>
      <c r="GD27" s="166">
        <v>-21.2514</v>
      </c>
      <c r="GE27" s="166">
        <v>-13.777900000000001</v>
      </c>
      <c r="GF27" s="166">
        <v>-2.11</v>
      </c>
      <c r="GG27" s="166">
        <v>20.415900000000001</v>
      </c>
      <c r="GH27" s="167"/>
      <c r="GI27" s="166">
        <v>28.778099999999998</v>
      </c>
      <c r="GJ27" s="166">
        <v>-9.3415999999999997</v>
      </c>
      <c r="GK27" s="166">
        <v>-10.092000000000001</v>
      </c>
      <c r="GL27" s="166">
        <v>2.5783999999999998</v>
      </c>
      <c r="GM27" s="167"/>
      <c r="GN27" s="167"/>
      <c r="GO27" s="166">
        <v>-12.6907</v>
      </c>
      <c r="GP27" s="166">
        <v>87.845399999999998</v>
      </c>
      <c r="GQ27" s="166">
        <v>-8.6999999999999994E-3</v>
      </c>
      <c r="GR27" s="166">
        <v>-24.376000000000001</v>
      </c>
      <c r="GS27" s="166">
        <v>-6.3189000000000002</v>
      </c>
      <c r="GT27" s="166">
        <v>-6.6062000000000003</v>
      </c>
      <c r="GU27" s="166">
        <v>129.59630000000001</v>
      </c>
      <c r="GV27" s="166">
        <v>-4.0891999999999999</v>
      </c>
      <c r="GW27" s="166">
        <v>-6.4416000000000002</v>
      </c>
      <c r="GX27" s="166">
        <v>-10.449400000000001</v>
      </c>
      <c r="GY27" s="166">
        <v>2.1865999999999999</v>
      </c>
      <c r="GZ27" s="166">
        <v>7.4424999999999999</v>
      </c>
      <c r="HA27" s="166">
        <v>7.5712000000000002</v>
      </c>
      <c r="HB27" s="166">
        <v>1.6198999999999999</v>
      </c>
      <c r="HC27" s="166">
        <v>4.8818999999999999</v>
      </c>
      <c r="HD27" s="166">
        <v>6.5467000000000004</v>
      </c>
      <c r="HE27" s="166">
        <v>-2.5099999999999998</v>
      </c>
      <c r="HF27" s="166">
        <v>0</v>
      </c>
      <c r="HG27" s="166">
        <v>25.506</v>
      </c>
      <c r="HH27" s="166">
        <v>26.555700000000002</v>
      </c>
      <c r="HI27" s="166">
        <v>45.8658</v>
      </c>
      <c r="HJ27" s="166">
        <v>-48.3354</v>
      </c>
      <c r="HK27" s="166">
        <v>4.0282</v>
      </c>
      <c r="HL27" s="167"/>
      <c r="HM27" s="166">
        <v>-5.3677999999999999</v>
      </c>
      <c r="HN27" s="166">
        <v>-11.030099999999999</v>
      </c>
      <c r="HO27" s="166">
        <v>-11.7575</v>
      </c>
      <c r="HP27" s="167"/>
      <c r="HQ27" s="167"/>
      <c r="HR27" s="166">
        <v>-19.4832</v>
      </c>
      <c r="HS27" s="166">
        <v>-19.175599999999999</v>
      </c>
      <c r="HT27" s="166">
        <v>-17.611499999999999</v>
      </c>
      <c r="HU27" s="166">
        <v>-17.764800000000001</v>
      </c>
      <c r="HV27" s="166">
        <v>27.71</v>
      </c>
      <c r="HW27" s="166">
        <v>28.29</v>
      </c>
      <c r="HX27" s="166">
        <v>-29.3</v>
      </c>
      <c r="HY27" s="166">
        <v>-29.2</v>
      </c>
      <c r="HZ27" s="166">
        <v>0.47520000000000001</v>
      </c>
      <c r="IA27" s="166">
        <v>5.68</v>
      </c>
      <c r="IB27" s="166">
        <v>54.735599999999998</v>
      </c>
      <c r="IC27" s="166">
        <v>19.513400000000001</v>
      </c>
      <c r="ID27" s="166">
        <v>19.445799999999998</v>
      </c>
      <c r="IE27" s="166">
        <v>-15.7</v>
      </c>
      <c r="IF27" s="166">
        <v>-41</v>
      </c>
      <c r="IG27" s="166">
        <v>3.1</v>
      </c>
      <c r="IH27" s="166">
        <v>2.5</v>
      </c>
      <c r="II27" s="166">
        <v>-17.815999999999999</v>
      </c>
      <c r="IJ27" s="167"/>
      <c r="IK27" s="166">
        <v>-123.3368</v>
      </c>
      <c r="IL27" s="166">
        <v>25.9514</v>
      </c>
      <c r="IM27" s="166">
        <v>-249.35390000000001</v>
      </c>
      <c r="IN27" s="166">
        <v>-34.9968</v>
      </c>
      <c r="IO27" s="166">
        <v>-28.886099999999999</v>
      </c>
      <c r="IP27" s="166">
        <v>77.296400000000006</v>
      </c>
      <c r="IQ27" s="166">
        <v>96.404600000000002</v>
      </c>
      <c r="IR27" s="167"/>
      <c r="IS27" s="166">
        <v>95.088099999999997</v>
      </c>
      <c r="IT27" s="166">
        <v>-2.0396000000000001</v>
      </c>
      <c r="IU27" s="166">
        <v>28.773700000000002</v>
      </c>
      <c r="IV27" s="166">
        <v>25.9741</v>
      </c>
      <c r="IW27" s="167"/>
      <c r="IX27" s="166">
        <v>129.01159999999999</v>
      </c>
      <c r="IY27" s="166">
        <v>-206.7022</v>
      </c>
      <c r="IZ27" s="166">
        <v>63.508400000000002</v>
      </c>
      <c r="JA27" s="166">
        <v>-62.731200000000001</v>
      </c>
      <c r="JB27" s="166">
        <v>-1.8273999999999999</v>
      </c>
      <c r="JC27" s="166">
        <v>8.6259999999999994</v>
      </c>
      <c r="JD27" s="166">
        <v>-8.24</v>
      </c>
      <c r="JE27" s="166">
        <v>-2.1240000000000001</v>
      </c>
      <c r="JF27" s="166">
        <v>-2.1160000000000001</v>
      </c>
      <c r="JG27" s="166">
        <v>4</v>
      </c>
      <c r="JH27" s="166">
        <v>-2.72</v>
      </c>
      <c r="JI27" s="166">
        <v>-2.5615999999999999</v>
      </c>
      <c r="JJ27" s="166">
        <v>-3.1907000000000001</v>
      </c>
      <c r="JK27" s="166">
        <v>8.0307999999999993</v>
      </c>
      <c r="JL27" s="166">
        <v>-6.8528000000000002</v>
      </c>
      <c r="JM27" s="166">
        <v>-2.4</v>
      </c>
      <c r="JN27" s="166">
        <v>6.1349999999999998</v>
      </c>
      <c r="JO27" s="166">
        <v>7.5759999999999996</v>
      </c>
      <c r="JP27" s="167"/>
      <c r="JQ27" s="167"/>
      <c r="JR27" s="166">
        <v>3.6659999999999999</v>
      </c>
      <c r="JS27" s="166">
        <v>2.7269999999999999</v>
      </c>
      <c r="JT27" s="166">
        <v>3.4727000000000001</v>
      </c>
      <c r="JU27" s="167"/>
      <c r="JV27" s="166">
        <v>25.2</v>
      </c>
      <c r="JW27" s="166">
        <v>0.41420000000000001</v>
      </c>
      <c r="JX27" s="166">
        <v>1.0900000000000001</v>
      </c>
      <c r="JY27" s="167"/>
      <c r="JZ27" s="166">
        <v>2.7736999999999998</v>
      </c>
      <c r="KA27" s="166">
        <v>-18.824200000000001</v>
      </c>
      <c r="KB27" s="166">
        <v>-24.182400000000001</v>
      </c>
      <c r="KC27" s="166">
        <v>5.5778999999999996</v>
      </c>
      <c r="KD27" s="166">
        <v>13.813499999999999</v>
      </c>
      <c r="KE27" s="166">
        <v>-19.177499999999998</v>
      </c>
      <c r="KF27" s="166">
        <v>4.4653999999999998</v>
      </c>
      <c r="KG27" s="166">
        <v>-20.2</v>
      </c>
      <c r="KH27" s="166">
        <v>2.7</v>
      </c>
      <c r="KI27" s="166">
        <v>13.4534</v>
      </c>
      <c r="KJ27" s="166">
        <v>-67.446100000000001</v>
      </c>
    </row>
    <row r="28" spans="1:296" ht="18" customHeight="1" x14ac:dyDescent="0.3">
      <c r="A28" s="162" t="s">
        <v>67</v>
      </c>
      <c r="B28" s="162" t="s">
        <v>827</v>
      </c>
      <c r="C28" s="166">
        <v>0</v>
      </c>
      <c r="D28" s="167"/>
      <c r="E28" s="166">
        <v>4.4904000000000002</v>
      </c>
      <c r="F28" s="166">
        <v>-10.2125</v>
      </c>
      <c r="G28" s="166">
        <v>3.4533</v>
      </c>
      <c r="H28" s="166">
        <v>11.239800000000001</v>
      </c>
      <c r="I28" s="167"/>
      <c r="J28" s="166">
        <v>18.264099999999999</v>
      </c>
      <c r="K28" s="167"/>
      <c r="L28" s="166">
        <v>18.37</v>
      </c>
      <c r="M28" s="166">
        <v>7.8528000000000002</v>
      </c>
      <c r="N28" s="166">
        <v>9.4295000000000009</v>
      </c>
      <c r="O28" s="166">
        <v>-19.98</v>
      </c>
      <c r="P28" s="166">
        <v>-28.6</v>
      </c>
      <c r="Q28" s="166">
        <v>4.4000000000000004</v>
      </c>
      <c r="R28" s="166">
        <v>4.968</v>
      </c>
      <c r="S28" s="166">
        <v>-19.8</v>
      </c>
      <c r="T28" s="166">
        <v>3.7970999999999999</v>
      </c>
      <c r="U28" s="166">
        <v>-9.5</v>
      </c>
      <c r="V28" s="167"/>
      <c r="W28" s="166">
        <v>9.9727999999999994</v>
      </c>
      <c r="X28" s="166">
        <v>15.8889</v>
      </c>
      <c r="Y28" s="166">
        <v>2.9630000000000001</v>
      </c>
      <c r="Z28" s="166">
        <v>-0.45240000000000002</v>
      </c>
      <c r="AA28" s="166">
        <v>1.4186000000000001</v>
      </c>
      <c r="AB28" s="167"/>
      <c r="AC28" s="166">
        <v>-1.1500999999999999</v>
      </c>
      <c r="AD28" s="166">
        <v>-0.34799999999999998</v>
      </c>
      <c r="AE28" s="166">
        <v>-0.35199999999999998</v>
      </c>
      <c r="AF28" s="166">
        <v>2.4870000000000001</v>
      </c>
      <c r="AG28" s="166">
        <v>-2.2200000000000002</v>
      </c>
      <c r="AH28" s="166">
        <v>-2.2000000000000002</v>
      </c>
      <c r="AI28" s="166">
        <v>0.33300000000000002</v>
      </c>
      <c r="AJ28" s="166">
        <v>0.28299999999999997</v>
      </c>
      <c r="AK28" s="166">
        <v>-8.34</v>
      </c>
      <c r="AL28" s="167"/>
      <c r="AM28" s="167"/>
      <c r="AN28" s="166">
        <v>-11.19</v>
      </c>
      <c r="AO28" s="166">
        <v>-11.43</v>
      </c>
      <c r="AP28" s="166">
        <v>5.6308999999999996</v>
      </c>
      <c r="AQ28" s="166">
        <v>3.5034000000000001</v>
      </c>
      <c r="AR28" s="166">
        <v>23.041499999999999</v>
      </c>
      <c r="AS28" s="166">
        <v>27.238499999999998</v>
      </c>
      <c r="AT28" s="166">
        <v>-13.1341</v>
      </c>
      <c r="AU28" s="166">
        <v>-5.2725</v>
      </c>
      <c r="AV28" s="166">
        <v>-5.0556000000000001</v>
      </c>
      <c r="AW28" s="166">
        <v>12.5374</v>
      </c>
      <c r="AX28" s="166">
        <v>10.829700000000001</v>
      </c>
      <c r="AY28" s="166">
        <v>-16.962</v>
      </c>
      <c r="AZ28" s="166">
        <v>-12.898999999999999</v>
      </c>
      <c r="BA28" s="166">
        <v>19.584399999999999</v>
      </c>
      <c r="BB28" s="166">
        <v>23.282299999999999</v>
      </c>
      <c r="BC28" s="166">
        <v>102.3021</v>
      </c>
      <c r="BD28" s="166">
        <v>16.6067</v>
      </c>
      <c r="BE28" s="166">
        <v>-6.6</v>
      </c>
      <c r="BF28" s="166">
        <v>-6.6</v>
      </c>
      <c r="BG28" s="166">
        <v>-25.1905</v>
      </c>
      <c r="BH28" s="166">
        <v>-23.999500000000001</v>
      </c>
      <c r="BI28" s="166">
        <v>-3.8188</v>
      </c>
      <c r="BJ28" s="167"/>
      <c r="BK28" s="166">
        <v>17.6431</v>
      </c>
      <c r="BL28" s="166">
        <v>9.6222999999999992</v>
      </c>
      <c r="BM28" s="167"/>
      <c r="BN28" s="166">
        <v>0</v>
      </c>
      <c r="BO28" s="166">
        <v>-131.6568</v>
      </c>
      <c r="BP28" s="166">
        <v>123.08110000000001</v>
      </c>
      <c r="BQ28" s="166">
        <v>122.898</v>
      </c>
      <c r="BR28" s="166">
        <v>-63.024500000000003</v>
      </c>
      <c r="BS28" s="166">
        <v>-47.684199999999997</v>
      </c>
      <c r="BT28" s="167"/>
      <c r="BU28" s="167"/>
      <c r="BV28" s="167"/>
      <c r="BW28" s="166">
        <v>42.153599999999997</v>
      </c>
      <c r="BX28" s="166">
        <v>15.99</v>
      </c>
      <c r="BY28" s="166">
        <v>0</v>
      </c>
      <c r="BZ28" s="166">
        <v>2.73</v>
      </c>
      <c r="CA28" s="166">
        <v>7.15</v>
      </c>
      <c r="CB28" s="166">
        <v>-22.7685</v>
      </c>
      <c r="CC28" s="166">
        <v>-22.7685</v>
      </c>
      <c r="CD28" s="166">
        <v>33.9011</v>
      </c>
      <c r="CE28" s="166">
        <v>31.9589</v>
      </c>
      <c r="CF28" s="166">
        <v>-5.8373999999999997</v>
      </c>
      <c r="CG28" s="166">
        <v>21.938700000000001</v>
      </c>
      <c r="CH28" s="166">
        <v>21.927</v>
      </c>
      <c r="CI28" s="166">
        <v>16.8003</v>
      </c>
      <c r="CJ28" s="167"/>
      <c r="CK28" s="166">
        <v>3.6393</v>
      </c>
      <c r="CL28" s="166">
        <v>7.4980000000000002</v>
      </c>
      <c r="CM28" s="166">
        <v>-7</v>
      </c>
      <c r="CN28" s="166">
        <v>-7.5</v>
      </c>
      <c r="CO28" s="166">
        <v>-4.6100000000000003</v>
      </c>
      <c r="CP28" s="166">
        <v>45.324300000000001</v>
      </c>
      <c r="CQ28" s="166">
        <v>45.202300000000001</v>
      </c>
      <c r="CR28" s="166">
        <v>43.414299999999997</v>
      </c>
      <c r="CS28" s="166">
        <v>63.814999999999998</v>
      </c>
      <c r="CT28" s="166">
        <v>63.325299999999999</v>
      </c>
      <c r="CU28" s="166">
        <v>-26.2911</v>
      </c>
      <c r="CV28" s="166">
        <v>-61.6815</v>
      </c>
      <c r="CW28" s="166">
        <v>-17.326699999999999</v>
      </c>
      <c r="CX28" s="166">
        <v>3.7322000000000002</v>
      </c>
      <c r="CY28" s="166">
        <v>41.4</v>
      </c>
      <c r="CZ28" s="166">
        <v>17.34</v>
      </c>
      <c r="DA28" s="166">
        <v>13.911099999999999</v>
      </c>
      <c r="DB28" s="166">
        <v>12.893700000000001</v>
      </c>
      <c r="DC28" s="166">
        <v>-12.387499999999999</v>
      </c>
      <c r="DD28" s="167"/>
      <c r="DE28" s="167"/>
      <c r="DF28" s="167"/>
      <c r="DG28" s="166">
        <v>22.1508</v>
      </c>
      <c r="DH28" s="167"/>
      <c r="DI28" s="167"/>
      <c r="DJ28" s="166">
        <v>-49.8</v>
      </c>
      <c r="DK28" s="166">
        <v>-49.4</v>
      </c>
      <c r="DL28" s="166">
        <v>3.266</v>
      </c>
      <c r="DM28" s="166">
        <v>16.5</v>
      </c>
      <c r="DN28" s="166">
        <v>16.52</v>
      </c>
      <c r="DO28" s="166">
        <v>21.3</v>
      </c>
      <c r="DP28" s="166">
        <v>10.98</v>
      </c>
      <c r="DQ28" s="166">
        <v>-3.78</v>
      </c>
      <c r="DR28" s="166">
        <v>19.669499999999999</v>
      </c>
      <c r="DS28" s="166">
        <v>-22.786300000000001</v>
      </c>
      <c r="DT28" s="166">
        <v>-9.92</v>
      </c>
      <c r="DU28" s="166">
        <v>-9.9499999999999993</v>
      </c>
      <c r="DV28" s="166">
        <v>28.83</v>
      </c>
      <c r="DW28" s="166">
        <v>13.2</v>
      </c>
      <c r="DX28" s="166">
        <v>-23.345500000000001</v>
      </c>
      <c r="DY28" s="166">
        <v>-11.2182</v>
      </c>
      <c r="DZ28" s="167"/>
      <c r="EA28" s="166">
        <v>-46.263599999999997</v>
      </c>
      <c r="EB28" s="166">
        <v>53.940800000000003</v>
      </c>
      <c r="EC28" s="166">
        <v>18.686800000000002</v>
      </c>
      <c r="ED28" s="166">
        <v>8.5404</v>
      </c>
      <c r="EE28" s="166">
        <v>8.7678999999999991</v>
      </c>
      <c r="EF28" s="166">
        <v>-19.651599999999998</v>
      </c>
      <c r="EG28" s="166">
        <v>-27.421800000000001</v>
      </c>
      <c r="EH28" s="166">
        <v>-14.832000000000001</v>
      </c>
      <c r="EI28" s="166">
        <v>-1.6335</v>
      </c>
      <c r="EJ28" s="166">
        <v>-70.311599999999999</v>
      </c>
      <c r="EK28" s="167"/>
      <c r="EL28" s="166">
        <v>-14.244</v>
      </c>
      <c r="EM28" s="166">
        <v>-13.778499999999999</v>
      </c>
      <c r="EN28" s="167"/>
      <c r="EO28" s="166">
        <v>-10.083500000000001</v>
      </c>
      <c r="EP28" s="166">
        <v>-10.136200000000001</v>
      </c>
      <c r="EQ28" s="166">
        <v>-20.484000000000002</v>
      </c>
      <c r="ER28" s="166">
        <v>-18.849299999999999</v>
      </c>
      <c r="ES28" s="166">
        <v>-18.624099999999999</v>
      </c>
      <c r="ET28" s="166">
        <v>13.114800000000001</v>
      </c>
      <c r="EU28" s="166">
        <v>6.78</v>
      </c>
      <c r="EV28" s="166">
        <v>0</v>
      </c>
      <c r="EW28" s="166">
        <v>-0.1</v>
      </c>
      <c r="EX28" s="166">
        <v>9.6723999999999997</v>
      </c>
      <c r="EY28" s="166">
        <v>-19.944099999999999</v>
      </c>
      <c r="EZ28" s="166">
        <v>-10.185600000000001</v>
      </c>
      <c r="FA28" s="166">
        <v>-9.9882000000000009</v>
      </c>
      <c r="FB28" s="166">
        <v>7.5446</v>
      </c>
      <c r="FC28" s="166">
        <v>11.1546</v>
      </c>
      <c r="FD28" s="166">
        <v>-25.950500000000002</v>
      </c>
      <c r="FE28" s="166">
        <v>7.931</v>
      </c>
      <c r="FF28" s="166">
        <v>0.52580000000000005</v>
      </c>
      <c r="FG28" s="167"/>
      <c r="FH28" s="166">
        <v>0</v>
      </c>
      <c r="FI28" s="166">
        <v>0</v>
      </c>
      <c r="FJ28" s="167"/>
      <c r="FK28" s="166">
        <v>13.0616</v>
      </c>
      <c r="FL28" s="166">
        <v>12.8941</v>
      </c>
      <c r="FM28" s="166">
        <v>-18.252700000000001</v>
      </c>
      <c r="FN28" s="167"/>
      <c r="FO28" s="166">
        <v>30.796600000000002</v>
      </c>
      <c r="FP28" s="166">
        <v>-3.7913000000000001</v>
      </c>
      <c r="FQ28" s="166">
        <v>0</v>
      </c>
      <c r="FR28" s="166">
        <v>21.886299999999999</v>
      </c>
      <c r="FS28" s="166">
        <v>-15.02</v>
      </c>
      <c r="FT28" s="167"/>
      <c r="FU28" s="166">
        <v>0.22639999999999999</v>
      </c>
      <c r="FV28" s="166">
        <v>-0.27</v>
      </c>
      <c r="FW28" s="166">
        <v>-0.36</v>
      </c>
      <c r="FX28" s="166">
        <v>-22.587599999999998</v>
      </c>
      <c r="FY28" s="167"/>
      <c r="FZ28" s="166">
        <v>4.7149999999999999</v>
      </c>
      <c r="GA28" s="166">
        <v>3.0630000000000002</v>
      </c>
      <c r="GB28" s="167"/>
      <c r="GC28" s="166">
        <v>11.59</v>
      </c>
      <c r="GD28" s="166">
        <v>-20.956900000000001</v>
      </c>
      <c r="GE28" s="166">
        <v>-13.3874</v>
      </c>
      <c r="GF28" s="167"/>
      <c r="GG28" s="166">
        <v>20.709800000000001</v>
      </c>
      <c r="GH28" s="167"/>
      <c r="GI28" s="166">
        <v>28.745200000000001</v>
      </c>
      <c r="GJ28" s="166">
        <v>-9.4253999999999998</v>
      </c>
      <c r="GK28" s="166">
        <v>-10.1836</v>
      </c>
      <c r="GL28" s="166">
        <v>2.7113999999999998</v>
      </c>
      <c r="GM28" s="167"/>
      <c r="GN28" s="167"/>
      <c r="GO28" s="166">
        <v>-12.4657</v>
      </c>
      <c r="GP28" s="166">
        <v>87.4435</v>
      </c>
      <c r="GQ28" s="166">
        <v>0.53369999999999995</v>
      </c>
      <c r="GR28" s="166">
        <v>-23.577400000000001</v>
      </c>
      <c r="GS28" s="166">
        <v>-6.7502000000000004</v>
      </c>
      <c r="GT28" s="166">
        <v>-6.6805000000000003</v>
      </c>
      <c r="GU28" s="166">
        <v>125.6384</v>
      </c>
      <c r="GV28" s="166">
        <v>-3.6894</v>
      </c>
      <c r="GW28" s="166">
        <v>-6.5202999999999998</v>
      </c>
      <c r="GX28" s="166">
        <v>-10.6317</v>
      </c>
      <c r="GY28" s="166">
        <v>2.3906000000000001</v>
      </c>
      <c r="GZ28" s="166">
        <v>7.6631999999999998</v>
      </c>
      <c r="HA28" s="166">
        <v>7.7847999999999997</v>
      </c>
      <c r="HB28" s="166">
        <v>1.7177</v>
      </c>
      <c r="HC28" s="166">
        <v>6.3884999999999996</v>
      </c>
      <c r="HD28" s="166">
        <v>6.4916</v>
      </c>
      <c r="HE28" s="166">
        <v>-3.77</v>
      </c>
      <c r="HF28" s="166">
        <v>0</v>
      </c>
      <c r="HG28" s="166">
        <v>27.457100000000001</v>
      </c>
      <c r="HH28" s="166">
        <v>27.261900000000001</v>
      </c>
      <c r="HI28" s="166">
        <v>44.145899999999997</v>
      </c>
      <c r="HJ28" s="166">
        <v>-48.703099999999999</v>
      </c>
      <c r="HK28" s="166">
        <v>3.1859000000000002</v>
      </c>
      <c r="HL28" s="167"/>
      <c r="HM28" s="166">
        <v>-6.1811999999999996</v>
      </c>
      <c r="HN28" s="166">
        <v>0</v>
      </c>
      <c r="HO28" s="166">
        <v>-11.5806</v>
      </c>
      <c r="HP28" s="167"/>
      <c r="HQ28" s="167"/>
      <c r="HR28" s="166">
        <v>-18.4559</v>
      </c>
      <c r="HS28" s="166">
        <v>-17.9451</v>
      </c>
      <c r="HT28" s="166">
        <v>-19.665099999999999</v>
      </c>
      <c r="HU28" s="166">
        <v>-18.9907</v>
      </c>
      <c r="HV28" s="166">
        <v>27.26</v>
      </c>
      <c r="HW28" s="166">
        <v>27.72</v>
      </c>
      <c r="HX28" s="166">
        <v>-28.9</v>
      </c>
      <c r="HY28" s="166">
        <v>-29.3</v>
      </c>
      <c r="HZ28" s="166">
        <v>0.19500000000000001</v>
      </c>
      <c r="IA28" s="166">
        <v>7.52</v>
      </c>
      <c r="IB28" s="166">
        <v>50.713900000000002</v>
      </c>
      <c r="IC28" s="166">
        <v>25.695900000000002</v>
      </c>
      <c r="ID28" s="166">
        <v>26.209099999999999</v>
      </c>
      <c r="IE28" s="166">
        <v>-15.7</v>
      </c>
      <c r="IF28" s="166">
        <v>-41.4</v>
      </c>
      <c r="IG28" s="166">
        <v>2.6</v>
      </c>
      <c r="IH28" s="166">
        <v>2.1</v>
      </c>
      <c r="II28" s="167"/>
      <c r="IJ28" s="166">
        <v>-17.818000000000001</v>
      </c>
      <c r="IK28" s="166">
        <v>-126.6816</v>
      </c>
      <c r="IL28" s="166">
        <v>21.899899999999999</v>
      </c>
      <c r="IM28" s="166">
        <v>-247.8306</v>
      </c>
      <c r="IN28" s="166">
        <v>-32.703099999999999</v>
      </c>
      <c r="IO28" s="166">
        <v>-30.969200000000001</v>
      </c>
      <c r="IP28" s="166">
        <v>71.707899999999995</v>
      </c>
      <c r="IQ28" s="166">
        <v>94.505099999999999</v>
      </c>
      <c r="IR28" s="167"/>
      <c r="IS28" s="166">
        <v>91.770200000000003</v>
      </c>
      <c r="IT28" s="166">
        <v>-4.8962000000000003</v>
      </c>
      <c r="IU28" s="166">
        <v>29.958600000000001</v>
      </c>
      <c r="IV28" s="166">
        <v>23.149899999999999</v>
      </c>
      <c r="IW28" s="167"/>
      <c r="IX28" s="166">
        <v>127.2213</v>
      </c>
      <c r="IY28" s="166">
        <v>-204.03270000000001</v>
      </c>
      <c r="IZ28" s="166">
        <v>63.960900000000002</v>
      </c>
      <c r="JA28" s="166">
        <v>-63.9283</v>
      </c>
      <c r="JB28" s="166">
        <v>0.3528</v>
      </c>
      <c r="JC28" s="166">
        <v>8.0779999999999994</v>
      </c>
      <c r="JD28" s="166">
        <v>-8.4</v>
      </c>
      <c r="JE28" s="166">
        <v>-2.1850000000000001</v>
      </c>
      <c r="JF28" s="166">
        <v>-2.1840000000000002</v>
      </c>
      <c r="JG28" s="166">
        <v>3.6</v>
      </c>
      <c r="JH28" s="166">
        <v>-3.12</v>
      </c>
      <c r="JI28" s="166">
        <v>-2.5179999999999998</v>
      </c>
      <c r="JJ28" s="166">
        <v>-2.6352000000000002</v>
      </c>
      <c r="JK28" s="166">
        <v>7.7957999999999998</v>
      </c>
      <c r="JL28" s="166">
        <v>-7.3228</v>
      </c>
      <c r="JM28" s="166">
        <v>-2.4</v>
      </c>
      <c r="JN28" s="166">
        <v>6.4470000000000001</v>
      </c>
      <c r="JO28" s="166">
        <v>6.8579999999999997</v>
      </c>
      <c r="JP28" s="167"/>
      <c r="JQ28" s="167"/>
      <c r="JR28" s="166">
        <v>4.1578999999999997</v>
      </c>
      <c r="JS28" s="166">
        <v>4.5247000000000002</v>
      </c>
      <c r="JT28" s="166">
        <v>3.9666999999999999</v>
      </c>
      <c r="JU28" s="167"/>
      <c r="JV28" s="166">
        <v>26.5</v>
      </c>
      <c r="JW28" s="166">
        <v>0.32929999999999998</v>
      </c>
      <c r="JX28" s="166">
        <v>1.17</v>
      </c>
      <c r="JY28" s="167"/>
      <c r="JZ28" s="166">
        <v>3.3843999999999999</v>
      </c>
      <c r="KA28" s="166">
        <v>-18.262699999999999</v>
      </c>
      <c r="KB28" s="166">
        <v>-23.4482</v>
      </c>
      <c r="KC28" s="166">
        <v>4.6432000000000002</v>
      </c>
      <c r="KD28" s="166">
        <v>13.486000000000001</v>
      </c>
      <c r="KE28" s="166">
        <v>-18.694099999999999</v>
      </c>
      <c r="KF28" s="166">
        <v>4.6761999999999997</v>
      </c>
      <c r="KG28" s="166">
        <v>-21.4</v>
      </c>
      <c r="KH28" s="166">
        <v>3.5</v>
      </c>
      <c r="KI28" s="166">
        <v>12.4786</v>
      </c>
      <c r="KJ28" s="166">
        <v>-65.4131</v>
      </c>
    </row>
    <row r="29" spans="1:296" ht="18" customHeight="1" x14ac:dyDescent="0.3">
      <c r="A29" s="162" t="s">
        <v>67</v>
      </c>
      <c r="B29" s="162" t="s">
        <v>828</v>
      </c>
      <c r="C29" s="166">
        <v>0</v>
      </c>
      <c r="D29" s="167"/>
      <c r="E29" s="166">
        <v>5.1166</v>
      </c>
      <c r="F29" s="166">
        <v>-11.0273</v>
      </c>
      <c r="G29" s="166">
        <v>2.1214</v>
      </c>
      <c r="H29" s="166">
        <v>11.4953</v>
      </c>
      <c r="I29" s="167"/>
      <c r="J29" s="166">
        <v>19.291599999999999</v>
      </c>
      <c r="K29" s="167"/>
      <c r="L29" s="166">
        <v>17.997599999999998</v>
      </c>
      <c r="M29" s="166">
        <v>7.4177999999999997</v>
      </c>
      <c r="N29" s="166">
        <v>9.2377000000000002</v>
      </c>
      <c r="O29" s="166">
        <v>-19.98</v>
      </c>
      <c r="P29" s="166">
        <v>-30.8</v>
      </c>
      <c r="Q29" s="166">
        <v>6.6</v>
      </c>
      <c r="R29" s="166">
        <v>4.1399999999999997</v>
      </c>
      <c r="S29" s="167"/>
      <c r="T29" s="166">
        <v>4.1749999999999998</v>
      </c>
      <c r="U29" s="166">
        <v>-10.386100000000001</v>
      </c>
      <c r="V29" s="167"/>
      <c r="W29" s="166">
        <v>10.386799999999999</v>
      </c>
      <c r="X29" s="166">
        <v>17.485199999999999</v>
      </c>
      <c r="Y29" s="166">
        <v>2.831</v>
      </c>
      <c r="Z29" s="166">
        <v>-0.45879999999999999</v>
      </c>
      <c r="AA29" s="166">
        <v>1.4278999999999999</v>
      </c>
      <c r="AB29" s="167"/>
      <c r="AC29" s="166">
        <v>-1.1131</v>
      </c>
      <c r="AD29" s="166">
        <v>-0.33300000000000002</v>
      </c>
      <c r="AE29" s="166">
        <v>-0.311</v>
      </c>
      <c r="AF29" s="166">
        <v>1.83</v>
      </c>
      <c r="AG29" s="166">
        <v>0</v>
      </c>
      <c r="AH29" s="166">
        <v>-2.2000000000000002</v>
      </c>
      <c r="AI29" s="166">
        <v>0.54400000000000004</v>
      </c>
      <c r="AJ29" s="166">
        <v>0.249</v>
      </c>
      <c r="AK29" s="166">
        <v>-7.81</v>
      </c>
      <c r="AL29" s="167"/>
      <c r="AM29" s="167"/>
      <c r="AN29" s="166">
        <v>-11.4</v>
      </c>
      <c r="AO29" s="166">
        <v>-11.32</v>
      </c>
      <c r="AP29" s="166">
        <v>6.0111999999999997</v>
      </c>
      <c r="AQ29" s="166">
        <v>3.6387</v>
      </c>
      <c r="AR29" s="166">
        <v>23.669899999999998</v>
      </c>
      <c r="AS29" s="166">
        <v>28.122</v>
      </c>
      <c r="AT29" s="166">
        <v>-12.6492</v>
      </c>
      <c r="AU29" s="166">
        <v>-5.9344000000000001</v>
      </c>
      <c r="AV29" s="166">
        <v>-6.4640000000000004</v>
      </c>
      <c r="AW29" s="166">
        <v>27.579799999999999</v>
      </c>
      <c r="AX29" s="166">
        <v>19.9344</v>
      </c>
      <c r="AY29" s="166">
        <v>-17.254799999999999</v>
      </c>
      <c r="AZ29" s="166">
        <v>-14.583600000000001</v>
      </c>
      <c r="BA29" s="166">
        <v>24.2058</v>
      </c>
      <c r="BB29" s="166">
        <v>20.472799999999999</v>
      </c>
      <c r="BC29" s="166">
        <v>101.9239</v>
      </c>
      <c r="BD29" s="166">
        <v>15.9384</v>
      </c>
      <c r="BE29" s="166">
        <v>-6.1</v>
      </c>
      <c r="BF29" s="166">
        <v>-6.2</v>
      </c>
      <c r="BG29" s="166">
        <v>-24.248899999999999</v>
      </c>
      <c r="BH29" s="166">
        <v>-23.647099999999998</v>
      </c>
      <c r="BI29" s="166">
        <v>-3.7610000000000001</v>
      </c>
      <c r="BJ29" s="167"/>
      <c r="BK29" s="166">
        <v>16.065899999999999</v>
      </c>
      <c r="BL29" s="166">
        <v>9.9841999999999995</v>
      </c>
      <c r="BM29" s="167"/>
      <c r="BN29" s="166">
        <v>0</v>
      </c>
      <c r="BO29" s="166">
        <v>-125.1564</v>
      </c>
      <c r="BP29" s="166">
        <v>123.2337</v>
      </c>
      <c r="BQ29" s="166">
        <v>123.72199999999999</v>
      </c>
      <c r="BR29" s="166">
        <v>-71.090299999999999</v>
      </c>
      <c r="BS29" s="166">
        <v>-35.947699999999998</v>
      </c>
      <c r="BT29" s="167"/>
      <c r="BU29" s="167"/>
      <c r="BV29" s="167"/>
      <c r="BW29" s="166">
        <v>43.570700000000002</v>
      </c>
      <c r="BX29" s="166">
        <v>16.79</v>
      </c>
      <c r="BY29" s="167"/>
      <c r="BZ29" s="166">
        <v>3.74</v>
      </c>
      <c r="CA29" s="166">
        <v>7.54</v>
      </c>
      <c r="CB29" s="166">
        <v>-22.7685</v>
      </c>
      <c r="CC29" s="166">
        <v>-22.232700000000001</v>
      </c>
      <c r="CD29" s="166">
        <v>32.595500000000001</v>
      </c>
      <c r="CE29" s="166">
        <v>30.3354</v>
      </c>
      <c r="CF29" s="166">
        <v>-6.7659000000000002</v>
      </c>
      <c r="CG29" s="166">
        <v>21.535299999999999</v>
      </c>
      <c r="CH29" s="166">
        <v>21.377199999999998</v>
      </c>
      <c r="CI29" s="166">
        <v>17.4605</v>
      </c>
      <c r="CJ29" s="167"/>
      <c r="CK29" s="166">
        <v>3.8355999999999999</v>
      </c>
      <c r="CL29" s="166">
        <v>7.6580000000000004</v>
      </c>
      <c r="CM29" s="166">
        <v>-5.2</v>
      </c>
      <c r="CN29" s="166">
        <v>-6</v>
      </c>
      <c r="CO29" s="166">
        <v>-4.83</v>
      </c>
      <c r="CP29" s="166">
        <v>46.294499999999999</v>
      </c>
      <c r="CQ29" s="166">
        <v>45.835599999999999</v>
      </c>
      <c r="CR29" s="166">
        <v>43.603999999999999</v>
      </c>
      <c r="CS29" s="166">
        <v>61.058500000000002</v>
      </c>
      <c r="CT29" s="166">
        <v>61.558199999999999</v>
      </c>
      <c r="CU29" s="166">
        <v>-23.8872</v>
      </c>
      <c r="CV29" s="166">
        <v>-62.016500000000001</v>
      </c>
      <c r="CW29" s="166">
        <v>-16.369299999999999</v>
      </c>
      <c r="CX29" s="166">
        <v>4.0538999999999996</v>
      </c>
      <c r="CY29" s="166">
        <v>43.43</v>
      </c>
      <c r="CZ29" s="166">
        <v>18.12</v>
      </c>
      <c r="DA29" s="166">
        <v>14.379899999999999</v>
      </c>
      <c r="DB29" s="166">
        <v>13.1866</v>
      </c>
      <c r="DC29" s="166">
        <v>-12.965299999999999</v>
      </c>
      <c r="DD29" s="167"/>
      <c r="DE29" s="167"/>
      <c r="DF29" s="167"/>
      <c r="DG29" s="166">
        <v>22.036999999999999</v>
      </c>
      <c r="DH29" s="167"/>
      <c r="DI29" s="167"/>
      <c r="DJ29" s="166">
        <v>-49.8</v>
      </c>
      <c r="DK29" s="166">
        <v>-49.6</v>
      </c>
      <c r="DL29" s="166">
        <v>3.2000999999999999</v>
      </c>
      <c r="DM29" s="166">
        <v>17.3</v>
      </c>
      <c r="DN29" s="166">
        <v>17.54</v>
      </c>
      <c r="DO29" s="166">
        <v>22.1</v>
      </c>
      <c r="DP29" s="166">
        <v>11.47</v>
      </c>
      <c r="DQ29" s="166">
        <v>-4.2300000000000004</v>
      </c>
      <c r="DR29" s="166">
        <v>19.855499999999999</v>
      </c>
      <c r="DS29" s="166">
        <v>-22.9513</v>
      </c>
      <c r="DT29" s="166">
        <v>-8.73</v>
      </c>
      <c r="DU29" s="166">
        <v>-9.02</v>
      </c>
      <c r="DV29" s="166">
        <v>28.28</v>
      </c>
      <c r="DW29" s="166">
        <v>14.45</v>
      </c>
      <c r="DX29" s="166">
        <v>-24.2364</v>
      </c>
      <c r="DY29" s="166">
        <v>-11.836399999999999</v>
      </c>
      <c r="DZ29" s="167"/>
      <c r="EA29" s="166">
        <v>-45.345500000000001</v>
      </c>
      <c r="EB29" s="166">
        <v>54.933900000000001</v>
      </c>
      <c r="EC29" s="166">
        <v>18.620200000000001</v>
      </c>
      <c r="ED29" s="166">
        <v>9.5187000000000008</v>
      </c>
      <c r="EE29" s="166">
        <v>9.4390000000000001</v>
      </c>
      <c r="EF29" s="166">
        <v>-17.421500000000002</v>
      </c>
      <c r="EG29" s="166">
        <v>-24.6465</v>
      </c>
      <c r="EH29" s="166">
        <v>-14.487</v>
      </c>
      <c r="EI29" s="166">
        <v>8.0471000000000004</v>
      </c>
      <c r="EJ29" s="166">
        <v>-75.427400000000006</v>
      </c>
      <c r="EK29" s="167"/>
      <c r="EL29" s="166">
        <v>-15.149699999999999</v>
      </c>
      <c r="EM29" s="166">
        <v>-12.880800000000001</v>
      </c>
      <c r="EN29" s="167"/>
      <c r="EO29" s="166">
        <v>-14.0403</v>
      </c>
      <c r="EP29" s="166">
        <v>-13.1462</v>
      </c>
      <c r="EQ29" s="166">
        <v>-24.068000000000001</v>
      </c>
      <c r="ER29" s="166">
        <v>-17.486499999999999</v>
      </c>
      <c r="ES29" s="166">
        <v>-16.888000000000002</v>
      </c>
      <c r="ET29" s="166">
        <v>10.722899999999999</v>
      </c>
      <c r="EU29" s="166">
        <v>6.31</v>
      </c>
      <c r="EV29" s="166">
        <v>0</v>
      </c>
      <c r="EW29" s="166">
        <v>-5.5</v>
      </c>
      <c r="EX29" s="166">
        <v>9.2245000000000008</v>
      </c>
      <c r="EY29" s="166">
        <v>-27.790800000000001</v>
      </c>
      <c r="EZ29" s="166">
        <v>-9.3069000000000006</v>
      </c>
      <c r="FA29" s="166">
        <v>-9.1582000000000008</v>
      </c>
      <c r="FB29" s="166">
        <v>6.8962000000000003</v>
      </c>
      <c r="FC29" s="166">
        <v>7.0056000000000003</v>
      </c>
      <c r="FD29" s="166">
        <v>-23.272400000000001</v>
      </c>
      <c r="FE29" s="166">
        <v>7.8513000000000002</v>
      </c>
      <c r="FF29" s="166">
        <v>0.16200000000000001</v>
      </c>
      <c r="FG29" s="167"/>
      <c r="FH29" s="166">
        <v>0</v>
      </c>
      <c r="FI29" s="166">
        <v>0</v>
      </c>
      <c r="FJ29" s="167"/>
      <c r="FK29" s="166">
        <v>13.3965</v>
      </c>
      <c r="FL29" s="166">
        <v>12.8941</v>
      </c>
      <c r="FM29" s="166">
        <v>-19.927299999999999</v>
      </c>
      <c r="FN29" s="167"/>
      <c r="FO29" s="166">
        <v>31.043299999999999</v>
      </c>
      <c r="FP29" s="166">
        <v>-4.1148999999999996</v>
      </c>
      <c r="FQ29" s="166">
        <v>0</v>
      </c>
      <c r="FR29" s="166">
        <v>23.61</v>
      </c>
      <c r="FS29" s="166">
        <v>-14.68</v>
      </c>
      <c r="FT29" s="167"/>
      <c r="FU29" s="166">
        <v>0.15590000000000001</v>
      </c>
      <c r="FV29" s="166">
        <v>-0.32</v>
      </c>
      <c r="FW29" s="166">
        <v>-0.91</v>
      </c>
      <c r="FX29" s="166">
        <v>-23.140599999999999</v>
      </c>
      <c r="FY29" s="167"/>
      <c r="FZ29" s="166">
        <v>4.6550000000000002</v>
      </c>
      <c r="GA29" s="166">
        <v>3.0350000000000001</v>
      </c>
      <c r="GB29" s="167"/>
      <c r="GC29" s="166">
        <v>11.21</v>
      </c>
      <c r="GD29" s="166">
        <v>-20.796900000000001</v>
      </c>
      <c r="GE29" s="166">
        <v>-12.6378</v>
      </c>
      <c r="GF29" s="166">
        <v>-2.15</v>
      </c>
      <c r="GG29" s="166">
        <v>20.617100000000001</v>
      </c>
      <c r="GH29" s="167"/>
      <c r="GI29" s="166">
        <v>27.8628</v>
      </c>
      <c r="GJ29" s="166">
        <v>-10.246700000000001</v>
      </c>
      <c r="GK29" s="166">
        <v>-10.914099999999999</v>
      </c>
      <c r="GL29" s="166">
        <v>2.8012000000000001</v>
      </c>
      <c r="GM29" s="167"/>
      <c r="GN29" s="167"/>
      <c r="GO29" s="166">
        <v>-11.544700000000001</v>
      </c>
      <c r="GP29" s="166">
        <v>87.131399999999999</v>
      </c>
      <c r="GQ29" s="166">
        <v>0.3327</v>
      </c>
      <c r="GR29" s="166">
        <v>-22.566299999999998</v>
      </c>
      <c r="GS29" s="166">
        <v>-6.1220999999999997</v>
      </c>
      <c r="GT29" s="166">
        <v>-6.0819000000000001</v>
      </c>
      <c r="GU29" s="166">
        <v>130.03559999999999</v>
      </c>
      <c r="GV29" s="166">
        <v>-2.81</v>
      </c>
      <c r="GW29" s="166">
        <v>-4.4371</v>
      </c>
      <c r="GX29" s="166">
        <v>-12.1557</v>
      </c>
      <c r="GY29" s="166">
        <v>1.5275000000000001</v>
      </c>
      <c r="GZ29" s="166">
        <v>7.9414999999999996</v>
      </c>
      <c r="HA29" s="166">
        <v>8.0775000000000006</v>
      </c>
      <c r="HB29" s="166">
        <v>0.84219999999999995</v>
      </c>
      <c r="HC29" s="166">
        <v>5.2864000000000004</v>
      </c>
      <c r="HD29" s="166">
        <v>5.3518999999999997</v>
      </c>
      <c r="HE29" s="166">
        <v>-1.26</v>
      </c>
      <c r="HF29" s="166">
        <v>0</v>
      </c>
      <c r="HG29" s="166">
        <v>24.805900000000001</v>
      </c>
      <c r="HH29" s="166">
        <v>25.198499999999999</v>
      </c>
      <c r="HI29" s="166">
        <v>42.838000000000001</v>
      </c>
      <c r="HJ29" s="166">
        <v>-49.1511</v>
      </c>
      <c r="HK29" s="166">
        <v>2.7113999999999998</v>
      </c>
      <c r="HL29" s="167"/>
      <c r="HM29" s="166">
        <v>0</v>
      </c>
      <c r="HN29" s="166">
        <v>-10.9939</v>
      </c>
      <c r="HO29" s="166">
        <v>-12.5372</v>
      </c>
      <c r="HP29" s="167"/>
      <c r="HQ29" s="166">
        <v>11.059200000000001</v>
      </c>
      <c r="HR29" s="166">
        <v>-19.8018</v>
      </c>
      <c r="HS29" s="166">
        <v>-19.186499999999999</v>
      </c>
      <c r="HT29" s="166">
        <v>-20.542300000000001</v>
      </c>
      <c r="HU29" s="166">
        <v>-20.042899999999999</v>
      </c>
      <c r="HV29" s="166">
        <v>28.51</v>
      </c>
      <c r="HW29" s="166">
        <v>28.51</v>
      </c>
      <c r="HX29" s="166">
        <v>-35.9</v>
      </c>
      <c r="HY29" s="166">
        <v>-36.4</v>
      </c>
      <c r="HZ29" s="166">
        <v>0.3342</v>
      </c>
      <c r="IA29" s="166">
        <v>8.4</v>
      </c>
      <c r="IB29" s="166">
        <v>62.978000000000002</v>
      </c>
      <c r="IC29" s="166">
        <v>26.570499999999999</v>
      </c>
      <c r="ID29" s="166">
        <v>26.5077</v>
      </c>
      <c r="IE29" s="166">
        <v>-15.3</v>
      </c>
      <c r="IF29" s="166">
        <v>-43.4</v>
      </c>
      <c r="IG29" s="166">
        <v>3.9</v>
      </c>
      <c r="IH29" s="166">
        <v>3.3</v>
      </c>
      <c r="II29" s="167"/>
      <c r="IJ29" s="166">
        <v>-17.7956</v>
      </c>
      <c r="IK29" s="166">
        <v>-123.8005</v>
      </c>
      <c r="IL29" s="166">
        <v>27.186</v>
      </c>
      <c r="IM29" s="166">
        <v>-250.38419999999999</v>
      </c>
      <c r="IN29" s="166">
        <v>-29.742999999999999</v>
      </c>
      <c r="IO29" s="166">
        <v>-29.5124</v>
      </c>
      <c r="IP29" s="166">
        <v>70.5989</v>
      </c>
      <c r="IQ29" s="166">
        <v>99.174000000000007</v>
      </c>
      <c r="IR29" s="167"/>
      <c r="IS29" s="166">
        <v>93.787499999999994</v>
      </c>
      <c r="IT29" s="166">
        <v>-7.9105999999999996</v>
      </c>
      <c r="IU29" s="166">
        <v>25.200399999999998</v>
      </c>
      <c r="IV29" s="166">
        <v>24.5808</v>
      </c>
      <c r="IW29" s="167"/>
      <c r="IX29" s="166">
        <v>130.483</v>
      </c>
      <c r="IY29" s="166">
        <v>-209.3877</v>
      </c>
      <c r="IZ29" s="166">
        <v>61.689100000000003</v>
      </c>
      <c r="JA29" s="166">
        <v>-58.663200000000003</v>
      </c>
      <c r="JB29" s="166">
        <v>1.0095000000000001</v>
      </c>
      <c r="JC29" s="166">
        <v>8.8650000000000002</v>
      </c>
      <c r="JD29" s="166">
        <v>-10.4</v>
      </c>
      <c r="JE29" s="166">
        <v>-2.194</v>
      </c>
      <c r="JF29" s="166">
        <v>-2.2069999999999999</v>
      </c>
      <c r="JG29" s="166">
        <v>5.36</v>
      </c>
      <c r="JH29" s="166">
        <v>-4.8</v>
      </c>
      <c r="JI29" s="166">
        <v>-2.0528</v>
      </c>
      <c r="JJ29" s="166">
        <v>-1.3473999999999999</v>
      </c>
      <c r="JK29" s="166">
        <v>8.7326999999999995</v>
      </c>
      <c r="JL29" s="166">
        <v>-5.9158999999999997</v>
      </c>
      <c r="JM29" s="166">
        <v>-6.3</v>
      </c>
      <c r="JN29" s="166">
        <v>-1.2270000000000001</v>
      </c>
      <c r="JO29" s="166">
        <v>-1.9390000000000001</v>
      </c>
      <c r="JP29" s="167"/>
      <c r="JQ29" s="167"/>
      <c r="JR29" s="166">
        <v>3.6074999999999999</v>
      </c>
      <c r="JS29" s="166">
        <v>3.0289000000000001</v>
      </c>
      <c r="JT29" s="166">
        <v>3.0266000000000002</v>
      </c>
      <c r="JU29" s="167"/>
      <c r="JV29" s="166">
        <v>27.5</v>
      </c>
      <c r="JW29" s="166">
        <v>-1.4383999999999999</v>
      </c>
      <c r="JX29" s="166">
        <v>1.25</v>
      </c>
      <c r="JY29" s="167"/>
      <c r="JZ29" s="166">
        <v>3.0720000000000001</v>
      </c>
      <c r="KA29" s="166">
        <v>-17.869</v>
      </c>
      <c r="KB29" s="166">
        <v>-23.65</v>
      </c>
      <c r="KC29" s="166">
        <v>5.3122999999999996</v>
      </c>
      <c r="KD29" s="166">
        <v>13.6698</v>
      </c>
      <c r="KE29" s="166">
        <v>-19.829599999999999</v>
      </c>
      <c r="KF29" s="166">
        <v>5.234</v>
      </c>
      <c r="KG29" s="166">
        <v>-22.4</v>
      </c>
      <c r="KH29" s="166">
        <v>4.0999999999999996</v>
      </c>
      <c r="KI29" s="166">
        <v>11.130800000000001</v>
      </c>
      <c r="KJ29" s="166">
        <v>-62.174100000000003</v>
      </c>
    </row>
    <row r="30" spans="1:296" ht="18" customHeight="1" x14ac:dyDescent="0.3">
      <c r="A30" s="162" t="s">
        <v>67</v>
      </c>
      <c r="B30" s="162" t="s">
        <v>829</v>
      </c>
      <c r="C30" s="166">
        <v>0</v>
      </c>
      <c r="D30" s="167"/>
      <c r="E30" s="166">
        <v>5.4169</v>
      </c>
      <c r="F30" s="166">
        <v>-11.5367</v>
      </c>
      <c r="G30" s="166">
        <v>1.0423</v>
      </c>
      <c r="H30" s="166">
        <v>12.0677</v>
      </c>
      <c r="I30" s="167"/>
      <c r="J30" s="166">
        <v>19.490600000000001</v>
      </c>
      <c r="K30" s="167"/>
      <c r="L30" s="166">
        <v>18.3582</v>
      </c>
      <c r="M30" s="166">
        <v>7.3647999999999998</v>
      </c>
      <c r="N30" s="166">
        <v>8.7833000000000006</v>
      </c>
      <c r="O30" s="166">
        <v>-19.98</v>
      </c>
      <c r="P30" s="166">
        <v>-33</v>
      </c>
      <c r="Q30" s="166">
        <v>8.8000000000000007</v>
      </c>
      <c r="R30" s="166">
        <v>4.968</v>
      </c>
      <c r="S30" s="166">
        <v>-22</v>
      </c>
      <c r="T30" s="166">
        <v>4.0143000000000004</v>
      </c>
      <c r="U30" s="166">
        <v>-9.9608000000000008</v>
      </c>
      <c r="V30" s="167"/>
      <c r="W30" s="166">
        <v>11.016999999999999</v>
      </c>
      <c r="X30" s="166">
        <v>18.943999999999999</v>
      </c>
      <c r="Y30" s="166">
        <v>2.9081000000000001</v>
      </c>
      <c r="Z30" s="166">
        <v>-0.47170000000000001</v>
      </c>
      <c r="AA30" s="166">
        <v>1.4524999999999999</v>
      </c>
      <c r="AB30" s="167"/>
      <c r="AC30" s="166">
        <v>-1.1858</v>
      </c>
      <c r="AD30" s="166">
        <v>-0.31</v>
      </c>
      <c r="AE30" s="166">
        <v>-0.27800000000000002</v>
      </c>
      <c r="AF30" s="166">
        <v>2.6779999999999999</v>
      </c>
      <c r="AG30" s="166">
        <v>0</v>
      </c>
      <c r="AH30" s="166">
        <v>4.4000000000000004</v>
      </c>
      <c r="AI30" s="166">
        <v>1.3480000000000001</v>
      </c>
      <c r="AJ30" s="166">
        <v>0.255</v>
      </c>
      <c r="AK30" s="166">
        <v>-8.09</v>
      </c>
      <c r="AL30" s="166">
        <v>-8.0299999999999994</v>
      </c>
      <c r="AM30" s="166">
        <v>-10</v>
      </c>
      <c r="AN30" s="166">
        <v>-11.3</v>
      </c>
      <c r="AO30" s="166">
        <v>-11.24</v>
      </c>
      <c r="AP30" s="166">
        <v>6.1067</v>
      </c>
      <c r="AQ30" s="166">
        <v>3.3990999999999998</v>
      </c>
      <c r="AR30" s="166">
        <v>26.0641</v>
      </c>
      <c r="AS30" s="166">
        <v>30.455400000000001</v>
      </c>
      <c r="AT30" s="166">
        <v>-12.379200000000001</v>
      </c>
      <c r="AU30" s="166">
        <v>-4.8907999999999996</v>
      </c>
      <c r="AV30" s="166">
        <v>-4.7599</v>
      </c>
      <c r="AW30" s="166">
        <v>3.3788999999999998</v>
      </c>
      <c r="AX30" s="166">
        <v>3.4026000000000001</v>
      </c>
      <c r="AY30" s="166">
        <v>-12.8544</v>
      </c>
      <c r="AZ30" s="166">
        <v>-9.8444000000000003</v>
      </c>
      <c r="BA30" s="166">
        <v>15.1332</v>
      </c>
      <c r="BB30" s="166">
        <v>15.694900000000001</v>
      </c>
      <c r="BC30" s="166">
        <v>104.0836</v>
      </c>
      <c r="BD30" s="166">
        <v>16.453700000000001</v>
      </c>
      <c r="BE30" s="166">
        <v>-6.4</v>
      </c>
      <c r="BF30" s="166">
        <v>-6.3</v>
      </c>
      <c r="BG30" s="166">
        <v>-24.200399999999998</v>
      </c>
      <c r="BH30" s="166">
        <v>-24.1328</v>
      </c>
      <c r="BI30" s="166">
        <v>-4.0442</v>
      </c>
      <c r="BJ30" s="167"/>
      <c r="BK30" s="166">
        <v>17.1158</v>
      </c>
      <c r="BL30" s="166">
        <v>10.0192</v>
      </c>
      <c r="BM30" s="167"/>
      <c r="BN30" s="166">
        <v>0.36509999999999998</v>
      </c>
      <c r="BO30" s="166">
        <v>-117.86239999999999</v>
      </c>
      <c r="BP30" s="166">
        <v>119.93770000000001</v>
      </c>
      <c r="BQ30" s="166">
        <v>119.8156</v>
      </c>
      <c r="BR30" s="166">
        <v>-70.272000000000006</v>
      </c>
      <c r="BS30" s="166">
        <v>-37.582299999999996</v>
      </c>
      <c r="BT30" s="167"/>
      <c r="BU30" s="167"/>
      <c r="BV30" s="167"/>
      <c r="BW30" s="166">
        <v>43.700499999999998</v>
      </c>
      <c r="BX30" s="166">
        <v>20.2</v>
      </c>
      <c r="BY30" s="167"/>
      <c r="BZ30" s="166">
        <v>-5.0199999999999996</v>
      </c>
      <c r="CA30" s="166">
        <v>7.65</v>
      </c>
      <c r="CB30" s="166">
        <v>-19.285599999999999</v>
      </c>
      <c r="CC30" s="166">
        <v>-19.8215</v>
      </c>
      <c r="CD30" s="166">
        <v>34.430700000000002</v>
      </c>
      <c r="CE30" s="166">
        <v>32.964599999999997</v>
      </c>
      <c r="CF30" s="166">
        <v>-5.9484000000000004</v>
      </c>
      <c r="CG30" s="166">
        <v>24.644400000000001</v>
      </c>
      <c r="CH30" s="166">
        <v>23.764600000000002</v>
      </c>
      <c r="CI30" s="166">
        <v>17.900099999999998</v>
      </c>
      <c r="CJ30" s="167"/>
      <c r="CK30" s="166">
        <v>3.6393</v>
      </c>
      <c r="CL30" s="166">
        <v>8.4120000000000008</v>
      </c>
      <c r="CM30" s="166">
        <v>-2</v>
      </c>
      <c r="CN30" s="166">
        <v>-3</v>
      </c>
      <c r="CO30" s="166">
        <v>-4.8099999999999996</v>
      </c>
      <c r="CP30" s="166">
        <v>41.685200000000002</v>
      </c>
      <c r="CQ30" s="166">
        <v>41.447299999999998</v>
      </c>
      <c r="CR30" s="166">
        <v>39.438600000000001</v>
      </c>
      <c r="CS30" s="166">
        <v>57.080399999999997</v>
      </c>
      <c r="CT30" s="166">
        <v>57.668700000000001</v>
      </c>
      <c r="CU30" s="166">
        <v>-23.084299999999999</v>
      </c>
      <c r="CV30" s="166">
        <v>-59.120100000000001</v>
      </c>
      <c r="CW30" s="166">
        <v>-15.236499999999999</v>
      </c>
      <c r="CX30" s="166">
        <v>4.3833000000000002</v>
      </c>
      <c r="CY30" s="166">
        <v>44.19</v>
      </c>
      <c r="CZ30" s="166">
        <v>18.54</v>
      </c>
      <c r="DA30" s="166">
        <v>15.317399999999999</v>
      </c>
      <c r="DB30" s="166">
        <v>14.260899999999999</v>
      </c>
      <c r="DC30" s="166">
        <v>-13.3667</v>
      </c>
      <c r="DD30" s="167"/>
      <c r="DE30" s="167"/>
      <c r="DF30" s="167"/>
      <c r="DG30" s="166">
        <v>20.397200000000002</v>
      </c>
      <c r="DH30" s="167"/>
      <c r="DI30" s="167"/>
      <c r="DJ30" s="166">
        <v>-47.6</v>
      </c>
      <c r="DK30" s="166">
        <v>-47.3</v>
      </c>
      <c r="DL30" s="166">
        <v>3.2012999999999998</v>
      </c>
      <c r="DM30" s="166">
        <v>18.399999999999999</v>
      </c>
      <c r="DN30" s="166">
        <v>18.16</v>
      </c>
      <c r="DO30" s="166">
        <v>23.42</v>
      </c>
      <c r="DP30" s="166">
        <v>12.31</v>
      </c>
      <c r="DQ30" s="166">
        <v>-4.4000000000000004</v>
      </c>
      <c r="DR30" s="166">
        <v>19.576499999999999</v>
      </c>
      <c r="DS30" s="166">
        <v>-21.438700000000001</v>
      </c>
      <c r="DT30" s="166">
        <v>-7.53</v>
      </c>
      <c r="DU30" s="166">
        <v>-7.64</v>
      </c>
      <c r="DV30" s="166">
        <v>26.07</v>
      </c>
      <c r="DW30" s="166">
        <v>-11.69</v>
      </c>
      <c r="DX30" s="166">
        <v>-21.2182</v>
      </c>
      <c r="DY30" s="166">
        <v>-10.790900000000001</v>
      </c>
      <c r="DZ30" s="167"/>
      <c r="EA30" s="166">
        <v>-43.209099999999999</v>
      </c>
      <c r="EB30" s="166">
        <v>47.192100000000003</v>
      </c>
      <c r="EC30" s="166">
        <v>13.412800000000001</v>
      </c>
      <c r="ED30" s="166">
        <v>3.0760999999999998</v>
      </c>
      <c r="EE30" s="166">
        <v>3.9306999999999999</v>
      </c>
      <c r="EF30" s="166">
        <v>-4.1139000000000001</v>
      </c>
      <c r="EG30" s="166">
        <v>-12.4527</v>
      </c>
      <c r="EH30" s="166">
        <v>-14.496</v>
      </c>
      <c r="EI30" s="166">
        <v>5.3864999999999998</v>
      </c>
      <c r="EJ30" s="166">
        <v>-72.701099999999997</v>
      </c>
      <c r="EK30" s="167"/>
      <c r="EL30" s="166">
        <v>-14.7683</v>
      </c>
      <c r="EM30" s="166">
        <v>-13.7782</v>
      </c>
      <c r="EN30" s="167"/>
      <c r="EO30" s="166">
        <v>-15.4597</v>
      </c>
      <c r="EP30" s="166">
        <v>-15.6004</v>
      </c>
      <c r="EQ30" s="166">
        <v>-4.0999999999999996</v>
      </c>
      <c r="ER30" s="166">
        <v>-18.727499999999999</v>
      </c>
      <c r="ES30" s="166">
        <v>-18.369299999999999</v>
      </c>
      <c r="ET30" s="166">
        <v>8.0120000000000005</v>
      </c>
      <c r="EU30" s="166">
        <v>0</v>
      </c>
      <c r="EV30" s="167"/>
      <c r="EW30" s="166">
        <v>12.7</v>
      </c>
      <c r="EX30" s="166">
        <v>9.1082999999999998</v>
      </c>
      <c r="EY30" s="166">
        <v>-33.942399999999999</v>
      </c>
      <c r="EZ30" s="166">
        <v>-8.7039000000000009</v>
      </c>
      <c r="FA30" s="166">
        <v>-8.7170000000000005</v>
      </c>
      <c r="FB30" s="166">
        <v>5.9512</v>
      </c>
      <c r="FC30" s="166">
        <v>8.5473999999999997</v>
      </c>
      <c r="FD30" s="166">
        <v>-14.498900000000001</v>
      </c>
      <c r="FE30" s="166">
        <v>8.0237999999999996</v>
      </c>
      <c r="FF30" s="166">
        <v>0.13039999999999999</v>
      </c>
      <c r="FG30" s="167"/>
      <c r="FH30" s="166">
        <v>0</v>
      </c>
      <c r="FI30" s="166">
        <v>0</v>
      </c>
      <c r="FJ30" s="167"/>
      <c r="FK30" s="166">
        <v>10.0474</v>
      </c>
      <c r="FL30" s="166">
        <v>9.2101000000000006</v>
      </c>
      <c r="FM30" s="166">
        <v>-16.9131</v>
      </c>
      <c r="FN30" s="167"/>
      <c r="FO30" s="166">
        <v>28.709800000000001</v>
      </c>
      <c r="FP30" s="166">
        <v>-3.4195000000000002</v>
      </c>
      <c r="FQ30" s="167"/>
      <c r="FR30" s="166">
        <v>22.1158</v>
      </c>
      <c r="FS30" s="166">
        <v>-15.59</v>
      </c>
      <c r="FT30" s="167"/>
      <c r="FU30" s="166">
        <v>0.19980000000000001</v>
      </c>
      <c r="FV30" s="166">
        <v>-0.26</v>
      </c>
      <c r="FW30" s="166">
        <v>-0.85</v>
      </c>
      <c r="FX30" s="166">
        <v>-23.129000000000001</v>
      </c>
      <c r="FY30" s="167"/>
      <c r="FZ30" s="166">
        <v>4.79</v>
      </c>
      <c r="GA30" s="166">
        <v>3.0379999999999998</v>
      </c>
      <c r="GB30" s="167"/>
      <c r="GC30" s="166">
        <v>11.79</v>
      </c>
      <c r="GD30" s="166">
        <v>-21.898900000000001</v>
      </c>
      <c r="GE30" s="166">
        <v>-13.6523</v>
      </c>
      <c r="GF30" s="166">
        <v>-1.76</v>
      </c>
      <c r="GG30" s="166">
        <v>21.6586</v>
      </c>
      <c r="GH30" s="167"/>
      <c r="GI30" s="166">
        <v>29.223299999999998</v>
      </c>
      <c r="GJ30" s="166">
        <v>-9.8625000000000007</v>
      </c>
      <c r="GK30" s="166">
        <v>-10.679</v>
      </c>
      <c r="GL30" s="166">
        <v>2.9192</v>
      </c>
      <c r="GM30" s="167"/>
      <c r="GN30" s="167"/>
      <c r="GO30" s="166">
        <v>-12.2973</v>
      </c>
      <c r="GP30" s="166">
        <v>82.347800000000007</v>
      </c>
      <c r="GQ30" s="166">
        <v>1.2258</v>
      </c>
      <c r="GR30" s="166">
        <v>-23.062200000000001</v>
      </c>
      <c r="GS30" s="166">
        <v>-6.843</v>
      </c>
      <c r="GT30" s="166">
        <v>-6.3217999999999996</v>
      </c>
      <c r="GU30" s="166">
        <v>129.19990000000001</v>
      </c>
      <c r="GV30" s="166">
        <v>-2.7827999999999999</v>
      </c>
      <c r="GW30" s="166">
        <v>-6.1482000000000001</v>
      </c>
      <c r="GX30" s="166">
        <v>-11.356400000000001</v>
      </c>
      <c r="GY30" s="166">
        <v>2.7919999999999998</v>
      </c>
      <c r="GZ30" s="166">
        <v>7.9927999999999999</v>
      </c>
      <c r="HA30" s="166">
        <v>8.2763000000000009</v>
      </c>
      <c r="HB30" s="166">
        <v>2.218</v>
      </c>
      <c r="HC30" s="166">
        <v>5.2404000000000002</v>
      </c>
      <c r="HD30" s="166">
        <v>5.0412999999999997</v>
      </c>
      <c r="HE30" s="166">
        <v>-4.6100000000000003</v>
      </c>
      <c r="HF30" s="166">
        <v>0</v>
      </c>
      <c r="HG30" s="166">
        <v>28.930599999999998</v>
      </c>
      <c r="HH30" s="166">
        <v>23.166799999999999</v>
      </c>
      <c r="HI30" s="166">
        <v>45.188000000000002</v>
      </c>
      <c r="HJ30" s="166">
        <v>-49.656700000000001</v>
      </c>
      <c r="HK30" s="166">
        <v>1.2215</v>
      </c>
      <c r="HL30" s="167"/>
      <c r="HM30" s="166">
        <v>0</v>
      </c>
      <c r="HN30" s="166">
        <v>-11.3424</v>
      </c>
      <c r="HO30" s="166">
        <v>-11.817299999999999</v>
      </c>
      <c r="HP30" s="167"/>
      <c r="HQ30" s="167"/>
      <c r="HR30" s="166">
        <v>-19.2195</v>
      </c>
      <c r="HS30" s="166">
        <v>-18.071400000000001</v>
      </c>
      <c r="HT30" s="166">
        <v>-22.199000000000002</v>
      </c>
      <c r="HU30" s="166">
        <v>-21.696999999999999</v>
      </c>
      <c r="HV30" s="166">
        <v>26.13</v>
      </c>
      <c r="HW30" s="166">
        <v>26.33</v>
      </c>
      <c r="HX30" s="166">
        <v>-37</v>
      </c>
      <c r="HY30" s="166">
        <v>-37.200000000000003</v>
      </c>
      <c r="HZ30" s="166">
        <v>0.37080000000000002</v>
      </c>
      <c r="IA30" s="166">
        <v>9.84</v>
      </c>
      <c r="IB30" s="166">
        <v>53.985900000000001</v>
      </c>
      <c r="IC30" s="166">
        <v>29.916</v>
      </c>
      <c r="ID30" s="166">
        <v>29.853400000000001</v>
      </c>
      <c r="IE30" s="167"/>
      <c r="IF30" s="166">
        <v>-42.2</v>
      </c>
      <c r="IG30" s="166">
        <v>2.6</v>
      </c>
      <c r="IH30" s="166">
        <v>2.1</v>
      </c>
      <c r="II30" s="167"/>
      <c r="IJ30" s="166">
        <v>-17.828099999999999</v>
      </c>
      <c r="IK30" s="166">
        <v>-125.8603</v>
      </c>
      <c r="IL30" s="166">
        <v>22.981100000000001</v>
      </c>
      <c r="IM30" s="166">
        <v>-248.9666</v>
      </c>
      <c r="IN30" s="166">
        <v>-31.07</v>
      </c>
      <c r="IO30" s="166">
        <v>-31.007200000000001</v>
      </c>
      <c r="IP30" s="166">
        <v>71.885999999999996</v>
      </c>
      <c r="IQ30" s="166">
        <v>95.99</v>
      </c>
      <c r="IR30" s="167"/>
      <c r="IS30" s="166">
        <v>90.815299999999993</v>
      </c>
      <c r="IT30" s="166">
        <v>-8.4101999999999997</v>
      </c>
      <c r="IU30" s="166">
        <v>23.295000000000002</v>
      </c>
      <c r="IV30" s="166">
        <v>21.7957</v>
      </c>
      <c r="IW30" s="167"/>
      <c r="IX30" s="166">
        <v>128.2251</v>
      </c>
      <c r="IY30" s="166">
        <v>-206.98660000000001</v>
      </c>
      <c r="IZ30" s="166">
        <v>58.907600000000002</v>
      </c>
      <c r="JA30" s="166">
        <v>-60.589500000000001</v>
      </c>
      <c r="JB30" s="166">
        <v>-0.16239999999999999</v>
      </c>
      <c r="JC30" s="166">
        <v>9.6649999999999991</v>
      </c>
      <c r="JD30" s="166">
        <v>-9.76</v>
      </c>
      <c r="JE30" s="166">
        <v>-2.2280000000000002</v>
      </c>
      <c r="JF30" s="166">
        <v>-2.2130000000000001</v>
      </c>
      <c r="JG30" s="166">
        <v>5.28</v>
      </c>
      <c r="JH30" s="166">
        <v>-6.08</v>
      </c>
      <c r="JI30" s="166">
        <v>-0.91320000000000001</v>
      </c>
      <c r="JJ30" s="166">
        <v>-0.37990000000000002</v>
      </c>
      <c r="JK30" s="166">
        <v>8.8486999999999991</v>
      </c>
      <c r="JL30" s="166">
        <v>-5.742</v>
      </c>
      <c r="JM30" s="166">
        <v>-7.4</v>
      </c>
      <c r="JN30" s="166">
        <v>-2.77</v>
      </c>
      <c r="JO30" s="166">
        <v>-2.36</v>
      </c>
      <c r="JP30" s="167"/>
      <c r="JQ30" s="167"/>
      <c r="JR30" s="166">
        <v>4.1317000000000004</v>
      </c>
      <c r="JS30" s="166">
        <v>3.4258999999999999</v>
      </c>
      <c r="JT30" s="166">
        <v>3.0127000000000002</v>
      </c>
      <c r="JU30" s="167"/>
      <c r="JV30" s="166">
        <v>28.2</v>
      </c>
      <c r="JW30" s="166">
        <v>-1.1649</v>
      </c>
      <c r="JX30" s="166">
        <v>1.35</v>
      </c>
      <c r="JY30" s="167"/>
      <c r="JZ30" s="166">
        <v>3.2105000000000001</v>
      </c>
      <c r="KA30" s="166">
        <v>-18.070399999999999</v>
      </c>
      <c r="KB30" s="166">
        <v>-23.948</v>
      </c>
      <c r="KC30" s="166">
        <v>4.7389999999999999</v>
      </c>
      <c r="KD30" s="166">
        <v>13.153700000000001</v>
      </c>
      <c r="KE30" s="166">
        <v>-20.001799999999999</v>
      </c>
      <c r="KF30" s="166">
        <v>5.7864000000000004</v>
      </c>
      <c r="KG30" s="166">
        <v>-23</v>
      </c>
      <c r="KH30" s="166">
        <v>4.7</v>
      </c>
      <c r="KI30" s="166">
        <v>16.505800000000001</v>
      </c>
      <c r="KJ30" s="166">
        <v>-67.001800000000003</v>
      </c>
    </row>
    <row r="31" spans="1:296" ht="18" customHeight="1" x14ac:dyDescent="0.3">
      <c r="A31" s="162" t="s">
        <v>67</v>
      </c>
      <c r="B31" s="162" t="s">
        <v>830</v>
      </c>
      <c r="C31" s="166">
        <v>0</v>
      </c>
      <c r="D31" s="167"/>
      <c r="E31" s="166">
        <v>6.2222999999999997</v>
      </c>
      <c r="F31" s="166">
        <v>-12.384600000000001</v>
      </c>
      <c r="G31" s="166">
        <v>2.7633999999999999</v>
      </c>
      <c r="H31" s="166">
        <v>12.152699999999999</v>
      </c>
      <c r="I31" s="167"/>
      <c r="J31" s="166">
        <v>20.4328</v>
      </c>
      <c r="K31" s="167"/>
      <c r="L31" s="166">
        <v>16.991099999999999</v>
      </c>
      <c r="M31" s="166">
        <v>7.1497999999999999</v>
      </c>
      <c r="N31" s="166">
        <v>8.4769000000000005</v>
      </c>
      <c r="O31" s="166">
        <v>-19.98</v>
      </c>
      <c r="P31" s="166">
        <v>-35.200000000000003</v>
      </c>
      <c r="Q31" s="166">
        <v>11</v>
      </c>
      <c r="R31" s="166">
        <v>5.7960000000000003</v>
      </c>
      <c r="S31" s="166">
        <v>-24.2</v>
      </c>
      <c r="T31" s="166">
        <v>3.7313000000000001</v>
      </c>
      <c r="U31" s="166">
        <v>-10.0656</v>
      </c>
      <c r="V31" s="167"/>
      <c r="W31" s="166">
        <v>11.700699999999999</v>
      </c>
      <c r="X31" s="166">
        <v>19.849599999999999</v>
      </c>
      <c r="Y31" s="166">
        <v>3.1355</v>
      </c>
      <c r="Z31" s="166">
        <v>-0.47989999999999999</v>
      </c>
      <c r="AA31" s="166">
        <v>1.5322</v>
      </c>
      <c r="AB31" s="167"/>
      <c r="AC31" s="166">
        <v>-1.2528999999999999</v>
      </c>
      <c r="AD31" s="166">
        <v>-0.19600000000000001</v>
      </c>
      <c r="AE31" s="166">
        <v>-0.16</v>
      </c>
      <c r="AF31" s="166">
        <v>2.488</v>
      </c>
      <c r="AG31" s="166">
        <v>0</v>
      </c>
      <c r="AH31" s="166">
        <v>4.4000000000000004</v>
      </c>
      <c r="AI31" s="166">
        <v>1.333</v>
      </c>
      <c r="AJ31" s="166">
        <v>0.247</v>
      </c>
      <c r="AK31" s="166">
        <v>-7.74</v>
      </c>
      <c r="AL31" s="166">
        <v>-7.78</v>
      </c>
      <c r="AM31" s="166">
        <v>-10</v>
      </c>
      <c r="AN31" s="166">
        <v>-10.49</v>
      </c>
      <c r="AO31" s="166">
        <v>-10.81</v>
      </c>
      <c r="AP31" s="166">
        <v>7.4229000000000003</v>
      </c>
      <c r="AQ31" s="166">
        <v>3.6703000000000001</v>
      </c>
      <c r="AR31" s="166">
        <v>26.012</v>
      </c>
      <c r="AS31" s="166">
        <v>30.2376</v>
      </c>
      <c r="AT31" s="166">
        <v>-12.485799999999999</v>
      </c>
      <c r="AU31" s="166">
        <v>-7.3739999999999997</v>
      </c>
      <c r="AV31" s="166">
        <v>-7.79</v>
      </c>
      <c r="AW31" s="166">
        <v>12.7593</v>
      </c>
      <c r="AX31" s="166">
        <v>11.948499999999999</v>
      </c>
      <c r="AY31" s="166">
        <v>-14.507099999999999</v>
      </c>
      <c r="AZ31" s="166">
        <v>-11.724500000000001</v>
      </c>
      <c r="BA31" s="166">
        <v>24.062899999999999</v>
      </c>
      <c r="BB31" s="166">
        <v>26.465599999999998</v>
      </c>
      <c r="BC31" s="166">
        <v>105.99590000000001</v>
      </c>
      <c r="BD31" s="166">
        <v>15.1714</v>
      </c>
      <c r="BE31" s="166">
        <v>-6.3</v>
      </c>
      <c r="BF31" s="166">
        <v>-6.2</v>
      </c>
      <c r="BG31" s="166">
        <v>-21.6997</v>
      </c>
      <c r="BH31" s="166">
        <v>-22.185600000000001</v>
      </c>
      <c r="BI31" s="166">
        <v>-3.9264000000000001</v>
      </c>
      <c r="BJ31" s="167"/>
      <c r="BK31" s="166">
        <v>14.4331</v>
      </c>
      <c r="BL31" s="166">
        <v>10.362</v>
      </c>
      <c r="BM31" s="167"/>
      <c r="BN31" s="166">
        <v>0.35049999999999998</v>
      </c>
      <c r="BO31" s="166">
        <v>-105.4414</v>
      </c>
      <c r="BP31" s="166">
        <v>120.57859999999999</v>
      </c>
      <c r="BQ31" s="166">
        <v>120.67019999999999</v>
      </c>
      <c r="BR31" s="166">
        <v>-92.808800000000005</v>
      </c>
      <c r="BS31" s="166">
        <v>-26.285799999999998</v>
      </c>
      <c r="BT31" s="167"/>
      <c r="BU31" s="167"/>
      <c r="BV31" s="167"/>
      <c r="BW31" s="166">
        <v>44.0398</v>
      </c>
      <c r="BX31" s="166">
        <v>20.2</v>
      </c>
      <c r="BY31" s="167"/>
      <c r="BZ31" s="166">
        <v>-4.46</v>
      </c>
      <c r="CA31" s="166">
        <v>8.1300000000000008</v>
      </c>
      <c r="CB31" s="166">
        <v>-16.740400000000001</v>
      </c>
      <c r="CC31" s="166">
        <v>-16.3386</v>
      </c>
      <c r="CD31" s="166">
        <v>32.145000000000003</v>
      </c>
      <c r="CE31" s="166">
        <v>30.195699999999999</v>
      </c>
      <c r="CF31" s="166">
        <v>-7.2241</v>
      </c>
      <c r="CG31" s="166">
        <v>23.751899999999999</v>
      </c>
      <c r="CH31" s="166">
        <v>23.7225</v>
      </c>
      <c r="CI31" s="166">
        <v>14.477399999999999</v>
      </c>
      <c r="CJ31" s="167"/>
      <c r="CK31" s="166">
        <v>3.6393</v>
      </c>
      <c r="CL31" s="166">
        <v>8.1750000000000007</v>
      </c>
      <c r="CM31" s="166">
        <v>-0.1</v>
      </c>
      <c r="CN31" s="166">
        <v>-1.4</v>
      </c>
      <c r="CO31" s="166">
        <v>-4.9800000000000004</v>
      </c>
      <c r="CP31" s="166">
        <v>43.540700000000001</v>
      </c>
      <c r="CQ31" s="166">
        <v>43.555999999999997</v>
      </c>
      <c r="CR31" s="166">
        <v>40.960900000000002</v>
      </c>
      <c r="CS31" s="166">
        <v>55.757399999999997</v>
      </c>
      <c r="CT31" s="166">
        <v>56.261299999999999</v>
      </c>
      <c r="CU31" s="166">
        <v>-26.222300000000001</v>
      </c>
      <c r="CV31" s="166">
        <v>-55.771299999999997</v>
      </c>
      <c r="CW31" s="166">
        <v>-17.8432</v>
      </c>
      <c r="CX31" s="166">
        <v>4.2908999999999997</v>
      </c>
      <c r="CY31" s="166">
        <v>45.27</v>
      </c>
      <c r="CZ31" s="166">
        <v>19.09</v>
      </c>
      <c r="DA31" s="166">
        <v>16.098600000000001</v>
      </c>
      <c r="DB31" s="166">
        <v>14.7491</v>
      </c>
      <c r="DC31" s="166">
        <v>-14.021599999999999</v>
      </c>
      <c r="DD31" s="167"/>
      <c r="DE31" s="167"/>
      <c r="DF31" s="167"/>
      <c r="DG31" s="166">
        <v>17.5413</v>
      </c>
      <c r="DH31" s="167"/>
      <c r="DI31" s="167"/>
      <c r="DJ31" s="166">
        <v>-49.9</v>
      </c>
      <c r="DK31" s="166">
        <v>-49.4</v>
      </c>
      <c r="DL31" s="166">
        <v>3.2684000000000002</v>
      </c>
      <c r="DM31" s="166">
        <v>19.399999999999999</v>
      </c>
      <c r="DN31" s="166">
        <v>18.3</v>
      </c>
      <c r="DO31" s="166">
        <v>24.1</v>
      </c>
      <c r="DP31" s="166">
        <v>13.03</v>
      </c>
      <c r="DQ31" s="166">
        <v>-4.46</v>
      </c>
      <c r="DR31" s="166">
        <v>21.048999999999999</v>
      </c>
      <c r="DS31" s="166">
        <v>-17.8535</v>
      </c>
      <c r="DT31" s="166">
        <v>-7.93</v>
      </c>
      <c r="DU31" s="166">
        <v>-8.06</v>
      </c>
      <c r="DV31" s="166">
        <v>27</v>
      </c>
      <c r="DW31" s="166">
        <v>-10.55</v>
      </c>
      <c r="DX31" s="166">
        <v>-18.654499999999999</v>
      </c>
      <c r="DY31" s="166">
        <v>-9.1999999999999993</v>
      </c>
      <c r="DZ31" s="167"/>
      <c r="EA31" s="166">
        <v>-38.972700000000003</v>
      </c>
      <c r="EB31" s="166">
        <v>53.923299999999998</v>
      </c>
      <c r="EC31" s="166">
        <v>19.641100000000002</v>
      </c>
      <c r="ED31" s="166">
        <v>8.4611999999999998</v>
      </c>
      <c r="EE31" s="166">
        <v>9.0949000000000009</v>
      </c>
      <c r="EF31" s="166">
        <v>-12.2438</v>
      </c>
      <c r="EG31" s="166">
        <v>-20.586099999999998</v>
      </c>
      <c r="EH31" s="166">
        <v>-14.404999999999999</v>
      </c>
      <c r="EI31" s="166">
        <v>27.1557</v>
      </c>
      <c r="EJ31" s="166">
        <v>-69.325900000000004</v>
      </c>
      <c r="EK31" s="167"/>
      <c r="EL31" s="166">
        <v>-14.4382</v>
      </c>
      <c r="EM31" s="166">
        <v>-13.7935</v>
      </c>
      <c r="EN31" s="167"/>
      <c r="EO31" s="166">
        <v>-11.8177</v>
      </c>
      <c r="EP31" s="166">
        <v>-11.4068</v>
      </c>
      <c r="EQ31" s="166">
        <v>-2.052</v>
      </c>
      <c r="ER31" s="166">
        <v>-18.8979</v>
      </c>
      <c r="ES31" s="166">
        <v>-18.644600000000001</v>
      </c>
      <c r="ET31" s="166">
        <v>7.0651000000000002</v>
      </c>
      <c r="EU31" s="166">
        <v>0</v>
      </c>
      <c r="EV31" s="166">
        <v>-8.74</v>
      </c>
      <c r="EW31" s="166">
        <v>0</v>
      </c>
      <c r="EX31" s="166">
        <v>9.7197999999999993</v>
      </c>
      <c r="EY31" s="166">
        <v>-24.234100000000002</v>
      </c>
      <c r="EZ31" s="166">
        <v>-9.0221999999999998</v>
      </c>
      <c r="FA31" s="166">
        <v>-8.9802</v>
      </c>
      <c r="FB31" s="166">
        <v>6.7621000000000002</v>
      </c>
      <c r="FC31" s="166">
        <v>3.0756999999999999</v>
      </c>
      <c r="FD31" s="166">
        <v>-18.523900000000001</v>
      </c>
      <c r="FE31" s="166">
        <v>8.0494000000000003</v>
      </c>
      <c r="FF31" s="166">
        <v>-0.27610000000000001</v>
      </c>
      <c r="FG31" s="167"/>
      <c r="FH31" s="166">
        <v>4.7201000000000004</v>
      </c>
      <c r="FI31" s="166">
        <v>5.4188000000000001</v>
      </c>
      <c r="FJ31" s="166">
        <v>3.2816999999999998</v>
      </c>
      <c r="FK31" s="166">
        <v>7.3681000000000001</v>
      </c>
      <c r="FL31" s="166">
        <v>7.5354999999999999</v>
      </c>
      <c r="FM31" s="166">
        <v>-20.764600000000002</v>
      </c>
      <c r="FN31" s="167"/>
      <c r="FO31" s="166">
        <v>24.489599999999999</v>
      </c>
      <c r="FP31" s="166">
        <v>-6.7222</v>
      </c>
      <c r="FQ31" s="166">
        <v>0</v>
      </c>
      <c r="FR31" s="166">
        <v>22.3062</v>
      </c>
      <c r="FS31" s="166">
        <v>-17.260000000000002</v>
      </c>
      <c r="FT31" s="167"/>
      <c r="FU31" s="166">
        <v>0.19980000000000001</v>
      </c>
      <c r="FV31" s="166">
        <v>-0.28000000000000003</v>
      </c>
      <c r="FW31" s="166">
        <v>1.01</v>
      </c>
      <c r="FX31" s="166">
        <v>-22.531099999999999</v>
      </c>
      <c r="FY31" s="167"/>
      <c r="FZ31" s="166">
        <v>4.8949999999999996</v>
      </c>
      <c r="GA31" s="166">
        <v>0.63300000000000001</v>
      </c>
      <c r="GB31" s="166">
        <v>2.9140999999999999</v>
      </c>
      <c r="GC31" s="166">
        <v>11.36</v>
      </c>
      <c r="GD31" s="166">
        <v>-19.4572</v>
      </c>
      <c r="GE31" s="166">
        <v>-10.5678</v>
      </c>
      <c r="GF31" s="166">
        <v>-1.8</v>
      </c>
      <c r="GG31" s="166">
        <v>21.3142</v>
      </c>
      <c r="GH31" s="167"/>
      <c r="GI31" s="166">
        <v>29.331600000000002</v>
      </c>
      <c r="GJ31" s="166">
        <v>-9.8937000000000008</v>
      </c>
      <c r="GK31" s="166">
        <v>-10.673999999999999</v>
      </c>
      <c r="GL31" s="166">
        <v>2.9937999999999998</v>
      </c>
      <c r="GM31" s="167"/>
      <c r="GN31" s="167"/>
      <c r="GO31" s="166">
        <v>-12.632099999999999</v>
      </c>
      <c r="GP31" s="166">
        <v>83.871799999999993</v>
      </c>
      <c r="GQ31" s="166">
        <v>0.99980000000000002</v>
      </c>
      <c r="GR31" s="166">
        <v>-22.9831</v>
      </c>
      <c r="GS31" s="166">
        <v>-6.1520999999999999</v>
      </c>
      <c r="GT31" s="166">
        <v>-6.0852000000000004</v>
      </c>
      <c r="GU31" s="166">
        <v>136.351</v>
      </c>
      <c r="GV31" s="166">
        <v>-2.3405999999999998</v>
      </c>
      <c r="GW31" s="166">
        <v>-6.6224999999999996</v>
      </c>
      <c r="GX31" s="166">
        <v>-11.5486</v>
      </c>
      <c r="GY31" s="166">
        <v>2.7789000000000001</v>
      </c>
      <c r="GZ31" s="166">
        <v>8.2345000000000006</v>
      </c>
      <c r="HA31" s="166">
        <v>8.3315999999999999</v>
      </c>
      <c r="HB31" s="166">
        <v>2.0533999999999999</v>
      </c>
      <c r="HC31" s="166">
        <v>6.1940999999999997</v>
      </c>
      <c r="HD31" s="166">
        <v>7.0026999999999999</v>
      </c>
      <c r="HE31" s="166">
        <v>-2.1</v>
      </c>
      <c r="HF31" s="166">
        <v>6.1627999999999998</v>
      </c>
      <c r="HG31" s="166">
        <v>33.960900000000002</v>
      </c>
      <c r="HH31" s="166">
        <v>27.284600000000001</v>
      </c>
      <c r="HI31" s="166">
        <v>39.4298</v>
      </c>
      <c r="HJ31" s="166">
        <v>-49.998100000000001</v>
      </c>
      <c r="HK31" s="166">
        <v>0</v>
      </c>
      <c r="HL31" s="167"/>
      <c r="HM31" s="166">
        <v>0</v>
      </c>
      <c r="HN31" s="166">
        <v>-10.5139</v>
      </c>
      <c r="HO31" s="166">
        <v>-12.2515</v>
      </c>
      <c r="HP31" s="167"/>
      <c r="HQ31" s="167"/>
      <c r="HR31" s="166">
        <v>-18.516400000000001</v>
      </c>
      <c r="HS31" s="166">
        <v>-17.5166</v>
      </c>
      <c r="HT31" s="166">
        <v>-21.8672</v>
      </c>
      <c r="HU31" s="166">
        <v>-21.787600000000001</v>
      </c>
      <c r="HV31" s="166">
        <v>26.97</v>
      </c>
      <c r="HW31" s="166">
        <v>27.17</v>
      </c>
      <c r="HX31" s="166">
        <v>-37.4</v>
      </c>
      <c r="HY31" s="166">
        <v>-37.4</v>
      </c>
      <c r="HZ31" s="166">
        <v>0.5978</v>
      </c>
      <c r="IA31" s="166">
        <v>9.92</v>
      </c>
      <c r="IB31" s="166">
        <v>51.507199999999997</v>
      </c>
      <c r="IC31" s="166">
        <v>30.251000000000001</v>
      </c>
      <c r="ID31" s="166">
        <v>29.889399999999998</v>
      </c>
      <c r="IE31" s="166">
        <v>-14.8</v>
      </c>
      <c r="IF31" s="166">
        <v>-43.1</v>
      </c>
      <c r="IG31" s="166">
        <v>2.2000000000000002</v>
      </c>
      <c r="IH31" s="166">
        <v>1.6</v>
      </c>
      <c r="II31" s="167"/>
      <c r="IJ31" s="167"/>
      <c r="IK31" s="166">
        <v>-123.0887</v>
      </c>
      <c r="IL31" s="166">
        <v>17.2925</v>
      </c>
      <c r="IM31" s="166">
        <v>-248.54409999999999</v>
      </c>
      <c r="IN31" s="166">
        <v>-31.0154</v>
      </c>
      <c r="IO31" s="166">
        <v>-31.263000000000002</v>
      </c>
      <c r="IP31" s="166">
        <v>73.992599999999996</v>
      </c>
      <c r="IQ31" s="166">
        <v>99.090400000000002</v>
      </c>
      <c r="IR31" s="167"/>
      <c r="IS31" s="166">
        <v>89.840900000000005</v>
      </c>
      <c r="IT31" s="166">
        <v>-6.2965</v>
      </c>
      <c r="IU31" s="166">
        <v>23.011800000000001</v>
      </c>
      <c r="IV31" s="166">
        <v>21.759699999999999</v>
      </c>
      <c r="IW31" s="167"/>
      <c r="IX31" s="166">
        <v>126.401</v>
      </c>
      <c r="IY31" s="166">
        <v>-204.29179999999999</v>
      </c>
      <c r="IZ31" s="166">
        <v>63.381599999999999</v>
      </c>
      <c r="JA31" s="166">
        <v>-61.816899999999997</v>
      </c>
      <c r="JB31" s="166">
        <v>-0.2087</v>
      </c>
      <c r="JC31" s="166">
        <v>9.6340000000000003</v>
      </c>
      <c r="JD31" s="166">
        <v>-9.52</v>
      </c>
      <c r="JE31" s="166">
        <v>-2.2010000000000001</v>
      </c>
      <c r="JF31" s="166">
        <v>-2.2080000000000002</v>
      </c>
      <c r="JG31" s="166">
        <v>5.6</v>
      </c>
      <c r="JH31" s="166">
        <v>-4.88</v>
      </c>
      <c r="JI31" s="166">
        <v>-2.0882000000000001</v>
      </c>
      <c r="JJ31" s="166">
        <v>-0.6149</v>
      </c>
      <c r="JK31" s="166">
        <v>9.0562000000000005</v>
      </c>
      <c r="JL31" s="166">
        <v>-5.742</v>
      </c>
      <c r="JM31" s="166">
        <v>-7.6</v>
      </c>
      <c r="JN31" s="166">
        <v>-3.1179999999999999</v>
      </c>
      <c r="JO31" s="166">
        <v>-3.2639999999999998</v>
      </c>
      <c r="JP31" s="167"/>
      <c r="JQ31" s="167"/>
      <c r="JR31" s="166">
        <v>4.2411000000000003</v>
      </c>
      <c r="JS31" s="166">
        <v>4.4347000000000003</v>
      </c>
      <c r="JT31" s="166">
        <v>3.3353000000000002</v>
      </c>
      <c r="JU31" s="167"/>
      <c r="JV31" s="166">
        <v>27.9</v>
      </c>
      <c r="JW31" s="166">
        <v>-2.1114000000000002</v>
      </c>
      <c r="JX31" s="166">
        <v>1.45</v>
      </c>
      <c r="JY31" s="167"/>
      <c r="JZ31" s="166">
        <v>2.9719000000000002</v>
      </c>
      <c r="KA31" s="166">
        <v>-18.8459</v>
      </c>
      <c r="KB31" s="166">
        <v>-24.350999999999999</v>
      </c>
      <c r="KC31" s="166">
        <v>5.0906000000000002</v>
      </c>
      <c r="KD31" s="166">
        <v>14.3484</v>
      </c>
      <c r="KE31" s="166">
        <v>-20.041</v>
      </c>
      <c r="KF31" s="166">
        <v>5.1464999999999996</v>
      </c>
      <c r="KG31" s="166">
        <v>-22.7</v>
      </c>
      <c r="KH31" s="166">
        <v>4.5999999999999996</v>
      </c>
      <c r="KI31" s="166">
        <v>21.811299999999999</v>
      </c>
      <c r="KJ31" s="166">
        <v>-65.682299999999998</v>
      </c>
    </row>
    <row r="32" spans="1:296" ht="18" customHeight="1" x14ac:dyDescent="0.3">
      <c r="A32" s="162" t="s">
        <v>67</v>
      </c>
      <c r="B32" s="162" t="s">
        <v>831</v>
      </c>
      <c r="C32" s="169">
        <v>0</v>
      </c>
      <c r="D32" s="170"/>
      <c r="E32" s="169">
        <v>5.9004000000000003</v>
      </c>
      <c r="F32" s="169">
        <v>-12.246499999999999</v>
      </c>
      <c r="G32" s="169">
        <v>3.2408000000000001</v>
      </c>
      <c r="H32" s="169">
        <v>12.234500000000001</v>
      </c>
      <c r="I32" s="170"/>
      <c r="J32" s="169">
        <v>20.528300000000002</v>
      </c>
      <c r="K32" s="170"/>
      <c r="L32" s="169">
        <v>16.916499999999999</v>
      </c>
      <c r="M32" s="169">
        <v>6.9997999999999996</v>
      </c>
      <c r="N32" s="169">
        <v>8.4608000000000008</v>
      </c>
      <c r="O32" s="169">
        <v>-19.98</v>
      </c>
      <c r="P32" s="169">
        <v>-33</v>
      </c>
      <c r="Q32" s="169">
        <v>8.8000000000000007</v>
      </c>
      <c r="R32" s="169">
        <v>5.7960000000000003</v>
      </c>
      <c r="S32" s="169">
        <v>-22</v>
      </c>
      <c r="T32" s="169">
        <v>3.8222</v>
      </c>
      <c r="U32" s="169">
        <v>-9.9718999999999998</v>
      </c>
      <c r="V32" s="170"/>
      <c r="W32" s="169">
        <v>11.5631</v>
      </c>
      <c r="X32" s="169">
        <v>19.072399999999998</v>
      </c>
      <c r="Y32" s="169">
        <v>3.0708000000000002</v>
      </c>
      <c r="Z32" s="169">
        <v>-0.49409999999999998</v>
      </c>
      <c r="AA32" s="169">
        <v>1.4716</v>
      </c>
      <c r="AB32" s="170"/>
      <c r="AC32" s="169">
        <v>-1.1704000000000001</v>
      </c>
      <c r="AD32" s="169">
        <v>-0.13800000000000001</v>
      </c>
      <c r="AE32" s="169">
        <v>-0.11700000000000001</v>
      </c>
      <c r="AF32" s="169">
        <v>2.7850000000000001</v>
      </c>
      <c r="AG32" s="169">
        <v>0</v>
      </c>
      <c r="AH32" s="169">
        <v>4.4000000000000004</v>
      </c>
      <c r="AI32" s="169">
        <v>1.2170000000000001</v>
      </c>
      <c r="AJ32" s="169">
        <v>0.245</v>
      </c>
      <c r="AK32" s="169">
        <v>-7.83</v>
      </c>
      <c r="AL32" s="169">
        <v>-7.93</v>
      </c>
      <c r="AM32" s="170"/>
      <c r="AN32" s="169">
        <v>-10.17</v>
      </c>
      <c r="AO32" s="169">
        <v>-10.02</v>
      </c>
      <c r="AP32" s="169">
        <v>6.8935000000000004</v>
      </c>
      <c r="AQ32" s="169">
        <v>3.5339</v>
      </c>
      <c r="AR32" s="169">
        <v>25.600200000000001</v>
      </c>
      <c r="AS32" s="169">
        <v>29.277699999999999</v>
      </c>
      <c r="AT32" s="169">
        <v>-12.303599999999999</v>
      </c>
      <c r="AU32" s="169">
        <v>-6.4669999999999996</v>
      </c>
      <c r="AV32" s="169">
        <v>-5.4492000000000003</v>
      </c>
      <c r="AW32" s="169">
        <v>13.791600000000001</v>
      </c>
      <c r="AX32" s="169">
        <v>23.4529</v>
      </c>
      <c r="AY32" s="169">
        <v>-13.9208</v>
      </c>
      <c r="AZ32" s="169">
        <v>-10.8317</v>
      </c>
      <c r="BA32" s="169">
        <v>18.029599999999999</v>
      </c>
      <c r="BB32" s="169">
        <v>25.525700000000001</v>
      </c>
      <c r="BC32" s="169">
        <v>100.4444</v>
      </c>
      <c r="BD32" s="169">
        <v>15.722300000000001</v>
      </c>
      <c r="BE32" s="169">
        <v>-6.1</v>
      </c>
      <c r="BF32" s="169">
        <v>-6</v>
      </c>
      <c r="BG32" s="169">
        <v>-23.291</v>
      </c>
      <c r="BH32" s="169">
        <v>-23.2942</v>
      </c>
      <c r="BI32" s="169">
        <v>-3.9068999999999998</v>
      </c>
      <c r="BJ32" s="170"/>
      <c r="BK32" s="169">
        <v>16.650300000000001</v>
      </c>
      <c r="BL32" s="169">
        <v>9.5593000000000004</v>
      </c>
      <c r="BM32" s="170"/>
      <c r="BN32" s="169">
        <v>0.3488</v>
      </c>
      <c r="BO32" s="169">
        <v>-112.6743</v>
      </c>
      <c r="BP32" s="169">
        <v>121.3416</v>
      </c>
      <c r="BQ32" s="169">
        <v>122.01300000000001</v>
      </c>
      <c r="BR32" s="169">
        <v>-86.444999999999993</v>
      </c>
      <c r="BS32" s="169">
        <v>-27.713200000000001</v>
      </c>
      <c r="BT32" s="170"/>
      <c r="BU32" s="170"/>
      <c r="BV32" s="170"/>
      <c r="BW32" s="169">
        <v>41.9041</v>
      </c>
      <c r="BX32" s="169">
        <v>19.54</v>
      </c>
      <c r="BY32" s="170"/>
      <c r="BZ32" s="169">
        <v>-4.6900000000000004</v>
      </c>
      <c r="CA32" s="169">
        <v>7.64</v>
      </c>
      <c r="CB32" s="169">
        <v>-18.347899999999999</v>
      </c>
      <c r="CC32" s="169">
        <v>-18.213999999999999</v>
      </c>
      <c r="CD32" s="169">
        <v>35.726900000000001</v>
      </c>
      <c r="CE32" s="169">
        <v>34.0244</v>
      </c>
      <c r="CF32" s="169">
        <v>-7.0556000000000001</v>
      </c>
      <c r="CG32" s="169">
        <v>19.943300000000001</v>
      </c>
      <c r="CH32" s="169">
        <v>19.8125</v>
      </c>
      <c r="CI32" s="169">
        <v>16.391400000000001</v>
      </c>
      <c r="CJ32" s="170"/>
      <c r="CK32" s="169">
        <v>4.032</v>
      </c>
      <c r="CL32" s="169">
        <v>8.1329999999999991</v>
      </c>
      <c r="CM32" s="169">
        <v>0.2</v>
      </c>
      <c r="CN32" s="169">
        <v>-1</v>
      </c>
      <c r="CO32" s="169">
        <v>-4.9400000000000004</v>
      </c>
      <c r="CP32" s="169">
        <v>41.043199999999999</v>
      </c>
      <c r="CQ32" s="169">
        <v>41.289700000000003</v>
      </c>
      <c r="CR32" s="169">
        <v>39.183599999999998</v>
      </c>
      <c r="CS32" s="169">
        <v>55.9133</v>
      </c>
      <c r="CT32" s="169">
        <v>56.452100000000002</v>
      </c>
      <c r="CU32" s="169">
        <v>-23.328499999999998</v>
      </c>
      <c r="CV32" s="169">
        <v>-56.545299999999997</v>
      </c>
      <c r="CW32" s="169">
        <v>-15.591699999999999</v>
      </c>
      <c r="CX32" s="169">
        <v>4.4311999999999996</v>
      </c>
      <c r="CY32" s="169">
        <v>43.43</v>
      </c>
      <c r="CZ32" s="169">
        <v>18.329999999999998</v>
      </c>
      <c r="DA32" s="169">
        <v>15.942399999999999</v>
      </c>
      <c r="DB32" s="169">
        <v>14.7491</v>
      </c>
      <c r="DC32" s="169">
        <v>-13.663</v>
      </c>
      <c r="DD32" s="170"/>
      <c r="DE32" s="170"/>
      <c r="DF32" s="170"/>
      <c r="DG32" s="169">
        <v>22.921800000000001</v>
      </c>
      <c r="DH32" s="170"/>
      <c r="DI32" s="170"/>
      <c r="DJ32" s="169">
        <v>-49.5</v>
      </c>
      <c r="DK32" s="169">
        <v>-49.9</v>
      </c>
      <c r="DL32" s="169">
        <v>3.0034999999999998</v>
      </c>
      <c r="DM32" s="169">
        <v>20.2</v>
      </c>
      <c r="DN32" s="169">
        <v>18.12</v>
      </c>
      <c r="DO32" s="169">
        <v>25.28</v>
      </c>
      <c r="DP32" s="169">
        <v>13.71</v>
      </c>
      <c r="DQ32" s="169">
        <v>-4.21</v>
      </c>
      <c r="DR32" s="169">
        <v>18.5535</v>
      </c>
      <c r="DS32" s="169">
        <v>-23.328800000000001</v>
      </c>
      <c r="DT32" s="169">
        <v>-9.31</v>
      </c>
      <c r="DU32" s="169">
        <v>-9.49</v>
      </c>
      <c r="DV32" s="169">
        <v>30.37</v>
      </c>
      <c r="DW32" s="169">
        <v>-10.39</v>
      </c>
      <c r="DX32" s="169">
        <v>-24.090900000000001</v>
      </c>
      <c r="DY32" s="169">
        <v>-11.8818</v>
      </c>
      <c r="DZ32" s="170"/>
      <c r="EA32" s="169">
        <v>-43.054499999999997</v>
      </c>
      <c r="EB32" s="169">
        <v>50.860199999999999</v>
      </c>
      <c r="EC32" s="169">
        <v>17.957599999999999</v>
      </c>
      <c r="ED32" s="169">
        <v>6.6311</v>
      </c>
      <c r="EE32" s="169">
        <v>7.4173999999999998</v>
      </c>
      <c r="EF32" s="169">
        <v>-11.042199999999999</v>
      </c>
      <c r="EG32" s="169">
        <v>-19.6877</v>
      </c>
      <c r="EH32" s="169">
        <v>-13.986000000000001</v>
      </c>
      <c r="EI32" s="169">
        <v>23.185700000000001</v>
      </c>
      <c r="EJ32" s="169">
        <v>-67.103300000000004</v>
      </c>
      <c r="EK32" s="170"/>
      <c r="EL32" s="169">
        <v>-13.7506</v>
      </c>
      <c r="EM32" s="169">
        <v>-13.2385</v>
      </c>
      <c r="EN32" s="170"/>
      <c r="EO32" s="169">
        <v>-11.849399999999999</v>
      </c>
      <c r="EP32" s="169">
        <v>-11.201499999999999</v>
      </c>
      <c r="EQ32" s="169">
        <v>-2.052</v>
      </c>
      <c r="ER32" s="169">
        <v>-19.6389</v>
      </c>
      <c r="ES32" s="169">
        <v>-19.2864</v>
      </c>
      <c r="ET32" s="169">
        <v>8.5883000000000003</v>
      </c>
      <c r="EU32" s="169">
        <v>6.22</v>
      </c>
      <c r="EV32" s="169">
        <v>-9.5399999999999991</v>
      </c>
      <c r="EW32" s="169">
        <v>1.2</v>
      </c>
      <c r="EX32" s="169">
        <v>9.6926000000000005</v>
      </c>
      <c r="EY32" s="169">
        <v>-25.311199999999999</v>
      </c>
      <c r="EZ32" s="169">
        <v>-7.8948999999999998</v>
      </c>
      <c r="FA32" s="169">
        <v>-7.9619999999999997</v>
      </c>
      <c r="FB32" s="169">
        <v>4.4275000000000002</v>
      </c>
      <c r="FC32" s="169">
        <v>6.0016999999999996</v>
      </c>
      <c r="FD32" s="169">
        <v>-20.499600000000001</v>
      </c>
      <c r="FE32" s="169">
        <v>7.6772999999999998</v>
      </c>
      <c r="FF32" s="169">
        <v>0.50880000000000003</v>
      </c>
      <c r="FG32" s="170"/>
      <c r="FH32" s="169">
        <v>5.1534000000000004</v>
      </c>
      <c r="FI32" s="169">
        <v>5.1741999999999999</v>
      </c>
      <c r="FJ32" s="169">
        <v>3.4352</v>
      </c>
      <c r="FK32" s="169">
        <v>9.2101000000000006</v>
      </c>
      <c r="FL32" s="169">
        <v>8.7077000000000009</v>
      </c>
      <c r="FM32" s="169">
        <v>-20.2622</v>
      </c>
      <c r="FN32" s="170"/>
      <c r="FO32" s="169">
        <v>28.585999999999999</v>
      </c>
      <c r="FP32" s="169">
        <v>-5.1971999999999996</v>
      </c>
      <c r="FQ32" s="170"/>
      <c r="FR32" s="169">
        <v>24.210599999999999</v>
      </c>
      <c r="FS32" s="169">
        <v>-16.2</v>
      </c>
      <c r="FT32" s="170"/>
      <c r="FU32" s="169">
        <v>0.17510000000000001</v>
      </c>
      <c r="FV32" s="169">
        <v>-0.28000000000000003</v>
      </c>
      <c r="FW32" s="169">
        <v>-0.9</v>
      </c>
      <c r="FX32" s="169">
        <v>-24.0822</v>
      </c>
      <c r="FY32" s="170"/>
      <c r="FZ32" s="169">
        <v>4.9260000000000002</v>
      </c>
      <c r="GA32" s="169">
        <v>0.61299999999999999</v>
      </c>
      <c r="GB32" s="170"/>
      <c r="GC32" s="169">
        <v>9.93</v>
      </c>
      <c r="GD32" s="169">
        <v>-21.482600000000001</v>
      </c>
      <c r="GE32" s="169">
        <v>-12.4901</v>
      </c>
      <c r="GF32" s="169">
        <v>-2.02</v>
      </c>
      <c r="GG32" s="169">
        <v>19.6052</v>
      </c>
      <c r="GH32" s="170"/>
      <c r="GI32" s="169">
        <v>29.4771</v>
      </c>
      <c r="GJ32" s="169">
        <v>-9.3635000000000002</v>
      </c>
      <c r="GK32" s="169">
        <v>-10.0639</v>
      </c>
      <c r="GL32" s="169">
        <v>3.0779999999999998</v>
      </c>
      <c r="GM32" s="170"/>
      <c r="GN32" s="170"/>
      <c r="GO32" s="169">
        <v>-11.995100000000001</v>
      </c>
      <c r="GP32" s="169">
        <v>81.947900000000004</v>
      </c>
      <c r="GQ32" s="169">
        <v>1.0491999999999999</v>
      </c>
      <c r="GR32" s="169">
        <v>-23.0898</v>
      </c>
      <c r="GS32" s="169">
        <v>-6.1124000000000001</v>
      </c>
      <c r="GT32" s="169">
        <v>-6.9348000000000001</v>
      </c>
      <c r="GU32" s="169">
        <v>132.22130000000001</v>
      </c>
      <c r="GV32" s="169">
        <v>-3.5156000000000001</v>
      </c>
      <c r="GW32" s="169">
        <v>-7.6510999999999996</v>
      </c>
      <c r="GX32" s="169">
        <v>-10.389200000000001</v>
      </c>
      <c r="GY32" s="169">
        <v>2.5358999999999998</v>
      </c>
      <c r="GZ32" s="169">
        <v>8.2565000000000008</v>
      </c>
      <c r="HA32" s="169">
        <v>8.4977</v>
      </c>
      <c r="HB32" s="169">
        <v>2.0238</v>
      </c>
      <c r="HC32" s="169">
        <v>8.9503000000000004</v>
      </c>
      <c r="HD32" s="169">
        <v>9.4664999999999999</v>
      </c>
      <c r="HE32" s="169">
        <v>-7.54</v>
      </c>
      <c r="HF32" s="169">
        <v>11.399900000000001</v>
      </c>
      <c r="HG32" s="169">
        <v>30.5383</v>
      </c>
      <c r="HH32" s="169">
        <v>27.055900000000001</v>
      </c>
      <c r="HI32" s="169">
        <v>47.157299999999999</v>
      </c>
      <c r="HJ32" s="170"/>
      <c r="HK32" s="169">
        <v>-1.4338</v>
      </c>
      <c r="HL32" s="170"/>
      <c r="HM32" s="169">
        <v>0</v>
      </c>
      <c r="HN32" s="169">
        <v>-11.262600000000001</v>
      </c>
      <c r="HO32" s="169">
        <v>-12.731299999999999</v>
      </c>
      <c r="HP32" s="169">
        <v>5.3312999999999997</v>
      </c>
      <c r="HQ32" s="170"/>
      <c r="HR32" s="169">
        <v>-18.340599999999998</v>
      </c>
      <c r="HS32" s="169">
        <v>-17.8901</v>
      </c>
      <c r="HT32" s="169">
        <v>-21.291599999999999</v>
      </c>
      <c r="HU32" s="169">
        <v>-21.1309</v>
      </c>
      <c r="HV32" s="169">
        <v>27.75</v>
      </c>
      <c r="HW32" s="169">
        <v>27.83</v>
      </c>
      <c r="HX32" s="169">
        <v>-29.2</v>
      </c>
      <c r="HY32" s="169">
        <v>-29.5</v>
      </c>
      <c r="HZ32" s="169">
        <v>0.54659999999999997</v>
      </c>
      <c r="IA32" s="169">
        <v>9.1999999999999993</v>
      </c>
      <c r="IB32" s="169">
        <v>52.108199999999997</v>
      </c>
      <c r="IC32" s="169">
        <v>28.909700000000001</v>
      </c>
      <c r="ID32" s="169">
        <v>28.681000000000001</v>
      </c>
      <c r="IE32" s="169">
        <v>-14.8</v>
      </c>
      <c r="IF32" s="169">
        <v>-40.6</v>
      </c>
      <c r="IG32" s="169">
        <v>1.7</v>
      </c>
      <c r="IH32" s="169">
        <v>1.2</v>
      </c>
      <c r="II32" s="169">
        <v>-18.025500000000001</v>
      </c>
      <c r="IJ32" s="170"/>
      <c r="IK32" s="169">
        <v>-127.7992</v>
      </c>
      <c r="IL32" s="169">
        <v>16.8611</v>
      </c>
      <c r="IM32" s="169">
        <v>-246.89680000000001</v>
      </c>
      <c r="IN32" s="169">
        <v>-31.456900000000001</v>
      </c>
      <c r="IO32" s="169">
        <v>-33.053899999999999</v>
      </c>
      <c r="IP32" s="169">
        <v>72.697000000000003</v>
      </c>
      <c r="IQ32" s="169">
        <v>96.519800000000004</v>
      </c>
      <c r="IR32" s="170"/>
      <c r="IS32" s="169">
        <v>93.117900000000006</v>
      </c>
      <c r="IT32" s="169">
        <v>-4.5162000000000004</v>
      </c>
      <c r="IU32" s="169">
        <v>23.2135</v>
      </c>
      <c r="IV32" s="169">
        <v>24.5181</v>
      </c>
      <c r="IW32" s="170"/>
      <c r="IX32" s="169">
        <v>127.9937</v>
      </c>
      <c r="IY32" s="169">
        <v>-204.68</v>
      </c>
      <c r="IZ32" s="169">
        <v>61.953299999999999</v>
      </c>
      <c r="JA32" s="169">
        <v>-60.885300000000001</v>
      </c>
      <c r="JB32" s="169">
        <v>-9.1600000000000001E-2</v>
      </c>
      <c r="JC32" s="169">
        <v>8.7170000000000005</v>
      </c>
      <c r="JD32" s="169">
        <v>-8.4</v>
      </c>
      <c r="JE32" s="169">
        <v>-2.1619999999999999</v>
      </c>
      <c r="JF32" s="169">
        <v>-2.1779999999999999</v>
      </c>
      <c r="JG32" s="169">
        <v>3.84</v>
      </c>
      <c r="JH32" s="169">
        <v>-3.6</v>
      </c>
      <c r="JI32" s="169">
        <v>-1.9843999999999999</v>
      </c>
      <c r="JJ32" s="169">
        <v>-2.2263000000000002</v>
      </c>
      <c r="JK32" s="169">
        <v>7.7652999999999999</v>
      </c>
      <c r="JL32" s="169">
        <v>-7.5853000000000002</v>
      </c>
      <c r="JM32" s="169">
        <v>-2.9</v>
      </c>
      <c r="JN32" s="169">
        <v>7.7990000000000004</v>
      </c>
      <c r="JO32" s="169">
        <v>7.6749999999999998</v>
      </c>
      <c r="JP32" s="169">
        <v>1.6597999999999999</v>
      </c>
      <c r="JQ32" s="169">
        <v>1.8441000000000001</v>
      </c>
      <c r="JR32" s="169">
        <v>4.2861000000000002</v>
      </c>
      <c r="JS32" s="169">
        <v>3.6282999999999999</v>
      </c>
      <c r="JT32" s="169">
        <v>2.6381000000000001</v>
      </c>
      <c r="JU32" s="170"/>
      <c r="JV32" s="169">
        <v>25.9</v>
      </c>
      <c r="JW32" s="169">
        <v>-1.0216000000000001</v>
      </c>
      <c r="JX32" s="169">
        <v>1.46</v>
      </c>
      <c r="JY32" s="170"/>
      <c r="JZ32" s="169">
        <v>4.7256</v>
      </c>
      <c r="KA32" s="169">
        <v>-18.6906</v>
      </c>
      <c r="KB32" s="169">
        <v>-24.946400000000001</v>
      </c>
      <c r="KC32" s="169">
        <v>6.8299000000000003</v>
      </c>
      <c r="KD32" s="169">
        <v>13.995100000000001</v>
      </c>
      <c r="KE32" s="169">
        <v>-20.166699999999999</v>
      </c>
      <c r="KF32" s="169">
        <v>5.6371000000000002</v>
      </c>
      <c r="KG32" s="169">
        <v>-20.9</v>
      </c>
      <c r="KH32" s="169">
        <v>3.2</v>
      </c>
      <c r="KI32" s="169">
        <v>20.218599999999999</v>
      </c>
      <c r="KJ32" s="169">
        <v>-66.047600000000003</v>
      </c>
    </row>
    <row r="33" spans="1:296" ht="18" customHeight="1" x14ac:dyDescent="0.3">
      <c r="A33" s="162" t="s">
        <v>67</v>
      </c>
      <c r="B33" s="162" t="s">
        <v>832</v>
      </c>
      <c r="C33" s="163">
        <v>0</v>
      </c>
      <c r="D33" s="164"/>
      <c r="E33" s="163">
        <v>5.8228999999999997</v>
      </c>
      <c r="F33" s="163">
        <v>-11.576599999999999</v>
      </c>
      <c r="G33" s="163">
        <v>5.4203999999999999</v>
      </c>
      <c r="H33" s="163">
        <v>12.143700000000001</v>
      </c>
      <c r="I33" s="164"/>
      <c r="J33" s="163">
        <v>11.668100000000001</v>
      </c>
      <c r="K33" s="164"/>
      <c r="L33" s="163">
        <v>20.2026</v>
      </c>
      <c r="M33" s="163">
        <v>8.6117000000000008</v>
      </c>
      <c r="N33" s="163">
        <v>9.9079999999999995</v>
      </c>
      <c r="O33" s="163">
        <v>-19.98</v>
      </c>
      <c r="P33" s="163">
        <v>-33</v>
      </c>
      <c r="Q33" s="163">
        <v>8.8000000000000007</v>
      </c>
      <c r="R33" s="163">
        <v>4.968</v>
      </c>
      <c r="S33" s="163">
        <v>-22</v>
      </c>
      <c r="T33" s="163">
        <v>3.6722000000000001</v>
      </c>
      <c r="U33" s="163">
        <v>-10.990399999999999</v>
      </c>
      <c r="V33" s="164"/>
      <c r="W33" s="163">
        <v>10.2644</v>
      </c>
      <c r="X33" s="163">
        <v>17.650500000000001</v>
      </c>
      <c r="Y33" s="163">
        <v>3.1373000000000002</v>
      </c>
      <c r="Z33" s="163">
        <v>-0.70450000000000002</v>
      </c>
      <c r="AA33" s="163">
        <v>1.4067000000000001</v>
      </c>
      <c r="AB33" s="164"/>
      <c r="AC33" s="163">
        <v>-1.3334999999999999</v>
      </c>
      <c r="AD33" s="163">
        <v>-0.36499999999999999</v>
      </c>
      <c r="AE33" s="163">
        <v>-0.34300000000000003</v>
      </c>
      <c r="AF33" s="163">
        <v>3.125</v>
      </c>
      <c r="AG33" s="163">
        <v>0</v>
      </c>
      <c r="AH33" s="163">
        <v>2.2000000000000002</v>
      </c>
      <c r="AI33" s="163">
        <v>1.3740000000000001</v>
      </c>
      <c r="AJ33" s="163">
        <v>0.26200000000000001</v>
      </c>
      <c r="AK33" s="163">
        <v>-9.5299999999999994</v>
      </c>
      <c r="AL33" s="163">
        <v>-9.44</v>
      </c>
      <c r="AM33" s="164"/>
      <c r="AN33" s="163">
        <v>-10.5</v>
      </c>
      <c r="AO33" s="163">
        <v>-10.53</v>
      </c>
      <c r="AP33" s="163">
        <v>6.5124000000000004</v>
      </c>
      <c r="AQ33" s="163">
        <v>4.0399000000000003</v>
      </c>
      <c r="AR33" s="163">
        <v>22.560199999999998</v>
      </c>
      <c r="AS33" s="163">
        <v>26.953700000000001</v>
      </c>
      <c r="AT33" s="163">
        <v>-10.759499999999999</v>
      </c>
      <c r="AU33" s="163">
        <v>-8.1781000000000006</v>
      </c>
      <c r="AV33" s="163">
        <v>-8.0161999999999995</v>
      </c>
      <c r="AW33" s="163">
        <v>2.6541000000000001</v>
      </c>
      <c r="AX33" s="163">
        <v>2.7785000000000002</v>
      </c>
      <c r="AY33" s="163">
        <v>-13.450100000000001</v>
      </c>
      <c r="AZ33" s="163">
        <v>-10.628500000000001</v>
      </c>
      <c r="BA33" s="163">
        <v>17.7913</v>
      </c>
      <c r="BB33" s="163">
        <v>18.5749</v>
      </c>
      <c r="BC33" s="163">
        <v>108.52589999999999</v>
      </c>
      <c r="BD33" s="163">
        <v>18.831099999999999</v>
      </c>
      <c r="BE33" s="163">
        <v>-7.3</v>
      </c>
      <c r="BF33" s="163">
        <v>-7.3</v>
      </c>
      <c r="BG33" s="163">
        <v>-23.980799999999999</v>
      </c>
      <c r="BH33" s="163">
        <v>-23.8309</v>
      </c>
      <c r="BI33" s="163">
        <v>-3.9459</v>
      </c>
      <c r="BJ33" s="164"/>
      <c r="BK33" s="163">
        <v>12.2514</v>
      </c>
      <c r="BL33" s="163">
        <v>8.8812999999999995</v>
      </c>
      <c r="BM33" s="164"/>
      <c r="BN33" s="163">
        <v>0.441</v>
      </c>
      <c r="BO33" s="163">
        <v>-129.2458</v>
      </c>
      <c r="BP33" s="163">
        <v>120.3344</v>
      </c>
      <c r="BQ33" s="163">
        <v>120.57859999999999</v>
      </c>
      <c r="BR33" s="163">
        <v>-74.532399999999996</v>
      </c>
      <c r="BS33" s="163">
        <v>-43.089599999999997</v>
      </c>
      <c r="BT33" s="164"/>
      <c r="BU33" s="164"/>
      <c r="BV33" s="164"/>
      <c r="BW33" s="163">
        <v>40.417200000000001</v>
      </c>
      <c r="BX33" s="163">
        <v>18.559999999999999</v>
      </c>
      <c r="BY33" s="164"/>
      <c r="BZ33" s="163">
        <v>-5.87</v>
      </c>
      <c r="CA33" s="163">
        <v>7</v>
      </c>
      <c r="CB33" s="163">
        <v>-15.8027</v>
      </c>
      <c r="CC33" s="163">
        <v>-15.8027</v>
      </c>
      <c r="CD33" s="163">
        <v>33.753900000000002</v>
      </c>
      <c r="CE33" s="163">
        <v>32.137300000000003</v>
      </c>
      <c r="CF33" s="163">
        <v>-5.9016000000000002</v>
      </c>
      <c r="CG33" s="163">
        <v>18.877099999999999</v>
      </c>
      <c r="CH33" s="163">
        <v>18.1447</v>
      </c>
      <c r="CI33" s="163">
        <v>12.044600000000001</v>
      </c>
      <c r="CJ33" s="164"/>
      <c r="CK33" s="163">
        <v>4.2153</v>
      </c>
      <c r="CL33" s="163">
        <v>8.4459999999999997</v>
      </c>
      <c r="CM33" s="163">
        <v>0</v>
      </c>
      <c r="CN33" s="163">
        <v>-0.8</v>
      </c>
      <c r="CO33" s="163">
        <v>-5.01</v>
      </c>
      <c r="CP33" s="163">
        <v>40.076599999999999</v>
      </c>
      <c r="CQ33" s="163">
        <v>40.010199999999998</v>
      </c>
      <c r="CR33" s="163">
        <v>37.926699999999997</v>
      </c>
      <c r="CS33" s="163">
        <v>62.938699999999997</v>
      </c>
      <c r="CT33" s="163">
        <v>63.767899999999997</v>
      </c>
      <c r="CU33" s="163">
        <v>-30.241099999999999</v>
      </c>
      <c r="CV33" s="163">
        <v>-54.838500000000003</v>
      </c>
      <c r="CW33" s="163">
        <v>-23.723099999999999</v>
      </c>
      <c r="CX33" s="163">
        <v>4.0781000000000001</v>
      </c>
      <c r="CY33" s="163">
        <v>43.7</v>
      </c>
      <c r="CZ33" s="163">
        <v>18.12</v>
      </c>
      <c r="DA33" s="163">
        <v>15.161099999999999</v>
      </c>
      <c r="DB33" s="163">
        <v>13.9679</v>
      </c>
      <c r="DC33" s="163">
        <v>-12.5686</v>
      </c>
      <c r="DD33" s="164"/>
      <c r="DE33" s="164"/>
      <c r="DF33" s="164"/>
      <c r="DG33" s="163">
        <v>25.278300000000002</v>
      </c>
      <c r="DH33" s="164"/>
      <c r="DI33" s="164"/>
      <c r="DJ33" s="163">
        <v>-51.8</v>
      </c>
      <c r="DK33" s="164"/>
      <c r="DL33" s="163">
        <v>2.4994000000000001</v>
      </c>
      <c r="DM33" s="163">
        <v>20.399999999999999</v>
      </c>
      <c r="DN33" s="163">
        <v>17.079999999999998</v>
      </c>
      <c r="DO33" s="163">
        <v>25.5</v>
      </c>
      <c r="DP33" s="163">
        <v>13.95</v>
      </c>
      <c r="DQ33" s="163">
        <v>-3.76</v>
      </c>
      <c r="DR33" s="163">
        <v>17.856000000000002</v>
      </c>
      <c r="DS33" s="163">
        <v>-26.631499999999999</v>
      </c>
      <c r="DT33" s="163">
        <v>-9.7200000000000006</v>
      </c>
      <c r="DU33" s="163">
        <v>-9.7899999999999991</v>
      </c>
      <c r="DV33" s="163">
        <v>31.11</v>
      </c>
      <c r="DW33" s="163">
        <v>-11.3</v>
      </c>
      <c r="DX33" s="163">
        <v>-26.127300000000002</v>
      </c>
      <c r="DY33" s="163">
        <v>-13.0364</v>
      </c>
      <c r="DZ33" s="164"/>
      <c r="EA33" s="163">
        <v>-41.572699999999998</v>
      </c>
      <c r="EB33" s="163">
        <v>47.498800000000003</v>
      </c>
      <c r="EC33" s="163">
        <v>15.483499999999999</v>
      </c>
      <c r="ED33" s="163">
        <v>4.6492000000000004</v>
      </c>
      <c r="EE33" s="163">
        <v>4.9343000000000004</v>
      </c>
      <c r="EF33" s="163">
        <v>-4.0648</v>
      </c>
      <c r="EG33" s="163">
        <v>-13.3177</v>
      </c>
      <c r="EH33" s="163">
        <v>-13.343</v>
      </c>
      <c r="EI33" s="163">
        <v>8.0763999999999996</v>
      </c>
      <c r="EJ33" s="163">
        <v>-63.9208</v>
      </c>
      <c r="EK33" s="164"/>
      <c r="EL33" s="163">
        <v>-13.9162</v>
      </c>
      <c r="EM33" s="163">
        <v>-13.153</v>
      </c>
      <c r="EN33" s="164"/>
      <c r="EO33" s="163">
        <v>-13.7066</v>
      </c>
      <c r="EP33" s="163">
        <v>-13.7308</v>
      </c>
      <c r="EQ33" s="163">
        <v>28.175999999999998</v>
      </c>
      <c r="ER33" s="163">
        <v>-21.398700000000002</v>
      </c>
      <c r="ES33" s="163">
        <v>-20.899000000000001</v>
      </c>
      <c r="ET33" s="163">
        <v>1.2126999999999999</v>
      </c>
      <c r="EU33" s="163">
        <v>-21.66</v>
      </c>
      <c r="EV33" s="163">
        <v>-8.23</v>
      </c>
      <c r="EW33" s="163">
        <v>1.8</v>
      </c>
      <c r="EX33" s="163">
        <v>9.3635999999999999</v>
      </c>
      <c r="EY33" s="163">
        <v>-30.109300000000001</v>
      </c>
      <c r="EZ33" s="163">
        <v>-7.6432000000000002</v>
      </c>
      <c r="FA33" s="163">
        <v>-7.5728999999999997</v>
      </c>
      <c r="FB33" s="163">
        <v>4.2925000000000004</v>
      </c>
      <c r="FC33" s="163">
        <v>1.2746</v>
      </c>
      <c r="FD33" s="163">
        <v>-13.2158</v>
      </c>
      <c r="FE33" s="163">
        <v>8.0158000000000005</v>
      </c>
      <c r="FF33" s="163">
        <v>0.46239999999999998</v>
      </c>
      <c r="FG33" s="164"/>
      <c r="FH33" s="163">
        <v>3.6551999999999998</v>
      </c>
      <c r="FI33" s="163">
        <v>4.7667000000000002</v>
      </c>
      <c r="FJ33" s="163">
        <v>3.0693999999999999</v>
      </c>
      <c r="FK33" s="163">
        <v>7.5354999999999999</v>
      </c>
      <c r="FL33" s="163">
        <v>6.8657000000000004</v>
      </c>
      <c r="FM33" s="163">
        <v>-18.922599999999999</v>
      </c>
      <c r="FN33" s="164"/>
      <c r="FO33" s="163">
        <v>27.926100000000002</v>
      </c>
      <c r="FP33" s="163">
        <v>-4.8707000000000003</v>
      </c>
      <c r="FQ33" s="163">
        <v>0</v>
      </c>
      <c r="FR33" s="163">
        <v>23.097300000000001</v>
      </c>
      <c r="FS33" s="163">
        <v>-15.74</v>
      </c>
      <c r="FT33" s="164"/>
      <c r="FU33" s="163">
        <v>0.2273</v>
      </c>
      <c r="FV33" s="163">
        <v>-0.22</v>
      </c>
      <c r="FW33" s="163">
        <v>-0.97</v>
      </c>
      <c r="FX33" s="163">
        <v>-22.992599999999999</v>
      </c>
      <c r="FY33" s="164"/>
      <c r="FZ33" s="163">
        <v>4.8179999999999996</v>
      </c>
      <c r="GA33" s="163">
        <v>0.76400000000000001</v>
      </c>
      <c r="GB33" s="164"/>
      <c r="GC33" s="163">
        <v>10.27</v>
      </c>
      <c r="GD33" s="163">
        <v>-21.658000000000001</v>
      </c>
      <c r="GE33" s="163">
        <v>-12.926500000000001</v>
      </c>
      <c r="GF33" s="163">
        <v>-2.0499999999999998</v>
      </c>
      <c r="GG33" s="163">
        <v>19.398599999999998</v>
      </c>
      <c r="GH33" s="164"/>
      <c r="GI33" s="163">
        <v>28.323</v>
      </c>
      <c r="GJ33" s="163">
        <v>-9.7053999999999991</v>
      </c>
      <c r="GK33" s="163">
        <v>-10.4956</v>
      </c>
      <c r="GL33" s="163">
        <v>3.0118</v>
      </c>
      <c r="GM33" s="164"/>
      <c r="GN33" s="164"/>
      <c r="GO33" s="163">
        <v>-12.1309</v>
      </c>
      <c r="GP33" s="163">
        <v>80.379300000000001</v>
      </c>
      <c r="GQ33" s="163">
        <v>1.2959000000000001</v>
      </c>
      <c r="GR33" s="163">
        <v>-23.156400000000001</v>
      </c>
      <c r="GS33" s="163">
        <v>-6.6896000000000004</v>
      </c>
      <c r="GT33" s="163">
        <v>-6.3779000000000003</v>
      </c>
      <c r="GU33" s="163">
        <v>131.99709999999999</v>
      </c>
      <c r="GV33" s="163">
        <v>-4.1421000000000001</v>
      </c>
      <c r="GW33" s="163">
        <v>-5.9474999999999998</v>
      </c>
      <c r="GX33" s="163">
        <v>-10.9879</v>
      </c>
      <c r="GY33" s="163">
        <v>2.3212000000000002</v>
      </c>
      <c r="GZ33" s="163">
        <v>8.0147999999999993</v>
      </c>
      <c r="HA33" s="163">
        <v>8.2446000000000002</v>
      </c>
      <c r="HB33" s="163">
        <v>1.7774000000000001</v>
      </c>
      <c r="HC33" s="163">
        <v>8.0507000000000009</v>
      </c>
      <c r="HD33" s="163">
        <v>10.160399999999999</v>
      </c>
      <c r="HE33" s="163">
        <v>-8.8000000000000007</v>
      </c>
      <c r="HF33" s="163">
        <v>11.893000000000001</v>
      </c>
      <c r="HG33" s="163">
        <v>30.930700000000002</v>
      </c>
      <c r="HH33" s="163">
        <v>25.942</v>
      </c>
      <c r="HI33" s="163">
        <v>50.120600000000003</v>
      </c>
      <c r="HJ33" s="164"/>
      <c r="HK33" s="163">
        <v>-1.4198999999999999</v>
      </c>
      <c r="HL33" s="164"/>
      <c r="HM33" s="163">
        <v>0</v>
      </c>
      <c r="HN33" s="163">
        <v>0</v>
      </c>
      <c r="HO33" s="163">
        <v>0</v>
      </c>
      <c r="HP33" s="164"/>
      <c r="HQ33" s="164"/>
      <c r="HR33" s="163">
        <v>-18.395499999999998</v>
      </c>
      <c r="HS33" s="163">
        <v>-17.599</v>
      </c>
      <c r="HT33" s="163">
        <v>-19.809899999999999</v>
      </c>
      <c r="HU33" s="163">
        <v>-19.150400000000001</v>
      </c>
      <c r="HV33" s="163">
        <v>28.68</v>
      </c>
      <c r="HW33" s="163">
        <v>28.73</v>
      </c>
      <c r="HX33" s="163">
        <v>-28.7</v>
      </c>
      <c r="HY33" s="163">
        <v>-28.8</v>
      </c>
      <c r="HZ33" s="163">
        <v>0.37080000000000002</v>
      </c>
      <c r="IA33" s="163">
        <v>7.68</v>
      </c>
      <c r="IB33" s="163">
        <v>51.910600000000002</v>
      </c>
      <c r="IC33" s="163">
        <v>29.516200000000001</v>
      </c>
      <c r="ID33" s="163">
        <v>29.318100000000001</v>
      </c>
      <c r="IE33" s="163">
        <v>-15.2</v>
      </c>
      <c r="IF33" s="163">
        <v>-41.4</v>
      </c>
      <c r="IG33" s="163">
        <v>1.8</v>
      </c>
      <c r="IH33" s="163">
        <v>1.2</v>
      </c>
      <c r="II33" s="163">
        <v>-17.813400000000001</v>
      </c>
      <c r="IJ33" s="163">
        <v>-17.8124</v>
      </c>
      <c r="IK33" s="163">
        <v>-133.51009999999999</v>
      </c>
      <c r="IL33" s="163">
        <v>11.484299999999999</v>
      </c>
      <c r="IM33" s="163">
        <v>-247.12370000000001</v>
      </c>
      <c r="IN33" s="163">
        <v>-27.7547</v>
      </c>
      <c r="IO33" s="163">
        <v>-37.676699999999997</v>
      </c>
      <c r="IP33" s="163">
        <v>72.026799999999994</v>
      </c>
      <c r="IQ33" s="163">
        <v>98.962699999999998</v>
      </c>
      <c r="IR33" s="164"/>
      <c r="IS33" s="163">
        <v>90.1922</v>
      </c>
      <c r="IT33" s="163">
        <v>-5.1140999999999996</v>
      </c>
      <c r="IU33" s="163">
        <v>24.750299999999999</v>
      </c>
      <c r="IV33" s="163">
        <v>23.0486</v>
      </c>
      <c r="IW33" s="164"/>
      <c r="IX33" s="163">
        <v>127.39109999999999</v>
      </c>
      <c r="IY33" s="163">
        <v>-202.84190000000001</v>
      </c>
      <c r="IZ33" s="163">
        <v>62.491199999999999</v>
      </c>
      <c r="JA33" s="163">
        <v>-63.846699999999998</v>
      </c>
      <c r="JB33" s="163">
        <v>-0.3967</v>
      </c>
      <c r="JC33" s="163">
        <v>8.6440000000000001</v>
      </c>
      <c r="JD33" s="163">
        <v>-9.1199999999999992</v>
      </c>
      <c r="JE33" s="163">
        <v>-2.198</v>
      </c>
      <c r="JF33" s="163">
        <v>-2.2069999999999999</v>
      </c>
      <c r="JG33" s="163">
        <v>4.4800000000000004</v>
      </c>
      <c r="JH33" s="163">
        <v>-3.12</v>
      </c>
      <c r="JI33" s="163">
        <v>-2.3546999999999998</v>
      </c>
      <c r="JJ33" s="163">
        <v>-2.7816999999999998</v>
      </c>
      <c r="JK33" s="163">
        <v>7.1489000000000003</v>
      </c>
      <c r="JL33" s="163">
        <v>-7.3228</v>
      </c>
      <c r="JM33" s="163">
        <v>-1.9</v>
      </c>
      <c r="JN33" s="163">
        <v>7.8360000000000003</v>
      </c>
      <c r="JO33" s="163">
        <v>6.8</v>
      </c>
      <c r="JP33" s="164"/>
      <c r="JQ33" s="164"/>
      <c r="JR33" s="163">
        <v>4.2088000000000001</v>
      </c>
      <c r="JS33" s="163">
        <v>4.4226000000000001</v>
      </c>
      <c r="JT33" s="163">
        <v>3.7118000000000002</v>
      </c>
      <c r="JU33" s="164"/>
      <c r="JV33" s="163">
        <v>26</v>
      </c>
      <c r="JW33" s="163">
        <v>-1.0834999999999999</v>
      </c>
      <c r="JX33" s="163">
        <v>1.29</v>
      </c>
      <c r="JY33" s="164"/>
      <c r="JZ33" s="163">
        <v>5.2571000000000003</v>
      </c>
      <c r="KA33" s="163">
        <v>-18.8491</v>
      </c>
      <c r="KB33" s="163">
        <v>-25.190999999999999</v>
      </c>
      <c r="KC33" s="163">
        <v>7.2542</v>
      </c>
      <c r="KD33" s="163">
        <v>13.961600000000001</v>
      </c>
      <c r="KE33" s="163">
        <v>-20.066500000000001</v>
      </c>
      <c r="KF33" s="163">
        <v>5.4009999999999998</v>
      </c>
      <c r="KG33" s="163">
        <v>-21.7</v>
      </c>
      <c r="KH33" s="163">
        <v>3.4</v>
      </c>
      <c r="KI33" s="163">
        <v>29.196000000000002</v>
      </c>
      <c r="KJ33" s="163">
        <v>-68.947100000000006</v>
      </c>
    </row>
    <row r="34" spans="1:296" ht="18" customHeight="1" x14ac:dyDescent="0.3">
      <c r="A34" s="162" t="s">
        <v>67</v>
      </c>
      <c r="B34" s="162" t="s">
        <v>833</v>
      </c>
      <c r="C34" s="166">
        <v>0</v>
      </c>
      <c r="D34" s="167"/>
      <c r="E34" s="166">
        <v>5.5364000000000004</v>
      </c>
      <c r="F34" s="166">
        <v>-11.275399999999999</v>
      </c>
      <c r="G34" s="166">
        <v>5.2106000000000003</v>
      </c>
      <c r="H34" s="166">
        <v>12.239000000000001</v>
      </c>
      <c r="I34" s="167"/>
      <c r="J34" s="166">
        <v>11.837</v>
      </c>
      <c r="K34" s="167"/>
      <c r="L34" s="166">
        <v>20.713200000000001</v>
      </c>
      <c r="M34" s="166">
        <v>8.8817000000000004</v>
      </c>
      <c r="N34" s="166">
        <v>10.173500000000001</v>
      </c>
      <c r="O34" s="166">
        <v>-15.54</v>
      </c>
      <c r="P34" s="166">
        <v>-30.8</v>
      </c>
      <c r="Q34" s="166">
        <v>6.6</v>
      </c>
      <c r="R34" s="166">
        <v>4.1399999999999997</v>
      </c>
      <c r="S34" s="166">
        <v>-19.8</v>
      </c>
      <c r="T34" s="166">
        <v>3.8531</v>
      </c>
      <c r="U34" s="166">
        <v>-9.8201000000000001</v>
      </c>
      <c r="V34" s="167"/>
      <c r="W34" s="166">
        <v>9.6875</v>
      </c>
      <c r="X34" s="166">
        <v>16.3248</v>
      </c>
      <c r="Y34" s="166">
        <v>3.0246</v>
      </c>
      <c r="Z34" s="166">
        <v>-0.53439999999999999</v>
      </c>
      <c r="AA34" s="166">
        <v>1.5241</v>
      </c>
      <c r="AB34" s="167"/>
      <c r="AC34" s="166">
        <v>-1.1680999999999999</v>
      </c>
      <c r="AD34" s="166">
        <v>-0.44800000000000001</v>
      </c>
      <c r="AE34" s="166">
        <v>-0.41699999999999998</v>
      </c>
      <c r="AF34" s="166">
        <v>3.1589999999999998</v>
      </c>
      <c r="AG34" s="166">
        <v>-4.4400000000000004</v>
      </c>
      <c r="AH34" s="166">
        <v>-2.2000000000000002</v>
      </c>
      <c r="AI34" s="166">
        <v>0.83899999999999997</v>
      </c>
      <c r="AJ34" s="166">
        <v>0.253</v>
      </c>
      <c r="AK34" s="166">
        <v>-10.26</v>
      </c>
      <c r="AL34" s="166">
        <v>-10.26</v>
      </c>
      <c r="AM34" s="167"/>
      <c r="AN34" s="166">
        <v>-10.75</v>
      </c>
      <c r="AO34" s="166">
        <v>-10.78</v>
      </c>
      <c r="AP34" s="166">
        <v>5.4984000000000002</v>
      </c>
      <c r="AQ34" s="166">
        <v>3.7778999999999998</v>
      </c>
      <c r="AR34" s="166">
        <v>19.544699999999999</v>
      </c>
      <c r="AS34" s="166">
        <v>24.073799999999999</v>
      </c>
      <c r="AT34" s="166">
        <v>-11.338200000000001</v>
      </c>
      <c r="AU34" s="166">
        <v>-10.005800000000001</v>
      </c>
      <c r="AV34" s="166">
        <v>-9.8780000000000001</v>
      </c>
      <c r="AW34" s="166">
        <v>3.1354000000000002</v>
      </c>
      <c r="AX34" s="166">
        <v>3.3927999999999998</v>
      </c>
      <c r="AY34" s="166">
        <v>-14.3347</v>
      </c>
      <c r="AZ34" s="166">
        <v>-11.435</v>
      </c>
      <c r="BA34" s="166">
        <v>18.6233</v>
      </c>
      <c r="BB34" s="166">
        <v>19.797499999999999</v>
      </c>
      <c r="BC34" s="166">
        <v>111.8369</v>
      </c>
      <c r="BD34" s="166">
        <v>19.5425</v>
      </c>
      <c r="BE34" s="166">
        <v>-7.1</v>
      </c>
      <c r="BF34" s="166">
        <v>-7.1</v>
      </c>
      <c r="BG34" s="166">
        <v>-23.594200000000001</v>
      </c>
      <c r="BH34" s="166">
        <v>-23.737300000000001</v>
      </c>
      <c r="BI34" s="166">
        <v>-3.6562999999999999</v>
      </c>
      <c r="BJ34" s="167"/>
      <c r="BK34" s="166">
        <v>9.9210999999999991</v>
      </c>
      <c r="BL34" s="166">
        <v>5.5041000000000002</v>
      </c>
      <c r="BM34" s="167"/>
      <c r="BN34" s="166">
        <v>0.2757</v>
      </c>
      <c r="BO34" s="166">
        <v>-132.29769999999999</v>
      </c>
      <c r="BP34" s="166">
        <v>116.0924</v>
      </c>
      <c r="BQ34" s="166">
        <v>116.245</v>
      </c>
      <c r="BR34" s="166">
        <v>-56.030700000000003</v>
      </c>
      <c r="BS34" s="166">
        <v>-46.2224</v>
      </c>
      <c r="BT34" s="167"/>
      <c r="BU34" s="167"/>
      <c r="BV34" s="167"/>
      <c r="BW34" s="166">
        <v>35.527200000000001</v>
      </c>
      <c r="BX34" s="166">
        <v>17.440000000000001</v>
      </c>
      <c r="BY34" s="167"/>
      <c r="BZ34" s="166">
        <v>-8.58</v>
      </c>
      <c r="CA34" s="166">
        <v>6.3</v>
      </c>
      <c r="CB34" s="166">
        <v>-15.4009</v>
      </c>
      <c r="CC34" s="166">
        <v>-15.668799999999999</v>
      </c>
      <c r="CD34" s="166">
        <v>35.049399999999999</v>
      </c>
      <c r="CE34" s="166">
        <v>32.571599999999997</v>
      </c>
      <c r="CF34" s="166">
        <v>-5.0176999999999996</v>
      </c>
      <c r="CG34" s="166">
        <v>18.1328</v>
      </c>
      <c r="CH34" s="166">
        <v>17.923999999999999</v>
      </c>
      <c r="CI34" s="166">
        <v>9.7219999999999995</v>
      </c>
      <c r="CJ34" s="167"/>
      <c r="CK34" s="167"/>
      <c r="CL34" s="166">
        <v>8.6560000000000006</v>
      </c>
      <c r="CM34" s="166">
        <v>-0.7</v>
      </c>
      <c r="CN34" s="166">
        <v>-1.8</v>
      </c>
      <c r="CO34" s="166">
        <v>-5.09</v>
      </c>
      <c r="CP34" s="166">
        <v>37.863999999999997</v>
      </c>
      <c r="CQ34" s="166">
        <v>38.372</v>
      </c>
      <c r="CR34" s="166">
        <v>35.973999999999997</v>
      </c>
      <c r="CS34" s="166">
        <v>67.369500000000002</v>
      </c>
      <c r="CT34" s="166">
        <v>68.024600000000007</v>
      </c>
      <c r="CU34" s="166">
        <v>-33.444699999999997</v>
      </c>
      <c r="CV34" s="166">
        <v>-52.011299999999999</v>
      </c>
      <c r="CW34" s="166">
        <v>-30.370999999999999</v>
      </c>
      <c r="CX34" s="166">
        <v>4.0228000000000002</v>
      </c>
      <c r="CY34" s="166">
        <v>40.770000000000003</v>
      </c>
      <c r="CZ34" s="166">
        <v>16.89</v>
      </c>
      <c r="DA34" s="166">
        <v>14.692399999999999</v>
      </c>
      <c r="DB34" s="166">
        <v>13.577299999999999</v>
      </c>
      <c r="DC34" s="166">
        <v>-12.0024</v>
      </c>
      <c r="DD34" s="167"/>
      <c r="DE34" s="167"/>
      <c r="DF34" s="167"/>
      <c r="DG34" s="166">
        <v>26.097899999999999</v>
      </c>
      <c r="DH34" s="167"/>
      <c r="DI34" s="167"/>
      <c r="DJ34" s="166">
        <v>-49.3</v>
      </c>
      <c r="DK34" s="166">
        <v>-49.8</v>
      </c>
      <c r="DL34" s="166">
        <v>2.7654999999999998</v>
      </c>
      <c r="DM34" s="166">
        <v>20.399999999999999</v>
      </c>
      <c r="DN34" s="166">
        <v>17.100000000000001</v>
      </c>
      <c r="DO34" s="166">
        <v>25.58</v>
      </c>
      <c r="DP34" s="166">
        <v>14.02</v>
      </c>
      <c r="DQ34" s="166">
        <v>-3.78</v>
      </c>
      <c r="DR34" s="166">
        <v>18.196999999999999</v>
      </c>
      <c r="DS34" s="166">
        <v>-26.3565</v>
      </c>
      <c r="DT34" s="166">
        <v>-9.34</v>
      </c>
      <c r="DU34" s="166">
        <v>-9.42</v>
      </c>
      <c r="DV34" s="166">
        <v>29.84</v>
      </c>
      <c r="DW34" s="166">
        <v>-13.98</v>
      </c>
      <c r="DX34" s="166">
        <v>-26.818200000000001</v>
      </c>
      <c r="DY34" s="166">
        <v>-13.6182</v>
      </c>
      <c r="DZ34" s="167"/>
      <c r="EA34" s="166">
        <v>-41.809100000000001</v>
      </c>
      <c r="EB34" s="166">
        <v>43.160499999999999</v>
      </c>
      <c r="EC34" s="166">
        <v>11.3293</v>
      </c>
      <c r="ED34" s="166">
        <v>2.1080000000000001</v>
      </c>
      <c r="EE34" s="166">
        <v>2.7374999999999998</v>
      </c>
      <c r="EF34" s="166">
        <v>-11.804</v>
      </c>
      <c r="EG34" s="166">
        <v>-20.003799999999998</v>
      </c>
      <c r="EH34" s="166">
        <v>-13.606</v>
      </c>
      <c r="EI34" s="166">
        <v>-7.5751999999999997</v>
      </c>
      <c r="EJ34" s="166">
        <v>-65.739099999999993</v>
      </c>
      <c r="EK34" s="167"/>
      <c r="EL34" s="166">
        <v>-13.710100000000001</v>
      </c>
      <c r="EM34" s="166">
        <v>-13.394</v>
      </c>
      <c r="EN34" s="167"/>
      <c r="EO34" s="166">
        <v>-8.2013999999999996</v>
      </c>
      <c r="EP34" s="166">
        <v>-7.8438999999999997</v>
      </c>
      <c r="EQ34" s="166">
        <v>-0.51600000000000001</v>
      </c>
      <c r="ER34" s="166">
        <v>-20.526499999999999</v>
      </c>
      <c r="ES34" s="166">
        <v>-19.5276</v>
      </c>
      <c r="ET34" s="166">
        <v>3.8759000000000001</v>
      </c>
      <c r="EU34" s="166">
        <v>6.27</v>
      </c>
      <c r="EV34" s="166">
        <v>-10.96</v>
      </c>
      <c r="EW34" s="166">
        <v>-1</v>
      </c>
      <c r="EX34" s="166">
        <v>9.5734999999999992</v>
      </c>
      <c r="EY34" s="166">
        <v>-18.358699999999999</v>
      </c>
      <c r="EZ34" s="166">
        <v>-7.6670999999999996</v>
      </c>
      <c r="FA34" s="166">
        <v>-7.6383999999999999</v>
      </c>
      <c r="FB34" s="166">
        <v>4.6965000000000003</v>
      </c>
      <c r="FC34" s="166">
        <v>3.7025000000000001</v>
      </c>
      <c r="FD34" s="166">
        <v>-14.9192</v>
      </c>
      <c r="FE34" s="166">
        <v>8.0192999999999994</v>
      </c>
      <c r="FF34" s="166">
        <v>0.57669999999999999</v>
      </c>
      <c r="FG34" s="167"/>
      <c r="FH34" s="166">
        <v>4.1420000000000003</v>
      </c>
      <c r="FI34" s="166">
        <v>4.6908000000000003</v>
      </c>
      <c r="FJ34" s="166">
        <v>3.1735000000000002</v>
      </c>
      <c r="FK34" s="166">
        <v>6.5308000000000002</v>
      </c>
      <c r="FL34" s="166">
        <v>6.6982999999999997</v>
      </c>
      <c r="FM34" s="166">
        <v>-18.922599999999999</v>
      </c>
      <c r="FN34" s="167"/>
      <c r="FO34" s="166">
        <v>27.499500000000001</v>
      </c>
      <c r="FP34" s="166">
        <v>-4.5255999999999998</v>
      </c>
      <c r="FQ34" s="166">
        <v>9.1509999999999998</v>
      </c>
      <c r="FR34" s="166">
        <v>22.628499999999999</v>
      </c>
      <c r="FS34" s="166">
        <v>-14.9</v>
      </c>
      <c r="FT34" s="167"/>
      <c r="FU34" s="166">
        <v>0.21540000000000001</v>
      </c>
      <c r="FV34" s="166">
        <v>-0.24</v>
      </c>
      <c r="FW34" s="166">
        <v>-0.78</v>
      </c>
      <c r="FX34" s="166">
        <v>-22.465599999999998</v>
      </c>
      <c r="FY34" s="167"/>
      <c r="FZ34" s="166">
        <v>4.7229999999999999</v>
      </c>
      <c r="GA34" s="166">
        <v>1.9910000000000001</v>
      </c>
      <c r="GB34" s="166">
        <v>3.37</v>
      </c>
      <c r="GC34" s="166">
        <v>11.07</v>
      </c>
      <c r="GD34" s="166">
        <v>-22.3706</v>
      </c>
      <c r="GE34" s="166">
        <v>-13.1297</v>
      </c>
      <c r="GF34" s="166">
        <v>-2.3199999999999998</v>
      </c>
      <c r="GG34" s="166">
        <v>19.782699999999998</v>
      </c>
      <c r="GH34" s="167"/>
      <c r="GI34" s="166">
        <v>28.696000000000002</v>
      </c>
      <c r="GJ34" s="166">
        <v>-9.5517000000000003</v>
      </c>
      <c r="GK34" s="166">
        <v>-10.2818</v>
      </c>
      <c r="GL34" s="166">
        <v>2.9674</v>
      </c>
      <c r="GM34" s="167"/>
      <c r="GN34" s="167"/>
      <c r="GO34" s="166">
        <v>-12.4634</v>
      </c>
      <c r="GP34" s="166">
        <v>79.060199999999995</v>
      </c>
      <c r="GQ34" s="166">
        <v>0.92849999999999999</v>
      </c>
      <c r="GR34" s="167"/>
      <c r="GS34" s="166">
        <v>-6.4583000000000004</v>
      </c>
      <c r="GT34" s="166">
        <v>-6.0949999999999998</v>
      </c>
      <c r="GU34" s="166">
        <v>130.97</v>
      </c>
      <c r="GV34" s="166">
        <v>-4.0949</v>
      </c>
      <c r="GW34" s="166">
        <v>-6.0579999999999998</v>
      </c>
      <c r="GX34" s="166">
        <v>-10.936299999999999</v>
      </c>
      <c r="GY34" s="166">
        <v>2.4066000000000001</v>
      </c>
      <c r="GZ34" s="166">
        <v>7.7218</v>
      </c>
      <c r="HA34" s="166">
        <v>7.8243999999999998</v>
      </c>
      <c r="HB34" s="166">
        <v>1.8507</v>
      </c>
      <c r="HC34" s="166">
        <v>8.8406000000000002</v>
      </c>
      <c r="HD34" s="166">
        <v>8.5869</v>
      </c>
      <c r="HE34" s="166">
        <v>-10.9</v>
      </c>
      <c r="HF34" s="166">
        <v>7.7729999999999997</v>
      </c>
      <c r="HG34" s="166">
        <v>19.029900000000001</v>
      </c>
      <c r="HH34" s="166">
        <v>20.797499999999999</v>
      </c>
      <c r="HI34" s="166">
        <v>59.973100000000002</v>
      </c>
      <c r="HJ34" s="167"/>
      <c r="HK34" s="166">
        <v>-5.0804</v>
      </c>
      <c r="HL34" s="167"/>
      <c r="HM34" s="166">
        <v>0</v>
      </c>
      <c r="HN34" s="166">
        <v>-13.1593</v>
      </c>
      <c r="HO34" s="166">
        <v>-13.177199999999999</v>
      </c>
      <c r="HP34" s="167"/>
      <c r="HQ34" s="166">
        <v>5.5888999999999998</v>
      </c>
      <c r="HR34" s="166">
        <v>-17.730799999999999</v>
      </c>
      <c r="HS34" s="166">
        <v>-17.483599999999999</v>
      </c>
      <c r="HT34" s="166">
        <v>-17.405100000000001</v>
      </c>
      <c r="HU34" s="166">
        <v>-17.695799999999998</v>
      </c>
      <c r="HV34" s="166">
        <v>30.48</v>
      </c>
      <c r="HW34" s="166">
        <v>30.49</v>
      </c>
      <c r="HX34" s="166">
        <v>-30.2</v>
      </c>
      <c r="HY34" s="166">
        <v>-30.2</v>
      </c>
      <c r="HZ34" s="166">
        <v>0.98599999999999999</v>
      </c>
      <c r="IA34" s="166">
        <v>6.88</v>
      </c>
      <c r="IB34" s="166">
        <v>51.068300000000001</v>
      </c>
      <c r="IC34" s="166">
        <v>31.5349</v>
      </c>
      <c r="ID34" s="166">
        <v>31.100899999999999</v>
      </c>
      <c r="IE34" s="166">
        <v>-15.7</v>
      </c>
      <c r="IF34" s="166">
        <v>-41.8</v>
      </c>
      <c r="IG34" s="166">
        <v>1.8</v>
      </c>
      <c r="IH34" s="166">
        <v>1.3</v>
      </c>
      <c r="II34" s="166">
        <v>-18.0458</v>
      </c>
      <c r="IJ34" s="166">
        <v>-18.001799999999999</v>
      </c>
      <c r="IK34" s="166">
        <v>-151.28649999999999</v>
      </c>
      <c r="IL34" s="166">
        <v>10.242800000000001</v>
      </c>
      <c r="IM34" s="166">
        <v>-245.93190000000001</v>
      </c>
      <c r="IN34" s="166">
        <v>-22.667400000000001</v>
      </c>
      <c r="IO34" s="166">
        <v>-39.6113</v>
      </c>
      <c r="IP34" s="166">
        <v>69.927499999999995</v>
      </c>
      <c r="IQ34" s="166">
        <v>106.7389</v>
      </c>
      <c r="IR34" s="167"/>
      <c r="IS34" s="166">
        <v>88.271600000000007</v>
      </c>
      <c r="IT34" s="166">
        <v>-12.1425</v>
      </c>
      <c r="IU34" s="166">
        <v>22.082000000000001</v>
      </c>
      <c r="IV34" s="166">
        <v>22.832699999999999</v>
      </c>
      <c r="IW34" s="167"/>
      <c r="IX34" s="166">
        <v>120.3721</v>
      </c>
      <c r="IY34" s="166">
        <v>-201.7604</v>
      </c>
      <c r="IZ34" s="166">
        <v>58.508800000000001</v>
      </c>
      <c r="JA34" s="166">
        <v>-59.657200000000003</v>
      </c>
      <c r="JB34" s="166">
        <v>-0.2087</v>
      </c>
      <c r="JC34" s="166">
        <v>2.41</v>
      </c>
      <c r="JD34" s="166">
        <v>-8.8000000000000007</v>
      </c>
      <c r="JE34" s="166">
        <v>-2.1970000000000001</v>
      </c>
      <c r="JF34" s="166">
        <v>-2.218</v>
      </c>
      <c r="JG34" s="166">
        <v>4.32</v>
      </c>
      <c r="JH34" s="166">
        <v>-3.44</v>
      </c>
      <c r="JI34" s="166">
        <v>-2.1621000000000001</v>
      </c>
      <c r="JJ34" s="166">
        <v>-2.4001999999999999</v>
      </c>
      <c r="JK34" s="166">
        <v>5.2171000000000003</v>
      </c>
      <c r="JL34" s="166">
        <v>-5.9739000000000004</v>
      </c>
      <c r="JM34" s="166">
        <v>-0.9</v>
      </c>
      <c r="JN34" s="166">
        <v>6.2169999999999996</v>
      </c>
      <c r="JO34" s="166">
        <v>7.2720000000000002</v>
      </c>
      <c r="JP34" s="167"/>
      <c r="JQ34" s="167"/>
      <c r="JR34" s="166">
        <v>4.2590000000000003</v>
      </c>
      <c r="JS34" s="166">
        <v>4.0768000000000004</v>
      </c>
      <c r="JT34" s="166">
        <v>3.6149</v>
      </c>
      <c r="JU34" s="167"/>
      <c r="JV34" s="166">
        <v>26.8</v>
      </c>
      <c r="JW34" s="166">
        <v>-0.1588</v>
      </c>
      <c r="JX34" s="166">
        <v>1.28</v>
      </c>
      <c r="JY34" s="167"/>
      <c r="JZ34" s="166">
        <v>6.5362999999999998</v>
      </c>
      <c r="KA34" s="166">
        <v>-19.901499999999999</v>
      </c>
      <c r="KB34" s="166">
        <v>-24.586500000000001</v>
      </c>
      <c r="KC34" s="166">
        <v>8.8234999999999992</v>
      </c>
      <c r="KD34" s="166">
        <v>15.4107</v>
      </c>
      <c r="KE34" s="166">
        <v>-20.254200000000001</v>
      </c>
      <c r="KF34" s="166">
        <v>4.5391000000000004</v>
      </c>
      <c r="KG34" s="166">
        <v>-21.7</v>
      </c>
      <c r="KH34" s="166">
        <v>3.4</v>
      </c>
      <c r="KI34" s="166">
        <v>25.5215</v>
      </c>
      <c r="KJ34" s="166">
        <v>-69.268500000000003</v>
      </c>
    </row>
    <row r="35" spans="1:296" ht="18" customHeight="1" x14ac:dyDescent="0.3">
      <c r="A35" s="162" t="s">
        <v>67</v>
      </c>
      <c r="B35" s="162" t="s">
        <v>834</v>
      </c>
      <c r="C35" s="166">
        <v>0</v>
      </c>
      <c r="D35" s="167"/>
      <c r="E35" s="166">
        <v>5.2765000000000004</v>
      </c>
      <c r="F35" s="166">
        <v>-11.5525</v>
      </c>
      <c r="G35" s="166">
        <v>5.1921999999999997</v>
      </c>
      <c r="H35" s="166">
        <v>11.6149</v>
      </c>
      <c r="I35" s="167"/>
      <c r="J35" s="166">
        <v>11.0084</v>
      </c>
      <c r="K35" s="167"/>
      <c r="L35" s="166">
        <v>19.5564</v>
      </c>
      <c r="M35" s="166">
        <v>8.5626999999999995</v>
      </c>
      <c r="N35" s="166">
        <v>9.7920999999999996</v>
      </c>
      <c r="O35" s="166">
        <v>-13.32</v>
      </c>
      <c r="P35" s="166">
        <v>-33</v>
      </c>
      <c r="Q35" s="167"/>
      <c r="R35" s="167"/>
      <c r="S35" s="166">
        <v>-22</v>
      </c>
      <c r="T35" s="166">
        <v>4.1816000000000004</v>
      </c>
      <c r="U35" s="166">
        <v>-9.9635999999999996</v>
      </c>
      <c r="V35" s="167"/>
      <c r="W35" s="166">
        <v>8.5736000000000008</v>
      </c>
      <c r="X35" s="166">
        <v>14.680099999999999</v>
      </c>
      <c r="Y35" s="166">
        <v>1.7826</v>
      </c>
      <c r="Z35" s="166">
        <v>-0.28589999999999999</v>
      </c>
      <c r="AA35" s="166">
        <v>1.5206</v>
      </c>
      <c r="AB35" s="167"/>
      <c r="AC35" s="166">
        <v>-1.1719999999999999</v>
      </c>
      <c r="AD35" s="166">
        <v>-0.16500000000000001</v>
      </c>
      <c r="AE35" s="166">
        <v>-0.13400000000000001</v>
      </c>
      <c r="AF35" s="166">
        <v>2.496</v>
      </c>
      <c r="AG35" s="166">
        <v>-6.66</v>
      </c>
      <c r="AH35" s="166">
        <v>2.2000000000000002</v>
      </c>
      <c r="AI35" s="166">
        <v>0.71599999999999997</v>
      </c>
      <c r="AJ35" s="166">
        <v>0.251</v>
      </c>
      <c r="AK35" s="166">
        <v>-8.86</v>
      </c>
      <c r="AL35" s="166">
        <v>-8.86</v>
      </c>
      <c r="AM35" s="167"/>
      <c r="AN35" s="166">
        <v>-9.6300000000000008</v>
      </c>
      <c r="AO35" s="166">
        <v>-9.66</v>
      </c>
      <c r="AP35" s="166">
        <v>5.5991</v>
      </c>
      <c r="AQ35" s="166">
        <v>3.7553000000000001</v>
      </c>
      <c r="AR35" s="166">
        <v>19.636199999999999</v>
      </c>
      <c r="AS35" s="166">
        <v>23.966699999999999</v>
      </c>
      <c r="AT35" s="166">
        <v>-12.060700000000001</v>
      </c>
      <c r="AU35" s="166">
        <v>-9.1679999999999993</v>
      </c>
      <c r="AV35" s="166">
        <v>-8.9651999999999994</v>
      </c>
      <c r="AW35" s="166">
        <v>2.8132000000000001</v>
      </c>
      <c r="AX35" s="166">
        <v>2.8919999999999999</v>
      </c>
      <c r="AY35" s="166">
        <v>-14.466200000000001</v>
      </c>
      <c r="AZ35" s="166">
        <v>-11.886200000000001</v>
      </c>
      <c r="BA35" s="166">
        <v>19.2149</v>
      </c>
      <c r="BB35" s="166">
        <v>19.872299999999999</v>
      </c>
      <c r="BC35" s="166">
        <v>109.6341</v>
      </c>
      <c r="BD35" s="166">
        <v>19.717500000000001</v>
      </c>
      <c r="BE35" s="166">
        <v>-7.1</v>
      </c>
      <c r="BF35" s="166">
        <v>-7.1</v>
      </c>
      <c r="BG35" s="166">
        <v>-24.063600000000001</v>
      </c>
      <c r="BH35" s="166">
        <v>-23.993099999999998</v>
      </c>
      <c r="BI35" s="166">
        <v>-3.5316999999999998</v>
      </c>
      <c r="BJ35" s="167"/>
      <c r="BK35" s="166">
        <v>8.6486999999999998</v>
      </c>
      <c r="BL35" s="166">
        <v>6.3376999999999999</v>
      </c>
      <c r="BM35" s="167"/>
      <c r="BN35" s="166">
        <v>0</v>
      </c>
      <c r="BO35" s="166">
        <v>-129.64259999999999</v>
      </c>
      <c r="BP35" s="166">
        <v>116.9164</v>
      </c>
      <c r="BQ35" s="166">
        <v>116.8553</v>
      </c>
      <c r="BR35" s="166">
        <v>-53.098300000000002</v>
      </c>
      <c r="BS35" s="166">
        <v>-45.884999999999998</v>
      </c>
      <c r="BT35" s="167"/>
      <c r="BU35" s="167"/>
      <c r="BV35" s="167"/>
      <c r="BW35" s="166">
        <v>35.926400000000001</v>
      </c>
      <c r="BX35" s="166">
        <v>17.239999999999998</v>
      </c>
      <c r="BY35" s="167"/>
      <c r="BZ35" s="166">
        <v>-8.7799999999999994</v>
      </c>
      <c r="CA35" s="166">
        <v>6.61</v>
      </c>
      <c r="CB35" s="166">
        <v>-15.9367</v>
      </c>
      <c r="CC35" s="166">
        <v>-15.4009</v>
      </c>
      <c r="CD35" s="166">
        <v>35.122999999999998</v>
      </c>
      <c r="CE35" s="166">
        <v>32.870899999999999</v>
      </c>
      <c r="CF35" s="166">
        <v>-4.9522000000000004</v>
      </c>
      <c r="CG35" s="166">
        <v>23.446400000000001</v>
      </c>
      <c r="CH35" s="166">
        <v>22.870999999999999</v>
      </c>
      <c r="CI35" s="166">
        <v>8.2186000000000003</v>
      </c>
      <c r="CJ35" s="166">
        <v>0</v>
      </c>
      <c r="CK35" s="166">
        <v>4.4116</v>
      </c>
      <c r="CL35" s="166">
        <v>8.9909999999999997</v>
      </c>
      <c r="CM35" s="166">
        <v>-4.2</v>
      </c>
      <c r="CN35" s="166">
        <v>-4.8</v>
      </c>
      <c r="CO35" s="166">
        <v>-4.71</v>
      </c>
      <c r="CP35" s="166">
        <v>39.859900000000003</v>
      </c>
      <c r="CQ35" s="166">
        <v>39.544899999999998</v>
      </c>
      <c r="CR35" s="166">
        <v>37.2622</v>
      </c>
      <c r="CS35" s="166">
        <v>68.137500000000003</v>
      </c>
      <c r="CT35" s="166">
        <v>68.789900000000003</v>
      </c>
      <c r="CU35" s="166">
        <v>-31.8291</v>
      </c>
      <c r="CV35" s="166">
        <v>-54.146500000000003</v>
      </c>
      <c r="CW35" s="166">
        <v>-28.4008</v>
      </c>
      <c r="CX35" s="166">
        <v>4.5326000000000004</v>
      </c>
      <c r="CY35" s="166">
        <v>38.909999999999997</v>
      </c>
      <c r="CZ35" s="166">
        <v>15.7</v>
      </c>
      <c r="DA35" s="166">
        <v>13.911099999999999</v>
      </c>
      <c r="DB35" s="166">
        <v>12.6007</v>
      </c>
      <c r="DC35" s="166">
        <v>-11.5139</v>
      </c>
      <c r="DD35" s="167"/>
      <c r="DE35" s="167"/>
      <c r="DF35" s="167"/>
      <c r="DG35" s="166">
        <v>24.978999999999999</v>
      </c>
      <c r="DH35" s="167"/>
      <c r="DI35" s="167"/>
      <c r="DJ35" s="166">
        <v>-46.7</v>
      </c>
      <c r="DK35" s="166">
        <v>-47.5</v>
      </c>
      <c r="DL35" s="166">
        <v>2.5396999999999998</v>
      </c>
      <c r="DM35" s="166">
        <v>20.100000000000001</v>
      </c>
      <c r="DN35" s="166">
        <v>16.600000000000001</v>
      </c>
      <c r="DO35" s="166">
        <v>25.32</v>
      </c>
      <c r="DP35" s="166">
        <v>13.66</v>
      </c>
      <c r="DQ35" s="166">
        <v>-3.56</v>
      </c>
      <c r="DR35" s="166">
        <v>17.018999999999998</v>
      </c>
      <c r="DS35" s="166">
        <v>-25.031400000000001</v>
      </c>
      <c r="DT35" s="166">
        <v>-9.44</v>
      </c>
      <c r="DU35" s="166">
        <v>-9.58</v>
      </c>
      <c r="DV35" s="166">
        <v>29.19</v>
      </c>
      <c r="DW35" s="166">
        <v>-14.92</v>
      </c>
      <c r="DX35" s="166">
        <v>-26.4727</v>
      </c>
      <c r="DY35" s="166">
        <v>-13.427300000000001</v>
      </c>
      <c r="DZ35" s="167"/>
      <c r="EA35" s="166">
        <v>-40.872700000000002</v>
      </c>
      <c r="EB35" s="166">
        <v>43.182899999999997</v>
      </c>
      <c r="EC35" s="166">
        <v>12.122999999999999</v>
      </c>
      <c r="ED35" s="166">
        <v>0.63880000000000003</v>
      </c>
      <c r="EE35" s="166">
        <v>1.6574</v>
      </c>
      <c r="EF35" s="166">
        <v>-9.8914000000000009</v>
      </c>
      <c r="EG35" s="166">
        <v>-20.002300000000002</v>
      </c>
      <c r="EH35" s="166">
        <v>-12.98</v>
      </c>
      <c r="EI35" s="166">
        <v>-8.5906000000000002</v>
      </c>
      <c r="EJ35" s="166">
        <v>-66.176000000000002</v>
      </c>
      <c r="EK35" s="167"/>
      <c r="EL35" s="166">
        <v>-13.648300000000001</v>
      </c>
      <c r="EM35" s="166">
        <v>-13.232900000000001</v>
      </c>
      <c r="EN35" s="167"/>
      <c r="EO35" s="166">
        <v>-9.3249999999999993</v>
      </c>
      <c r="EP35" s="166">
        <v>-8.1656999999999993</v>
      </c>
      <c r="EQ35" s="166">
        <v>4.1120000000000001</v>
      </c>
      <c r="ER35" s="166">
        <v>-22.943300000000001</v>
      </c>
      <c r="ES35" s="166">
        <v>-21.8843</v>
      </c>
      <c r="ET35" s="166">
        <v>2.3197999999999999</v>
      </c>
      <c r="EU35" s="166">
        <v>0</v>
      </c>
      <c r="EV35" s="166">
        <v>-12.96</v>
      </c>
      <c r="EW35" s="166">
        <v>2.2000000000000002</v>
      </c>
      <c r="EX35" s="166">
        <v>9.5525000000000002</v>
      </c>
      <c r="EY35" s="166">
        <v>-16.0793</v>
      </c>
      <c r="EZ35" s="166">
        <v>-7.9943999999999997</v>
      </c>
      <c r="FA35" s="166">
        <v>-7.9863999999999997</v>
      </c>
      <c r="FB35" s="166">
        <v>5.3277999999999999</v>
      </c>
      <c r="FC35" s="166">
        <v>1.9120999999999999</v>
      </c>
      <c r="FD35" s="166">
        <v>-14.115399999999999</v>
      </c>
      <c r="FE35" s="166">
        <v>7.7759999999999998</v>
      </c>
      <c r="FF35" s="166">
        <v>0.47860000000000003</v>
      </c>
      <c r="FG35" s="167"/>
      <c r="FH35" s="166">
        <v>4.9870000000000001</v>
      </c>
      <c r="FI35" s="166">
        <v>4.7858999999999998</v>
      </c>
      <c r="FJ35" s="166">
        <v>3.3662999999999998</v>
      </c>
      <c r="FK35" s="166">
        <v>6.5308000000000002</v>
      </c>
      <c r="FL35" s="166">
        <v>6.5308000000000002</v>
      </c>
      <c r="FM35" s="166">
        <v>-11.387</v>
      </c>
      <c r="FN35" s="167"/>
      <c r="FO35" s="166">
        <v>26.5747</v>
      </c>
      <c r="FP35" s="166">
        <v>-1.7021999999999999</v>
      </c>
      <c r="FQ35" s="166">
        <v>11.2095</v>
      </c>
      <c r="FR35" s="166">
        <v>17.228000000000002</v>
      </c>
      <c r="FS35" s="166">
        <v>-16.78</v>
      </c>
      <c r="FT35" s="167"/>
      <c r="FU35" s="166">
        <v>0.18970000000000001</v>
      </c>
      <c r="FV35" s="166">
        <v>-0.24</v>
      </c>
      <c r="FW35" s="166">
        <v>-0.04</v>
      </c>
      <c r="FX35" s="166">
        <v>-16.884499999999999</v>
      </c>
      <c r="FY35" s="167"/>
      <c r="FZ35" s="166">
        <v>4.734</v>
      </c>
      <c r="GA35" s="166">
        <v>3.1E-2</v>
      </c>
      <c r="GB35" s="167"/>
      <c r="GC35" s="166">
        <v>11.42</v>
      </c>
      <c r="GD35" s="166">
        <v>-23.449400000000001</v>
      </c>
      <c r="GE35" s="166">
        <v>-15.181800000000001</v>
      </c>
      <c r="GF35" s="166">
        <v>-2.14</v>
      </c>
      <c r="GG35" s="166">
        <v>19.2044</v>
      </c>
      <c r="GH35" s="167"/>
      <c r="GI35" s="166">
        <v>28.0306</v>
      </c>
      <c r="GJ35" s="166">
        <v>-9.3201999999999998</v>
      </c>
      <c r="GK35" s="166">
        <v>-10.0566</v>
      </c>
      <c r="GL35" s="166">
        <v>2.9485999999999999</v>
      </c>
      <c r="GM35" s="167"/>
      <c r="GN35" s="167"/>
      <c r="GO35" s="166">
        <v>-12.8119</v>
      </c>
      <c r="GP35" s="166">
        <v>77.7453</v>
      </c>
      <c r="GQ35" s="166">
        <v>1.0406</v>
      </c>
      <c r="GR35" s="166">
        <v>-24.4712</v>
      </c>
      <c r="GS35" s="166">
        <v>-6.9343000000000004</v>
      </c>
      <c r="GT35" s="166">
        <v>-6.7022000000000004</v>
      </c>
      <c r="GU35" s="166">
        <v>121.2731</v>
      </c>
      <c r="GV35" s="166">
        <v>-5.5829000000000004</v>
      </c>
      <c r="GW35" s="166">
        <v>-5.6173999999999999</v>
      </c>
      <c r="GX35" s="166">
        <v>-13.093</v>
      </c>
      <c r="GY35" s="166">
        <v>2.3420999999999998</v>
      </c>
      <c r="GZ35" s="166">
        <v>7.2961</v>
      </c>
      <c r="HA35" s="166">
        <v>7.3497000000000003</v>
      </c>
      <c r="HB35" s="166">
        <v>1.6722999999999999</v>
      </c>
      <c r="HC35" s="166">
        <v>8.8196999999999992</v>
      </c>
      <c r="HD35" s="166">
        <v>10.6408</v>
      </c>
      <c r="HE35" s="166">
        <v>-10.06</v>
      </c>
      <c r="HF35" s="166">
        <v>6.4073000000000002</v>
      </c>
      <c r="HG35" s="166">
        <v>17.754999999999999</v>
      </c>
      <c r="HH35" s="166">
        <v>19.238600000000002</v>
      </c>
      <c r="HI35" s="166">
        <v>62.610300000000002</v>
      </c>
      <c r="HJ35" s="167"/>
      <c r="HK35" s="166">
        <v>-5.8703000000000003</v>
      </c>
      <c r="HL35" s="167"/>
      <c r="HM35" s="166">
        <v>0</v>
      </c>
      <c r="HN35" s="166">
        <v>-10.863899999999999</v>
      </c>
      <c r="HO35" s="166">
        <v>-10.8653</v>
      </c>
      <c r="HP35" s="167"/>
      <c r="HQ35" s="167"/>
      <c r="HR35" s="166">
        <v>-18.835000000000001</v>
      </c>
      <c r="HS35" s="166">
        <v>-18.395499999999998</v>
      </c>
      <c r="HT35" s="166">
        <v>-17.851299999999998</v>
      </c>
      <c r="HU35" s="166">
        <v>-17.396000000000001</v>
      </c>
      <c r="HV35" s="166">
        <v>30.7</v>
      </c>
      <c r="HW35" s="166">
        <v>31.13</v>
      </c>
      <c r="HX35" s="166">
        <v>-29.3</v>
      </c>
      <c r="HY35" s="166">
        <v>-29.7</v>
      </c>
      <c r="HZ35" s="166">
        <v>3.5700000000000003E-2</v>
      </c>
      <c r="IA35" s="166">
        <v>7.52</v>
      </c>
      <c r="IB35" s="166">
        <v>55.5456</v>
      </c>
      <c r="IC35" s="166">
        <v>31.020900000000001</v>
      </c>
      <c r="ID35" s="166">
        <v>30.960699999999999</v>
      </c>
      <c r="IE35" s="166">
        <v>-15.3</v>
      </c>
      <c r="IF35" s="166">
        <v>-41</v>
      </c>
      <c r="IG35" s="166">
        <v>2.2000000000000002</v>
      </c>
      <c r="IH35" s="166">
        <v>1.6</v>
      </c>
      <c r="II35" s="166">
        <v>-17.936800000000002</v>
      </c>
      <c r="IJ35" s="166">
        <v>-17.845800000000001</v>
      </c>
      <c r="IK35" s="166">
        <v>-151.3939</v>
      </c>
      <c r="IL35" s="166">
        <v>12.2812</v>
      </c>
      <c r="IM35" s="166">
        <v>-243.75720000000001</v>
      </c>
      <c r="IN35" s="166">
        <v>-23.728400000000001</v>
      </c>
      <c r="IO35" s="166">
        <v>-39.850700000000003</v>
      </c>
      <c r="IP35" s="166">
        <v>67.309700000000007</v>
      </c>
      <c r="IQ35" s="166">
        <v>106.80370000000001</v>
      </c>
      <c r="IR35" s="167"/>
      <c r="IS35" s="166">
        <v>88.110500000000002</v>
      </c>
      <c r="IT35" s="166">
        <v>-15.2186</v>
      </c>
      <c r="IU35" s="166">
        <v>24.920500000000001</v>
      </c>
      <c r="IV35" s="166">
        <v>23.7302</v>
      </c>
      <c r="IW35" s="167"/>
      <c r="IX35" s="166">
        <v>120.3111</v>
      </c>
      <c r="IY35" s="166">
        <v>-201.10570000000001</v>
      </c>
      <c r="IZ35" s="166">
        <v>57.921799999999998</v>
      </c>
      <c r="JA35" s="166">
        <v>-55.7834</v>
      </c>
      <c r="JB35" s="166">
        <v>0.2112</v>
      </c>
      <c r="JC35" s="166">
        <v>1.1419999999999999</v>
      </c>
      <c r="JD35" s="166">
        <v>-8</v>
      </c>
      <c r="JE35" s="166">
        <v>-2.1680000000000001</v>
      </c>
      <c r="JF35" s="166">
        <v>-2.177</v>
      </c>
      <c r="JG35" s="166">
        <v>3.52</v>
      </c>
      <c r="JH35" s="166">
        <v>-3.44</v>
      </c>
      <c r="JI35" s="166">
        <v>-1.8188</v>
      </c>
      <c r="JJ35" s="166">
        <v>-2.4887000000000001</v>
      </c>
      <c r="JK35" s="166">
        <v>5.5374999999999996</v>
      </c>
      <c r="JL35" s="166">
        <v>-5.6809000000000003</v>
      </c>
      <c r="JM35" s="166">
        <v>-1.8</v>
      </c>
      <c r="JN35" s="166">
        <v>6.1639999999999997</v>
      </c>
      <c r="JO35" s="166">
        <v>7.0259999999999998</v>
      </c>
      <c r="JP35" s="167"/>
      <c r="JQ35" s="167"/>
      <c r="JR35" s="166">
        <v>4.1234999999999999</v>
      </c>
      <c r="JS35" s="166">
        <v>4.2484999999999999</v>
      </c>
      <c r="JT35" s="166">
        <v>4.5218999999999996</v>
      </c>
      <c r="JU35" s="167"/>
      <c r="JV35" s="166">
        <v>25.5</v>
      </c>
      <c r="JW35" s="166">
        <v>0.27250000000000002</v>
      </c>
      <c r="JX35" s="166">
        <v>1.38</v>
      </c>
      <c r="JY35" s="167"/>
      <c r="JZ35" s="166">
        <v>6.1955</v>
      </c>
      <c r="KA35" s="166">
        <v>-19.815999999999999</v>
      </c>
      <c r="KB35" s="166">
        <v>-24.6798</v>
      </c>
      <c r="KC35" s="166">
        <v>8.5347000000000008</v>
      </c>
      <c r="KD35" s="166">
        <v>14.7964</v>
      </c>
      <c r="KE35" s="166">
        <v>-20.424299999999999</v>
      </c>
      <c r="KF35" s="166">
        <v>4.8754999999999997</v>
      </c>
      <c r="KG35" s="166">
        <v>-20.399999999999999</v>
      </c>
      <c r="KH35" s="166">
        <v>2.2999999999999998</v>
      </c>
      <c r="KI35" s="166">
        <v>24.257200000000001</v>
      </c>
      <c r="KJ35" s="166">
        <v>-71.675899999999999</v>
      </c>
    </row>
    <row r="36" spans="1:296" ht="18" customHeight="1" x14ac:dyDescent="0.3">
      <c r="A36" s="162" t="s">
        <v>67</v>
      </c>
      <c r="B36" s="162" t="s">
        <v>835</v>
      </c>
      <c r="C36" s="166">
        <v>0</v>
      </c>
      <c r="D36" s="167"/>
      <c r="E36" s="166">
        <v>5.3244999999999996</v>
      </c>
      <c r="F36" s="166">
        <v>-11.6374</v>
      </c>
      <c r="G36" s="166">
        <v>3.6013000000000002</v>
      </c>
      <c r="H36" s="166">
        <v>11.495699999999999</v>
      </c>
      <c r="I36" s="167"/>
      <c r="J36" s="166">
        <v>11.6752</v>
      </c>
      <c r="K36" s="167"/>
      <c r="L36" s="166">
        <v>20.541899999999998</v>
      </c>
      <c r="M36" s="166">
        <v>8.8646999999999991</v>
      </c>
      <c r="N36" s="166">
        <v>10.344200000000001</v>
      </c>
      <c r="O36" s="166">
        <v>-13.32</v>
      </c>
      <c r="P36" s="166">
        <v>-30.8</v>
      </c>
      <c r="Q36" s="166">
        <v>6.6</v>
      </c>
      <c r="R36" s="166">
        <v>4.968</v>
      </c>
      <c r="S36" s="166">
        <v>-19.8</v>
      </c>
      <c r="T36" s="166">
        <v>4.3745000000000003</v>
      </c>
      <c r="U36" s="166">
        <v>-10.7643</v>
      </c>
      <c r="V36" s="167"/>
      <c r="W36" s="166">
        <v>8.6682000000000006</v>
      </c>
      <c r="X36" s="166">
        <v>15.076499999999999</v>
      </c>
      <c r="Y36" s="166">
        <v>2.1657999999999999</v>
      </c>
      <c r="Z36" s="166">
        <v>-0.37090000000000001</v>
      </c>
      <c r="AA36" s="166">
        <v>1.4784999999999999</v>
      </c>
      <c r="AB36" s="167"/>
      <c r="AC36" s="166">
        <v>-0.98260000000000003</v>
      </c>
      <c r="AD36" s="166">
        <v>-0.10100000000000001</v>
      </c>
      <c r="AE36" s="166">
        <v>-7.5999999999999998E-2</v>
      </c>
      <c r="AF36" s="166">
        <v>2.996</v>
      </c>
      <c r="AG36" s="166">
        <v>-6.66</v>
      </c>
      <c r="AH36" s="166">
        <v>-2.2000000000000002</v>
      </c>
      <c r="AI36" s="166">
        <v>0.872</v>
      </c>
      <c r="AJ36" s="166">
        <v>0.26300000000000001</v>
      </c>
      <c r="AK36" s="166">
        <v>-9.25</v>
      </c>
      <c r="AL36" s="166">
        <v>-9.15</v>
      </c>
      <c r="AM36" s="167"/>
      <c r="AN36" s="166">
        <v>-9.15</v>
      </c>
      <c r="AO36" s="166">
        <v>-9.15</v>
      </c>
      <c r="AP36" s="166">
        <v>6.0401999999999996</v>
      </c>
      <c r="AQ36" s="166">
        <v>3.4628000000000001</v>
      </c>
      <c r="AR36" s="166">
        <v>20.4877</v>
      </c>
      <c r="AS36" s="166">
        <v>24.910900000000002</v>
      </c>
      <c r="AT36" s="166">
        <v>-12.9719</v>
      </c>
      <c r="AU36" s="166">
        <v>-9.7062000000000008</v>
      </c>
      <c r="AV36" s="166">
        <v>-9.5138999999999996</v>
      </c>
      <c r="AW36" s="166">
        <v>14.194699999999999</v>
      </c>
      <c r="AX36" s="166">
        <v>17.887</v>
      </c>
      <c r="AY36" s="166">
        <v>-16.0016</v>
      </c>
      <c r="AZ36" s="166">
        <v>-13.3033</v>
      </c>
      <c r="BA36" s="166">
        <v>23.484000000000002</v>
      </c>
      <c r="BB36" s="166">
        <v>24.802299999999999</v>
      </c>
      <c r="BC36" s="166">
        <v>105.55029999999999</v>
      </c>
      <c r="BD36" s="166">
        <v>18.8201</v>
      </c>
      <c r="BE36" s="166">
        <v>-6.7</v>
      </c>
      <c r="BF36" s="166">
        <v>-6.7</v>
      </c>
      <c r="BG36" s="166">
        <v>-22.511600000000001</v>
      </c>
      <c r="BH36" s="166">
        <v>-22.590599999999998</v>
      </c>
      <c r="BI36" s="166">
        <v>-3.5104000000000002</v>
      </c>
      <c r="BJ36" s="167"/>
      <c r="BK36" s="166">
        <v>7.3613</v>
      </c>
      <c r="BL36" s="166">
        <v>6.8259999999999996</v>
      </c>
      <c r="BM36" s="167"/>
      <c r="BN36" s="166">
        <v>0.25619999999999998</v>
      </c>
      <c r="BO36" s="166">
        <v>-125.7667</v>
      </c>
      <c r="BP36" s="166">
        <v>117.8014</v>
      </c>
      <c r="BQ36" s="166">
        <v>117.95399999999999</v>
      </c>
      <c r="BR36" s="166">
        <v>-62.643599999999999</v>
      </c>
      <c r="BS36" s="166">
        <v>-42.3309</v>
      </c>
      <c r="BT36" s="167"/>
      <c r="BU36" s="167"/>
      <c r="BV36" s="167"/>
      <c r="BW36" s="166">
        <v>38.351399999999998</v>
      </c>
      <c r="BX36" s="166">
        <v>18.059999999999999</v>
      </c>
      <c r="BY36" s="167"/>
      <c r="BZ36" s="166">
        <v>-7.32</v>
      </c>
      <c r="CA36" s="166">
        <v>7.02</v>
      </c>
      <c r="CB36" s="166">
        <v>-17.678100000000001</v>
      </c>
      <c r="CC36" s="166">
        <v>-17.678100000000001</v>
      </c>
      <c r="CD36" s="166">
        <v>35.921700000000001</v>
      </c>
      <c r="CE36" s="166">
        <v>33.880200000000002</v>
      </c>
      <c r="CF36" s="166">
        <v>-6.0720999999999998</v>
      </c>
      <c r="CG36" s="166">
        <v>22.883700000000001</v>
      </c>
      <c r="CH36" s="166">
        <v>23.214400000000001</v>
      </c>
      <c r="CI36" s="166">
        <v>6.8407</v>
      </c>
      <c r="CJ36" s="166">
        <v>0</v>
      </c>
      <c r="CK36" s="166">
        <v>4.4116</v>
      </c>
      <c r="CL36" s="166">
        <v>8.3460000000000001</v>
      </c>
      <c r="CM36" s="166">
        <v>-3.1</v>
      </c>
      <c r="CN36" s="166">
        <v>-3.8</v>
      </c>
      <c r="CO36" s="166">
        <v>-5.01</v>
      </c>
      <c r="CP36" s="166">
        <v>40.4709</v>
      </c>
      <c r="CQ36" s="166">
        <v>40.590299999999999</v>
      </c>
      <c r="CR36" s="166">
        <v>38.120199999999997</v>
      </c>
      <c r="CS36" s="166">
        <v>66.347800000000007</v>
      </c>
      <c r="CT36" s="166">
        <v>66.985100000000003</v>
      </c>
      <c r="CU36" s="166">
        <v>-31.5794</v>
      </c>
      <c r="CV36" s="166">
        <v>-55.540799999999997</v>
      </c>
      <c r="CW36" s="166">
        <v>-27.321100000000001</v>
      </c>
      <c r="CX36" s="166">
        <v>4.4257</v>
      </c>
      <c r="CY36" s="166">
        <v>41.34</v>
      </c>
      <c r="CZ36" s="166">
        <v>16.64</v>
      </c>
      <c r="DA36" s="166">
        <v>14.223599999999999</v>
      </c>
      <c r="DB36" s="166">
        <v>13.2843</v>
      </c>
      <c r="DC36" s="166">
        <v>-12.1616</v>
      </c>
      <c r="DD36" s="167"/>
      <c r="DE36" s="167"/>
      <c r="DF36" s="167"/>
      <c r="DG36" s="166">
        <v>22.765899999999998</v>
      </c>
      <c r="DH36" s="167"/>
      <c r="DI36" s="167"/>
      <c r="DJ36" s="166">
        <v>-48.8</v>
      </c>
      <c r="DK36" s="167"/>
      <c r="DL36" s="166">
        <v>2.8435999999999999</v>
      </c>
      <c r="DM36" s="166">
        <v>20.100000000000001</v>
      </c>
      <c r="DN36" s="166">
        <v>17.100000000000001</v>
      </c>
      <c r="DO36" s="166">
        <v>25.44</v>
      </c>
      <c r="DP36" s="166">
        <v>13.81</v>
      </c>
      <c r="DQ36" s="166">
        <v>-3.94</v>
      </c>
      <c r="DR36" s="166">
        <v>18.987500000000001</v>
      </c>
      <c r="DS36" s="166">
        <v>-23.658799999999999</v>
      </c>
      <c r="DT36" s="166">
        <v>-9.5500000000000007</v>
      </c>
      <c r="DU36" s="166">
        <v>-9.64</v>
      </c>
      <c r="DV36" s="166">
        <v>29.5</v>
      </c>
      <c r="DW36" s="166">
        <v>-13.59</v>
      </c>
      <c r="DX36" s="166">
        <v>-24.072700000000001</v>
      </c>
      <c r="DY36" s="166">
        <v>-12.545500000000001</v>
      </c>
      <c r="DZ36" s="167"/>
      <c r="EA36" s="166">
        <v>-42.390900000000002</v>
      </c>
      <c r="EB36" s="166">
        <v>45.143599999999999</v>
      </c>
      <c r="EC36" s="166">
        <v>13.356999999999999</v>
      </c>
      <c r="ED36" s="166">
        <v>2.6564000000000001</v>
      </c>
      <c r="EE36" s="166">
        <v>4.0244</v>
      </c>
      <c r="EF36" s="166">
        <v>-12.644399999999999</v>
      </c>
      <c r="EG36" s="166">
        <v>-18.991199999999999</v>
      </c>
      <c r="EH36" s="166">
        <v>-13.664999999999999</v>
      </c>
      <c r="EI36" s="166">
        <v>-2.2566999999999999</v>
      </c>
      <c r="EJ36" s="166">
        <v>-63.640500000000003</v>
      </c>
      <c r="EK36" s="167"/>
      <c r="EL36" s="166">
        <v>-13.2338</v>
      </c>
      <c r="EM36" s="166">
        <v>-12.931699999999999</v>
      </c>
      <c r="EN36" s="167"/>
      <c r="EO36" s="166">
        <v>-7.8487999999999998</v>
      </c>
      <c r="EP36" s="166">
        <v>-9.6416000000000004</v>
      </c>
      <c r="EQ36" s="166">
        <v>12.816000000000001</v>
      </c>
      <c r="ER36" s="166">
        <v>-20.419599999999999</v>
      </c>
      <c r="ES36" s="166">
        <v>-20.3233</v>
      </c>
      <c r="ET36" s="166">
        <v>4.7103999999999999</v>
      </c>
      <c r="EU36" s="166">
        <v>0</v>
      </c>
      <c r="EV36" s="166">
        <v>-12.09</v>
      </c>
      <c r="EW36" s="166">
        <v>-0.6</v>
      </c>
      <c r="EX36" s="166">
        <v>9.4527999999999999</v>
      </c>
      <c r="EY36" s="166">
        <v>-16.988199999999999</v>
      </c>
      <c r="EZ36" s="166">
        <v>-9.3551000000000002</v>
      </c>
      <c r="FA36" s="166">
        <v>-9.1819000000000006</v>
      </c>
      <c r="FB36" s="166">
        <v>7.0568</v>
      </c>
      <c r="FC36" s="166">
        <v>4.4225000000000003</v>
      </c>
      <c r="FD36" s="166">
        <v>-14.8263</v>
      </c>
      <c r="FE36" s="166">
        <v>8.0626999999999995</v>
      </c>
      <c r="FF36" s="166">
        <v>0.67230000000000001</v>
      </c>
      <c r="FG36" s="167"/>
      <c r="FH36" s="166">
        <v>0</v>
      </c>
      <c r="FI36" s="166">
        <v>0</v>
      </c>
      <c r="FJ36" s="166">
        <v>0</v>
      </c>
      <c r="FK36" s="166">
        <v>8.5403000000000002</v>
      </c>
      <c r="FL36" s="166">
        <v>8.2053999999999991</v>
      </c>
      <c r="FM36" s="166">
        <v>-9.7125000000000004</v>
      </c>
      <c r="FN36" s="167"/>
      <c r="FO36" s="166">
        <v>28.885000000000002</v>
      </c>
      <c r="FP36" s="166">
        <v>0.86309999999999998</v>
      </c>
      <c r="FQ36" s="166">
        <v>11.7662</v>
      </c>
      <c r="FR36" s="166">
        <v>15.597200000000001</v>
      </c>
      <c r="FS36" s="166">
        <v>-16.64</v>
      </c>
      <c r="FT36" s="167"/>
      <c r="FU36" s="166">
        <v>0.19159999999999999</v>
      </c>
      <c r="FV36" s="166">
        <v>-0.26</v>
      </c>
      <c r="FW36" s="166">
        <v>1.25</v>
      </c>
      <c r="FX36" s="166">
        <v>-15.4993</v>
      </c>
      <c r="FY36" s="167"/>
      <c r="FZ36" s="166">
        <v>4.6230000000000002</v>
      </c>
      <c r="GA36" s="166">
        <v>1.075</v>
      </c>
      <c r="GB36" s="167"/>
      <c r="GC36" s="166">
        <v>13.36</v>
      </c>
      <c r="GD36" s="166">
        <v>-23.960799999999999</v>
      </c>
      <c r="GE36" s="166">
        <v>-16.936399999999999</v>
      </c>
      <c r="GF36" s="166">
        <v>-1.71</v>
      </c>
      <c r="GG36" s="166">
        <v>21.262899999999998</v>
      </c>
      <c r="GH36" s="167"/>
      <c r="GI36" s="166">
        <v>26.729800000000001</v>
      </c>
      <c r="GJ36" s="166">
        <v>-9.5399999999999991</v>
      </c>
      <c r="GK36" s="166">
        <v>-10.355499999999999</v>
      </c>
      <c r="GL36" s="166">
        <v>2.9895</v>
      </c>
      <c r="GM36" s="167"/>
      <c r="GN36" s="167"/>
      <c r="GO36" s="166">
        <v>-12.4863</v>
      </c>
      <c r="GP36" s="166">
        <v>76.911500000000004</v>
      </c>
      <c r="GQ36" s="166">
        <v>0.86480000000000001</v>
      </c>
      <c r="GR36" s="166">
        <v>-24.290800000000001</v>
      </c>
      <c r="GS36" s="166">
        <v>-6.4202000000000004</v>
      </c>
      <c r="GT36" s="166">
        <v>-6.4378000000000002</v>
      </c>
      <c r="GU36" s="166">
        <v>114.8904</v>
      </c>
      <c r="GV36" s="166">
        <v>-6.0644</v>
      </c>
      <c r="GW36" s="166">
        <v>-4.0126999999999997</v>
      </c>
      <c r="GX36" s="166">
        <v>-14.9018</v>
      </c>
      <c r="GY36" s="166">
        <v>2.4512</v>
      </c>
      <c r="GZ36" s="166">
        <v>7.3765999999999998</v>
      </c>
      <c r="HA36" s="166">
        <v>7.5159000000000002</v>
      </c>
      <c r="HB36" s="166">
        <v>1.8651</v>
      </c>
      <c r="HC36" s="166">
        <v>10.2666</v>
      </c>
      <c r="HD36" s="166">
        <v>11.4686</v>
      </c>
      <c r="HE36" s="166">
        <v>-9.2200000000000006</v>
      </c>
      <c r="HF36" s="166">
        <v>5.4600999999999997</v>
      </c>
      <c r="HG36" s="166">
        <v>14.414400000000001</v>
      </c>
      <c r="HH36" s="166">
        <v>24.3263</v>
      </c>
      <c r="HI36" s="166">
        <v>64.949100000000001</v>
      </c>
      <c r="HJ36" s="167"/>
      <c r="HK36" s="166">
        <v>-5.8426</v>
      </c>
      <c r="HL36" s="167"/>
      <c r="HM36" s="166">
        <v>0</v>
      </c>
      <c r="HN36" s="166">
        <v>-11.805999999999999</v>
      </c>
      <c r="HO36" s="166">
        <v>-12.1966</v>
      </c>
      <c r="HP36" s="166">
        <v>2.2850000000000001</v>
      </c>
      <c r="HQ36" s="167"/>
      <c r="HR36" s="166">
        <v>-16.786000000000001</v>
      </c>
      <c r="HS36" s="166">
        <v>-15.8741</v>
      </c>
      <c r="HT36" s="166">
        <v>-18.521599999999999</v>
      </c>
      <c r="HU36" s="166">
        <v>-18.033999999999999</v>
      </c>
      <c r="HV36" s="166">
        <v>30.32</v>
      </c>
      <c r="HW36" s="166">
        <v>30.5</v>
      </c>
      <c r="HX36" s="166">
        <v>-29.9</v>
      </c>
      <c r="HY36" s="166">
        <v>-30</v>
      </c>
      <c r="HZ36" s="166">
        <v>0.19500000000000001</v>
      </c>
      <c r="IA36" s="166">
        <v>7.52</v>
      </c>
      <c r="IB36" s="166">
        <v>43.677700000000002</v>
      </c>
      <c r="IC36" s="166">
        <v>34.424799999999998</v>
      </c>
      <c r="ID36" s="166">
        <v>34.350299999999997</v>
      </c>
      <c r="IE36" s="166">
        <v>-14.4</v>
      </c>
      <c r="IF36" s="166">
        <v>-41.4</v>
      </c>
      <c r="IG36" s="166">
        <v>0.9</v>
      </c>
      <c r="IH36" s="166">
        <v>0.4</v>
      </c>
      <c r="II36" s="167"/>
      <c r="IJ36" s="167"/>
      <c r="IK36" s="166">
        <v>-150.3466</v>
      </c>
      <c r="IL36" s="166">
        <v>9.9679000000000002</v>
      </c>
      <c r="IM36" s="166">
        <v>-241.7038</v>
      </c>
      <c r="IN36" s="166">
        <v>-24.487300000000001</v>
      </c>
      <c r="IO36" s="166">
        <v>-40.337000000000003</v>
      </c>
      <c r="IP36" s="166">
        <v>66.836600000000004</v>
      </c>
      <c r="IQ36" s="166">
        <v>106.2804</v>
      </c>
      <c r="IR36" s="167"/>
      <c r="IS36" s="166">
        <v>86.629300000000001</v>
      </c>
      <c r="IT36" s="166">
        <v>-10.8283</v>
      </c>
      <c r="IU36" s="166">
        <v>25.6813</v>
      </c>
      <c r="IV36" s="166">
        <v>24.3184</v>
      </c>
      <c r="IW36" s="167"/>
      <c r="IX36" s="166">
        <v>124.0219</v>
      </c>
      <c r="IY36" s="166">
        <v>-197.91650000000001</v>
      </c>
      <c r="IZ36" s="166">
        <v>63.110599999999998</v>
      </c>
      <c r="JA36" s="166">
        <v>-62.827599999999997</v>
      </c>
      <c r="JB36" s="166">
        <v>-1.8273999999999999</v>
      </c>
      <c r="JC36" s="166">
        <v>1.93</v>
      </c>
      <c r="JD36" s="166">
        <v>-7.44</v>
      </c>
      <c r="JE36" s="166">
        <v>-2.109</v>
      </c>
      <c r="JF36" s="166">
        <v>-2.1150000000000002</v>
      </c>
      <c r="JG36" s="166">
        <v>2.8</v>
      </c>
      <c r="JH36" s="166">
        <v>-3.28</v>
      </c>
      <c r="JI36" s="166">
        <v>-1.5452999999999999</v>
      </c>
      <c r="JJ36" s="166">
        <v>-2.5467</v>
      </c>
      <c r="JK36" s="166">
        <v>6.3003999999999998</v>
      </c>
      <c r="JL36" s="166">
        <v>-6.1814</v>
      </c>
      <c r="JM36" s="166">
        <v>-2.9</v>
      </c>
      <c r="JN36" s="166">
        <v>6.1239999999999997</v>
      </c>
      <c r="JO36" s="166">
        <v>5.9489999999999998</v>
      </c>
      <c r="JP36" s="167"/>
      <c r="JQ36" s="167"/>
      <c r="JR36" s="166">
        <v>4.3284000000000002</v>
      </c>
      <c r="JS36" s="166">
        <v>3.4432999999999998</v>
      </c>
      <c r="JT36" s="166">
        <v>3.1259999999999999</v>
      </c>
      <c r="JU36" s="167"/>
      <c r="JV36" s="166">
        <v>26.7</v>
      </c>
      <c r="JW36" s="166">
        <v>0.33560000000000001</v>
      </c>
      <c r="JX36" s="166">
        <v>1.39</v>
      </c>
      <c r="JY36" s="167"/>
      <c r="JZ36" s="166">
        <v>5.8860999999999999</v>
      </c>
      <c r="KA36" s="166">
        <v>-20.147200000000002</v>
      </c>
      <c r="KB36" s="166">
        <v>-25.517600000000002</v>
      </c>
      <c r="KC36" s="166">
        <v>8.5513999999999992</v>
      </c>
      <c r="KD36" s="166">
        <v>15.8697</v>
      </c>
      <c r="KE36" s="166">
        <v>-20.552800000000001</v>
      </c>
      <c r="KF36" s="166">
        <v>4.7797000000000001</v>
      </c>
      <c r="KG36" s="166">
        <v>-21.9</v>
      </c>
      <c r="KH36" s="166">
        <v>3.6</v>
      </c>
      <c r="KI36" s="166">
        <v>24.9985</v>
      </c>
      <c r="KJ36" s="166">
        <v>-70.05</v>
      </c>
    </row>
    <row r="37" spans="1:296" ht="18" customHeight="1" x14ac:dyDescent="0.3">
      <c r="A37" s="162" t="s">
        <v>67</v>
      </c>
      <c r="B37" s="162" t="s">
        <v>836</v>
      </c>
      <c r="C37" s="166">
        <v>0</v>
      </c>
      <c r="D37" s="167"/>
      <c r="E37" s="166">
        <v>3.4988000000000001</v>
      </c>
      <c r="F37" s="166">
        <v>-9.2666000000000004</v>
      </c>
      <c r="G37" s="166">
        <v>4.4739000000000004</v>
      </c>
      <c r="H37" s="166">
        <v>11.928699999999999</v>
      </c>
      <c r="I37" s="167"/>
      <c r="J37" s="166">
        <v>12.376899999999999</v>
      </c>
      <c r="K37" s="167"/>
      <c r="L37" s="166">
        <v>21.384399999999999</v>
      </c>
      <c r="M37" s="166">
        <v>9.4216999999999995</v>
      </c>
      <c r="N37" s="166">
        <v>10.673999999999999</v>
      </c>
      <c r="O37" s="166">
        <v>-13.32</v>
      </c>
      <c r="P37" s="166">
        <v>-33</v>
      </c>
      <c r="Q37" s="166">
        <v>8.8000000000000007</v>
      </c>
      <c r="R37" s="166">
        <v>4.1399999999999997</v>
      </c>
      <c r="S37" s="166">
        <v>-22</v>
      </c>
      <c r="T37" s="166">
        <v>4.2172999999999998</v>
      </c>
      <c r="U37" s="166">
        <v>-11.107100000000001</v>
      </c>
      <c r="V37" s="167"/>
      <c r="W37" s="166">
        <v>9.2971000000000004</v>
      </c>
      <c r="X37" s="166">
        <v>15.705399999999999</v>
      </c>
      <c r="Y37" s="166">
        <v>2.0388999999999999</v>
      </c>
      <c r="Z37" s="166">
        <v>-0.40860000000000002</v>
      </c>
      <c r="AA37" s="166">
        <v>1.5842000000000001</v>
      </c>
      <c r="AB37" s="167"/>
      <c r="AC37" s="166">
        <v>-1.0255000000000001</v>
      </c>
      <c r="AD37" s="166">
        <v>-5.7000000000000002E-2</v>
      </c>
      <c r="AE37" s="166">
        <v>-3.1E-2</v>
      </c>
      <c r="AF37" s="166">
        <v>2.8170000000000002</v>
      </c>
      <c r="AG37" s="166">
        <v>-6.66</v>
      </c>
      <c r="AH37" s="166">
        <v>2.2000000000000002</v>
      </c>
      <c r="AI37" s="166">
        <v>1.0249999999999999</v>
      </c>
      <c r="AJ37" s="166">
        <v>0.26400000000000001</v>
      </c>
      <c r="AK37" s="166">
        <v>-9.44</v>
      </c>
      <c r="AL37" s="166">
        <v>-9.3699999999999992</v>
      </c>
      <c r="AM37" s="167"/>
      <c r="AN37" s="166">
        <v>-9.43</v>
      </c>
      <c r="AO37" s="166">
        <v>-9.34</v>
      </c>
      <c r="AP37" s="166">
        <v>6.2786999999999997</v>
      </c>
      <c r="AQ37" s="166">
        <v>3.4300999999999999</v>
      </c>
      <c r="AR37" s="166">
        <v>21.735700000000001</v>
      </c>
      <c r="AS37" s="166">
        <v>26.4938</v>
      </c>
      <c r="AT37" s="166">
        <v>-12.6564</v>
      </c>
      <c r="AU37" s="166">
        <v>-7.0865</v>
      </c>
      <c r="AV37" s="166">
        <v>-6.9359000000000002</v>
      </c>
      <c r="AW37" s="166">
        <v>12.886900000000001</v>
      </c>
      <c r="AX37" s="166">
        <v>11.607699999999999</v>
      </c>
      <c r="AY37" s="166">
        <v>-16.049099999999999</v>
      </c>
      <c r="AZ37" s="166">
        <v>-14.0238</v>
      </c>
      <c r="BA37" s="166">
        <v>21.460899999999999</v>
      </c>
      <c r="BB37" s="166">
        <v>23.926200000000001</v>
      </c>
      <c r="BC37" s="166">
        <v>102.2415</v>
      </c>
      <c r="BD37" s="166">
        <v>17.8797</v>
      </c>
      <c r="BE37" s="166">
        <v>-6.3</v>
      </c>
      <c r="BF37" s="166">
        <v>-6.2</v>
      </c>
      <c r="BG37" s="166">
        <v>-23.436699999999998</v>
      </c>
      <c r="BH37" s="166">
        <v>-22.876999999999999</v>
      </c>
      <c r="BI37" s="166">
        <v>-3.5722</v>
      </c>
      <c r="BJ37" s="167"/>
      <c r="BK37" s="166">
        <v>11.0579</v>
      </c>
      <c r="BL37" s="166">
        <v>7.3291000000000004</v>
      </c>
      <c r="BM37" s="167"/>
      <c r="BN37" s="166">
        <v>0.47270000000000001</v>
      </c>
      <c r="BO37" s="166">
        <v>-131.10749999999999</v>
      </c>
      <c r="BP37" s="166">
        <v>124.3018</v>
      </c>
      <c r="BQ37" s="166">
        <v>123.5389</v>
      </c>
      <c r="BR37" s="166">
        <v>-67.326300000000003</v>
      </c>
      <c r="BS37" s="166">
        <v>-35.4161</v>
      </c>
      <c r="BT37" s="167"/>
      <c r="BU37" s="167"/>
      <c r="BV37" s="167"/>
      <c r="BW37" s="166">
        <v>45.896000000000001</v>
      </c>
      <c r="BX37" s="166">
        <v>20.74</v>
      </c>
      <c r="BY37" s="167"/>
      <c r="BZ37" s="166">
        <v>-4.07</v>
      </c>
      <c r="CA37" s="166">
        <v>7.86</v>
      </c>
      <c r="CB37" s="166">
        <v>-19.285599999999999</v>
      </c>
      <c r="CC37" s="166">
        <v>-19.285599999999999</v>
      </c>
      <c r="CD37" s="166">
        <v>36.136899999999997</v>
      </c>
      <c r="CE37" s="166">
        <v>34.430300000000003</v>
      </c>
      <c r="CF37" s="166">
        <v>-7.1060999999999996</v>
      </c>
      <c r="CG37" s="166">
        <v>20.383099999999999</v>
      </c>
      <c r="CH37" s="166">
        <v>20.318899999999999</v>
      </c>
      <c r="CI37" s="166">
        <v>10.771599999999999</v>
      </c>
      <c r="CJ37" s="167"/>
      <c r="CK37" s="166">
        <v>4.032</v>
      </c>
      <c r="CL37" s="166">
        <v>7.83</v>
      </c>
      <c r="CM37" s="166">
        <v>-0.3</v>
      </c>
      <c r="CN37" s="166">
        <v>-1.1000000000000001</v>
      </c>
      <c r="CO37" s="166">
        <v>-5.09</v>
      </c>
      <c r="CP37" s="166">
        <v>41.844200000000001</v>
      </c>
      <c r="CQ37" s="166">
        <v>41.877099999999999</v>
      </c>
      <c r="CR37" s="166">
        <v>39.306100000000001</v>
      </c>
      <c r="CS37" s="166">
        <v>61.926400000000001</v>
      </c>
      <c r="CT37" s="166">
        <v>62.957999999999998</v>
      </c>
      <c r="CU37" s="166">
        <v>-29.920300000000001</v>
      </c>
      <c r="CV37" s="166">
        <v>-56.813499999999998</v>
      </c>
      <c r="CW37" s="166">
        <v>-24.2928</v>
      </c>
      <c r="CX37" s="166">
        <v>4.4478</v>
      </c>
      <c r="CY37" s="166">
        <v>45.01</v>
      </c>
      <c r="CZ37" s="166">
        <v>19.03</v>
      </c>
      <c r="DA37" s="166">
        <v>15.317399999999999</v>
      </c>
      <c r="DB37" s="166">
        <v>14.260899999999999</v>
      </c>
      <c r="DC37" s="166">
        <v>-13.388299999999999</v>
      </c>
      <c r="DD37" s="167"/>
      <c r="DE37" s="167"/>
      <c r="DF37" s="167"/>
      <c r="DG37" s="166">
        <v>18.594100000000001</v>
      </c>
      <c r="DH37" s="167"/>
      <c r="DI37" s="167"/>
      <c r="DJ37" s="166">
        <v>-51.1</v>
      </c>
      <c r="DK37" s="166">
        <v>-50.3</v>
      </c>
      <c r="DL37" s="166">
        <v>3.2147000000000001</v>
      </c>
      <c r="DM37" s="166">
        <v>20.100000000000001</v>
      </c>
      <c r="DN37" s="166">
        <v>18.46</v>
      </c>
      <c r="DO37" s="166">
        <v>25.26</v>
      </c>
      <c r="DP37" s="166">
        <v>13.74</v>
      </c>
      <c r="DQ37" s="166">
        <v>-4.43</v>
      </c>
      <c r="DR37" s="166">
        <v>21.452000000000002</v>
      </c>
      <c r="DS37" s="166">
        <v>-19.0961</v>
      </c>
      <c r="DT37" s="166">
        <v>-9.4600000000000009</v>
      </c>
      <c r="DU37" s="166">
        <v>-9.5299999999999994</v>
      </c>
      <c r="DV37" s="166">
        <v>31.21</v>
      </c>
      <c r="DW37" s="166">
        <v>-11.61</v>
      </c>
      <c r="DX37" s="166">
        <v>-20.436399999999999</v>
      </c>
      <c r="DY37" s="166">
        <v>-9.9182000000000006</v>
      </c>
      <c r="DZ37" s="167"/>
      <c r="EA37" s="166">
        <v>-42.881799999999998</v>
      </c>
      <c r="EB37" s="166">
        <v>51.828299999999999</v>
      </c>
      <c r="EC37" s="166">
        <v>19.146000000000001</v>
      </c>
      <c r="ED37" s="166">
        <v>8.4718</v>
      </c>
      <c r="EE37" s="166">
        <v>8.9807000000000006</v>
      </c>
      <c r="EF37" s="166">
        <v>-16.545300000000001</v>
      </c>
      <c r="EG37" s="166">
        <v>-25.949400000000001</v>
      </c>
      <c r="EH37" s="166">
        <v>-14.468999999999999</v>
      </c>
      <c r="EI37" s="166">
        <v>5.9046000000000003</v>
      </c>
      <c r="EJ37" s="166">
        <v>-68.273499999999999</v>
      </c>
      <c r="EK37" s="167"/>
      <c r="EL37" s="166">
        <v>-13.773099999999999</v>
      </c>
      <c r="EM37" s="166">
        <v>-13.299899999999999</v>
      </c>
      <c r="EN37" s="167"/>
      <c r="EO37" s="166">
        <v>-4.7647000000000004</v>
      </c>
      <c r="EP37" s="166">
        <v>-5.0877999999999997</v>
      </c>
      <c r="EQ37" s="166">
        <v>-11.78</v>
      </c>
      <c r="ER37" s="166">
        <v>-21.11</v>
      </c>
      <c r="ES37" s="166">
        <v>-20.854299999999999</v>
      </c>
      <c r="ET37" s="166">
        <v>9.9350000000000005</v>
      </c>
      <c r="EU37" s="166">
        <v>6.73</v>
      </c>
      <c r="EV37" s="166">
        <v>-5.6</v>
      </c>
      <c r="EW37" s="166">
        <v>0</v>
      </c>
      <c r="EX37" s="166">
        <v>9.6992999999999991</v>
      </c>
      <c r="EY37" s="166">
        <v>-10.102600000000001</v>
      </c>
      <c r="EZ37" s="166">
        <v>-8.0044000000000004</v>
      </c>
      <c r="FA37" s="166">
        <v>-7.9667000000000003</v>
      </c>
      <c r="FB37" s="166">
        <v>5.5468000000000002</v>
      </c>
      <c r="FC37" s="166">
        <v>7.4809999999999999</v>
      </c>
      <c r="FD37" s="166">
        <v>-21.913599999999999</v>
      </c>
      <c r="FE37" s="166">
        <v>7.9844999999999997</v>
      </c>
      <c r="FF37" s="166">
        <v>-0.47549999999999998</v>
      </c>
      <c r="FG37" s="167"/>
      <c r="FH37" s="166">
        <v>0</v>
      </c>
      <c r="FI37" s="166">
        <v>0</v>
      </c>
      <c r="FJ37" s="166">
        <v>0</v>
      </c>
      <c r="FK37" s="166">
        <v>11.052099999999999</v>
      </c>
      <c r="FL37" s="166">
        <v>10.382300000000001</v>
      </c>
      <c r="FM37" s="166">
        <v>-9.7125000000000004</v>
      </c>
      <c r="FN37" s="167"/>
      <c r="FO37" s="166">
        <v>29.505800000000001</v>
      </c>
      <c r="FP37" s="166">
        <v>0.14649999999999999</v>
      </c>
      <c r="FQ37" s="166">
        <v>12.068899999999999</v>
      </c>
      <c r="FR37" s="166">
        <v>16.9937</v>
      </c>
      <c r="FS37" s="166">
        <v>-16.670000000000002</v>
      </c>
      <c r="FT37" s="167"/>
      <c r="FU37" s="166">
        <v>0.23280000000000001</v>
      </c>
      <c r="FV37" s="166">
        <v>-0.25</v>
      </c>
      <c r="FW37" s="166">
        <v>0.32</v>
      </c>
      <c r="FX37" s="166">
        <v>-17.304300000000001</v>
      </c>
      <c r="FY37" s="167"/>
      <c r="FZ37" s="166">
        <v>4.516</v>
      </c>
      <c r="GA37" s="166">
        <v>1.081</v>
      </c>
      <c r="GB37" s="167"/>
      <c r="GC37" s="166">
        <v>13.31</v>
      </c>
      <c r="GD37" s="166">
        <v>-23.095199999999998</v>
      </c>
      <c r="GE37" s="166">
        <v>-16.327300000000001</v>
      </c>
      <c r="GF37" s="166">
        <v>-1.76</v>
      </c>
      <c r="GG37" s="166">
        <v>20.926400000000001</v>
      </c>
      <c r="GH37" s="167"/>
      <c r="GI37" s="166">
        <v>26.773700000000002</v>
      </c>
      <c r="GJ37" s="166">
        <v>-9.3964999999999996</v>
      </c>
      <c r="GK37" s="166">
        <v>-10.175000000000001</v>
      </c>
      <c r="GL37" s="166">
        <v>3.0352999999999999</v>
      </c>
      <c r="GM37" s="167"/>
      <c r="GN37" s="167"/>
      <c r="GO37" s="166">
        <v>-12.957700000000001</v>
      </c>
      <c r="GP37" s="166">
        <v>79.620800000000003</v>
      </c>
      <c r="GQ37" s="166">
        <v>0.85189999999999999</v>
      </c>
      <c r="GR37" s="166">
        <v>-24.078800000000001</v>
      </c>
      <c r="GS37" s="166">
        <v>-6.9069000000000003</v>
      </c>
      <c r="GT37" s="166">
        <v>-6.8532999999999999</v>
      </c>
      <c r="GU37" s="166">
        <v>109.372</v>
      </c>
      <c r="GV37" s="166">
        <v>-5.8715999999999999</v>
      </c>
      <c r="GW37" s="166">
        <v>-4.2755999999999998</v>
      </c>
      <c r="GX37" s="166">
        <v>-14.6943</v>
      </c>
      <c r="GY37" s="166">
        <v>2.6534</v>
      </c>
      <c r="GZ37" s="166">
        <v>7.5167000000000002</v>
      </c>
      <c r="HA37" s="166">
        <v>7.6898999999999997</v>
      </c>
      <c r="HB37" s="166">
        <v>2.3723000000000001</v>
      </c>
      <c r="HC37" s="166">
        <v>10.0518</v>
      </c>
      <c r="HD37" s="166">
        <v>11.277100000000001</v>
      </c>
      <c r="HE37" s="166">
        <v>-8.8000000000000007</v>
      </c>
      <c r="HF37" s="166">
        <v>5.1402000000000001</v>
      </c>
      <c r="HG37" s="166">
        <v>12.530200000000001</v>
      </c>
      <c r="HH37" s="166">
        <v>27.156700000000001</v>
      </c>
      <c r="HI37" s="166">
        <v>59.631700000000002</v>
      </c>
      <c r="HJ37" s="167"/>
      <c r="HK37" s="166">
        <v>-3.7553999999999998</v>
      </c>
      <c r="HL37" s="167"/>
      <c r="HM37" s="166">
        <v>0</v>
      </c>
      <c r="HN37" s="166">
        <v>-11.7333</v>
      </c>
      <c r="HO37" s="166">
        <v>-14.6492</v>
      </c>
      <c r="HP37" s="167"/>
      <c r="HQ37" s="167"/>
      <c r="HR37" s="166">
        <v>-17.928599999999999</v>
      </c>
      <c r="HS37" s="166">
        <v>-17.423200000000001</v>
      </c>
      <c r="HT37" s="166">
        <v>-19.5212</v>
      </c>
      <c r="HU37" s="166">
        <v>-19.3414</v>
      </c>
      <c r="HV37" s="166">
        <v>29.46</v>
      </c>
      <c r="HW37" s="166">
        <v>29.62</v>
      </c>
      <c r="HX37" s="166">
        <v>-29</v>
      </c>
      <c r="HY37" s="166">
        <v>-29.1</v>
      </c>
      <c r="HZ37" s="166">
        <v>5.3999999999999999E-2</v>
      </c>
      <c r="IA37" s="166">
        <v>5.84</v>
      </c>
      <c r="IB37" s="166">
        <v>47.2988</v>
      </c>
      <c r="IC37" s="166">
        <v>32.314900000000002</v>
      </c>
      <c r="ID37" s="166">
        <v>32.662300000000002</v>
      </c>
      <c r="IE37" s="166">
        <v>-14.5</v>
      </c>
      <c r="IF37" s="166">
        <v>-41</v>
      </c>
      <c r="IG37" s="166">
        <v>0.9</v>
      </c>
      <c r="IH37" s="166">
        <v>0.4</v>
      </c>
      <c r="II37" s="167"/>
      <c r="IJ37" s="167"/>
      <c r="IK37" s="166">
        <v>-148.2466</v>
      </c>
      <c r="IL37" s="166">
        <v>14.6938</v>
      </c>
      <c r="IM37" s="166">
        <v>-244.30539999999999</v>
      </c>
      <c r="IN37" s="166">
        <v>-26.662400000000002</v>
      </c>
      <c r="IO37" s="166">
        <v>-39.427399999999999</v>
      </c>
      <c r="IP37" s="166">
        <v>70.197199999999995</v>
      </c>
      <c r="IQ37" s="166">
        <v>101.9539</v>
      </c>
      <c r="IR37" s="167"/>
      <c r="IS37" s="166">
        <v>89.370900000000006</v>
      </c>
      <c r="IT37" s="166">
        <v>-8.5815999999999999</v>
      </c>
      <c r="IU37" s="166">
        <v>24.472300000000001</v>
      </c>
      <c r="IV37" s="166">
        <v>23.143000000000001</v>
      </c>
      <c r="IW37" s="167"/>
      <c r="IX37" s="166">
        <v>123.0989</v>
      </c>
      <c r="IY37" s="166">
        <v>-199.94290000000001</v>
      </c>
      <c r="IZ37" s="166">
        <v>62.3367</v>
      </c>
      <c r="JA37" s="166">
        <v>-59.65</v>
      </c>
      <c r="JB37" s="166">
        <v>-1.3806</v>
      </c>
      <c r="JC37" s="166">
        <v>5.7619999999999996</v>
      </c>
      <c r="JD37" s="166">
        <v>-7.84</v>
      </c>
      <c r="JE37" s="166">
        <v>-2.13</v>
      </c>
      <c r="JF37" s="166">
        <v>-2.153</v>
      </c>
      <c r="JG37" s="166">
        <v>3.04</v>
      </c>
      <c r="JH37" s="166">
        <v>-3.84</v>
      </c>
      <c r="JI37" s="166">
        <v>-1.8072999999999999</v>
      </c>
      <c r="JJ37" s="166">
        <v>-2.1377999999999999</v>
      </c>
      <c r="JK37" s="166">
        <v>6.0075000000000003</v>
      </c>
      <c r="JL37" s="166">
        <v>-6.2668999999999997</v>
      </c>
      <c r="JM37" s="166">
        <v>-2.8</v>
      </c>
      <c r="JN37" s="166">
        <v>6.7439999999999998</v>
      </c>
      <c r="JO37" s="166">
        <v>7.1740000000000004</v>
      </c>
      <c r="JP37" s="167"/>
      <c r="JQ37" s="167"/>
      <c r="JR37" s="166">
        <v>3.2976000000000001</v>
      </c>
      <c r="JS37" s="166">
        <v>4.2037000000000004</v>
      </c>
      <c r="JT37" s="166">
        <v>4.1863000000000001</v>
      </c>
      <c r="JU37" s="167"/>
      <c r="JV37" s="166">
        <v>26</v>
      </c>
      <c r="JW37" s="166">
        <v>0.58099999999999996</v>
      </c>
      <c r="JX37" s="166">
        <v>1.66</v>
      </c>
      <c r="JY37" s="167"/>
      <c r="JZ37" s="166">
        <v>6.1757999999999997</v>
      </c>
      <c r="KA37" s="166">
        <v>-19.096599999999999</v>
      </c>
      <c r="KB37" s="166">
        <v>-26.074000000000002</v>
      </c>
      <c r="KC37" s="166">
        <v>7.8246000000000002</v>
      </c>
      <c r="KD37" s="166">
        <v>15.03</v>
      </c>
      <c r="KE37" s="166">
        <v>-21.499400000000001</v>
      </c>
      <c r="KF37" s="166">
        <v>5.6093000000000002</v>
      </c>
      <c r="KG37" s="166">
        <v>-20.7</v>
      </c>
      <c r="KH37" s="166">
        <v>2.9</v>
      </c>
      <c r="KI37" s="166">
        <v>15.910600000000001</v>
      </c>
      <c r="KJ37" s="166">
        <v>-62.240200000000002</v>
      </c>
    </row>
    <row r="38" spans="1:296" ht="18" customHeight="1" x14ac:dyDescent="0.3">
      <c r="A38" s="162" t="s">
        <v>67</v>
      </c>
      <c r="B38" s="162" t="s">
        <v>837</v>
      </c>
      <c r="C38" s="166">
        <v>0</v>
      </c>
      <c r="D38" s="167"/>
      <c r="E38" s="166">
        <v>3.3176999999999999</v>
      </c>
      <c r="F38" s="166">
        <v>-9.3851999999999993</v>
      </c>
      <c r="G38" s="166">
        <v>5.0773000000000001</v>
      </c>
      <c r="H38" s="166">
        <v>11.3879</v>
      </c>
      <c r="I38" s="167"/>
      <c r="J38" s="166">
        <v>12.7784</v>
      </c>
      <c r="K38" s="167"/>
      <c r="L38" s="166">
        <v>20.8918</v>
      </c>
      <c r="M38" s="166">
        <v>9.1287000000000003</v>
      </c>
      <c r="N38" s="166">
        <v>10.5527</v>
      </c>
      <c r="O38" s="166">
        <v>-11.1</v>
      </c>
      <c r="P38" s="167"/>
      <c r="Q38" s="166">
        <v>8.8000000000000007</v>
      </c>
      <c r="R38" s="166">
        <v>4.1399999999999997</v>
      </c>
      <c r="S38" s="166">
        <v>-19.8</v>
      </c>
      <c r="T38" s="166">
        <v>4.0622999999999996</v>
      </c>
      <c r="U38" s="166">
        <v>-11.127599999999999</v>
      </c>
      <c r="V38" s="167"/>
      <c r="W38" s="166">
        <v>9.5919000000000008</v>
      </c>
      <c r="X38" s="166">
        <v>16.150600000000001</v>
      </c>
      <c r="Y38" s="166">
        <v>1.7663</v>
      </c>
      <c r="Z38" s="166">
        <v>-0.48039999999999999</v>
      </c>
      <c r="AA38" s="166">
        <v>1.4265000000000001</v>
      </c>
      <c r="AB38" s="167"/>
      <c r="AC38" s="166">
        <v>-0.96860000000000002</v>
      </c>
      <c r="AD38" s="166">
        <v>0.112</v>
      </c>
      <c r="AE38" s="166">
        <v>0.108</v>
      </c>
      <c r="AF38" s="166">
        <v>3.0219999999999998</v>
      </c>
      <c r="AG38" s="166">
        <v>-8.8800000000000008</v>
      </c>
      <c r="AH38" s="167"/>
      <c r="AI38" s="166">
        <v>1.2909999999999999</v>
      </c>
      <c r="AJ38" s="166">
        <v>0.253</v>
      </c>
      <c r="AK38" s="166">
        <v>-8.9</v>
      </c>
      <c r="AL38" s="166">
        <v>-8.93</v>
      </c>
      <c r="AM38" s="167"/>
      <c r="AN38" s="166">
        <v>-9.01</v>
      </c>
      <c r="AO38" s="166">
        <v>-8.89</v>
      </c>
      <c r="AP38" s="166">
        <v>6.1379999999999999</v>
      </c>
      <c r="AQ38" s="166">
        <v>3.4944999999999999</v>
      </c>
      <c r="AR38" s="166">
        <v>22.4162</v>
      </c>
      <c r="AS38" s="166">
        <v>26.8613</v>
      </c>
      <c r="AT38" s="166">
        <v>-14.2355</v>
      </c>
      <c r="AU38" s="166">
        <v>-5.0152000000000001</v>
      </c>
      <c r="AV38" s="166">
        <v>-4.8258999999999999</v>
      </c>
      <c r="AW38" s="166">
        <v>17.754300000000001</v>
      </c>
      <c r="AX38" s="166">
        <v>16.0578</v>
      </c>
      <c r="AY38" s="166">
        <v>-16.883600000000001</v>
      </c>
      <c r="AZ38" s="166">
        <v>-14.600099999999999</v>
      </c>
      <c r="BA38" s="166">
        <v>23.535699999999999</v>
      </c>
      <c r="BB38" s="166">
        <v>28.618400000000001</v>
      </c>
      <c r="BC38" s="166">
        <v>100.9667</v>
      </c>
      <c r="BD38" s="166">
        <v>16.488900000000001</v>
      </c>
      <c r="BE38" s="166">
        <v>-6</v>
      </c>
      <c r="BF38" s="166">
        <v>-5.9</v>
      </c>
      <c r="BG38" s="166">
        <v>-21.558900000000001</v>
      </c>
      <c r="BH38" s="166">
        <v>-23.671600000000002</v>
      </c>
      <c r="BI38" s="166">
        <v>-3.3142999999999998</v>
      </c>
      <c r="BJ38" s="167"/>
      <c r="BK38" s="166">
        <v>13.622299999999999</v>
      </c>
      <c r="BL38" s="166">
        <v>7.4112999999999998</v>
      </c>
      <c r="BM38" s="167"/>
      <c r="BN38" s="166">
        <v>0.29949999999999999</v>
      </c>
      <c r="BO38" s="166">
        <v>-125.09529999999999</v>
      </c>
      <c r="BP38" s="166">
        <v>123.7525</v>
      </c>
      <c r="BQ38" s="166">
        <v>123.7525</v>
      </c>
      <c r="BR38" s="166">
        <v>-71.019499999999994</v>
      </c>
      <c r="BS38" s="166">
        <v>-34.062199999999997</v>
      </c>
      <c r="BT38" s="167"/>
      <c r="BU38" s="167"/>
      <c r="BV38" s="167"/>
      <c r="BW38" s="166">
        <v>46.624499999999998</v>
      </c>
      <c r="BX38" s="166">
        <v>21.9</v>
      </c>
      <c r="BY38" s="167"/>
      <c r="BZ38" s="166">
        <v>-3.89</v>
      </c>
      <c r="CA38" s="166">
        <v>7.84</v>
      </c>
      <c r="CB38" s="166">
        <v>-23.9741</v>
      </c>
      <c r="CC38" s="166">
        <v>-24.376000000000001</v>
      </c>
      <c r="CD38" s="166">
        <v>33.678899999999999</v>
      </c>
      <c r="CE38" s="166">
        <v>31.842500000000001</v>
      </c>
      <c r="CF38" s="166">
        <v>-8.1285000000000007</v>
      </c>
      <c r="CG38" s="166">
        <v>22.8049</v>
      </c>
      <c r="CH38" s="166">
        <v>22.6281</v>
      </c>
      <c r="CI38" s="166">
        <v>13.7385</v>
      </c>
      <c r="CJ38" s="167"/>
      <c r="CK38" s="166">
        <v>4.032</v>
      </c>
      <c r="CL38" s="166">
        <v>7.9989999999999997</v>
      </c>
      <c r="CM38" s="166">
        <v>-1.4</v>
      </c>
      <c r="CN38" s="166">
        <v>-2.4</v>
      </c>
      <c r="CO38" s="166">
        <v>-4.76</v>
      </c>
      <c r="CP38" s="166">
        <v>42.561900000000001</v>
      </c>
      <c r="CQ38" s="166">
        <v>42.128700000000002</v>
      </c>
      <c r="CR38" s="166">
        <v>39.848300000000002</v>
      </c>
      <c r="CS38" s="166">
        <v>58.962699999999998</v>
      </c>
      <c r="CT38" s="166">
        <v>60.473300000000002</v>
      </c>
      <c r="CU38" s="166">
        <v>-24.8964</v>
      </c>
      <c r="CV38" s="166">
        <v>-59.653399999999998</v>
      </c>
      <c r="CW38" s="166">
        <v>-18.895299999999999</v>
      </c>
      <c r="CX38" s="166">
        <v>4.3918999999999997</v>
      </c>
      <c r="CY38" s="166">
        <v>43.59</v>
      </c>
      <c r="CZ38" s="166">
        <v>18.29</v>
      </c>
      <c r="DA38" s="166">
        <v>15.629899999999999</v>
      </c>
      <c r="DB38" s="166">
        <v>14.6515</v>
      </c>
      <c r="DC38" s="166">
        <v>-13.8322</v>
      </c>
      <c r="DD38" s="167"/>
      <c r="DE38" s="167"/>
      <c r="DF38" s="167"/>
      <c r="DG38" s="166">
        <v>16.684000000000001</v>
      </c>
      <c r="DH38" s="167"/>
      <c r="DI38" s="167"/>
      <c r="DJ38" s="167"/>
      <c r="DK38" s="166">
        <v>-51</v>
      </c>
      <c r="DL38" s="166">
        <v>3.0169999999999999</v>
      </c>
      <c r="DM38" s="166">
        <v>20.100000000000001</v>
      </c>
      <c r="DN38" s="166">
        <v>19.420000000000002</v>
      </c>
      <c r="DO38" s="166">
        <v>25.34</v>
      </c>
      <c r="DP38" s="166">
        <v>13.82</v>
      </c>
      <c r="DQ38" s="166">
        <v>-4.8499999999999996</v>
      </c>
      <c r="DR38" s="166">
        <v>20.305</v>
      </c>
      <c r="DS38" s="166">
        <v>-17.3185</v>
      </c>
      <c r="DT38" s="166">
        <v>-9.9499999999999993</v>
      </c>
      <c r="DU38" s="166">
        <v>-10.07</v>
      </c>
      <c r="DV38" s="166">
        <v>30.75</v>
      </c>
      <c r="DW38" s="166">
        <v>-11.24</v>
      </c>
      <c r="DX38" s="166">
        <v>-18.600000000000001</v>
      </c>
      <c r="DY38" s="166">
        <v>-9.2727000000000004</v>
      </c>
      <c r="DZ38" s="167"/>
      <c r="EA38" s="166">
        <v>-44.872700000000002</v>
      </c>
      <c r="EB38" s="166">
        <v>52.336599999999997</v>
      </c>
      <c r="EC38" s="166">
        <v>19.340599999999998</v>
      </c>
      <c r="ED38" s="166">
        <v>8.7623999999999995</v>
      </c>
      <c r="EE38" s="166">
        <v>8.7883999999999993</v>
      </c>
      <c r="EF38" s="166">
        <v>-16.4862</v>
      </c>
      <c r="EG38" s="166">
        <v>-24.7074</v>
      </c>
      <c r="EH38" s="166">
        <v>-14.551</v>
      </c>
      <c r="EI38" s="166">
        <v>8.5573999999999995</v>
      </c>
      <c r="EJ38" s="166">
        <v>-69.265799999999999</v>
      </c>
      <c r="EK38" s="167"/>
      <c r="EL38" s="166">
        <v>-13.568899999999999</v>
      </c>
      <c r="EM38" s="166">
        <v>-12.8285</v>
      </c>
      <c r="EN38" s="167"/>
      <c r="EO38" s="166">
        <v>-7.3106999999999998</v>
      </c>
      <c r="EP38" s="166">
        <v>-7.7020999999999997</v>
      </c>
      <c r="EQ38" s="166">
        <v>-13.827999999999999</v>
      </c>
      <c r="ER38" s="166">
        <v>-19.747699999999998</v>
      </c>
      <c r="ES38" s="166">
        <v>-19.355699999999999</v>
      </c>
      <c r="ET38" s="166">
        <v>10.2813</v>
      </c>
      <c r="EU38" s="166">
        <v>0</v>
      </c>
      <c r="EV38" s="166">
        <v>-2.5</v>
      </c>
      <c r="EW38" s="166">
        <v>0.4</v>
      </c>
      <c r="EX38" s="166">
        <v>9.2074999999999996</v>
      </c>
      <c r="EY38" s="166">
        <v>-13.5898</v>
      </c>
      <c r="EZ38" s="166">
        <v>-10.0404</v>
      </c>
      <c r="FA38" s="166">
        <v>-9.8841000000000001</v>
      </c>
      <c r="FB38" s="166">
        <v>7.1056999999999997</v>
      </c>
      <c r="FC38" s="166">
        <v>9.0518999999999998</v>
      </c>
      <c r="FD38" s="166">
        <v>-21.7666</v>
      </c>
      <c r="FE38" s="166">
        <v>7.7786999999999997</v>
      </c>
      <c r="FF38" s="166">
        <v>0.77449999999999997</v>
      </c>
      <c r="FG38" s="167"/>
      <c r="FH38" s="166">
        <v>0</v>
      </c>
      <c r="FI38" s="166">
        <v>0</v>
      </c>
      <c r="FJ38" s="166">
        <v>0</v>
      </c>
      <c r="FK38" s="166">
        <v>14.5687</v>
      </c>
      <c r="FL38" s="166">
        <v>13.564</v>
      </c>
      <c r="FM38" s="166">
        <v>-16.578199999999999</v>
      </c>
      <c r="FN38" s="167"/>
      <c r="FO38" s="166">
        <v>30.443899999999999</v>
      </c>
      <c r="FP38" s="166">
        <v>-0.18529999999999999</v>
      </c>
      <c r="FQ38" s="166">
        <v>13.0206</v>
      </c>
      <c r="FR38" s="166">
        <v>24.029900000000001</v>
      </c>
      <c r="FS38" s="166">
        <v>-14.11</v>
      </c>
      <c r="FT38" s="167"/>
      <c r="FU38" s="166">
        <v>0.23549999999999999</v>
      </c>
      <c r="FV38" s="166">
        <v>-0.23</v>
      </c>
      <c r="FW38" s="166">
        <v>-0.86</v>
      </c>
      <c r="FX38" s="166">
        <v>-24.4496</v>
      </c>
      <c r="FY38" s="167"/>
      <c r="FZ38" s="166">
        <v>4.484</v>
      </c>
      <c r="GA38" s="166">
        <v>0.86799999999999999</v>
      </c>
      <c r="GB38" s="167"/>
      <c r="GC38" s="166">
        <v>11.48</v>
      </c>
      <c r="GD38" s="166">
        <v>-24.291</v>
      </c>
      <c r="GE38" s="166">
        <v>-15.848800000000001</v>
      </c>
      <c r="GF38" s="166">
        <v>-1.34</v>
      </c>
      <c r="GG38" s="166">
        <v>20.930199999999999</v>
      </c>
      <c r="GH38" s="167"/>
      <c r="GI38" s="166">
        <v>25.5182</v>
      </c>
      <c r="GJ38" s="166">
        <v>-8.8887</v>
      </c>
      <c r="GK38" s="166">
        <v>-9.6933000000000007</v>
      </c>
      <c r="GL38" s="166">
        <v>3.0598000000000001</v>
      </c>
      <c r="GM38" s="167"/>
      <c r="GN38" s="167"/>
      <c r="GO38" s="167"/>
      <c r="GP38" s="166">
        <v>79.807900000000004</v>
      </c>
      <c r="GQ38" s="166">
        <v>2.0451000000000001</v>
      </c>
      <c r="GR38" s="166">
        <v>-23.146999999999998</v>
      </c>
      <c r="GS38" s="166">
        <v>-7.0008999999999997</v>
      </c>
      <c r="GT38" s="166">
        <v>-7.0351999999999997</v>
      </c>
      <c r="GU38" s="166">
        <v>101.9358</v>
      </c>
      <c r="GV38" s="166">
        <v>-4.9846000000000004</v>
      </c>
      <c r="GW38" s="166">
        <v>-3.9542000000000002</v>
      </c>
      <c r="GX38" s="166">
        <v>-16.361699999999999</v>
      </c>
      <c r="GY38" s="166">
        <v>4.0039999999999996</v>
      </c>
      <c r="GZ38" s="166">
        <v>7.7656999999999998</v>
      </c>
      <c r="HA38" s="166">
        <v>7.8559999999999999</v>
      </c>
      <c r="HB38" s="166">
        <v>3.3359999999999999</v>
      </c>
      <c r="HC38" s="166">
        <v>10.227600000000001</v>
      </c>
      <c r="HD38" s="166">
        <v>11.401199999999999</v>
      </c>
      <c r="HE38" s="166">
        <v>-7.96</v>
      </c>
      <c r="HF38" s="166">
        <v>4.2323000000000004</v>
      </c>
      <c r="HG38" s="166">
        <v>10.3384</v>
      </c>
      <c r="HH38" s="166">
        <v>27.982800000000001</v>
      </c>
      <c r="HI38" s="166">
        <v>60.238799999999998</v>
      </c>
      <c r="HJ38" s="167"/>
      <c r="HK38" s="166">
        <v>-3.3388</v>
      </c>
      <c r="HL38" s="167"/>
      <c r="HM38" s="166">
        <v>0</v>
      </c>
      <c r="HN38" s="166">
        <v>0</v>
      </c>
      <c r="HO38" s="166">
        <v>0</v>
      </c>
      <c r="HP38" s="167"/>
      <c r="HQ38" s="166">
        <v>3.6943000000000001</v>
      </c>
      <c r="HR38" s="166">
        <v>-17.285900000000002</v>
      </c>
      <c r="HS38" s="166">
        <v>-17.0442</v>
      </c>
      <c r="HT38" s="166">
        <v>-18.906600000000001</v>
      </c>
      <c r="HU38" s="166">
        <v>-18.940000000000001</v>
      </c>
      <c r="HV38" s="166">
        <v>28.48</v>
      </c>
      <c r="HW38" s="166">
        <v>28.91</v>
      </c>
      <c r="HX38" s="166">
        <v>-29.3</v>
      </c>
      <c r="HY38" s="166">
        <v>-29.5</v>
      </c>
      <c r="HZ38" s="166">
        <v>0.35249999999999998</v>
      </c>
      <c r="IA38" s="166">
        <v>6.08</v>
      </c>
      <c r="IB38" s="166">
        <v>47.783799999999999</v>
      </c>
      <c r="IC38" s="166">
        <v>33.0411</v>
      </c>
      <c r="ID38" s="166">
        <v>32.935200000000002</v>
      </c>
      <c r="IE38" s="166">
        <v>-14.4</v>
      </c>
      <c r="IF38" s="166">
        <v>-41</v>
      </c>
      <c r="IG38" s="166">
        <v>0.9</v>
      </c>
      <c r="IH38" s="166">
        <v>0.4</v>
      </c>
      <c r="II38" s="167"/>
      <c r="IJ38" s="167"/>
      <c r="IK38" s="166">
        <v>-147.00550000000001</v>
      </c>
      <c r="IL38" s="166">
        <v>18.2636</v>
      </c>
      <c r="IM38" s="166">
        <v>-246.81649999999999</v>
      </c>
      <c r="IN38" s="166">
        <v>-27.545100000000001</v>
      </c>
      <c r="IO38" s="166">
        <v>-38.5274</v>
      </c>
      <c r="IP38" s="166">
        <v>70.362399999999994</v>
      </c>
      <c r="IQ38" s="166">
        <v>98.638400000000004</v>
      </c>
      <c r="IR38" s="167"/>
      <c r="IS38" s="166">
        <v>90.320800000000006</v>
      </c>
      <c r="IT38" s="166">
        <v>-2.0613000000000001</v>
      </c>
      <c r="IU38" s="166">
        <v>26.601299999999998</v>
      </c>
      <c r="IV38" s="166">
        <v>22.517499999999998</v>
      </c>
      <c r="IW38" s="167"/>
      <c r="IX38" s="166">
        <v>128.57300000000001</v>
      </c>
      <c r="IY38" s="166">
        <v>-202.7713</v>
      </c>
      <c r="IZ38" s="166">
        <v>64.900000000000006</v>
      </c>
      <c r="JA38" s="166">
        <v>-62.664999999999999</v>
      </c>
      <c r="JB38" s="166">
        <v>-1.4295</v>
      </c>
      <c r="JC38" s="166">
        <v>6.9509999999999996</v>
      </c>
      <c r="JD38" s="166">
        <v>-7.92</v>
      </c>
      <c r="JE38" s="166">
        <v>-2.1160000000000001</v>
      </c>
      <c r="JF38" s="166">
        <v>-2.1219999999999999</v>
      </c>
      <c r="JG38" s="166">
        <v>3.52</v>
      </c>
      <c r="JH38" s="166">
        <v>-3.28</v>
      </c>
      <c r="JI38" s="166">
        <v>-2.0497999999999998</v>
      </c>
      <c r="JJ38" s="166">
        <v>-2.4582000000000002</v>
      </c>
      <c r="JK38" s="166">
        <v>6.2698999999999998</v>
      </c>
      <c r="JL38" s="166">
        <v>-6.6788999999999996</v>
      </c>
      <c r="JM38" s="166">
        <v>-2.5</v>
      </c>
      <c r="JN38" s="166">
        <v>7.5780000000000003</v>
      </c>
      <c r="JO38" s="166">
        <v>7.4169999999999998</v>
      </c>
      <c r="JP38" s="167"/>
      <c r="JQ38" s="167"/>
      <c r="JR38" s="166">
        <v>3.7012999999999998</v>
      </c>
      <c r="JS38" s="166">
        <v>3.8342999999999998</v>
      </c>
      <c r="JT38" s="166">
        <v>3.7168999999999999</v>
      </c>
      <c r="JU38" s="167"/>
      <c r="JV38" s="166">
        <v>26.2</v>
      </c>
      <c r="JW38" s="166">
        <v>-1.4291</v>
      </c>
      <c r="JX38" s="166">
        <v>1.48</v>
      </c>
      <c r="JY38" s="167"/>
      <c r="JZ38" s="166">
        <v>5.1326999999999998</v>
      </c>
      <c r="KA38" s="166">
        <v>-18.491399999999999</v>
      </c>
      <c r="KB38" s="166">
        <v>-25.037099999999999</v>
      </c>
      <c r="KC38" s="166">
        <v>6.6535000000000002</v>
      </c>
      <c r="KD38" s="166">
        <v>14.0722</v>
      </c>
      <c r="KE38" s="166">
        <v>-19.667400000000001</v>
      </c>
      <c r="KF38" s="166">
        <v>4.8270999999999997</v>
      </c>
      <c r="KG38" s="166">
        <v>-21.1</v>
      </c>
      <c r="KH38" s="166">
        <v>3.4</v>
      </c>
      <c r="KI38" s="166">
        <v>11.576499999999999</v>
      </c>
      <c r="KJ38" s="166">
        <v>-61.207900000000002</v>
      </c>
    </row>
    <row r="39" spans="1:296" ht="18" customHeight="1" x14ac:dyDescent="0.3">
      <c r="A39" s="162" t="s">
        <v>67</v>
      </c>
      <c r="B39" s="162" t="s">
        <v>838</v>
      </c>
      <c r="C39" s="166">
        <v>0</v>
      </c>
      <c r="D39" s="167"/>
      <c r="E39" s="166">
        <v>3.3035999999999999</v>
      </c>
      <c r="F39" s="166">
        <v>-9.1879000000000008</v>
      </c>
      <c r="G39" s="166">
        <v>4.7976000000000001</v>
      </c>
      <c r="H39" s="166">
        <v>11.7546</v>
      </c>
      <c r="I39" s="167"/>
      <c r="J39" s="166">
        <v>12.918900000000001</v>
      </c>
      <c r="K39" s="167"/>
      <c r="L39" s="166">
        <v>20.660699999999999</v>
      </c>
      <c r="M39" s="166">
        <v>9.1187000000000005</v>
      </c>
      <c r="N39" s="166">
        <v>10.5037</v>
      </c>
      <c r="O39" s="167"/>
      <c r="P39" s="166">
        <v>-33</v>
      </c>
      <c r="Q39" s="166">
        <v>8.8000000000000007</v>
      </c>
      <c r="R39" s="166">
        <v>4.1399999999999997</v>
      </c>
      <c r="S39" s="166">
        <v>-22</v>
      </c>
      <c r="T39" s="166">
        <v>4.0785999999999998</v>
      </c>
      <c r="U39" s="166">
        <v>-10.9267</v>
      </c>
      <c r="V39" s="167"/>
      <c r="W39" s="166">
        <v>9.8009000000000004</v>
      </c>
      <c r="X39" s="166">
        <v>16.625</v>
      </c>
      <c r="Y39" s="166">
        <v>1.7196</v>
      </c>
      <c r="Z39" s="166">
        <v>-0.51959999999999995</v>
      </c>
      <c r="AA39" s="166">
        <v>1.4825999999999999</v>
      </c>
      <c r="AB39" s="167"/>
      <c r="AC39" s="166">
        <v>-0.8246</v>
      </c>
      <c r="AD39" s="166">
        <v>6.2E-2</v>
      </c>
      <c r="AE39" s="166">
        <v>0.111</v>
      </c>
      <c r="AF39" s="166">
        <v>1.9850000000000001</v>
      </c>
      <c r="AG39" s="167"/>
      <c r="AH39" s="166">
        <v>2.2000000000000002</v>
      </c>
      <c r="AI39" s="166">
        <v>-0.104</v>
      </c>
      <c r="AJ39" s="166">
        <v>0.26100000000000001</v>
      </c>
      <c r="AK39" s="166">
        <v>-8.92</v>
      </c>
      <c r="AL39" s="166">
        <v>-8.9499999999999993</v>
      </c>
      <c r="AM39" s="167"/>
      <c r="AN39" s="166">
        <v>-9.31</v>
      </c>
      <c r="AO39" s="166">
        <v>-9.17</v>
      </c>
      <c r="AP39" s="166">
        <v>6.7572999999999999</v>
      </c>
      <c r="AQ39" s="166">
        <v>3.2919</v>
      </c>
      <c r="AR39" s="166">
        <v>22.834800000000001</v>
      </c>
      <c r="AS39" s="166">
        <v>27.2089</v>
      </c>
      <c r="AT39" s="166">
        <v>-15.3331</v>
      </c>
      <c r="AU39" s="166">
        <v>-9.6836000000000002</v>
      </c>
      <c r="AV39" s="166">
        <v>-8.7338000000000005</v>
      </c>
      <c r="AW39" s="166">
        <v>16.3935</v>
      </c>
      <c r="AX39" s="166">
        <v>19.663</v>
      </c>
      <c r="AY39" s="166">
        <v>-16.7165</v>
      </c>
      <c r="AZ39" s="166">
        <v>-12.8499</v>
      </c>
      <c r="BA39" s="166">
        <v>19.514700000000001</v>
      </c>
      <c r="BB39" s="166">
        <v>19.0413</v>
      </c>
      <c r="BC39" s="166">
        <v>111.7282</v>
      </c>
      <c r="BD39" s="166">
        <v>16.883700000000001</v>
      </c>
      <c r="BE39" s="166">
        <v>-6.2</v>
      </c>
      <c r="BF39" s="166">
        <v>-6.2</v>
      </c>
      <c r="BG39" s="166">
        <v>-23.247900000000001</v>
      </c>
      <c r="BH39" s="166">
        <v>-21.5504</v>
      </c>
      <c r="BI39" s="166">
        <v>-3.5057999999999998</v>
      </c>
      <c r="BJ39" s="167"/>
      <c r="BK39" s="166">
        <v>10.489599999999999</v>
      </c>
      <c r="BL39" s="166">
        <v>9.5329999999999995</v>
      </c>
      <c r="BM39" s="167"/>
      <c r="BN39" s="166">
        <v>0</v>
      </c>
      <c r="BO39" s="166">
        <v>-123.59990000000001</v>
      </c>
      <c r="BP39" s="166">
        <v>121.95189999999999</v>
      </c>
      <c r="BQ39" s="166">
        <v>121.82980000000001</v>
      </c>
      <c r="BR39" s="166">
        <v>-88.382300000000001</v>
      </c>
      <c r="BS39" s="166">
        <v>-35.276200000000003</v>
      </c>
      <c r="BT39" s="167"/>
      <c r="BU39" s="167"/>
      <c r="BV39" s="167"/>
      <c r="BW39" s="166">
        <v>45.7562</v>
      </c>
      <c r="BX39" s="166">
        <v>20.61</v>
      </c>
      <c r="BY39" s="167"/>
      <c r="BZ39" s="166">
        <v>-3.95</v>
      </c>
      <c r="CA39" s="166">
        <v>8.1</v>
      </c>
      <c r="CB39" s="166">
        <v>-22.9025</v>
      </c>
      <c r="CC39" s="166">
        <v>-23.0364</v>
      </c>
      <c r="CD39" s="166">
        <v>33.9099</v>
      </c>
      <c r="CE39" s="166">
        <v>32.166200000000003</v>
      </c>
      <c r="CF39" s="166">
        <v>-7.5818000000000003</v>
      </c>
      <c r="CG39" s="166">
        <v>30.248799999999999</v>
      </c>
      <c r="CH39" s="166">
        <v>29.802499999999998</v>
      </c>
      <c r="CI39" s="166">
        <v>10.313800000000001</v>
      </c>
      <c r="CJ39" s="167"/>
      <c r="CK39" s="166">
        <v>3.8355999999999999</v>
      </c>
      <c r="CL39" s="166">
        <v>7.7750000000000004</v>
      </c>
      <c r="CM39" s="166">
        <v>-1</v>
      </c>
      <c r="CN39" s="166">
        <v>-2</v>
      </c>
      <c r="CO39" s="166">
        <v>-4.88</v>
      </c>
      <c r="CP39" s="166">
        <v>46.555300000000003</v>
      </c>
      <c r="CQ39" s="166">
        <v>46.354500000000002</v>
      </c>
      <c r="CR39" s="166">
        <v>43.6387</v>
      </c>
      <c r="CS39" s="166">
        <v>59.765000000000001</v>
      </c>
      <c r="CT39" s="166">
        <v>60.689</v>
      </c>
      <c r="CU39" s="166">
        <v>-32.0441</v>
      </c>
      <c r="CV39" s="166">
        <v>-52.871000000000002</v>
      </c>
      <c r="CW39" s="166">
        <v>-25.835100000000001</v>
      </c>
      <c r="CX39" s="166">
        <v>4.2233000000000001</v>
      </c>
      <c r="CY39" s="166">
        <v>44.01</v>
      </c>
      <c r="CZ39" s="166">
        <v>18.25</v>
      </c>
      <c r="DA39" s="166">
        <v>15.942399999999999</v>
      </c>
      <c r="DB39" s="166">
        <v>14.7491</v>
      </c>
      <c r="DC39" s="166">
        <v>-13.805400000000001</v>
      </c>
      <c r="DD39" s="167"/>
      <c r="DE39" s="167"/>
      <c r="DF39" s="167"/>
      <c r="DG39" s="166">
        <v>14.285299999999999</v>
      </c>
      <c r="DH39" s="167"/>
      <c r="DI39" s="167"/>
      <c r="DJ39" s="166">
        <v>-51.2</v>
      </c>
      <c r="DK39" s="166">
        <v>-50.8</v>
      </c>
      <c r="DL39" s="166">
        <v>3.0011000000000001</v>
      </c>
      <c r="DM39" s="166">
        <v>19.7</v>
      </c>
      <c r="DN39" s="166">
        <v>18.38</v>
      </c>
      <c r="DO39" s="166">
        <v>24.74</v>
      </c>
      <c r="DP39" s="166">
        <v>13.31</v>
      </c>
      <c r="DQ39" s="166">
        <v>-4.63</v>
      </c>
      <c r="DR39" s="166">
        <v>19.189</v>
      </c>
      <c r="DS39" s="166">
        <v>-15.3284</v>
      </c>
      <c r="DT39" s="166">
        <v>-9.85</v>
      </c>
      <c r="DU39" s="166">
        <v>-10.09</v>
      </c>
      <c r="DV39" s="166">
        <v>30.87</v>
      </c>
      <c r="DW39" s="166">
        <v>-10.52</v>
      </c>
      <c r="DX39" s="166">
        <v>-14.927300000000001</v>
      </c>
      <c r="DY39" s="166">
        <v>-7.6818</v>
      </c>
      <c r="DZ39" s="167"/>
      <c r="EA39" s="166">
        <v>-42.381799999999998</v>
      </c>
      <c r="EB39" s="166">
        <v>55.4527</v>
      </c>
      <c r="EC39" s="166">
        <v>23.095600000000001</v>
      </c>
      <c r="ED39" s="166">
        <v>11.059900000000001</v>
      </c>
      <c r="EE39" s="166">
        <v>11.6983</v>
      </c>
      <c r="EF39" s="166">
        <v>-14.1904</v>
      </c>
      <c r="EG39" s="166">
        <v>-23.237500000000001</v>
      </c>
      <c r="EH39" s="166">
        <v>-13.84</v>
      </c>
      <c r="EI39" s="166">
        <v>28.474599999999999</v>
      </c>
      <c r="EJ39" s="166">
        <v>-66.616100000000003</v>
      </c>
      <c r="EK39" s="167"/>
      <c r="EL39" s="166">
        <v>-13.3034</v>
      </c>
      <c r="EM39" s="166">
        <v>-13.236000000000001</v>
      </c>
      <c r="EN39" s="167"/>
      <c r="EO39" s="166">
        <v>-7.7149000000000001</v>
      </c>
      <c r="EP39" s="166">
        <v>-7.8917000000000002</v>
      </c>
      <c r="EQ39" s="166">
        <v>-6.1479999999999997</v>
      </c>
      <c r="ER39" s="166">
        <v>-18.910699999999999</v>
      </c>
      <c r="ES39" s="166">
        <v>-19.021999999999998</v>
      </c>
      <c r="ET39" s="166">
        <v>6.9154</v>
      </c>
      <c r="EU39" s="166">
        <v>6.4</v>
      </c>
      <c r="EV39" s="166">
        <v>-5.13</v>
      </c>
      <c r="EW39" s="166">
        <v>3.6</v>
      </c>
      <c r="EX39" s="166">
        <v>9.1341000000000001</v>
      </c>
      <c r="EY39" s="166">
        <v>-15.0098</v>
      </c>
      <c r="EZ39" s="166">
        <v>-10.168699999999999</v>
      </c>
      <c r="FA39" s="166">
        <v>-10.098100000000001</v>
      </c>
      <c r="FB39" s="166">
        <v>7.7088000000000001</v>
      </c>
      <c r="FC39" s="166">
        <v>6.6204999999999998</v>
      </c>
      <c r="FD39" s="166">
        <v>-22.692900000000002</v>
      </c>
      <c r="FE39" s="166">
        <v>7.8072999999999997</v>
      </c>
      <c r="FF39" s="166">
        <v>0.57410000000000005</v>
      </c>
      <c r="FG39" s="167"/>
      <c r="FH39" s="166">
        <v>0</v>
      </c>
      <c r="FI39" s="166">
        <v>0</v>
      </c>
      <c r="FJ39" s="167"/>
      <c r="FK39" s="166">
        <v>14.903600000000001</v>
      </c>
      <c r="FL39" s="166">
        <v>14.5687</v>
      </c>
      <c r="FM39" s="166">
        <v>-19.759799999999998</v>
      </c>
      <c r="FN39" s="167"/>
      <c r="FO39" s="166">
        <v>28.587</v>
      </c>
      <c r="FP39" s="166">
        <v>-4.2990000000000004</v>
      </c>
      <c r="FQ39" s="166">
        <v>0</v>
      </c>
      <c r="FR39" s="166">
        <v>24.4938</v>
      </c>
      <c r="FS39" s="166">
        <v>-14.57</v>
      </c>
      <c r="FT39" s="167"/>
      <c r="FU39" s="166">
        <v>0.16500000000000001</v>
      </c>
      <c r="FV39" s="166">
        <v>-0.25</v>
      </c>
      <c r="FW39" s="166">
        <v>-1.06</v>
      </c>
      <c r="FX39" s="166">
        <v>-24.506499999999999</v>
      </c>
      <c r="FY39" s="167"/>
      <c r="FZ39" s="166">
        <v>4.3959999999999999</v>
      </c>
      <c r="GA39" s="166">
        <v>1.03</v>
      </c>
      <c r="GB39" s="167"/>
      <c r="GC39" s="166">
        <v>11.06</v>
      </c>
      <c r="GD39" s="166">
        <v>-21.229199999999999</v>
      </c>
      <c r="GE39" s="166">
        <v>-12.470499999999999</v>
      </c>
      <c r="GF39" s="166">
        <v>-1.37</v>
      </c>
      <c r="GG39" s="166">
        <v>20.624400000000001</v>
      </c>
      <c r="GH39" s="167"/>
      <c r="GI39" s="166">
        <v>25.819099999999999</v>
      </c>
      <c r="GJ39" s="166">
        <v>-9.0725999999999996</v>
      </c>
      <c r="GK39" s="166">
        <v>-9.8385999999999996</v>
      </c>
      <c r="GL39" s="166">
        <v>3.0905</v>
      </c>
      <c r="GM39" s="167"/>
      <c r="GN39" s="167"/>
      <c r="GO39" s="166">
        <v>-12.584199999999999</v>
      </c>
      <c r="GP39" s="166">
        <v>80.014099999999999</v>
      </c>
      <c r="GQ39" s="166">
        <v>1.4575</v>
      </c>
      <c r="GR39" s="166">
        <v>-23.5227</v>
      </c>
      <c r="GS39" s="166">
        <v>-7.2408000000000001</v>
      </c>
      <c r="GT39" s="166">
        <v>-7.1620999999999997</v>
      </c>
      <c r="GU39" s="166">
        <v>111.4721</v>
      </c>
      <c r="GV39" s="166">
        <v>-4.7990000000000004</v>
      </c>
      <c r="GW39" s="166">
        <v>-4.2762000000000002</v>
      </c>
      <c r="GX39" s="166">
        <v>-16.424299999999999</v>
      </c>
      <c r="GY39" s="166">
        <v>2.992</v>
      </c>
      <c r="GZ39" s="166">
        <v>7.7877000000000001</v>
      </c>
      <c r="HA39" s="166">
        <v>7.9192999999999998</v>
      </c>
      <c r="HB39" s="166">
        <v>2.3065000000000002</v>
      </c>
      <c r="HC39" s="166">
        <v>9.4786000000000001</v>
      </c>
      <c r="HD39" s="166">
        <v>10.691599999999999</v>
      </c>
      <c r="HE39" s="166">
        <v>-7.12</v>
      </c>
      <c r="HF39" s="166">
        <v>8.8628</v>
      </c>
      <c r="HG39" s="166">
        <v>23.601700000000001</v>
      </c>
      <c r="HH39" s="166">
        <v>33.448500000000003</v>
      </c>
      <c r="HI39" s="166">
        <v>48.753399999999999</v>
      </c>
      <c r="HJ39" s="167"/>
      <c r="HK39" s="166">
        <v>-1.5896999999999999</v>
      </c>
      <c r="HL39" s="167"/>
      <c r="HM39" s="166">
        <v>0</v>
      </c>
      <c r="HN39" s="166">
        <v>-10.132300000000001</v>
      </c>
      <c r="HO39" s="166">
        <v>-12.0106</v>
      </c>
      <c r="HP39" s="167"/>
      <c r="HQ39" s="167"/>
      <c r="HR39" s="166">
        <v>-17.2255</v>
      </c>
      <c r="HS39" s="166">
        <v>-16.632200000000001</v>
      </c>
      <c r="HT39" s="166">
        <v>-17.986999999999998</v>
      </c>
      <c r="HU39" s="166">
        <v>-17.668399999999998</v>
      </c>
      <c r="HV39" s="166">
        <v>28.15</v>
      </c>
      <c r="HW39" s="166">
        <v>28.39</v>
      </c>
      <c r="HX39" s="166">
        <v>-28.2</v>
      </c>
      <c r="HY39" s="166">
        <v>-28.9</v>
      </c>
      <c r="HZ39" s="166">
        <v>0.19500000000000001</v>
      </c>
      <c r="IA39" s="166">
        <v>4.08</v>
      </c>
      <c r="IB39" s="166">
        <v>45.905799999999999</v>
      </c>
      <c r="IC39" s="166">
        <v>32.479599999999998</v>
      </c>
      <c r="ID39" s="166">
        <v>32.4041</v>
      </c>
      <c r="IE39" s="166">
        <v>-14.4</v>
      </c>
      <c r="IF39" s="166">
        <v>-40.1</v>
      </c>
      <c r="IG39" s="166">
        <v>1.3</v>
      </c>
      <c r="IH39" s="166">
        <v>0.7</v>
      </c>
      <c r="II39" s="166">
        <v>-17.7239</v>
      </c>
      <c r="IJ39" s="166">
        <v>-17.663</v>
      </c>
      <c r="IK39" s="166">
        <v>-137.01740000000001</v>
      </c>
      <c r="IL39" s="166">
        <v>13.391999999999999</v>
      </c>
      <c r="IM39" s="166">
        <v>-247.2587</v>
      </c>
      <c r="IN39" s="166">
        <v>-33.546300000000002</v>
      </c>
      <c r="IO39" s="166">
        <v>-37.895899999999997</v>
      </c>
      <c r="IP39" s="166">
        <v>76.938800000000001</v>
      </c>
      <c r="IQ39" s="166">
        <v>92.117099999999994</v>
      </c>
      <c r="IR39" s="167"/>
      <c r="IS39" s="166">
        <v>93.123500000000007</v>
      </c>
      <c r="IT39" s="166">
        <v>-3.1589999999999998</v>
      </c>
      <c r="IU39" s="166">
        <v>28.258199999999999</v>
      </c>
      <c r="IV39" s="166">
        <v>27.19</v>
      </c>
      <c r="IW39" s="167"/>
      <c r="IX39" s="166">
        <v>135.6575</v>
      </c>
      <c r="IY39" s="166">
        <v>-204.5635</v>
      </c>
      <c r="IZ39" s="166">
        <v>69.452100000000002</v>
      </c>
      <c r="JA39" s="166">
        <v>-66.924800000000005</v>
      </c>
      <c r="JB39" s="166">
        <v>-1.8273999999999999</v>
      </c>
      <c r="JC39" s="166">
        <v>3.1080000000000001</v>
      </c>
      <c r="JD39" s="166">
        <v>-6.8</v>
      </c>
      <c r="JE39" s="166">
        <v>-2.169</v>
      </c>
      <c r="JF39" s="166">
        <v>-2.1739999999999999</v>
      </c>
      <c r="JG39" s="166">
        <v>2.56</v>
      </c>
      <c r="JH39" s="166">
        <v>-2.56</v>
      </c>
      <c r="JI39" s="166">
        <v>-1.5194000000000001</v>
      </c>
      <c r="JJ39" s="166">
        <v>-3.3096999999999999</v>
      </c>
      <c r="JK39" s="166">
        <v>6.2119</v>
      </c>
      <c r="JL39" s="166">
        <v>-5.2720000000000002</v>
      </c>
      <c r="JM39" s="166">
        <v>-3.3</v>
      </c>
      <c r="JN39" s="166">
        <v>5.8029999999999999</v>
      </c>
      <c r="JO39" s="166">
        <v>7.0469999999999997</v>
      </c>
      <c r="JP39" s="166">
        <v>1.6424000000000001</v>
      </c>
      <c r="JQ39" s="167"/>
      <c r="JR39" s="166">
        <v>3.6307999999999998</v>
      </c>
      <c r="JS39" s="166">
        <v>4.5914999999999999</v>
      </c>
      <c r="JT39" s="166">
        <v>4.0957999999999997</v>
      </c>
      <c r="JU39" s="167"/>
      <c r="JV39" s="166">
        <v>24.7</v>
      </c>
      <c r="JW39" s="166">
        <v>-1.8041</v>
      </c>
      <c r="JX39" s="166">
        <v>1.35</v>
      </c>
      <c r="JY39" s="167"/>
      <c r="JZ39" s="166">
        <v>3.8260999999999998</v>
      </c>
      <c r="KA39" s="166">
        <v>-18.9132</v>
      </c>
      <c r="KB39" s="166">
        <v>-24.605399999999999</v>
      </c>
      <c r="KC39" s="166">
        <v>5.9828999999999999</v>
      </c>
      <c r="KD39" s="166">
        <v>14.4712</v>
      </c>
      <c r="KE39" s="166">
        <v>-20.402699999999999</v>
      </c>
      <c r="KF39" s="166">
        <v>5.0658000000000003</v>
      </c>
      <c r="KG39" s="166">
        <v>-19.399999999999999</v>
      </c>
      <c r="KH39" s="166">
        <v>1.7</v>
      </c>
      <c r="KI39" s="166">
        <v>25.378799999999998</v>
      </c>
      <c r="KJ39" s="166">
        <v>-61.451900000000002</v>
      </c>
    </row>
    <row r="40" spans="1:296" ht="18" customHeight="1" x14ac:dyDescent="0.3">
      <c r="A40" s="162" t="s">
        <v>67</v>
      </c>
      <c r="B40" s="162" t="s">
        <v>839</v>
      </c>
      <c r="C40" s="169">
        <v>0</v>
      </c>
      <c r="D40" s="170"/>
      <c r="E40" s="169">
        <v>3.3195999999999999</v>
      </c>
      <c r="F40" s="169">
        <v>-9.2515999999999998</v>
      </c>
      <c r="G40" s="169">
        <v>5.4832000000000001</v>
      </c>
      <c r="H40" s="169">
        <v>11.613</v>
      </c>
      <c r="I40" s="170"/>
      <c r="J40" s="169">
        <v>12.874499999999999</v>
      </c>
      <c r="K40" s="170"/>
      <c r="L40" s="169">
        <v>21.965299999999999</v>
      </c>
      <c r="M40" s="169">
        <v>9.7317</v>
      </c>
      <c r="N40" s="169">
        <v>10.673299999999999</v>
      </c>
      <c r="O40" s="169">
        <v>-8.8800000000000008</v>
      </c>
      <c r="P40" s="169">
        <v>-30.8</v>
      </c>
      <c r="Q40" s="169">
        <v>6.6</v>
      </c>
      <c r="R40" s="169">
        <v>4.1399999999999997</v>
      </c>
      <c r="S40" s="169">
        <v>-19.8</v>
      </c>
      <c r="T40" s="169">
        <v>3.7023000000000001</v>
      </c>
      <c r="U40" s="169">
        <v>-10.8268</v>
      </c>
      <c r="V40" s="169">
        <v>6.4154</v>
      </c>
      <c r="W40" s="169">
        <v>6.3502999999999998</v>
      </c>
      <c r="X40" s="169">
        <v>11.091200000000001</v>
      </c>
      <c r="Y40" s="169">
        <v>1.6235999999999999</v>
      </c>
      <c r="Z40" s="169">
        <v>-0.36</v>
      </c>
      <c r="AA40" s="169">
        <v>1.4710000000000001</v>
      </c>
      <c r="AB40" s="170"/>
      <c r="AC40" s="169">
        <v>-0.81430000000000002</v>
      </c>
      <c r="AD40" s="169">
        <v>0.157</v>
      </c>
      <c r="AE40" s="169">
        <v>0.186</v>
      </c>
      <c r="AF40" s="169">
        <v>2.3050000000000002</v>
      </c>
      <c r="AG40" s="169">
        <v>-11.1</v>
      </c>
      <c r="AH40" s="169">
        <v>0</v>
      </c>
      <c r="AI40" s="169">
        <v>1E-3</v>
      </c>
      <c r="AJ40" s="169">
        <v>0.26</v>
      </c>
      <c r="AK40" s="169">
        <v>-8.67</v>
      </c>
      <c r="AL40" s="169">
        <v>-8.61</v>
      </c>
      <c r="AM40" s="170"/>
      <c r="AN40" s="169">
        <v>-9.25</v>
      </c>
      <c r="AO40" s="169">
        <v>-9.4</v>
      </c>
      <c r="AP40" s="169">
        <v>7.1097999999999999</v>
      </c>
      <c r="AQ40" s="169">
        <v>3.3338000000000001</v>
      </c>
      <c r="AR40" s="169">
        <v>20.606200000000001</v>
      </c>
      <c r="AS40" s="169">
        <v>24.6737</v>
      </c>
      <c r="AT40" s="169">
        <v>-16.404199999999999</v>
      </c>
      <c r="AU40" s="169">
        <v>-7.7568999999999999</v>
      </c>
      <c r="AV40" s="169">
        <v>-7.2023000000000001</v>
      </c>
      <c r="AW40" s="169">
        <v>18.512599999999999</v>
      </c>
      <c r="AX40" s="169">
        <v>16.100300000000001</v>
      </c>
      <c r="AY40" s="169">
        <v>-19.545300000000001</v>
      </c>
      <c r="AZ40" s="169">
        <v>-16.5901</v>
      </c>
      <c r="BA40" s="169">
        <v>19.581199999999999</v>
      </c>
      <c r="BB40" s="169">
        <v>36.349400000000003</v>
      </c>
      <c r="BC40" s="169">
        <v>108.2319</v>
      </c>
      <c r="BD40" s="169">
        <v>17.0547</v>
      </c>
      <c r="BE40" s="169">
        <v>-5.9</v>
      </c>
      <c r="BF40" s="169">
        <v>-5.8</v>
      </c>
      <c r="BG40" s="169">
        <v>-21.683700000000002</v>
      </c>
      <c r="BH40" s="169">
        <v>-20.689499999999999</v>
      </c>
      <c r="BI40" s="169">
        <v>-3.5705</v>
      </c>
      <c r="BJ40" s="170"/>
      <c r="BK40" s="169">
        <v>10.890499999999999</v>
      </c>
      <c r="BL40" s="169">
        <v>9.4274000000000004</v>
      </c>
      <c r="BM40" s="170"/>
      <c r="BN40" s="169">
        <v>0.34610000000000002</v>
      </c>
      <c r="BO40" s="169">
        <v>-127.0485</v>
      </c>
      <c r="BP40" s="169">
        <v>122.3792</v>
      </c>
      <c r="BQ40" s="169">
        <v>123.1422</v>
      </c>
      <c r="BR40" s="169">
        <v>-81.694199999999995</v>
      </c>
      <c r="BS40" s="169">
        <v>-38.589599999999997</v>
      </c>
      <c r="BT40" s="170"/>
      <c r="BU40" s="170"/>
      <c r="BV40" s="170"/>
      <c r="BW40" s="169">
        <v>45.6265</v>
      </c>
      <c r="BX40" s="169">
        <v>20.41</v>
      </c>
      <c r="BY40" s="170"/>
      <c r="BZ40" s="169">
        <v>-3.64</v>
      </c>
      <c r="CA40" s="169">
        <v>7.8</v>
      </c>
      <c r="CB40" s="169">
        <v>-24.643899999999999</v>
      </c>
      <c r="CC40" s="169">
        <v>-24.51</v>
      </c>
      <c r="CD40" s="169">
        <v>33.562399999999997</v>
      </c>
      <c r="CE40" s="169">
        <v>31.635100000000001</v>
      </c>
      <c r="CF40" s="169">
        <v>-7.7468000000000004</v>
      </c>
      <c r="CG40" s="169">
        <v>30.159199999999998</v>
      </c>
      <c r="CH40" s="169">
        <v>30.191500000000001</v>
      </c>
      <c r="CI40" s="169">
        <v>10.7399</v>
      </c>
      <c r="CJ40" s="170"/>
      <c r="CK40" s="169">
        <v>3.8355999999999999</v>
      </c>
      <c r="CL40" s="169">
        <v>7.673</v>
      </c>
      <c r="CM40" s="169">
        <v>-1.7</v>
      </c>
      <c r="CN40" s="169">
        <v>-2.9</v>
      </c>
      <c r="CO40" s="169">
        <v>-4.92</v>
      </c>
      <c r="CP40" s="169">
        <v>46.1145</v>
      </c>
      <c r="CQ40" s="169">
        <v>45.941099999999999</v>
      </c>
      <c r="CR40" s="169">
        <v>43.546199999999999</v>
      </c>
      <c r="CS40" s="169">
        <v>60.124000000000002</v>
      </c>
      <c r="CT40" s="169">
        <v>60.573300000000003</v>
      </c>
      <c r="CU40" s="169">
        <v>-30.731100000000001</v>
      </c>
      <c r="CV40" s="169">
        <v>-55.194099999999999</v>
      </c>
      <c r="CW40" s="169">
        <v>-23.540600000000001</v>
      </c>
      <c r="CX40" s="169">
        <v>4.5355999999999996</v>
      </c>
      <c r="CY40" s="169">
        <v>43.89</v>
      </c>
      <c r="CZ40" s="169">
        <v>18.53</v>
      </c>
      <c r="DA40" s="169">
        <v>15.942399999999999</v>
      </c>
      <c r="DB40" s="169">
        <v>14.7491</v>
      </c>
      <c r="DC40" s="169">
        <v>-13.707100000000001</v>
      </c>
      <c r="DD40" s="170"/>
      <c r="DE40" s="170"/>
      <c r="DF40" s="170"/>
      <c r="DG40" s="169">
        <v>15.682600000000001</v>
      </c>
      <c r="DH40" s="170"/>
      <c r="DI40" s="170"/>
      <c r="DJ40" s="169">
        <v>-50.2</v>
      </c>
      <c r="DK40" s="169">
        <v>-49.6</v>
      </c>
      <c r="DL40" s="169">
        <v>2.9095</v>
      </c>
      <c r="DM40" s="169">
        <v>19.2</v>
      </c>
      <c r="DN40" s="169">
        <v>17.96</v>
      </c>
      <c r="DO40" s="169">
        <v>24</v>
      </c>
      <c r="DP40" s="169">
        <v>12.87</v>
      </c>
      <c r="DQ40" s="169">
        <v>-4.3600000000000003</v>
      </c>
      <c r="DR40" s="169">
        <v>18.661999999999999</v>
      </c>
      <c r="DS40" s="169">
        <v>-17.398499999999999</v>
      </c>
      <c r="DT40" s="169">
        <v>-10.01</v>
      </c>
      <c r="DU40" s="169">
        <v>-10.17</v>
      </c>
      <c r="DV40" s="169">
        <v>31.47</v>
      </c>
      <c r="DW40" s="169">
        <v>-10.84</v>
      </c>
      <c r="DX40" s="169">
        <v>-16.854500000000002</v>
      </c>
      <c r="DY40" s="169">
        <v>-8.6545000000000005</v>
      </c>
      <c r="DZ40" s="170"/>
      <c r="EA40" s="169">
        <v>-43.872700000000002</v>
      </c>
      <c r="EB40" s="169">
        <v>53.698099999999997</v>
      </c>
      <c r="EC40" s="169">
        <v>20.4909</v>
      </c>
      <c r="ED40" s="169">
        <v>9.2919</v>
      </c>
      <c r="EE40" s="169">
        <v>10.404</v>
      </c>
      <c r="EF40" s="169">
        <v>-11.8454</v>
      </c>
      <c r="EG40" s="169">
        <v>-21.601500000000001</v>
      </c>
      <c r="EH40" s="169">
        <v>-13.223000000000001</v>
      </c>
      <c r="EI40" s="169">
        <v>23.110199999999999</v>
      </c>
      <c r="EJ40" s="169">
        <v>-66.8459</v>
      </c>
      <c r="EK40" s="170"/>
      <c r="EL40" s="169">
        <v>-12.724</v>
      </c>
      <c r="EM40" s="169">
        <v>-12.2799</v>
      </c>
      <c r="EN40" s="170"/>
      <c r="EO40" s="169">
        <v>-11.2835</v>
      </c>
      <c r="EP40" s="169">
        <v>-10.794600000000001</v>
      </c>
      <c r="EQ40" s="169">
        <v>10.256</v>
      </c>
      <c r="ER40" s="169">
        <v>-20.9085</v>
      </c>
      <c r="ES40" s="169">
        <v>-20.501200000000001</v>
      </c>
      <c r="ET40" s="169">
        <v>6.2153</v>
      </c>
      <c r="EU40" s="169">
        <v>0</v>
      </c>
      <c r="EV40" s="169">
        <v>-9.5399999999999991</v>
      </c>
      <c r="EW40" s="169">
        <v>6</v>
      </c>
      <c r="EX40" s="169">
        <v>8.7797000000000001</v>
      </c>
      <c r="EY40" s="169">
        <v>-21.802299999999999</v>
      </c>
      <c r="EZ40" s="169">
        <v>-8.2302999999999997</v>
      </c>
      <c r="FA40" s="169">
        <v>-8.1438000000000006</v>
      </c>
      <c r="FB40" s="169">
        <v>7.0564</v>
      </c>
      <c r="FC40" s="169">
        <v>6.4790999999999999</v>
      </c>
      <c r="FD40" s="169">
        <v>-19.802199999999999</v>
      </c>
      <c r="FE40" s="169">
        <v>7.5179999999999998</v>
      </c>
      <c r="FF40" s="169">
        <v>-0.92549999999999999</v>
      </c>
      <c r="FG40" s="170"/>
      <c r="FH40" s="169">
        <v>0</v>
      </c>
      <c r="FI40" s="169">
        <v>0</v>
      </c>
      <c r="FJ40" s="170"/>
      <c r="FK40" s="169">
        <v>15.406000000000001</v>
      </c>
      <c r="FL40" s="169">
        <v>15.406000000000001</v>
      </c>
      <c r="FM40" s="169">
        <v>-19.09</v>
      </c>
      <c r="FN40" s="170"/>
      <c r="FO40" s="169">
        <v>29.4375</v>
      </c>
      <c r="FP40" s="169">
        <v>-2.9824000000000002</v>
      </c>
      <c r="FQ40" s="169">
        <v>10.348800000000001</v>
      </c>
      <c r="FR40" s="169">
        <v>24.215499999999999</v>
      </c>
      <c r="FS40" s="169">
        <v>-14.35</v>
      </c>
      <c r="FT40" s="170"/>
      <c r="FU40" s="169">
        <v>0.19980000000000001</v>
      </c>
      <c r="FV40" s="169">
        <v>-0.27</v>
      </c>
      <c r="FW40" s="169">
        <v>-0.55000000000000004</v>
      </c>
      <c r="FX40" s="169">
        <v>-24.144200000000001</v>
      </c>
      <c r="FY40" s="170"/>
      <c r="FZ40" s="169">
        <v>4.367</v>
      </c>
      <c r="GA40" s="169">
        <v>1.101</v>
      </c>
      <c r="GB40" s="170"/>
      <c r="GC40" s="169">
        <v>11.19</v>
      </c>
      <c r="GD40" s="169">
        <v>-21.510100000000001</v>
      </c>
      <c r="GE40" s="169">
        <v>-14.065300000000001</v>
      </c>
      <c r="GF40" s="169">
        <v>-1.41</v>
      </c>
      <c r="GG40" s="169">
        <v>20.151399999999999</v>
      </c>
      <c r="GH40" s="170"/>
      <c r="GI40" s="169">
        <v>26.029900000000001</v>
      </c>
      <c r="GJ40" s="169">
        <v>-8.8768999999999991</v>
      </c>
      <c r="GK40" s="169">
        <v>-9.5265000000000004</v>
      </c>
      <c r="GL40" s="169">
        <v>3.1278999999999999</v>
      </c>
      <c r="GM40" s="170"/>
      <c r="GN40" s="170"/>
      <c r="GO40" s="169">
        <v>-13.341799999999999</v>
      </c>
      <c r="GP40" s="169">
        <v>79.901200000000003</v>
      </c>
      <c r="GQ40" s="169">
        <v>1.7279</v>
      </c>
      <c r="GR40" s="169">
        <v>-23.723500000000001</v>
      </c>
      <c r="GS40" s="169">
        <v>-7.0907999999999998</v>
      </c>
      <c r="GT40" s="169">
        <v>-6.7544000000000004</v>
      </c>
      <c r="GU40" s="169">
        <v>108.6696</v>
      </c>
      <c r="GV40" s="169">
        <v>-4.9908999999999999</v>
      </c>
      <c r="GW40" s="169">
        <v>-5.0484999999999998</v>
      </c>
      <c r="GX40" s="169">
        <v>-16.205400000000001</v>
      </c>
      <c r="GY40" s="169">
        <v>2.8454999999999999</v>
      </c>
      <c r="GZ40" s="169">
        <v>7.7584</v>
      </c>
      <c r="HA40" s="169">
        <v>7.9668000000000001</v>
      </c>
      <c r="HB40" s="169">
        <v>2.0663999999999998</v>
      </c>
      <c r="HC40" s="169">
        <v>10.237500000000001</v>
      </c>
      <c r="HD40" s="169">
        <v>11.6153</v>
      </c>
      <c r="HE40" s="169">
        <v>-6.71</v>
      </c>
      <c r="HF40" s="169">
        <v>10.6715</v>
      </c>
      <c r="HG40" s="169">
        <v>26.0425</v>
      </c>
      <c r="HH40" s="169">
        <v>32.497500000000002</v>
      </c>
      <c r="HI40" s="169">
        <v>48.685200000000002</v>
      </c>
      <c r="HJ40" s="169">
        <v>-49.9392</v>
      </c>
      <c r="HK40" s="169">
        <v>2.4432999999999998</v>
      </c>
      <c r="HL40" s="170"/>
      <c r="HM40" s="169">
        <v>0</v>
      </c>
      <c r="HN40" s="169">
        <v>0</v>
      </c>
      <c r="HO40" s="169">
        <v>0</v>
      </c>
      <c r="HP40" s="169">
        <v>9.6623999999999999</v>
      </c>
      <c r="HQ40" s="170"/>
      <c r="HR40" s="169">
        <v>-17.7089</v>
      </c>
      <c r="HS40" s="169">
        <v>-17.110099999999999</v>
      </c>
      <c r="HT40" s="169">
        <v>-17.072299999999998</v>
      </c>
      <c r="HU40" s="169">
        <v>-16.985399999999998</v>
      </c>
      <c r="HV40" s="169">
        <v>25.95</v>
      </c>
      <c r="HW40" s="169">
        <v>25.73</v>
      </c>
      <c r="HX40" s="169">
        <v>-28.1</v>
      </c>
      <c r="HY40" s="169">
        <v>-28.3</v>
      </c>
      <c r="HZ40" s="169">
        <v>0.42209999999999998</v>
      </c>
      <c r="IA40" s="169">
        <v>1.76</v>
      </c>
      <c r="IB40" s="169">
        <v>43.012500000000003</v>
      </c>
      <c r="IC40" s="169">
        <v>33.0839</v>
      </c>
      <c r="ID40" s="169">
        <v>33.000799999999998</v>
      </c>
      <c r="IE40" s="169">
        <v>-15.3</v>
      </c>
      <c r="IF40" s="169">
        <v>-39.6</v>
      </c>
      <c r="IG40" s="169">
        <v>2.6</v>
      </c>
      <c r="IH40" s="169">
        <v>1.7</v>
      </c>
      <c r="II40" s="170"/>
      <c r="IJ40" s="169">
        <v>-17.674099999999999</v>
      </c>
      <c r="IK40" s="169">
        <v>-132.40090000000001</v>
      </c>
      <c r="IL40" s="169">
        <v>16.347799999999999</v>
      </c>
      <c r="IM40" s="169">
        <v>-249.16210000000001</v>
      </c>
      <c r="IN40" s="169">
        <v>-36.335299999999997</v>
      </c>
      <c r="IO40" s="169">
        <v>-36.148000000000003</v>
      </c>
      <c r="IP40" s="169">
        <v>78.191999999999993</v>
      </c>
      <c r="IQ40" s="169">
        <v>90.884500000000003</v>
      </c>
      <c r="IR40" s="170"/>
      <c r="IS40" s="169">
        <v>101.8536</v>
      </c>
      <c r="IT40" s="169">
        <v>2.9068000000000001</v>
      </c>
      <c r="IU40" s="169">
        <v>28.380600000000001</v>
      </c>
      <c r="IV40" s="169">
        <v>28.815999999999999</v>
      </c>
      <c r="IW40" s="170"/>
      <c r="IX40" s="169">
        <v>143.6773</v>
      </c>
      <c r="IY40" s="169">
        <v>-209.9785</v>
      </c>
      <c r="IZ40" s="169">
        <v>75.223699999999994</v>
      </c>
      <c r="JA40" s="169">
        <v>-72.361500000000007</v>
      </c>
      <c r="JB40" s="169">
        <v>-2.1545999999999998</v>
      </c>
      <c r="JC40" s="169">
        <v>2.5310000000000001</v>
      </c>
      <c r="JD40" s="169">
        <v>-6.72</v>
      </c>
      <c r="JE40" s="169">
        <v>-2.1890000000000001</v>
      </c>
      <c r="JF40" s="169">
        <v>-2.1960000000000002</v>
      </c>
      <c r="JG40" s="169">
        <v>2.08</v>
      </c>
      <c r="JH40" s="169">
        <v>-2.56</v>
      </c>
      <c r="JI40" s="169">
        <v>-1.7078</v>
      </c>
      <c r="JJ40" s="169">
        <v>-3.5447000000000002</v>
      </c>
      <c r="JK40" s="169">
        <v>7.6768000000000001</v>
      </c>
      <c r="JL40" s="169">
        <v>-5.3879999999999999</v>
      </c>
      <c r="JM40" s="169">
        <v>-3.3</v>
      </c>
      <c r="JN40" s="169">
        <v>6.3940000000000001</v>
      </c>
      <c r="JO40" s="169">
        <v>5.6079999999999997</v>
      </c>
      <c r="JP40" s="169">
        <v>1.6147</v>
      </c>
      <c r="JQ40" s="170"/>
      <c r="JR40" s="169">
        <v>3.7006999999999999</v>
      </c>
      <c r="JS40" s="169">
        <v>3.6726999999999999</v>
      </c>
      <c r="JT40" s="169">
        <v>3.3576999999999999</v>
      </c>
      <c r="JU40" s="170"/>
      <c r="JV40" s="169">
        <v>23.5</v>
      </c>
      <c r="JW40" s="169">
        <v>-1.7587999999999999</v>
      </c>
      <c r="JX40" s="169">
        <v>1.4</v>
      </c>
      <c r="JY40" s="170"/>
      <c r="JZ40" s="169">
        <v>0</v>
      </c>
      <c r="KA40" s="169">
        <v>-18.3398</v>
      </c>
      <c r="KB40" s="169">
        <v>-23.8538</v>
      </c>
      <c r="KC40" s="169">
        <v>4.7801</v>
      </c>
      <c r="KD40" s="169">
        <v>14.1662</v>
      </c>
      <c r="KE40" s="169">
        <v>-19.857600000000001</v>
      </c>
      <c r="KF40" s="169">
        <v>4.8982999999999999</v>
      </c>
      <c r="KG40" s="169">
        <v>-18.8</v>
      </c>
      <c r="KH40" s="169">
        <v>1</v>
      </c>
      <c r="KI40" s="169">
        <v>24.863600000000002</v>
      </c>
      <c r="KJ40" s="169">
        <v>-63.900500000000001</v>
      </c>
    </row>
    <row r="41" spans="1:296" ht="18" customHeight="1" x14ac:dyDescent="0.3">
      <c r="A41" s="162" t="s">
        <v>67</v>
      </c>
      <c r="B41" s="162" t="s">
        <v>840</v>
      </c>
      <c r="C41" s="163">
        <v>0</v>
      </c>
      <c r="D41" s="164"/>
      <c r="E41" s="163">
        <v>3.3273000000000001</v>
      </c>
      <c r="F41" s="163">
        <v>-9.0762999999999998</v>
      </c>
      <c r="G41" s="163">
        <v>6.0144000000000002</v>
      </c>
      <c r="H41" s="163">
        <v>10.9062</v>
      </c>
      <c r="I41" s="164"/>
      <c r="J41" s="163">
        <v>12.430300000000001</v>
      </c>
      <c r="K41" s="164"/>
      <c r="L41" s="163">
        <v>23.201599999999999</v>
      </c>
      <c r="M41" s="163">
        <v>10.0517</v>
      </c>
      <c r="N41" s="163">
        <v>11.3973</v>
      </c>
      <c r="O41" s="163">
        <v>-8.8800000000000008</v>
      </c>
      <c r="P41" s="163">
        <v>-33</v>
      </c>
      <c r="Q41" s="163">
        <v>8.8000000000000007</v>
      </c>
      <c r="R41" s="163">
        <v>4.1399999999999997</v>
      </c>
      <c r="S41" s="163">
        <v>-22</v>
      </c>
      <c r="T41" s="163">
        <v>3.6092</v>
      </c>
      <c r="U41" s="163">
        <v>-10.5183</v>
      </c>
      <c r="V41" s="163">
        <v>6.1849999999999996</v>
      </c>
      <c r="W41" s="163">
        <v>5.9013999999999998</v>
      </c>
      <c r="X41" s="163">
        <v>10.436299999999999</v>
      </c>
      <c r="Y41" s="163">
        <v>0.93410000000000004</v>
      </c>
      <c r="Z41" s="163">
        <v>-0.3997</v>
      </c>
      <c r="AA41" s="163">
        <v>1.5458000000000001</v>
      </c>
      <c r="AB41" s="164"/>
      <c r="AC41" s="163">
        <v>-0.78549999999999998</v>
      </c>
      <c r="AD41" s="163">
        <v>0.151</v>
      </c>
      <c r="AE41" s="163">
        <v>0.20300000000000001</v>
      </c>
      <c r="AF41" s="163">
        <v>2.5059999999999998</v>
      </c>
      <c r="AG41" s="163">
        <v>-11.1</v>
      </c>
      <c r="AH41" s="163">
        <v>2.2000000000000002</v>
      </c>
      <c r="AI41" s="163">
        <v>-0.65300000000000002</v>
      </c>
      <c r="AJ41" s="163">
        <v>0.28799999999999998</v>
      </c>
      <c r="AK41" s="163">
        <v>-8.4499999999999993</v>
      </c>
      <c r="AL41" s="163">
        <v>-8.5399999999999991</v>
      </c>
      <c r="AM41" s="164"/>
      <c r="AN41" s="163">
        <v>-9.01</v>
      </c>
      <c r="AO41" s="163">
        <v>-9.2100000000000009</v>
      </c>
      <c r="AP41" s="163">
        <v>7.2183999999999999</v>
      </c>
      <c r="AQ41" s="163">
        <v>3.4083000000000001</v>
      </c>
      <c r="AR41" s="163">
        <v>21.350300000000001</v>
      </c>
      <c r="AS41" s="163">
        <v>24.375900000000001</v>
      </c>
      <c r="AT41" s="163">
        <v>-16.322600000000001</v>
      </c>
      <c r="AU41" s="163">
        <v>-5.1336000000000004</v>
      </c>
      <c r="AV41" s="163">
        <v>-4.6177999999999999</v>
      </c>
      <c r="AW41" s="163">
        <v>23.633800000000001</v>
      </c>
      <c r="AX41" s="163">
        <v>13.145899999999999</v>
      </c>
      <c r="AY41" s="163">
        <v>-17.515799999999999</v>
      </c>
      <c r="AZ41" s="163">
        <v>-17.625</v>
      </c>
      <c r="BA41" s="163">
        <v>24.6922</v>
      </c>
      <c r="BB41" s="163">
        <v>32.454099999999997</v>
      </c>
      <c r="BC41" s="163">
        <v>105.47929999999999</v>
      </c>
      <c r="BD41" s="163">
        <v>16.710699999999999</v>
      </c>
      <c r="BE41" s="163">
        <v>-5.6</v>
      </c>
      <c r="BF41" s="163">
        <v>-5.8</v>
      </c>
      <c r="BG41" s="163">
        <v>-24.7773</v>
      </c>
      <c r="BH41" s="163">
        <v>-23.277699999999999</v>
      </c>
      <c r="BI41" s="163">
        <v>-3.4417</v>
      </c>
      <c r="BJ41" s="164"/>
      <c r="BK41" s="163">
        <v>14.193199999999999</v>
      </c>
      <c r="BL41" s="163">
        <v>8.7262000000000004</v>
      </c>
      <c r="BM41" s="164"/>
      <c r="BN41" s="163">
        <v>0.49869999999999998</v>
      </c>
      <c r="BO41" s="163">
        <v>-127.6284</v>
      </c>
      <c r="BP41" s="163">
        <v>124.485</v>
      </c>
      <c r="BQ41" s="163">
        <v>123.29470000000001</v>
      </c>
      <c r="BR41" s="163">
        <v>-69.581000000000003</v>
      </c>
      <c r="BS41" s="163">
        <v>-39.4255</v>
      </c>
      <c r="BT41" s="164"/>
      <c r="BU41" s="164"/>
      <c r="BV41" s="164"/>
      <c r="BW41" s="163">
        <v>44.319200000000002</v>
      </c>
      <c r="BX41" s="163">
        <v>20.41</v>
      </c>
      <c r="BY41" s="164"/>
      <c r="BZ41" s="163">
        <v>-4.2699999999999996</v>
      </c>
      <c r="CA41" s="163">
        <v>7.23</v>
      </c>
      <c r="CB41" s="163">
        <v>-23.304300000000001</v>
      </c>
      <c r="CC41" s="163">
        <v>-22.7685</v>
      </c>
      <c r="CD41" s="163">
        <v>36.764499999999998</v>
      </c>
      <c r="CE41" s="163">
        <v>35.796199999999999</v>
      </c>
      <c r="CF41" s="163">
        <v>-7.8207000000000004</v>
      </c>
      <c r="CG41" s="163">
        <v>27.3721</v>
      </c>
      <c r="CH41" s="163">
        <v>27.4251</v>
      </c>
      <c r="CI41" s="163">
        <v>15.0054</v>
      </c>
      <c r="CJ41" s="164"/>
      <c r="CK41" s="163">
        <v>4.2153</v>
      </c>
      <c r="CL41" s="163">
        <v>6.3529999999999998</v>
      </c>
      <c r="CM41" s="163">
        <v>-3.6</v>
      </c>
      <c r="CN41" s="163">
        <v>-4.3</v>
      </c>
      <c r="CO41" s="163">
        <v>-4.8600000000000003</v>
      </c>
      <c r="CP41" s="163">
        <v>43.313699999999997</v>
      </c>
      <c r="CQ41" s="163">
        <v>43.742199999999997</v>
      </c>
      <c r="CR41" s="163">
        <v>41.436100000000003</v>
      </c>
      <c r="CS41" s="163">
        <v>60.896000000000001</v>
      </c>
      <c r="CT41" s="163">
        <v>60.914200000000001</v>
      </c>
      <c r="CU41" s="163">
        <v>-24.994599999999998</v>
      </c>
      <c r="CV41" s="163">
        <v>-60.864100000000001</v>
      </c>
      <c r="CW41" s="163">
        <v>-17.634</v>
      </c>
      <c r="CX41" s="163">
        <v>4.4882</v>
      </c>
      <c r="CY41" s="163">
        <v>44.46</v>
      </c>
      <c r="CZ41" s="163">
        <v>18.63</v>
      </c>
      <c r="DA41" s="163">
        <v>15.942399999999999</v>
      </c>
      <c r="DB41" s="163">
        <v>14.8468</v>
      </c>
      <c r="DC41" s="163">
        <v>-13.903</v>
      </c>
      <c r="DD41" s="164"/>
      <c r="DE41" s="164"/>
      <c r="DF41" s="164"/>
      <c r="DG41" s="163">
        <v>4.0304000000000002</v>
      </c>
      <c r="DH41" s="164"/>
      <c r="DI41" s="164"/>
      <c r="DJ41" s="163">
        <v>-50.2</v>
      </c>
      <c r="DK41" s="163">
        <v>-49.4</v>
      </c>
      <c r="DL41" s="163">
        <v>3.0840999999999998</v>
      </c>
      <c r="DM41" s="163">
        <v>18.3</v>
      </c>
      <c r="DN41" s="163">
        <v>17.88</v>
      </c>
      <c r="DO41" s="163">
        <v>23.38</v>
      </c>
      <c r="DP41" s="163">
        <v>12.34</v>
      </c>
      <c r="DQ41" s="163">
        <v>-4.5199999999999996</v>
      </c>
      <c r="DR41" s="163">
        <v>16.492000000000001</v>
      </c>
      <c r="DS41" s="163">
        <v>-5.4603000000000002</v>
      </c>
      <c r="DT41" s="163">
        <v>-9.33</v>
      </c>
      <c r="DU41" s="163">
        <v>-9.49</v>
      </c>
      <c r="DV41" s="163">
        <v>29.63</v>
      </c>
      <c r="DW41" s="163">
        <v>-12.57</v>
      </c>
      <c r="DX41" s="163">
        <v>-5.9817999999999998</v>
      </c>
      <c r="DY41" s="163">
        <v>-3.2273000000000001</v>
      </c>
      <c r="DZ41" s="163">
        <v>-41.804699999999997</v>
      </c>
      <c r="EA41" s="163">
        <v>-39.9818</v>
      </c>
      <c r="EB41" s="163">
        <v>44.113799999999998</v>
      </c>
      <c r="EC41" s="163">
        <v>14.1435</v>
      </c>
      <c r="ED41" s="163">
        <v>3.5516000000000001</v>
      </c>
      <c r="EE41" s="163">
        <v>3.0954999999999999</v>
      </c>
      <c r="EF41" s="163">
        <v>-16.530799999999999</v>
      </c>
      <c r="EG41" s="163">
        <v>-22.257100000000001</v>
      </c>
      <c r="EH41" s="163">
        <v>-12.475</v>
      </c>
      <c r="EI41" s="163">
        <v>6.4587000000000003</v>
      </c>
      <c r="EJ41" s="163">
        <v>-55.157499999999999</v>
      </c>
      <c r="EK41" s="164"/>
      <c r="EL41" s="163">
        <v>-12.1798</v>
      </c>
      <c r="EM41" s="163">
        <v>-12.059100000000001</v>
      </c>
      <c r="EN41" s="164"/>
      <c r="EO41" s="163">
        <v>-9.9380000000000006</v>
      </c>
      <c r="EP41" s="163">
        <v>-8.7523</v>
      </c>
      <c r="EQ41" s="163">
        <v>0</v>
      </c>
      <c r="ER41" s="163">
        <v>-22.085599999999999</v>
      </c>
      <c r="ES41" s="163">
        <v>-21.432400000000001</v>
      </c>
      <c r="ET41" s="163">
        <v>11.802</v>
      </c>
      <c r="EU41" s="163">
        <v>6.32</v>
      </c>
      <c r="EV41" s="163">
        <v>-13.03</v>
      </c>
      <c r="EW41" s="163">
        <v>-2.5</v>
      </c>
      <c r="EX41" s="163">
        <v>8.7713000000000001</v>
      </c>
      <c r="EY41" s="163">
        <v>-15.740600000000001</v>
      </c>
      <c r="EZ41" s="163">
        <v>-8.3536000000000001</v>
      </c>
      <c r="FA41" s="163">
        <v>-8.3518000000000008</v>
      </c>
      <c r="FB41" s="163">
        <v>7.0853999999999999</v>
      </c>
      <c r="FC41" s="163">
        <v>8.8472000000000008</v>
      </c>
      <c r="FD41" s="163">
        <v>-23.267499999999998</v>
      </c>
      <c r="FE41" s="163">
        <v>7.5586000000000002</v>
      </c>
      <c r="FF41" s="163">
        <v>-0.96689999999999998</v>
      </c>
      <c r="FG41" s="164"/>
      <c r="FH41" s="163">
        <v>0</v>
      </c>
      <c r="FI41" s="163">
        <v>0</v>
      </c>
      <c r="FJ41" s="164"/>
      <c r="FK41" s="163">
        <v>12.3918</v>
      </c>
      <c r="FL41" s="163">
        <v>11.8894</v>
      </c>
      <c r="FM41" s="163">
        <v>-13.0616</v>
      </c>
      <c r="FN41" s="163">
        <v>23.851700000000001</v>
      </c>
      <c r="FO41" s="163">
        <v>24.095099999999999</v>
      </c>
      <c r="FP41" s="163">
        <v>-2.2984</v>
      </c>
      <c r="FQ41" s="163">
        <v>10.9191</v>
      </c>
      <c r="FR41" s="163">
        <v>20.113800000000001</v>
      </c>
      <c r="FS41" s="163">
        <v>-16.75</v>
      </c>
      <c r="FT41" s="164"/>
      <c r="FU41" s="163">
        <v>0.23549999999999999</v>
      </c>
      <c r="FV41" s="163">
        <v>-0.25</v>
      </c>
      <c r="FW41" s="163">
        <v>0.42</v>
      </c>
      <c r="FX41" s="163">
        <v>-19.9329</v>
      </c>
      <c r="FY41" s="164"/>
      <c r="FZ41" s="163">
        <v>4.3650000000000002</v>
      </c>
      <c r="GA41" s="163">
        <v>1.1890000000000001</v>
      </c>
      <c r="GB41" s="163">
        <v>3.4474</v>
      </c>
      <c r="GC41" s="163">
        <v>11.25</v>
      </c>
      <c r="GD41" s="163">
        <v>-21.8459</v>
      </c>
      <c r="GE41" s="163">
        <v>-14.213100000000001</v>
      </c>
      <c r="GF41" s="163">
        <v>-1.37</v>
      </c>
      <c r="GG41" s="163">
        <v>19.868500000000001</v>
      </c>
      <c r="GH41" s="164"/>
      <c r="GI41" s="163">
        <v>26.394400000000001</v>
      </c>
      <c r="GJ41" s="163">
        <v>-8.2499000000000002</v>
      </c>
      <c r="GK41" s="163">
        <v>-8.8872999999999998</v>
      </c>
      <c r="GL41" s="163">
        <v>3.1511999999999998</v>
      </c>
      <c r="GM41" s="164"/>
      <c r="GN41" s="164"/>
      <c r="GO41" s="163">
        <v>-12.819900000000001</v>
      </c>
      <c r="GP41" s="163">
        <v>76.994799999999998</v>
      </c>
      <c r="GQ41" s="163">
        <v>1.5561</v>
      </c>
      <c r="GR41" s="163">
        <v>-23.780799999999999</v>
      </c>
      <c r="GS41" s="163">
        <v>-6.4657999999999998</v>
      </c>
      <c r="GT41" s="163">
        <v>-6.1353999999999997</v>
      </c>
      <c r="GU41" s="163">
        <v>104.0069</v>
      </c>
      <c r="GV41" s="163">
        <v>-5.1901000000000002</v>
      </c>
      <c r="GW41" s="163">
        <v>-6.3681000000000001</v>
      </c>
      <c r="GX41" s="163">
        <v>-15.907</v>
      </c>
      <c r="GY41" s="163">
        <v>2.9180999999999999</v>
      </c>
      <c r="GZ41" s="163">
        <v>7.8536000000000001</v>
      </c>
      <c r="HA41" s="163">
        <v>7.9825999999999997</v>
      </c>
      <c r="HB41" s="163">
        <v>2.4116</v>
      </c>
      <c r="HC41" s="163">
        <v>13.3325</v>
      </c>
      <c r="HD41" s="163">
        <v>14.3597</v>
      </c>
      <c r="HE41" s="163">
        <v>-5.45</v>
      </c>
      <c r="HF41" s="163">
        <v>9.1414000000000009</v>
      </c>
      <c r="HG41" s="163">
        <v>23.9772</v>
      </c>
      <c r="HH41" s="163">
        <v>32.786099999999998</v>
      </c>
      <c r="HI41" s="163">
        <v>60.195500000000003</v>
      </c>
      <c r="HJ41" s="163">
        <v>-41.949399999999997</v>
      </c>
      <c r="HK41" s="163">
        <v>10.4274</v>
      </c>
      <c r="HL41" s="164"/>
      <c r="HM41" s="163">
        <v>-5.9984000000000002</v>
      </c>
      <c r="HN41" s="163">
        <v>0</v>
      </c>
      <c r="HO41" s="163">
        <v>0</v>
      </c>
      <c r="HP41" s="163">
        <v>28.334299999999999</v>
      </c>
      <c r="HQ41" s="163">
        <v>14.7979</v>
      </c>
      <c r="HR41" s="163">
        <v>-15.539</v>
      </c>
      <c r="HS41" s="163">
        <v>-14.989699999999999</v>
      </c>
      <c r="HT41" s="163">
        <v>-14.740500000000001</v>
      </c>
      <c r="HU41" s="163">
        <v>-13.6944</v>
      </c>
      <c r="HV41" s="163">
        <v>19.63</v>
      </c>
      <c r="HW41" s="163">
        <v>20.29</v>
      </c>
      <c r="HX41" s="163">
        <v>-27.6</v>
      </c>
      <c r="HY41" s="163">
        <v>-27.8</v>
      </c>
      <c r="HZ41" s="163">
        <v>0.1236</v>
      </c>
      <c r="IA41" s="163">
        <v>-2.56</v>
      </c>
      <c r="IB41" s="163">
        <v>50.514499999999998</v>
      </c>
      <c r="IC41" s="163">
        <v>29.302299999999999</v>
      </c>
      <c r="ID41" s="163">
        <v>29.218599999999999</v>
      </c>
      <c r="IE41" s="163">
        <v>-15.6</v>
      </c>
      <c r="IF41" s="163">
        <v>-40.1</v>
      </c>
      <c r="IG41" s="163">
        <v>1.3</v>
      </c>
      <c r="IH41" s="163">
        <v>0.7</v>
      </c>
      <c r="II41" s="163">
        <v>-17.465299999999999</v>
      </c>
      <c r="IJ41" s="163">
        <v>-17.2746</v>
      </c>
      <c r="IK41" s="163">
        <v>-128.18459999999999</v>
      </c>
      <c r="IL41" s="163">
        <v>13.592599999999999</v>
      </c>
      <c r="IM41" s="163">
        <v>-240.0975</v>
      </c>
      <c r="IN41" s="163">
        <v>-37.505899999999997</v>
      </c>
      <c r="IO41" s="163">
        <v>-33.8977</v>
      </c>
      <c r="IP41" s="163">
        <v>93.394499999999994</v>
      </c>
      <c r="IQ41" s="163">
        <v>75.064400000000006</v>
      </c>
      <c r="IR41" s="164"/>
      <c r="IS41" s="163">
        <v>111.49850000000001</v>
      </c>
      <c r="IT41" s="163">
        <v>16.5596</v>
      </c>
      <c r="IU41" s="163">
        <v>34.743899999999996</v>
      </c>
      <c r="IV41" s="163">
        <v>33.615200000000002</v>
      </c>
      <c r="IW41" s="164"/>
      <c r="IX41" s="163">
        <v>167.5607</v>
      </c>
      <c r="IY41" s="163">
        <v>-207.50909999999999</v>
      </c>
      <c r="IZ41" s="163">
        <v>95.790099999999995</v>
      </c>
      <c r="JA41" s="163">
        <v>-89.216099999999997</v>
      </c>
      <c r="JB41" s="163">
        <v>-2.8820999999999999</v>
      </c>
      <c r="JC41" s="163">
        <v>3.4529999999999998</v>
      </c>
      <c r="JD41" s="163">
        <v>-5.84</v>
      </c>
      <c r="JE41" s="163">
        <v>-2.181</v>
      </c>
      <c r="JF41" s="163">
        <v>-2.1819999999999999</v>
      </c>
      <c r="JG41" s="163">
        <v>1.2</v>
      </c>
      <c r="JH41" s="163">
        <v>-1.84</v>
      </c>
      <c r="JI41" s="163">
        <v>-1.6896</v>
      </c>
      <c r="JJ41" s="163">
        <v>-4.3045999999999998</v>
      </c>
      <c r="JK41" s="163">
        <v>9.5810999999999993</v>
      </c>
      <c r="JL41" s="163">
        <v>-6.0044000000000004</v>
      </c>
      <c r="JM41" s="163">
        <v>-4.0999999999999996</v>
      </c>
      <c r="JN41" s="163">
        <v>6.3449999999999998</v>
      </c>
      <c r="JO41" s="163">
        <v>7.4960000000000004</v>
      </c>
      <c r="JP41" s="164"/>
      <c r="JQ41" s="164"/>
      <c r="JR41" s="163">
        <v>3.7685</v>
      </c>
      <c r="JS41" s="163">
        <v>3.5600999999999998</v>
      </c>
      <c r="JT41" s="163">
        <v>3.4784999999999999</v>
      </c>
      <c r="JU41" s="164"/>
      <c r="JV41" s="163">
        <v>24.2</v>
      </c>
      <c r="JW41" s="163">
        <v>-1.6296999999999999</v>
      </c>
      <c r="JX41" s="163">
        <v>1.22</v>
      </c>
      <c r="JY41" s="164"/>
      <c r="JZ41" s="163">
        <v>0</v>
      </c>
      <c r="KA41" s="163">
        <v>-16.9297</v>
      </c>
      <c r="KB41" s="163">
        <v>-22.6921</v>
      </c>
      <c r="KC41" s="163">
        <v>2.0988000000000002</v>
      </c>
      <c r="KD41" s="163">
        <v>12.367100000000001</v>
      </c>
      <c r="KE41" s="163">
        <v>-17.3354</v>
      </c>
      <c r="KF41" s="163">
        <v>4.9137000000000004</v>
      </c>
      <c r="KG41" s="163">
        <v>-19.5</v>
      </c>
      <c r="KH41" s="163">
        <v>2.2999999999999998</v>
      </c>
      <c r="KI41" s="163">
        <v>24.247900000000001</v>
      </c>
      <c r="KJ41" s="163">
        <v>-74.9559</v>
      </c>
    </row>
    <row r="42" spans="1:296" ht="18" customHeight="1" x14ac:dyDescent="0.3">
      <c r="A42" s="162" t="s">
        <v>67</v>
      </c>
      <c r="B42" s="162" t="s">
        <v>841</v>
      </c>
      <c r="C42" s="166">
        <v>0</v>
      </c>
      <c r="D42" s="167"/>
      <c r="E42" s="166">
        <v>3.1225000000000001</v>
      </c>
      <c r="F42" s="166">
        <v>-8.7849000000000004</v>
      </c>
      <c r="G42" s="166">
        <v>7.1429</v>
      </c>
      <c r="H42" s="166">
        <v>10.226900000000001</v>
      </c>
      <c r="I42" s="167"/>
      <c r="J42" s="166">
        <v>10.920199999999999</v>
      </c>
      <c r="K42" s="167"/>
      <c r="L42" s="166">
        <v>23.044499999999999</v>
      </c>
      <c r="M42" s="166">
        <v>10.1897</v>
      </c>
      <c r="N42" s="166">
        <v>11.489000000000001</v>
      </c>
      <c r="O42" s="166">
        <v>-8.8800000000000008</v>
      </c>
      <c r="P42" s="166">
        <v>-30.8</v>
      </c>
      <c r="Q42" s="166">
        <v>6.6</v>
      </c>
      <c r="R42" s="166">
        <v>4.1399999999999997</v>
      </c>
      <c r="S42" s="166">
        <v>-19.8</v>
      </c>
      <c r="T42" s="166">
        <v>3.1093999999999999</v>
      </c>
      <c r="U42" s="166">
        <v>-9.9697999999999993</v>
      </c>
      <c r="V42" s="166">
        <v>5.9119000000000002</v>
      </c>
      <c r="W42" s="166">
        <v>5.7442000000000002</v>
      </c>
      <c r="X42" s="166">
        <v>10.2468</v>
      </c>
      <c r="Y42" s="166">
        <v>0.92679999999999996</v>
      </c>
      <c r="Z42" s="166">
        <v>-0.2666</v>
      </c>
      <c r="AA42" s="166">
        <v>1.4462999999999999</v>
      </c>
      <c r="AB42" s="167"/>
      <c r="AC42" s="166">
        <v>-0.82350000000000001</v>
      </c>
      <c r="AD42" s="166">
        <v>-3.0000000000000001E-3</v>
      </c>
      <c r="AE42" s="166">
        <v>2.8000000000000001E-2</v>
      </c>
      <c r="AF42" s="166">
        <v>2.6269999999999998</v>
      </c>
      <c r="AG42" s="167"/>
      <c r="AH42" s="166">
        <v>-2.2000000000000002</v>
      </c>
      <c r="AI42" s="166">
        <v>-0.42899999999999999</v>
      </c>
      <c r="AJ42" s="166">
        <v>0.29399999999999998</v>
      </c>
      <c r="AK42" s="166">
        <v>-9.6999999999999993</v>
      </c>
      <c r="AL42" s="166">
        <v>-9.76</v>
      </c>
      <c r="AM42" s="167"/>
      <c r="AN42" s="166">
        <v>-9.2100000000000009</v>
      </c>
      <c r="AO42" s="166">
        <v>-9.26</v>
      </c>
      <c r="AP42" s="166">
        <v>7.0167000000000002</v>
      </c>
      <c r="AQ42" s="166">
        <v>3.2492000000000001</v>
      </c>
      <c r="AR42" s="166">
        <v>19.731000000000002</v>
      </c>
      <c r="AS42" s="166">
        <v>24.019200000000001</v>
      </c>
      <c r="AT42" s="166">
        <v>-13.319900000000001</v>
      </c>
      <c r="AU42" s="166">
        <v>-6.8231000000000002</v>
      </c>
      <c r="AV42" s="166">
        <v>-6.4509999999999996</v>
      </c>
      <c r="AW42" s="166">
        <v>3.7942</v>
      </c>
      <c r="AX42" s="166">
        <v>3.8986999999999998</v>
      </c>
      <c r="AY42" s="166">
        <v>-15.667400000000001</v>
      </c>
      <c r="AZ42" s="166">
        <v>-13.0105</v>
      </c>
      <c r="BA42" s="166">
        <v>11.6287</v>
      </c>
      <c r="BB42" s="166">
        <v>29.243099999999998</v>
      </c>
      <c r="BC42" s="166">
        <v>109.01779999999999</v>
      </c>
      <c r="BD42" s="166">
        <v>19.263000000000002</v>
      </c>
      <c r="BE42" s="166">
        <v>-6.8</v>
      </c>
      <c r="BF42" s="166">
        <v>-6.8</v>
      </c>
      <c r="BG42" s="166">
        <v>-25.203600000000002</v>
      </c>
      <c r="BH42" s="166">
        <v>-25.1752</v>
      </c>
      <c r="BI42" s="166">
        <v>-3.4866000000000001</v>
      </c>
      <c r="BJ42" s="167"/>
      <c r="BK42" s="166">
        <v>11.8393</v>
      </c>
      <c r="BL42" s="166">
        <v>8.6768999999999998</v>
      </c>
      <c r="BM42" s="167"/>
      <c r="BN42" s="166">
        <v>0.34870000000000001</v>
      </c>
      <c r="BO42" s="166">
        <v>-142.39930000000001</v>
      </c>
      <c r="BP42" s="166">
        <v>121.6467</v>
      </c>
      <c r="BQ42" s="166">
        <v>122.3792</v>
      </c>
      <c r="BR42" s="166">
        <v>-49.676299999999998</v>
      </c>
      <c r="BS42" s="166">
        <v>-54.766100000000002</v>
      </c>
      <c r="BT42" s="167"/>
      <c r="BU42" s="167"/>
      <c r="BV42" s="167"/>
      <c r="BW42" s="166">
        <v>42.033900000000003</v>
      </c>
      <c r="BX42" s="166">
        <v>19.11</v>
      </c>
      <c r="BY42" s="167"/>
      <c r="BZ42" s="166">
        <v>-6.6</v>
      </c>
      <c r="CA42" s="166">
        <v>7.03</v>
      </c>
      <c r="CB42" s="166">
        <v>-23.840199999999999</v>
      </c>
      <c r="CC42" s="166">
        <v>-23.706199999999999</v>
      </c>
      <c r="CD42" s="166">
        <v>33.032400000000003</v>
      </c>
      <c r="CE42" s="166">
        <v>32.059399999999997</v>
      </c>
      <c r="CF42" s="166">
        <v>-4.2824</v>
      </c>
      <c r="CG42" s="166">
        <v>27.321100000000001</v>
      </c>
      <c r="CH42" s="166">
        <v>27.641999999999999</v>
      </c>
      <c r="CI42" s="166">
        <v>11.7257</v>
      </c>
      <c r="CJ42" s="167"/>
      <c r="CK42" s="166">
        <v>4.4116</v>
      </c>
      <c r="CL42" s="166">
        <v>8.8049999999999997</v>
      </c>
      <c r="CM42" s="166">
        <v>-6.6</v>
      </c>
      <c r="CN42" s="166">
        <v>-7.2</v>
      </c>
      <c r="CO42" s="166">
        <v>-4.84</v>
      </c>
      <c r="CP42" s="166">
        <v>41.1205</v>
      </c>
      <c r="CQ42" s="166">
        <v>41.649700000000003</v>
      </c>
      <c r="CR42" s="166">
        <v>38.781399999999998</v>
      </c>
      <c r="CS42" s="166">
        <v>66.495699999999999</v>
      </c>
      <c r="CT42" s="166">
        <v>67.520499999999998</v>
      </c>
      <c r="CU42" s="166">
        <v>-31.218699999999998</v>
      </c>
      <c r="CV42" s="166">
        <v>-59.042700000000004</v>
      </c>
      <c r="CW42" s="166">
        <v>-24.555</v>
      </c>
      <c r="CX42" s="166">
        <v>4.1055999999999999</v>
      </c>
      <c r="CY42" s="166">
        <v>41.89</v>
      </c>
      <c r="CZ42" s="166">
        <v>17.760000000000002</v>
      </c>
      <c r="DA42" s="166">
        <v>15.004899999999999</v>
      </c>
      <c r="DB42" s="166">
        <v>13.674899999999999</v>
      </c>
      <c r="DC42" s="166">
        <v>-13.238899999999999</v>
      </c>
      <c r="DD42" s="167"/>
      <c r="DE42" s="167"/>
      <c r="DF42" s="167"/>
      <c r="DG42" s="166">
        <v>6.8117999999999999</v>
      </c>
      <c r="DH42" s="167"/>
      <c r="DI42" s="167"/>
      <c r="DJ42" s="166">
        <v>-49.7</v>
      </c>
      <c r="DK42" s="166">
        <v>-50.2</v>
      </c>
      <c r="DL42" s="166">
        <v>2.9388000000000001</v>
      </c>
      <c r="DM42" s="166">
        <v>16.7</v>
      </c>
      <c r="DN42" s="166">
        <v>14.76</v>
      </c>
      <c r="DO42" s="166">
        <v>21.72</v>
      </c>
      <c r="DP42" s="166">
        <v>11.05</v>
      </c>
      <c r="DQ42" s="166">
        <v>-3.36</v>
      </c>
      <c r="DR42" s="166">
        <v>15.484500000000001</v>
      </c>
      <c r="DS42" s="166">
        <v>-6.8204000000000002</v>
      </c>
      <c r="DT42" s="166">
        <v>-9.31</v>
      </c>
      <c r="DU42" s="166">
        <v>-9.4499999999999993</v>
      </c>
      <c r="DV42" s="166">
        <v>30.46</v>
      </c>
      <c r="DW42" s="166">
        <v>-13.68</v>
      </c>
      <c r="DX42" s="166">
        <v>-9.4</v>
      </c>
      <c r="DY42" s="166">
        <v>-4.4817999999999998</v>
      </c>
      <c r="DZ42" s="166">
        <v>-43.0456</v>
      </c>
      <c r="EA42" s="166">
        <v>-41.472700000000003</v>
      </c>
      <c r="EB42" s="166">
        <v>39.480899999999998</v>
      </c>
      <c r="EC42" s="166">
        <v>8.9497</v>
      </c>
      <c r="ED42" s="166">
        <v>-1.3402000000000001</v>
      </c>
      <c r="EE42" s="166">
        <v>-1.2976000000000001</v>
      </c>
      <c r="EF42" s="166">
        <v>-21.8871</v>
      </c>
      <c r="EG42" s="166">
        <v>-29.591200000000001</v>
      </c>
      <c r="EH42" s="166">
        <v>-13.256</v>
      </c>
      <c r="EI42" s="166">
        <v>-13.624499999999999</v>
      </c>
      <c r="EJ42" s="166">
        <v>-46.6663</v>
      </c>
      <c r="EK42" s="167"/>
      <c r="EL42" s="166">
        <v>-11.7766</v>
      </c>
      <c r="EM42" s="166">
        <v>-11.173</v>
      </c>
      <c r="EN42" s="167"/>
      <c r="EO42" s="166">
        <v>-7.1378000000000004</v>
      </c>
      <c r="EP42" s="166">
        <v>-7.2990000000000004</v>
      </c>
      <c r="EQ42" s="166">
        <v>0.52800000000000002</v>
      </c>
      <c r="ER42" s="166">
        <v>-23.5566</v>
      </c>
      <c r="ES42" s="166">
        <v>-23.5625</v>
      </c>
      <c r="ET42" s="166">
        <v>12.4222</v>
      </c>
      <c r="EU42" s="166">
        <v>-4.18</v>
      </c>
      <c r="EV42" s="166">
        <v>-8.6999999999999993</v>
      </c>
      <c r="EW42" s="166">
        <v>0</v>
      </c>
      <c r="EX42" s="166">
        <v>8.6684999999999999</v>
      </c>
      <c r="EY42" s="166">
        <v>-9.4057999999999993</v>
      </c>
      <c r="EZ42" s="166">
        <v>-8.3559000000000001</v>
      </c>
      <c r="FA42" s="166">
        <v>-8.3051999999999992</v>
      </c>
      <c r="FB42" s="166">
        <v>6.7240000000000002</v>
      </c>
      <c r="FC42" s="166">
        <v>13.3466</v>
      </c>
      <c r="FD42" s="166">
        <v>-24.534400000000002</v>
      </c>
      <c r="FE42" s="166">
        <v>7.5826000000000002</v>
      </c>
      <c r="FF42" s="166">
        <v>-1.1869000000000001</v>
      </c>
      <c r="FG42" s="167"/>
      <c r="FH42" s="166">
        <v>0</v>
      </c>
      <c r="FI42" s="166">
        <v>0</v>
      </c>
      <c r="FJ42" s="167"/>
      <c r="FK42" s="166">
        <v>13.228999999999999</v>
      </c>
      <c r="FL42" s="166">
        <v>13.228999999999999</v>
      </c>
      <c r="FM42" s="166">
        <v>-15.071099999999999</v>
      </c>
      <c r="FN42" s="166">
        <v>24.360800000000001</v>
      </c>
      <c r="FO42" s="166">
        <v>24.459499999999998</v>
      </c>
      <c r="FP42" s="166">
        <v>-2.1690999999999998</v>
      </c>
      <c r="FQ42" s="166">
        <v>11.315</v>
      </c>
      <c r="FR42" s="166">
        <v>22.1158</v>
      </c>
      <c r="FS42" s="166">
        <v>-15.35</v>
      </c>
      <c r="FT42" s="167"/>
      <c r="FU42" s="166">
        <v>0.20069999999999999</v>
      </c>
      <c r="FV42" s="166">
        <v>-0.24</v>
      </c>
      <c r="FW42" s="166">
        <v>-0.34</v>
      </c>
      <c r="FX42" s="166">
        <v>-22.317499999999999</v>
      </c>
      <c r="FY42" s="167"/>
      <c r="FZ42" s="166">
        <v>4.3360000000000003</v>
      </c>
      <c r="GA42" s="166">
        <v>1.3169999999999999</v>
      </c>
      <c r="GB42" s="167"/>
      <c r="GC42" s="166">
        <v>10.9</v>
      </c>
      <c r="GD42" s="166">
        <v>-23.346699999999998</v>
      </c>
      <c r="GE42" s="166">
        <v>-14.6181</v>
      </c>
      <c r="GF42" s="166">
        <v>-1.75</v>
      </c>
      <c r="GG42" s="166">
        <v>20.252199999999998</v>
      </c>
      <c r="GH42" s="167"/>
      <c r="GI42" s="166">
        <v>25.2682</v>
      </c>
      <c r="GJ42" s="166">
        <v>-8.0343</v>
      </c>
      <c r="GK42" s="166">
        <v>-8.7100000000000009</v>
      </c>
      <c r="GL42" s="166">
        <v>3.1496</v>
      </c>
      <c r="GM42" s="167"/>
      <c r="GN42" s="167"/>
      <c r="GO42" s="166">
        <v>-12.1828</v>
      </c>
      <c r="GP42" s="166">
        <v>76.060699999999997</v>
      </c>
      <c r="GQ42" s="166">
        <v>1.6954</v>
      </c>
      <c r="GR42" s="166">
        <v>-23.7394</v>
      </c>
      <c r="GS42" s="166">
        <v>-6.8529</v>
      </c>
      <c r="GT42" s="166">
        <v>-6.6670999999999996</v>
      </c>
      <c r="GU42" s="166">
        <v>101.6039</v>
      </c>
      <c r="GV42" s="166">
        <v>-5.5838999999999999</v>
      </c>
      <c r="GW42" s="166">
        <v>-5.8612000000000002</v>
      </c>
      <c r="GX42" s="166">
        <v>-16.2972</v>
      </c>
      <c r="GY42" s="166">
        <v>3.0522</v>
      </c>
      <c r="GZ42" s="166">
        <v>7.6852</v>
      </c>
      <c r="HA42" s="166">
        <v>7.8796999999999997</v>
      </c>
      <c r="HB42" s="166">
        <v>1.802</v>
      </c>
      <c r="HC42" s="166">
        <v>14.5595</v>
      </c>
      <c r="HD42" s="166">
        <v>15.4078</v>
      </c>
      <c r="HE42" s="166">
        <v>-7.12</v>
      </c>
      <c r="HF42" s="166">
        <v>9.1408000000000005</v>
      </c>
      <c r="HG42" s="166">
        <v>23.965499999999999</v>
      </c>
      <c r="HH42" s="166">
        <v>33.536700000000003</v>
      </c>
      <c r="HI42" s="166">
        <v>71.310900000000004</v>
      </c>
      <c r="HJ42" s="166">
        <v>-37.204900000000002</v>
      </c>
      <c r="HK42" s="166">
        <v>14.4847</v>
      </c>
      <c r="HL42" s="167"/>
      <c r="HM42" s="166">
        <v>-7.4691999999999998</v>
      </c>
      <c r="HN42" s="166">
        <v>0</v>
      </c>
      <c r="HO42" s="166">
        <v>0</v>
      </c>
      <c r="HP42" s="167"/>
      <c r="HQ42" s="166">
        <v>34.974499999999999</v>
      </c>
      <c r="HR42" s="166">
        <v>-16.5608</v>
      </c>
      <c r="HS42" s="166">
        <v>-16.132300000000001</v>
      </c>
      <c r="HT42" s="166">
        <v>-16.296399999999998</v>
      </c>
      <c r="HU42" s="166">
        <v>-16.125599999999999</v>
      </c>
      <c r="HV42" s="166">
        <v>9.86</v>
      </c>
      <c r="HW42" s="166">
        <v>10.17</v>
      </c>
      <c r="HX42" s="166">
        <v>-36.200000000000003</v>
      </c>
      <c r="HY42" s="166">
        <v>-36.200000000000003</v>
      </c>
      <c r="HZ42" s="166">
        <v>3.5700000000000003E-2</v>
      </c>
      <c r="IA42" s="166">
        <v>-4.4000000000000004</v>
      </c>
      <c r="IB42" s="166">
        <v>50.910800000000002</v>
      </c>
      <c r="IC42" s="166">
        <v>37.655999999999999</v>
      </c>
      <c r="ID42" s="166">
        <v>37.429200000000002</v>
      </c>
      <c r="IE42" s="166">
        <v>-16.100000000000001</v>
      </c>
      <c r="IF42" s="166">
        <v>-42.3</v>
      </c>
      <c r="IG42" s="166">
        <v>1.7</v>
      </c>
      <c r="IH42" s="166">
        <v>1.2</v>
      </c>
      <c r="II42" s="166">
        <v>-17.790400000000002</v>
      </c>
      <c r="IJ42" s="166">
        <v>-17.578499999999998</v>
      </c>
      <c r="IK42" s="166">
        <v>-128.0591</v>
      </c>
      <c r="IL42" s="166">
        <v>9.6930999999999994</v>
      </c>
      <c r="IM42" s="166">
        <v>-252.732</v>
      </c>
      <c r="IN42" s="166">
        <v>-23.738700000000001</v>
      </c>
      <c r="IO42" s="166">
        <v>-33.761499999999998</v>
      </c>
      <c r="IP42" s="166">
        <v>106.1053</v>
      </c>
      <c r="IQ42" s="166">
        <v>55.626800000000003</v>
      </c>
      <c r="IR42" s="166">
        <v>93.6494</v>
      </c>
      <c r="IS42" s="166">
        <v>124.846</v>
      </c>
      <c r="IT42" s="166">
        <v>40.208599999999997</v>
      </c>
      <c r="IU42" s="166">
        <v>28.733699999999999</v>
      </c>
      <c r="IV42" s="166">
        <v>27.713100000000001</v>
      </c>
      <c r="IW42" s="166">
        <v>14.5589</v>
      </c>
      <c r="IX42" s="166">
        <v>179.6105</v>
      </c>
      <c r="IY42" s="166">
        <v>-226.00049999999999</v>
      </c>
      <c r="IZ42" s="166">
        <v>96.146799999999999</v>
      </c>
      <c r="JA42" s="166">
        <v>-85.155500000000004</v>
      </c>
      <c r="JB42" s="166">
        <v>-0.37480000000000002</v>
      </c>
      <c r="JC42" s="166">
        <v>1.121</v>
      </c>
      <c r="JD42" s="166">
        <v>-8.8000000000000007</v>
      </c>
      <c r="JE42" s="166">
        <v>-2.1659999999999999</v>
      </c>
      <c r="JF42" s="166">
        <v>-2.1659999999999999</v>
      </c>
      <c r="JG42" s="166">
        <v>3.6</v>
      </c>
      <c r="JH42" s="166">
        <v>-3.68</v>
      </c>
      <c r="JI42" s="166">
        <v>-1.7632000000000001</v>
      </c>
      <c r="JJ42" s="166">
        <v>-2.1652999999999998</v>
      </c>
      <c r="JK42" s="166">
        <v>9.8741000000000003</v>
      </c>
      <c r="JL42" s="166">
        <v>-5.3879999999999999</v>
      </c>
      <c r="JM42" s="166">
        <v>-7</v>
      </c>
      <c r="JN42" s="166">
        <v>6.8049999999999997</v>
      </c>
      <c r="JO42" s="166">
        <v>8.1639999999999997</v>
      </c>
      <c r="JP42" s="166">
        <v>1.8084</v>
      </c>
      <c r="JQ42" s="166">
        <v>2.0274999999999999</v>
      </c>
      <c r="JR42" s="166">
        <v>4.3352000000000004</v>
      </c>
      <c r="JS42" s="166">
        <v>3.7505000000000002</v>
      </c>
      <c r="JT42" s="166">
        <v>4.0812999999999997</v>
      </c>
      <c r="JU42" s="167"/>
      <c r="JV42" s="166">
        <v>26.9</v>
      </c>
      <c r="JW42" s="166">
        <v>-2.8016999999999999</v>
      </c>
      <c r="JX42" s="166">
        <v>1.1200000000000001</v>
      </c>
      <c r="JY42" s="167"/>
      <c r="JZ42" s="167"/>
      <c r="KA42" s="166">
        <v>-16.287800000000001</v>
      </c>
      <c r="KB42" s="166">
        <v>-21.595800000000001</v>
      </c>
      <c r="KC42" s="166">
        <v>0</v>
      </c>
      <c r="KD42" s="166">
        <v>12.016500000000001</v>
      </c>
      <c r="KE42" s="166">
        <v>-16.7331</v>
      </c>
      <c r="KF42" s="166">
        <v>3.9415</v>
      </c>
      <c r="KG42" s="166">
        <v>-22.3</v>
      </c>
      <c r="KH42" s="166">
        <v>4.5999999999999996</v>
      </c>
      <c r="KI42" s="166">
        <v>32.056199999999997</v>
      </c>
      <c r="KJ42" s="166">
        <v>-82.846800000000002</v>
      </c>
    </row>
    <row r="43" spans="1:296" ht="18" customHeight="1" x14ac:dyDescent="0.3">
      <c r="A43" s="162" t="s">
        <v>67</v>
      </c>
      <c r="B43" s="162" t="s">
        <v>842</v>
      </c>
      <c r="C43" s="166">
        <v>0</v>
      </c>
      <c r="D43" s="167"/>
      <c r="E43" s="166">
        <v>-0.9325</v>
      </c>
      <c r="F43" s="166">
        <v>-7.9461000000000004</v>
      </c>
      <c r="G43" s="166">
        <v>8.1797000000000004</v>
      </c>
      <c r="H43" s="166">
        <v>9.7666000000000004</v>
      </c>
      <c r="I43" s="167"/>
      <c r="J43" s="166">
        <v>9.1404999999999994</v>
      </c>
      <c r="K43" s="167"/>
      <c r="L43" s="166">
        <v>21.467400000000001</v>
      </c>
      <c r="M43" s="166">
        <v>9.1537000000000006</v>
      </c>
      <c r="N43" s="166">
        <v>10.504899999999999</v>
      </c>
      <c r="O43" s="166">
        <v>-13.32</v>
      </c>
      <c r="P43" s="166">
        <v>-28.6</v>
      </c>
      <c r="Q43" s="166">
        <v>6.6</v>
      </c>
      <c r="R43" s="166">
        <v>3.3119999999999998</v>
      </c>
      <c r="S43" s="166">
        <v>-19.8</v>
      </c>
      <c r="T43" s="166">
        <v>4.4101999999999997</v>
      </c>
      <c r="U43" s="166">
        <v>-14.5166</v>
      </c>
      <c r="V43" s="166">
        <v>5.3536999999999999</v>
      </c>
      <c r="W43" s="166">
        <v>5.3601000000000001</v>
      </c>
      <c r="X43" s="166">
        <v>9.3443000000000005</v>
      </c>
      <c r="Y43" s="166">
        <v>0.86770000000000003</v>
      </c>
      <c r="Z43" s="166">
        <v>-0.37890000000000001</v>
      </c>
      <c r="AA43" s="166">
        <v>1.4</v>
      </c>
      <c r="AB43" s="167"/>
      <c r="AC43" s="166">
        <v>-0.92869999999999997</v>
      </c>
      <c r="AD43" s="166">
        <v>-5.8000000000000003E-2</v>
      </c>
      <c r="AE43" s="166">
        <v>-4.4999999999999998E-2</v>
      </c>
      <c r="AF43" s="166">
        <v>2.5739999999999998</v>
      </c>
      <c r="AG43" s="166">
        <v>-6.66</v>
      </c>
      <c r="AH43" s="166">
        <v>-4.4000000000000004</v>
      </c>
      <c r="AI43" s="166">
        <v>-0.46800000000000003</v>
      </c>
      <c r="AJ43" s="166">
        <v>0.30499999999999999</v>
      </c>
      <c r="AK43" s="166">
        <v>-10.26</v>
      </c>
      <c r="AL43" s="166">
        <v>-9.76</v>
      </c>
      <c r="AM43" s="167"/>
      <c r="AN43" s="166">
        <v>-9.7899999999999991</v>
      </c>
      <c r="AO43" s="166">
        <v>-8.74</v>
      </c>
      <c r="AP43" s="166">
        <v>6.6486999999999998</v>
      </c>
      <c r="AQ43" s="166">
        <v>3.5001000000000002</v>
      </c>
      <c r="AR43" s="166">
        <v>17.8918</v>
      </c>
      <c r="AS43" s="166">
        <v>22.080100000000002</v>
      </c>
      <c r="AT43" s="166">
        <v>-13.2195</v>
      </c>
      <c r="AU43" s="166">
        <v>-3.0411000000000001</v>
      </c>
      <c r="AV43" s="166">
        <v>-2.6985999999999999</v>
      </c>
      <c r="AW43" s="166">
        <v>3.9140000000000001</v>
      </c>
      <c r="AX43" s="166">
        <v>3.4060000000000001</v>
      </c>
      <c r="AY43" s="166">
        <v>-16.0715</v>
      </c>
      <c r="AZ43" s="166">
        <v>-13.555999999999999</v>
      </c>
      <c r="BA43" s="166">
        <v>11.444900000000001</v>
      </c>
      <c r="BB43" s="166">
        <v>29.297799999999999</v>
      </c>
      <c r="BC43" s="166">
        <v>96.575400000000002</v>
      </c>
      <c r="BD43" s="166">
        <v>17.277699999999999</v>
      </c>
      <c r="BE43" s="166">
        <v>-6.3</v>
      </c>
      <c r="BF43" s="166">
        <v>-6.2</v>
      </c>
      <c r="BG43" s="166">
        <v>-27.9939</v>
      </c>
      <c r="BH43" s="166">
        <v>-27.931000000000001</v>
      </c>
      <c r="BI43" s="166">
        <v>-1.7375</v>
      </c>
      <c r="BJ43" s="167"/>
      <c r="BK43" s="166">
        <v>0.43680000000000002</v>
      </c>
      <c r="BL43" s="166">
        <v>7.1580000000000004</v>
      </c>
      <c r="BM43" s="166">
        <v>1.3602000000000001</v>
      </c>
      <c r="BN43" s="166">
        <v>1.0432999999999999</v>
      </c>
      <c r="BO43" s="166">
        <v>-144.10839999999999</v>
      </c>
      <c r="BP43" s="166">
        <v>115.6651</v>
      </c>
      <c r="BQ43" s="166">
        <v>115.9093</v>
      </c>
      <c r="BR43" s="166">
        <v>-44.293399999999998</v>
      </c>
      <c r="BS43" s="166">
        <v>-69.484200000000001</v>
      </c>
      <c r="BT43" s="167"/>
      <c r="BU43" s="167"/>
      <c r="BV43" s="167"/>
      <c r="BW43" s="166">
        <v>39.748600000000003</v>
      </c>
      <c r="BX43" s="166">
        <v>18.53</v>
      </c>
      <c r="BY43" s="167"/>
      <c r="BZ43" s="166">
        <v>-7.81</v>
      </c>
      <c r="CA43" s="166">
        <v>6.15</v>
      </c>
      <c r="CB43" s="166">
        <v>-25.1797</v>
      </c>
      <c r="CC43" s="166">
        <v>-25.1797</v>
      </c>
      <c r="CD43" s="166">
        <v>31.147400000000001</v>
      </c>
      <c r="CE43" s="166">
        <v>29.2226</v>
      </c>
      <c r="CF43" s="166">
        <v>-4.0679999999999996</v>
      </c>
      <c r="CG43" s="166">
        <v>31.535799999999998</v>
      </c>
      <c r="CH43" s="166">
        <v>31.088899999999999</v>
      </c>
      <c r="CI43" s="166">
        <v>5.5399999999999998E-2</v>
      </c>
      <c r="CJ43" s="167"/>
      <c r="CK43" s="166">
        <v>4.7912999999999997</v>
      </c>
      <c r="CL43" s="166">
        <v>9.359</v>
      </c>
      <c r="CM43" s="166">
        <v>-10.8</v>
      </c>
      <c r="CN43" s="166">
        <v>-11.5</v>
      </c>
      <c r="CO43" s="166">
        <v>-4.5</v>
      </c>
      <c r="CP43" s="166">
        <v>40.579099999999997</v>
      </c>
      <c r="CQ43" s="166">
        <v>40.809399999999997</v>
      </c>
      <c r="CR43" s="166">
        <v>38.357900000000001</v>
      </c>
      <c r="CS43" s="166">
        <v>71.520499999999998</v>
      </c>
      <c r="CT43" s="166">
        <v>72.081999999999994</v>
      </c>
      <c r="CU43" s="166">
        <v>-24.338799999999999</v>
      </c>
      <c r="CV43" s="166">
        <v>-67.432299999999998</v>
      </c>
      <c r="CW43" s="166">
        <v>-19.281400000000001</v>
      </c>
      <c r="CX43" s="166">
        <v>3.6875</v>
      </c>
      <c r="CY43" s="166">
        <v>40.130000000000003</v>
      </c>
      <c r="CZ43" s="166">
        <v>16.77</v>
      </c>
      <c r="DA43" s="166">
        <v>14.536099999999999</v>
      </c>
      <c r="DB43" s="166">
        <v>13.4796</v>
      </c>
      <c r="DC43" s="166">
        <v>-13.279199999999999</v>
      </c>
      <c r="DD43" s="167"/>
      <c r="DE43" s="167"/>
      <c r="DF43" s="167"/>
      <c r="DG43" s="166">
        <v>4.8826999999999998</v>
      </c>
      <c r="DH43" s="167"/>
      <c r="DI43" s="167"/>
      <c r="DJ43" s="166">
        <v>-54.2</v>
      </c>
      <c r="DK43" s="166">
        <v>-53.3</v>
      </c>
      <c r="DL43" s="166">
        <v>2.4493</v>
      </c>
      <c r="DM43" s="166">
        <v>15.6</v>
      </c>
      <c r="DN43" s="166">
        <v>14.3</v>
      </c>
      <c r="DO43" s="166">
        <v>20.440000000000001</v>
      </c>
      <c r="DP43" s="166">
        <v>10.09</v>
      </c>
      <c r="DQ43" s="166">
        <v>-3.3</v>
      </c>
      <c r="DR43" s="166">
        <v>13.779500000000001</v>
      </c>
      <c r="DS43" s="166">
        <v>-6.8353999999999999</v>
      </c>
      <c r="DT43" s="166">
        <v>-9.5</v>
      </c>
      <c r="DU43" s="166">
        <v>-9.59</v>
      </c>
      <c r="DV43" s="166">
        <v>30.29</v>
      </c>
      <c r="DW43" s="166">
        <v>-14.83</v>
      </c>
      <c r="DX43" s="166">
        <v>-7.9817999999999998</v>
      </c>
      <c r="DY43" s="166">
        <v>-4.7727000000000004</v>
      </c>
      <c r="DZ43" s="166">
        <v>-42.301400000000001</v>
      </c>
      <c r="EA43" s="166">
        <v>-41.8</v>
      </c>
      <c r="EB43" s="166">
        <v>34.750999999999998</v>
      </c>
      <c r="EC43" s="166">
        <v>6.3472</v>
      </c>
      <c r="ED43" s="166">
        <v>-4.2606000000000002</v>
      </c>
      <c r="EE43" s="166">
        <v>-3.3972000000000002</v>
      </c>
      <c r="EF43" s="166">
        <v>-16.979800000000001</v>
      </c>
      <c r="EG43" s="166">
        <v>-24.299099999999999</v>
      </c>
      <c r="EH43" s="166">
        <v>-12.972</v>
      </c>
      <c r="EI43" s="166">
        <v>-23.526800000000001</v>
      </c>
      <c r="EJ43" s="166">
        <v>-28.283999999999999</v>
      </c>
      <c r="EK43" s="167"/>
      <c r="EL43" s="166">
        <v>-9.6561000000000003</v>
      </c>
      <c r="EM43" s="166">
        <v>-9.4436</v>
      </c>
      <c r="EN43" s="167"/>
      <c r="EO43" s="166">
        <v>-10.8529</v>
      </c>
      <c r="EP43" s="166">
        <v>-10.342599999999999</v>
      </c>
      <c r="EQ43" s="166">
        <v>7.6959999999999997</v>
      </c>
      <c r="ER43" s="166">
        <v>-22.285399999999999</v>
      </c>
      <c r="ES43" s="166">
        <v>-22.271999999999998</v>
      </c>
      <c r="ET43" s="166">
        <v>13.398899999999999</v>
      </c>
      <c r="EU43" s="166">
        <v>0</v>
      </c>
      <c r="EV43" s="166">
        <v>-7.87</v>
      </c>
      <c r="EW43" s="166">
        <v>0</v>
      </c>
      <c r="EX43" s="166">
        <v>8.1926000000000005</v>
      </c>
      <c r="EY43" s="166">
        <v>-15.1591</v>
      </c>
      <c r="EZ43" s="166">
        <v>-9.9614999999999991</v>
      </c>
      <c r="FA43" s="166">
        <v>-9.8766999999999996</v>
      </c>
      <c r="FB43" s="166">
        <v>7.7994000000000003</v>
      </c>
      <c r="FC43" s="166">
        <v>13.5016</v>
      </c>
      <c r="FD43" s="166">
        <v>-24.962599999999998</v>
      </c>
      <c r="FE43" s="166">
        <v>7.4371</v>
      </c>
      <c r="FF43" s="166">
        <v>-0.66390000000000005</v>
      </c>
      <c r="FG43" s="167"/>
      <c r="FH43" s="166">
        <v>0</v>
      </c>
      <c r="FI43" s="166">
        <v>2.4344999999999999</v>
      </c>
      <c r="FJ43" s="167"/>
      <c r="FK43" s="166">
        <v>13.564</v>
      </c>
      <c r="FL43" s="166">
        <v>13.228999999999999</v>
      </c>
      <c r="FM43" s="166">
        <v>-14.903600000000001</v>
      </c>
      <c r="FN43" s="166">
        <v>24.315999999999999</v>
      </c>
      <c r="FO43" s="166">
        <v>24.295400000000001</v>
      </c>
      <c r="FP43" s="166">
        <v>-0.40339999999999998</v>
      </c>
      <c r="FQ43" s="166">
        <v>12.8169</v>
      </c>
      <c r="FR43" s="166">
        <v>22.628499999999999</v>
      </c>
      <c r="FS43" s="166">
        <v>-15.19</v>
      </c>
      <c r="FT43" s="167"/>
      <c r="FU43" s="166">
        <v>0.2172</v>
      </c>
      <c r="FV43" s="166">
        <v>-0.27</v>
      </c>
      <c r="FW43" s="166">
        <v>-0.87</v>
      </c>
      <c r="FX43" s="166">
        <v>-22.8108</v>
      </c>
      <c r="FY43" s="167"/>
      <c r="FZ43" s="166">
        <v>4.24</v>
      </c>
      <c r="GA43" s="166">
        <v>1.129</v>
      </c>
      <c r="GB43" s="167"/>
      <c r="GC43" s="166">
        <v>10.31</v>
      </c>
      <c r="GD43" s="166">
        <v>-23.347000000000001</v>
      </c>
      <c r="GE43" s="166">
        <v>-14.5229</v>
      </c>
      <c r="GF43" s="166">
        <v>-1.49</v>
      </c>
      <c r="GG43" s="166">
        <v>18.630600000000001</v>
      </c>
      <c r="GH43" s="167"/>
      <c r="GI43" s="166">
        <v>24.923100000000002</v>
      </c>
      <c r="GJ43" s="166">
        <v>-7.3613</v>
      </c>
      <c r="GK43" s="166">
        <v>-8.0868000000000002</v>
      </c>
      <c r="GL43" s="166">
        <v>3.2164000000000001</v>
      </c>
      <c r="GM43" s="167"/>
      <c r="GN43" s="167"/>
      <c r="GO43" s="166">
        <v>-13.5288</v>
      </c>
      <c r="GP43" s="166">
        <v>72.618899999999996</v>
      </c>
      <c r="GQ43" s="166">
        <v>1.3201000000000001</v>
      </c>
      <c r="GR43" s="166">
        <v>-23.892800000000001</v>
      </c>
      <c r="GS43" s="166">
        <v>-6.7708000000000004</v>
      </c>
      <c r="GT43" s="166">
        <v>-6.6086</v>
      </c>
      <c r="GU43" s="166">
        <v>97.346299999999999</v>
      </c>
      <c r="GV43" s="166">
        <v>-5.9614000000000003</v>
      </c>
      <c r="GW43" s="166">
        <v>-6.6622000000000003</v>
      </c>
      <c r="GX43" s="166">
        <v>-15.831200000000001</v>
      </c>
      <c r="GY43" s="166">
        <v>2.5571999999999999</v>
      </c>
      <c r="GZ43" s="166">
        <v>7.6338999999999997</v>
      </c>
      <c r="HA43" s="166">
        <v>7.8164999999999996</v>
      </c>
      <c r="HB43" s="166">
        <v>1.8272999999999999</v>
      </c>
      <c r="HC43" s="166">
        <v>-3.8654999999999999</v>
      </c>
      <c r="HD43" s="166">
        <v>-2.2709000000000001</v>
      </c>
      <c r="HE43" s="166">
        <v>-6.29</v>
      </c>
      <c r="HF43" s="166">
        <v>8.3300999999999998</v>
      </c>
      <c r="HG43" s="166">
        <v>21.196300000000001</v>
      </c>
      <c r="HH43" s="166">
        <v>42.286700000000003</v>
      </c>
      <c r="HI43" s="166">
        <v>78.910899999999998</v>
      </c>
      <c r="HJ43" s="166">
        <v>-4.0820999999999996</v>
      </c>
      <c r="HK43" s="166">
        <v>46.711399999999998</v>
      </c>
      <c r="HL43" s="167"/>
      <c r="HM43" s="166">
        <v>-9.1920999999999999</v>
      </c>
      <c r="HN43" s="166">
        <v>0</v>
      </c>
      <c r="HO43" s="166">
        <v>-10.757899999999999</v>
      </c>
      <c r="HP43" s="166">
        <v>42.427599999999998</v>
      </c>
      <c r="HQ43" s="167"/>
      <c r="HR43" s="166">
        <v>-16.797000000000001</v>
      </c>
      <c r="HS43" s="166">
        <v>-16.209199999999999</v>
      </c>
      <c r="HT43" s="166">
        <v>-15.698</v>
      </c>
      <c r="HU43" s="166">
        <v>-15.6157</v>
      </c>
      <c r="HV43" s="166">
        <v>13.77</v>
      </c>
      <c r="HW43" s="166">
        <v>14.45</v>
      </c>
      <c r="HX43" s="166">
        <v>-33.4</v>
      </c>
      <c r="HY43" s="166">
        <v>-34</v>
      </c>
      <c r="HZ43" s="166">
        <v>0.21149999999999999</v>
      </c>
      <c r="IA43" s="166">
        <v>0.08</v>
      </c>
      <c r="IB43" s="166">
        <v>62.621400000000001</v>
      </c>
      <c r="IC43" s="166">
        <v>30.335599999999999</v>
      </c>
      <c r="ID43" s="166">
        <v>29.299099999999999</v>
      </c>
      <c r="IE43" s="166">
        <v>-15.7</v>
      </c>
      <c r="IF43" s="166">
        <v>-42.2</v>
      </c>
      <c r="IG43" s="166">
        <v>0.4</v>
      </c>
      <c r="IH43" s="166">
        <v>0</v>
      </c>
      <c r="II43" s="166">
        <v>-17.966000000000001</v>
      </c>
      <c r="IJ43" s="166">
        <v>-17.8613</v>
      </c>
      <c r="IK43" s="166">
        <v>-100.86190000000001</v>
      </c>
      <c r="IL43" s="166">
        <v>23.154199999999999</v>
      </c>
      <c r="IM43" s="166">
        <v>-281.79640000000001</v>
      </c>
      <c r="IN43" s="166">
        <v>-21.8035</v>
      </c>
      <c r="IO43" s="166">
        <v>-31.598500000000001</v>
      </c>
      <c r="IP43" s="166">
        <v>134.25110000000001</v>
      </c>
      <c r="IQ43" s="166">
        <v>28.904299999999999</v>
      </c>
      <c r="IR43" s="166">
        <v>129.50360000000001</v>
      </c>
      <c r="IS43" s="166">
        <v>94.511399999999995</v>
      </c>
      <c r="IT43" s="166">
        <v>77.706100000000006</v>
      </c>
      <c r="IU43" s="166">
        <v>21.961400000000001</v>
      </c>
      <c r="IV43" s="166">
        <v>20.8903</v>
      </c>
      <c r="IW43" s="166">
        <v>-19.1584</v>
      </c>
      <c r="IX43" s="166">
        <v>256.58839999999998</v>
      </c>
      <c r="IY43" s="166">
        <v>-190.72630000000001</v>
      </c>
      <c r="IZ43" s="166">
        <v>79.706699999999998</v>
      </c>
      <c r="JA43" s="166">
        <v>-62.1907</v>
      </c>
      <c r="JB43" s="166">
        <v>-1.9665999999999999</v>
      </c>
      <c r="JC43" s="166">
        <v>1.008</v>
      </c>
      <c r="JD43" s="166">
        <v>-8.9600000000000009</v>
      </c>
      <c r="JE43" s="166">
        <v>-2.2789999999999999</v>
      </c>
      <c r="JF43" s="166">
        <v>-2.2930000000000001</v>
      </c>
      <c r="JG43" s="166">
        <v>4.16</v>
      </c>
      <c r="JH43" s="166">
        <v>-3.12</v>
      </c>
      <c r="JI43" s="166">
        <v>-2.8921000000000001</v>
      </c>
      <c r="JJ43" s="166">
        <v>-2.9281999999999999</v>
      </c>
      <c r="JK43" s="166">
        <v>8.3513000000000002</v>
      </c>
      <c r="JL43" s="166">
        <v>-5.3605</v>
      </c>
      <c r="JM43" s="166">
        <v>-4.8</v>
      </c>
      <c r="JN43" s="166">
        <v>6.4169999999999998</v>
      </c>
      <c r="JO43" s="166">
        <v>6.82</v>
      </c>
      <c r="JP43" s="166">
        <v>1.7675000000000001</v>
      </c>
      <c r="JQ43" s="166">
        <v>1.9806999999999999</v>
      </c>
      <c r="JR43" s="166">
        <v>4.0376000000000003</v>
      </c>
      <c r="JS43" s="166">
        <v>4.5350999999999999</v>
      </c>
      <c r="JT43" s="166">
        <v>4.2058999999999997</v>
      </c>
      <c r="JU43" s="167"/>
      <c r="JV43" s="166">
        <v>26.7</v>
      </c>
      <c r="JW43" s="166">
        <v>-4.0888999999999998</v>
      </c>
      <c r="JX43" s="166">
        <v>0.91</v>
      </c>
      <c r="JY43" s="167"/>
      <c r="JZ43" s="166">
        <v>-2.9676</v>
      </c>
      <c r="KA43" s="166">
        <v>-14.8855</v>
      </c>
      <c r="KB43" s="166">
        <v>-19.019600000000001</v>
      </c>
      <c r="KC43" s="166">
        <v>-2.0102000000000002</v>
      </c>
      <c r="KD43" s="166">
        <v>10.513500000000001</v>
      </c>
      <c r="KE43" s="166">
        <v>-14.6294</v>
      </c>
      <c r="KF43" s="166">
        <v>3.6461999999999999</v>
      </c>
      <c r="KG43" s="166">
        <v>-21.5</v>
      </c>
      <c r="KH43" s="166">
        <v>4.2</v>
      </c>
      <c r="KI43" s="166">
        <v>34.399299999999997</v>
      </c>
      <c r="KJ43" s="166">
        <v>-99.885900000000007</v>
      </c>
    </row>
    <row r="44" spans="1:296" ht="18" customHeight="1" x14ac:dyDescent="0.3">
      <c r="A44" s="162" t="s">
        <v>67</v>
      </c>
      <c r="B44" s="162" t="s">
        <v>843</v>
      </c>
      <c r="C44" s="166">
        <v>0</v>
      </c>
      <c r="D44" s="167"/>
      <c r="E44" s="166">
        <v>2.1168999999999998</v>
      </c>
      <c r="F44" s="166">
        <v>-7.2222</v>
      </c>
      <c r="G44" s="166">
        <v>8.9979999999999993</v>
      </c>
      <c r="H44" s="166">
        <v>8.2711000000000006</v>
      </c>
      <c r="I44" s="167"/>
      <c r="J44" s="166">
        <v>7.9004000000000003</v>
      </c>
      <c r="K44" s="167"/>
      <c r="L44" s="166">
        <v>20.1068</v>
      </c>
      <c r="M44" s="166">
        <v>8.6326999999999998</v>
      </c>
      <c r="N44" s="166">
        <v>9.9254999999999995</v>
      </c>
      <c r="O44" s="166">
        <v>-13.32</v>
      </c>
      <c r="P44" s="166">
        <v>-28.6</v>
      </c>
      <c r="Q44" s="166">
        <v>4.4000000000000004</v>
      </c>
      <c r="R44" s="166">
        <v>1.6559999999999999</v>
      </c>
      <c r="S44" s="166">
        <v>-17.600000000000001</v>
      </c>
      <c r="T44" s="166">
        <v>4.2405999999999997</v>
      </c>
      <c r="U44" s="166">
        <v>-13.9764</v>
      </c>
      <c r="V44" s="166">
        <v>3.6989999999999998</v>
      </c>
      <c r="W44" s="166">
        <v>3.5169000000000001</v>
      </c>
      <c r="X44" s="166">
        <v>6.5925000000000002</v>
      </c>
      <c r="Y44" s="166">
        <v>0.80159999999999998</v>
      </c>
      <c r="Z44" s="166">
        <v>-1.3441000000000001</v>
      </c>
      <c r="AA44" s="166">
        <v>0.40720000000000001</v>
      </c>
      <c r="AB44" s="167"/>
      <c r="AC44" s="166">
        <v>-0.6159</v>
      </c>
      <c r="AD44" s="166">
        <v>-0.246</v>
      </c>
      <c r="AE44" s="166">
        <v>-0.223</v>
      </c>
      <c r="AF44" s="166">
        <v>2.9660000000000002</v>
      </c>
      <c r="AG44" s="166">
        <v>-6.66</v>
      </c>
      <c r="AH44" s="166">
        <v>-4.4000000000000004</v>
      </c>
      <c r="AI44" s="166">
        <v>-0.47299999999999998</v>
      </c>
      <c r="AJ44" s="166">
        <v>0.316</v>
      </c>
      <c r="AK44" s="166">
        <v>-12.18</v>
      </c>
      <c r="AL44" s="166">
        <v>-12.17</v>
      </c>
      <c r="AM44" s="167"/>
      <c r="AN44" s="166">
        <v>-8.5500000000000007</v>
      </c>
      <c r="AO44" s="166">
        <v>-8.6300000000000008</v>
      </c>
      <c r="AP44" s="166">
        <v>5.5050999999999997</v>
      </c>
      <c r="AQ44" s="166">
        <v>3.734</v>
      </c>
      <c r="AR44" s="166">
        <v>18.566800000000001</v>
      </c>
      <c r="AS44" s="166">
        <v>23.013300000000001</v>
      </c>
      <c r="AT44" s="166">
        <v>-13.5665</v>
      </c>
      <c r="AU44" s="166">
        <v>-5.6505000000000001</v>
      </c>
      <c r="AV44" s="166">
        <v>-5.4855999999999998</v>
      </c>
      <c r="AW44" s="166">
        <v>4.0237999999999996</v>
      </c>
      <c r="AX44" s="166">
        <v>4.0898000000000003</v>
      </c>
      <c r="AY44" s="166">
        <v>-14.563700000000001</v>
      </c>
      <c r="AZ44" s="166">
        <v>-12.082599999999999</v>
      </c>
      <c r="BA44" s="166">
        <v>19.293600000000001</v>
      </c>
      <c r="BB44" s="166">
        <v>20.409500000000001</v>
      </c>
      <c r="BC44" s="166">
        <v>93.587699999999998</v>
      </c>
      <c r="BD44" s="166">
        <v>13.2875</v>
      </c>
      <c r="BE44" s="166">
        <v>-5.4</v>
      </c>
      <c r="BF44" s="166">
        <v>-5.4</v>
      </c>
      <c r="BG44" s="166">
        <v>-28.058700000000002</v>
      </c>
      <c r="BH44" s="166">
        <v>-27.811499999999999</v>
      </c>
      <c r="BI44" s="166">
        <v>-2.2728000000000002</v>
      </c>
      <c r="BJ44" s="167"/>
      <c r="BK44" s="166">
        <v>-0.2329</v>
      </c>
      <c r="BL44" s="166">
        <v>6.79</v>
      </c>
      <c r="BM44" s="166">
        <v>1.9056999999999999</v>
      </c>
      <c r="BN44" s="166">
        <v>1.3226</v>
      </c>
      <c r="BO44" s="166">
        <v>-148.16730000000001</v>
      </c>
      <c r="BP44" s="166">
        <v>113.5288</v>
      </c>
      <c r="BQ44" s="166">
        <v>114.1392</v>
      </c>
      <c r="BR44" s="166">
        <v>-27.9313</v>
      </c>
      <c r="BS44" s="166">
        <v>-62.725900000000003</v>
      </c>
      <c r="BT44" s="167"/>
      <c r="BU44" s="167"/>
      <c r="BV44" s="167"/>
      <c r="BW44" s="166">
        <v>38.700699999999998</v>
      </c>
      <c r="BX44" s="166">
        <v>19.07</v>
      </c>
      <c r="BY44" s="167"/>
      <c r="BZ44" s="166">
        <v>-8.1300000000000008</v>
      </c>
      <c r="CA44" s="166">
        <v>0.22</v>
      </c>
      <c r="CB44" s="166">
        <v>-20.6252</v>
      </c>
      <c r="CC44" s="166">
        <v>-20.491199999999999</v>
      </c>
      <c r="CD44" s="166">
        <v>28.101099999999999</v>
      </c>
      <c r="CE44" s="166">
        <v>26.357299999999999</v>
      </c>
      <c r="CF44" s="166">
        <v>-3.0666000000000002</v>
      </c>
      <c r="CG44" s="166">
        <v>13.8307</v>
      </c>
      <c r="CH44" s="166">
        <v>13.766500000000001</v>
      </c>
      <c r="CI44" s="166">
        <v>-7.5399999999999995E-2</v>
      </c>
      <c r="CJ44" s="167"/>
      <c r="CK44" s="166">
        <v>-1.5316000000000001</v>
      </c>
      <c r="CL44" s="166">
        <v>-2.2919999999999998</v>
      </c>
      <c r="CM44" s="166">
        <v>-5.8</v>
      </c>
      <c r="CN44" s="166">
        <v>-6.3</v>
      </c>
      <c r="CO44" s="166">
        <v>-4.59</v>
      </c>
      <c r="CP44" s="166">
        <v>32.476100000000002</v>
      </c>
      <c r="CQ44" s="166">
        <v>32.772399999999998</v>
      </c>
      <c r="CR44" s="166">
        <v>30.647099999999998</v>
      </c>
      <c r="CS44" s="166">
        <v>69.635000000000005</v>
      </c>
      <c r="CT44" s="166">
        <v>69.414100000000005</v>
      </c>
      <c r="CU44" s="166">
        <v>-27.657299999999999</v>
      </c>
      <c r="CV44" s="166">
        <v>-62.818800000000003</v>
      </c>
      <c r="CW44" s="166">
        <v>-22.196999999999999</v>
      </c>
      <c r="CX44" s="166">
        <v>4.0157999999999996</v>
      </c>
      <c r="CY44" s="166">
        <v>40.200000000000003</v>
      </c>
      <c r="CZ44" s="166">
        <v>16.78</v>
      </c>
      <c r="DA44" s="166">
        <v>13.598599999999999</v>
      </c>
      <c r="DB44" s="166">
        <v>12.6007</v>
      </c>
      <c r="DC44" s="166">
        <v>-12.544700000000001</v>
      </c>
      <c r="DD44" s="167"/>
      <c r="DE44" s="167"/>
      <c r="DF44" s="167"/>
      <c r="DG44" s="166">
        <v>6.5731000000000002</v>
      </c>
      <c r="DH44" s="167"/>
      <c r="DI44" s="167"/>
      <c r="DJ44" s="166">
        <v>-51.8</v>
      </c>
      <c r="DK44" s="166">
        <v>-51</v>
      </c>
      <c r="DL44" s="166">
        <v>1.5741000000000001</v>
      </c>
      <c r="DM44" s="166">
        <v>16.600000000000001</v>
      </c>
      <c r="DN44" s="166">
        <v>15.22</v>
      </c>
      <c r="DO44" s="166">
        <v>21.38</v>
      </c>
      <c r="DP44" s="166">
        <v>10.63</v>
      </c>
      <c r="DQ44" s="166">
        <v>-3.22</v>
      </c>
      <c r="DR44" s="166">
        <v>11.749000000000001</v>
      </c>
      <c r="DS44" s="166">
        <v>-7.5853999999999999</v>
      </c>
      <c r="DT44" s="166">
        <v>-1.1599999999999999</v>
      </c>
      <c r="DU44" s="166">
        <v>-1.19</v>
      </c>
      <c r="DV44" s="166">
        <v>15.63</v>
      </c>
      <c r="DW44" s="166">
        <v>-15.54</v>
      </c>
      <c r="DX44" s="166">
        <v>-8.6364000000000001</v>
      </c>
      <c r="DY44" s="166">
        <v>-4.7545000000000002</v>
      </c>
      <c r="DZ44" s="166">
        <v>-41.250799999999998</v>
      </c>
      <c r="EA44" s="166">
        <v>-40.163600000000002</v>
      </c>
      <c r="EB44" s="166">
        <v>27.0945</v>
      </c>
      <c r="EC44" s="166">
        <v>-0.21379999999999999</v>
      </c>
      <c r="ED44" s="166">
        <v>-9.4707000000000008</v>
      </c>
      <c r="EE44" s="166">
        <v>-9.7940000000000005</v>
      </c>
      <c r="EF44" s="166">
        <v>-23.7041</v>
      </c>
      <c r="EG44" s="166">
        <v>-32.631999999999998</v>
      </c>
      <c r="EH44" s="166">
        <v>-13.801</v>
      </c>
      <c r="EI44" s="166">
        <v>-43.598599999999998</v>
      </c>
      <c r="EJ44" s="166">
        <v>-25.771899999999999</v>
      </c>
      <c r="EK44" s="167"/>
      <c r="EL44" s="166">
        <v>-5.6487999999999996</v>
      </c>
      <c r="EM44" s="166">
        <v>-5.1535000000000002</v>
      </c>
      <c r="EN44" s="167"/>
      <c r="EO44" s="166">
        <v>-4.9259000000000004</v>
      </c>
      <c r="EP44" s="166">
        <v>-5.0168999999999997</v>
      </c>
      <c r="EQ44" s="166">
        <v>-1.54</v>
      </c>
      <c r="ER44" s="166">
        <v>-19.754999999999999</v>
      </c>
      <c r="ES44" s="166">
        <v>-19.646599999999999</v>
      </c>
      <c r="ET44" s="166">
        <v>14.7567</v>
      </c>
      <c r="EU44" s="166">
        <v>0</v>
      </c>
      <c r="EV44" s="166">
        <v>-12.5</v>
      </c>
      <c r="EW44" s="166">
        <v>0</v>
      </c>
      <c r="EX44" s="166">
        <v>7.1105999999999998</v>
      </c>
      <c r="EY44" s="166">
        <v>-3.7073999999999998</v>
      </c>
      <c r="EZ44" s="166">
        <v>-9.6128999999999998</v>
      </c>
      <c r="FA44" s="166">
        <v>-9.5761000000000003</v>
      </c>
      <c r="FB44" s="166">
        <v>6.2911999999999999</v>
      </c>
      <c r="FC44" s="166">
        <v>16.270800000000001</v>
      </c>
      <c r="FD44" s="166">
        <v>-28.143599999999999</v>
      </c>
      <c r="FE44" s="166">
        <v>7.6971999999999996</v>
      </c>
      <c r="FF44" s="166">
        <v>-0.59140000000000004</v>
      </c>
      <c r="FG44" s="167"/>
      <c r="FH44" s="166">
        <v>0</v>
      </c>
      <c r="FI44" s="166">
        <v>0</v>
      </c>
      <c r="FJ44" s="167"/>
      <c r="FK44" s="166">
        <v>8.5403000000000002</v>
      </c>
      <c r="FL44" s="166">
        <v>8.7077000000000009</v>
      </c>
      <c r="FM44" s="166">
        <v>-15.406000000000001</v>
      </c>
      <c r="FN44" s="166">
        <v>22.058800000000002</v>
      </c>
      <c r="FO44" s="166">
        <v>21.720300000000002</v>
      </c>
      <c r="FP44" s="166">
        <v>-1.8263</v>
      </c>
      <c r="FQ44" s="166">
        <v>11.5579</v>
      </c>
      <c r="FR44" s="166">
        <v>22.628499999999999</v>
      </c>
      <c r="FS44" s="166">
        <v>-14.9</v>
      </c>
      <c r="FT44" s="167"/>
      <c r="FU44" s="166">
        <v>0.28039999999999998</v>
      </c>
      <c r="FV44" s="166">
        <v>-0.26</v>
      </c>
      <c r="FW44" s="166">
        <v>-1.41</v>
      </c>
      <c r="FX44" s="166">
        <v>-22.485399999999998</v>
      </c>
      <c r="FY44" s="167"/>
      <c r="FZ44" s="166">
        <v>4.1210000000000004</v>
      </c>
      <c r="GA44" s="166">
        <v>0.94099999999999995</v>
      </c>
      <c r="GB44" s="167"/>
      <c r="GC44" s="166">
        <v>10.34</v>
      </c>
      <c r="GD44" s="166">
        <v>-24.1921</v>
      </c>
      <c r="GE44" s="166">
        <v>-16.163499999999999</v>
      </c>
      <c r="GF44" s="166">
        <v>-1.4</v>
      </c>
      <c r="GG44" s="166">
        <v>18.600000000000001</v>
      </c>
      <c r="GH44" s="167"/>
      <c r="GI44" s="166">
        <v>21.054300000000001</v>
      </c>
      <c r="GJ44" s="166">
        <v>-4.9890999999999996</v>
      </c>
      <c r="GK44" s="166">
        <v>-5.5517000000000003</v>
      </c>
      <c r="GL44" s="166">
        <v>3.5322</v>
      </c>
      <c r="GM44" s="167"/>
      <c r="GN44" s="167"/>
      <c r="GO44" s="166">
        <v>-12.899100000000001</v>
      </c>
      <c r="GP44" s="166">
        <v>64.624099999999999</v>
      </c>
      <c r="GQ44" s="166">
        <v>0.66479999999999995</v>
      </c>
      <c r="GR44" s="166">
        <v>-19.517499999999998</v>
      </c>
      <c r="GS44" s="166">
        <v>-7.5648</v>
      </c>
      <c r="GT44" s="166">
        <v>-7.8175999999999997</v>
      </c>
      <c r="GU44" s="166">
        <v>97.8078</v>
      </c>
      <c r="GV44" s="166">
        <v>-6.3630000000000004</v>
      </c>
      <c r="GW44" s="166">
        <v>-7.8105000000000002</v>
      </c>
      <c r="GX44" s="166">
        <v>-14.6975</v>
      </c>
      <c r="GY44" s="166">
        <v>2.1293000000000002</v>
      </c>
      <c r="GZ44" s="166">
        <v>8.0587</v>
      </c>
      <c r="HA44" s="166">
        <v>8.2209000000000003</v>
      </c>
      <c r="HB44" s="166">
        <v>1.4505999999999999</v>
      </c>
      <c r="HC44" s="166">
        <v>-1.6788000000000001</v>
      </c>
      <c r="HD44" s="166">
        <v>0</v>
      </c>
      <c r="HE44" s="166">
        <v>-9.64</v>
      </c>
      <c r="HF44" s="166">
        <v>10.9594</v>
      </c>
      <c r="HG44" s="166">
        <v>29.372800000000002</v>
      </c>
      <c r="HH44" s="166">
        <v>40.391399999999997</v>
      </c>
      <c r="HI44" s="166">
        <v>83.1143</v>
      </c>
      <c r="HJ44" s="166">
        <v>-2.4262000000000001</v>
      </c>
      <c r="HK44" s="166">
        <v>48.755800000000001</v>
      </c>
      <c r="HL44" s="166">
        <v>0</v>
      </c>
      <c r="HM44" s="166">
        <v>-10.236000000000001</v>
      </c>
      <c r="HN44" s="166">
        <v>0</v>
      </c>
      <c r="HO44" s="166">
        <v>0</v>
      </c>
      <c r="HP44" s="166">
        <v>30.007200000000001</v>
      </c>
      <c r="HQ44" s="166">
        <v>30.279399999999999</v>
      </c>
      <c r="HR44" s="166">
        <v>-18.0824</v>
      </c>
      <c r="HS44" s="166">
        <v>-17.8462</v>
      </c>
      <c r="HT44" s="166">
        <v>-19.1844</v>
      </c>
      <c r="HU44" s="166">
        <v>-18.930399999999999</v>
      </c>
      <c r="HV44" s="166">
        <v>10.3</v>
      </c>
      <c r="HW44" s="166">
        <v>10.58</v>
      </c>
      <c r="HX44" s="166">
        <v>-29.1</v>
      </c>
      <c r="HY44" s="166">
        <v>-29.1</v>
      </c>
      <c r="HZ44" s="166">
        <v>-1.7399999999999999E-2</v>
      </c>
      <c r="IA44" s="166">
        <v>0.24</v>
      </c>
      <c r="IB44" s="166">
        <v>64.279799999999994</v>
      </c>
      <c r="IC44" s="166">
        <v>30.839099999999998</v>
      </c>
      <c r="ID44" s="166">
        <v>30.513400000000001</v>
      </c>
      <c r="IE44" s="166">
        <v>-16.5</v>
      </c>
      <c r="IF44" s="166">
        <v>-40.5</v>
      </c>
      <c r="IG44" s="166">
        <v>1.7</v>
      </c>
      <c r="IH44" s="166">
        <v>1.2</v>
      </c>
      <c r="II44" s="166">
        <v>-17.966000000000001</v>
      </c>
      <c r="IJ44" s="166">
        <v>-17.8613</v>
      </c>
      <c r="IK44" s="166">
        <v>-106.85590000000001</v>
      </c>
      <c r="IL44" s="166">
        <v>14.7523</v>
      </c>
      <c r="IM44" s="166">
        <v>-280.01029999999997</v>
      </c>
      <c r="IN44" s="166">
        <v>-19.1205</v>
      </c>
      <c r="IO44" s="166">
        <v>-33.572899999999997</v>
      </c>
      <c r="IP44" s="166">
        <v>135.9144</v>
      </c>
      <c r="IQ44" s="166">
        <v>27.283100000000001</v>
      </c>
      <c r="IR44" s="166">
        <v>127.11920000000001</v>
      </c>
      <c r="IS44" s="166">
        <v>96.322500000000005</v>
      </c>
      <c r="IT44" s="166">
        <v>73.994600000000005</v>
      </c>
      <c r="IU44" s="166">
        <v>23.929200000000002</v>
      </c>
      <c r="IV44" s="166">
        <v>24.4648</v>
      </c>
      <c r="IW44" s="166">
        <v>-19.9054</v>
      </c>
      <c r="IX44" s="166">
        <v>256.30439999999999</v>
      </c>
      <c r="IY44" s="166">
        <v>-190.16159999999999</v>
      </c>
      <c r="IZ44" s="166">
        <v>75.687700000000007</v>
      </c>
      <c r="JA44" s="166">
        <v>-55.923099999999998</v>
      </c>
      <c r="JB44" s="166">
        <v>-1.7322</v>
      </c>
      <c r="JC44" s="166">
        <v>2.5999999999999999E-2</v>
      </c>
      <c r="JD44" s="166">
        <v>-7.68</v>
      </c>
      <c r="JE44" s="166">
        <v>-2.2789999999999999</v>
      </c>
      <c r="JF44" s="166">
        <v>-2.2869999999999999</v>
      </c>
      <c r="JG44" s="166">
        <v>2.72</v>
      </c>
      <c r="JH44" s="166">
        <v>-0.48</v>
      </c>
      <c r="JI44" s="166">
        <v>-3.3094999999999999</v>
      </c>
      <c r="JJ44" s="166">
        <v>-5.5069999999999997</v>
      </c>
      <c r="JK44" s="166">
        <v>9.1417000000000002</v>
      </c>
      <c r="JL44" s="166">
        <v>-7.0602999999999998</v>
      </c>
      <c r="JM44" s="166">
        <v>-1.2</v>
      </c>
      <c r="JN44" s="166">
        <v>8.0389999999999997</v>
      </c>
      <c r="JO44" s="166">
        <v>8.1150000000000002</v>
      </c>
      <c r="JP44" s="166">
        <v>0</v>
      </c>
      <c r="JQ44" s="166">
        <v>0</v>
      </c>
      <c r="JR44" s="166">
        <v>3.5103</v>
      </c>
      <c r="JS44" s="166">
        <v>4.4523999999999999</v>
      </c>
      <c r="JT44" s="166">
        <v>4.1661999999999999</v>
      </c>
      <c r="JU44" s="167"/>
      <c r="JV44" s="166">
        <v>25.9</v>
      </c>
      <c r="JW44" s="166">
        <v>1.8927</v>
      </c>
      <c r="JX44" s="166">
        <v>0.94</v>
      </c>
      <c r="JY44" s="167"/>
      <c r="JZ44" s="166">
        <v>-2.7955999999999999</v>
      </c>
      <c r="KA44" s="166">
        <v>-15.301500000000001</v>
      </c>
      <c r="KB44" s="166">
        <v>-19.5932</v>
      </c>
      <c r="KC44" s="166">
        <v>-1.6479999999999999</v>
      </c>
      <c r="KD44" s="166">
        <v>10.9306</v>
      </c>
      <c r="KE44" s="166">
        <v>-13.296900000000001</v>
      </c>
      <c r="KF44" s="166">
        <v>2.6061999999999999</v>
      </c>
      <c r="KG44" s="166">
        <v>-20.6</v>
      </c>
      <c r="KH44" s="166">
        <v>3.3</v>
      </c>
      <c r="KI44" s="166">
        <v>47.805999999999997</v>
      </c>
      <c r="KJ44" s="166">
        <v>-106.45399999999999</v>
      </c>
    </row>
    <row r="45" spans="1:296" ht="18" customHeight="1" x14ac:dyDescent="0.3">
      <c r="A45" s="162" t="s">
        <v>67</v>
      </c>
      <c r="B45" s="162" t="s">
        <v>844</v>
      </c>
      <c r="C45" s="166">
        <v>0</v>
      </c>
      <c r="D45" s="167"/>
      <c r="E45" s="166">
        <v>2.3700999999999999</v>
      </c>
      <c r="F45" s="166">
        <v>-7.7127999999999997</v>
      </c>
      <c r="G45" s="166">
        <v>6.5873999999999997</v>
      </c>
      <c r="H45" s="166">
        <v>8.7683</v>
      </c>
      <c r="I45" s="167"/>
      <c r="J45" s="166">
        <v>11.3344</v>
      </c>
      <c r="K45" s="167"/>
      <c r="L45" s="166">
        <v>17.844100000000001</v>
      </c>
      <c r="M45" s="166">
        <v>7.5267999999999997</v>
      </c>
      <c r="N45" s="166">
        <v>8.8682999999999996</v>
      </c>
      <c r="O45" s="166">
        <v>-8.8800000000000008</v>
      </c>
      <c r="P45" s="166">
        <v>-28.6</v>
      </c>
      <c r="Q45" s="166">
        <v>4.4000000000000004</v>
      </c>
      <c r="R45" s="166">
        <v>0.82799999999999996</v>
      </c>
      <c r="S45" s="166">
        <v>-17.600000000000001</v>
      </c>
      <c r="T45" s="166">
        <v>3.8572000000000002</v>
      </c>
      <c r="U45" s="166">
        <v>-14.011799999999999</v>
      </c>
      <c r="V45" s="166">
        <v>5.5744999999999996</v>
      </c>
      <c r="W45" s="166">
        <v>5.5114000000000001</v>
      </c>
      <c r="X45" s="166">
        <v>9.9269999999999996</v>
      </c>
      <c r="Y45" s="166">
        <v>0.46129999999999999</v>
      </c>
      <c r="Z45" s="166">
        <v>0.26179999999999998</v>
      </c>
      <c r="AA45" s="166">
        <v>0.37890000000000001</v>
      </c>
      <c r="AB45" s="167"/>
      <c r="AC45" s="166">
        <v>-0.59650000000000003</v>
      </c>
      <c r="AD45" s="166">
        <v>-0.20499999999999999</v>
      </c>
      <c r="AE45" s="166">
        <v>-0.17299999999999999</v>
      </c>
      <c r="AF45" s="166">
        <v>3.7530000000000001</v>
      </c>
      <c r="AG45" s="166">
        <v>-11.1</v>
      </c>
      <c r="AH45" s="166">
        <v>-2.2000000000000002</v>
      </c>
      <c r="AI45" s="166">
        <v>-0.26300000000000001</v>
      </c>
      <c r="AJ45" s="166">
        <v>0.34799999999999998</v>
      </c>
      <c r="AK45" s="166">
        <v>-10.9</v>
      </c>
      <c r="AL45" s="166">
        <v>-10.92</v>
      </c>
      <c r="AM45" s="167"/>
      <c r="AN45" s="166">
        <v>-6.12</v>
      </c>
      <c r="AO45" s="166">
        <v>-6.09</v>
      </c>
      <c r="AP45" s="166">
        <v>5.6936999999999998</v>
      </c>
      <c r="AQ45" s="166">
        <v>3.4809999999999999</v>
      </c>
      <c r="AR45" s="166">
        <v>19.367100000000001</v>
      </c>
      <c r="AS45" s="166">
        <v>23.793299999999999</v>
      </c>
      <c r="AT45" s="166">
        <v>-15.022600000000001</v>
      </c>
      <c r="AU45" s="166">
        <v>-5.1116000000000001</v>
      </c>
      <c r="AV45" s="166">
        <v>-4.8971999999999998</v>
      </c>
      <c r="AW45" s="166">
        <v>1.0281</v>
      </c>
      <c r="AX45" s="166">
        <v>1.081</v>
      </c>
      <c r="AY45" s="166">
        <v>-12.8841</v>
      </c>
      <c r="AZ45" s="166">
        <v>-10.0624</v>
      </c>
      <c r="BA45" s="166">
        <v>14.265700000000001</v>
      </c>
      <c r="BB45" s="166">
        <v>14.6692</v>
      </c>
      <c r="BC45" s="166">
        <v>97.22</v>
      </c>
      <c r="BD45" s="166">
        <v>2.6644999999999999</v>
      </c>
      <c r="BE45" s="166">
        <v>-1.9</v>
      </c>
      <c r="BF45" s="166">
        <v>-1.8</v>
      </c>
      <c r="BG45" s="166">
        <v>-24.865200000000002</v>
      </c>
      <c r="BH45" s="166">
        <v>-24.604299999999999</v>
      </c>
      <c r="BI45" s="166">
        <v>-2.1252</v>
      </c>
      <c r="BJ45" s="167"/>
      <c r="BK45" s="166">
        <v>1.5524</v>
      </c>
      <c r="BL45" s="166">
        <v>5.9741</v>
      </c>
      <c r="BM45" s="166">
        <v>1.6049</v>
      </c>
      <c r="BN45" s="166">
        <v>1.1546000000000001</v>
      </c>
      <c r="BO45" s="166">
        <v>-117.9845</v>
      </c>
      <c r="BP45" s="166">
        <v>105.80759999999999</v>
      </c>
      <c r="BQ45" s="166">
        <v>106.2349</v>
      </c>
      <c r="BR45" s="166">
        <v>-29.7485</v>
      </c>
      <c r="BS45" s="166">
        <v>-54.052700000000002</v>
      </c>
      <c r="BT45" s="167"/>
      <c r="BU45" s="167"/>
      <c r="BV45" s="167"/>
      <c r="BW45" s="166">
        <v>29.779</v>
      </c>
      <c r="BX45" s="166">
        <v>13.94</v>
      </c>
      <c r="BY45" s="166">
        <v>10.51</v>
      </c>
      <c r="BZ45" s="166">
        <v>-13.01</v>
      </c>
      <c r="CA45" s="166">
        <v>5.48</v>
      </c>
      <c r="CB45" s="166">
        <v>-19.419599999999999</v>
      </c>
      <c r="CC45" s="166">
        <v>-19.419599999999999</v>
      </c>
      <c r="CD45" s="166">
        <v>26.5063</v>
      </c>
      <c r="CE45" s="166">
        <v>24.9146</v>
      </c>
      <c r="CF45" s="166">
        <v>-2.9805999999999999</v>
      </c>
      <c r="CG45" s="166">
        <v>18.693999999999999</v>
      </c>
      <c r="CH45" s="166">
        <v>18.3354</v>
      </c>
      <c r="CI45" s="166">
        <v>1.1931</v>
      </c>
      <c r="CJ45" s="167"/>
      <c r="CK45" s="167"/>
      <c r="CL45" s="166">
        <v>-2.42</v>
      </c>
      <c r="CM45" s="166">
        <v>-6.9</v>
      </c>
      <c r="CN45" s="166">
        <v>-7.5</v>
      </c>
      <c r="CO45" s="166">
        <v>-4.0199999999999996</v>
      </c>
      <c r="CP45" s="166">
        <v>32.526400000000002</v>
      </c>
      <c r="CQ45" s="166">
        <v>32.718400000000003</v>
      </c>
      <c r="CR45" s="166">
        <v>31.1816</v>
      </c>
      <c r="CS45" s="166">
        <v>68.141800000000003</v>
      </c>
      <c r="CT45" s="166">
        <v>68.777000000000001</v>
      </c>
      <c r="CU45" s="166">
        <v>-26.614899999999999</v>
      </c>
      <c r="CV45" s="166">
        <v>-57.592500000000001</v>
      </c>
      <c r="CW45" s="166">
        <v>-21.670100000000001</v>
      </c>
      <c r="CX45" s="166">
        <v>3.8229000000000002</v>
      </c>
      <c r="CY45" s="166">
        <v>38.01</v>
      </c>
      <c r="CZ45" s="166">
        <v>15.65</v>
      </c>
      <c r="DA45" s="166">
        <v>13.129899999999999</v>
      </c>
      <c r="DB45" s="166">
        <v>12.014799999999999</v>
      </c>
      <c r="DC45" s="166">
        <v>-12.607200000000001</v>
      </c>
      <c r="DD45" s="167"/>
      <c r="DE45" s="167"/>
      <c r="DF45" s="167"/>
      <c r="DG45" s="166">
        <v>5.5513000000000003</v>
      </c>
      <c r="DH45" s="167"/>
      <c r="DI45" s="167"/>
      <c r="DJ45" s="166">
        <v>-49.6</v>
      </c>
      <c r="DK45" s="166">
        <v>-48.7</v>
      </c>
      <c r="DL45" s="166">
        <v>1.1407</v>
      </c>
      <c r="DM45" s="166">
        <v>13.8</v>
      </c>
      <c r="DN45" s="166">
        <v>14.2</v>
      </c>
      <c r="DO45" s="166">
        <v>18.059999999999999</v>
      </c>
      <c r="DP45" s="166">
        <v>8.11</v>
      </c>
      <c r="DQ45" s="166">
        <v>-2.86</v>
      </c>
      <c r="DR45" s="166">
        <v>9.7805</v>
      </c>
      <c r="DS45" s="166">
        <v>-7.0328999999999997</v>
      </c>
      <c r="DT45" s="166">
        <v>-1.05</v>
      </c>
      <c r="DU45" s="166">
        <v>-1.0900000000000001</v>
      </c>
      <c r="DV45" s="166">
        <v>14.15</v>
      </c>
      <c r="DW45" s="166">
        <v>-19.8</v>
      </c>
      <c r="DX45" s="166">
        <v>-7.8909000000000002</v>
      </c>
      <c r="DY45" s="166">
        <v>-4.3635999999999999</v>
      </c>
      <c r="DZ45" s="166">
        <v>-39.122399999999999</v>
      </c>
      <c r="EA45" s="166">
        <v>-38.290900000000001</v>
      </c>
      <c r="EB45" s="166">
        <v>20.653400000000001</v>
      </c>
      <c r="EC45" s="166">
        <v>-3.4163999999999999</v>
      </c>
      <c r="ED45" s="166">
        <v>-12.5967</v>
      </c>
      <c r="EE45" s="166">
        <v>-12.894500000000001</v>
      </c>
      <c r="EF45" s="166">
        <v>-17.5199</v>
      </c>
      <c r="EG45" s="166">
        <v>-29.516999999999999</v>
      </c>
      <c r="EH45" s="166">
        <v>-13.15</v>
      </c>
      <c r="EI45" s="166">
        <v>-39.9392</v>
      </c>
      <c r="EJ45" s="166">
        <v>-22.420100000000001</v>
      </c>
      <c r="EK45" s="167"/>
      <c r="EL45" s="166">
        <v>-4.6174999999999997</v>
      </c>
      <c r="EM45" s="166">
        <v>-4.2896000000000001</v>
      </c>
      <c r="EN45" s="167"/>
      <c r="EO45" s="166">
        <v>-7.3197999999999999</v>
      </c>
      <c r="EP45" s="166">
        <v>-7.1014999999999997</v>
      </c>
      <c r="EQ45" s="166">
        <v>11.792</v>
      </c>
      <c r="ER45" s="166">
        <v>-17.840199999999999</v>
      </c>
      <c r="ES45" s="166">
        <v>-17.840900000000001</v>
      </c>
      <c r="ET45" s="166">
        <v>11.6744</v>
      </c>
      <c r="EU45" s="166">
        <v>-20.52</v>
      </c>
      <c r="EV45" s="166">
        <v>-7.84</v>
      </c>
      <c r="EW45" s="166">
        <v>0</v>
      </c>
      <c r="EX45" s="166">
        <v>6.6257999999999999</v>
      </c>
      <c r="EY45" s="166">
        <v>-8.4167000000000005</v>
      </c>
      <c r="EZ45" s="166">
        <v>-9.8582999999999998</v>
      </c>
      <c r="FA45" s="166">
        <v>-9.7271000000000001</v>
      </c>
      <c r="FB45" s="166">
        <v>6.0766</v>
      </c>
      <c r="FC45" s="166">
        <v>12.3902</v>
      </c>
      <c r="FD45" s="166">
        <v>-23.417999999999999</v>
      </c>
      <c r="FE45" s="166">
        <v>7.5591999999999997</v>
      </c>
      <c r="FF45" s="166">
        <v>0.38700000000000001</v>
      </c>
      <c r="FG45" s="167"/>
      <c r="FH45" s="167"/>
      <c r="FI45" s="166">
        <v>0</v>
      </c>
      <c r="FJ45" s="167"/>
      <c r="FK45" s="166">
        <v>7.5354999999999999</v>
      </c>
      <c r="FL45" s="166">
        <v>7.2005999999999997</v>
      </c>
      <c r="FM45" s="166">
        <v>-17.750399999999999</v>
      </c>
      <c r="FN45" s="166">
        <v>19.6934</v>
      </c>
      <c r="FO45" s="166">
        <v>19.7925</v>
      </c>
      <c r="FP45" s="166">
        <v>-4.1124999999999998</v>
      </c>
      <c r="FQ45" s="166">
        <v>0</v>
      </c>
      <c r="FR45" s="166">
        <v>20.6754</v>
      </c>
      <c r="FS45" s="166">
        <v>-16.8</v>
      </c>
      <c r="FT45" s="167"/>
      <c r="FU45" s="166">
        <v>0.29139999999999999</v>
      </c>
      <c r="FV45" s="166">
        <v>-0.28999999999999998</v>
      </c>
      <c r="FW45" s="166">
        <v>0.56999999999999995</v>
      </c>
      <c r="FX45" s="166">
        <v>-20.4024</v>
      </c>
      <c r="FY45" s="167"/>
      <c r="FZ45" s="166">
        <v>3.9670000000000001</v>
      </c>
      <c r="GA45" s="166">
        <v>0.89100000000000001</v>
      </c>
      <c r="GB45" s="167"/>
      <c r="GC45" s="166">
        <v>9.8000000000000007</v>
      </c>
      <c r="GD45" s="166">
        <v>-20.814399999999999</v>
      </c>
      <c r="GE45" s="166">
        <v>-13.0267</v>
      </c>
      <c r="GF45" s="166">
        <v>-1.9</v>
      </c>
      <c r="GG45" s="166">
        <v>17.6998</v>
      </c>
      <c r="GH45" s="167"/>
      <c r="GI45" s="166">
        <v>21.511299999999999</v>
      </c>
      <c r="GJ45" s="166">
        <v>-5.3308</v>
      </c>
      <c r="GK45" s="166">
        <v>-5.8327999999999998</v>
      </c>
      <c r="GL45" s="166">
        <v>3.7006999999999999</v>
      </c>
      <c r="GM45" s="167"/>
      <c r="GN45" s="167"/>
      <c r="GO45" s="166">
        <v>-13.1234</v>
      </c>
      <c r="GP45" s="166">
        <v>58.015599999999999</v>
      </c>
      <c r="GQ45" s="166">
        <v>0.35349999999999998</v>
      </c>
      <c r="GR45" s="166">
        <v>-18.526800000000001</v>
      </c>
      <c r="GS45" s="166">
        <v>-7.7656000000000001</v>
      </c>
      <c r="GT45" s="166">
        <v>-7.4596</v>
      </c>
      <c r="GU45" s="166">
        <v>108.3108</v>
      </c>
      <c r="GV45" s="166">
        <v>-5.5152999999999999</v>
      </c>
      <c r="GW45" s="166">
        <v>-7.6986999999999997</v>
      </c>
      <c r="GX45" s="166">
        <v>-13.512600000000001</v>
      </c>
      <c r="GY45" s="166">
        <v>2.0644</v>
      </c>
      <c r="GZ45" s="166">
        <v>7.9122000000000003</v>
      </c>
      <c r="HA45" s="166">
        <v>8.1576000000000004</v>
      </c>
      <c r="HB45" s="166">
        <v>1.377</v>
      </c>
      <c r="HC45" s="166">
        <v>-3.2023999999999999</v>
      </c>
      <c r="HD45" s="166">
        <v>0</v>
      </c>
      <c r="HE45" s="166">
        <v>-0.42</v>
      </c>
      <c r="HF45" s="166">
        <v>4.6844999999999999</v>
      </c>
      <c r="HG45" s="166">
        <v>33.5017</v>
      </c>
      <c r="HH45" s="166">
        <v>39.668100000000003</v>
      </c>
      <c r="HI45" s="166">
        <v>79.227699999999999</v>
      </c>
      <c r="HJ45" s="166">
        <v>2.3609</v>
      </c>
      <c r="HK45" s="166">
        <v>49.9938</v>
      </c>
      <c r="HL45" s="166">
        <v>0</v>
      </c>
      <c r="HM45" s="166">
        <v>-10.8415</v>
      </c>
      <c r="HN45" s="166">
        <v>-10.869300000000001</v>
      </c>
      <c r="HO45" s="166">
        <v>-11.6907</v>
      </c>
      <c r="HP45" s="167"/>
      <c r="HQ45" s="167"/>
      <c r="HR45" s="166">
        <v>-17.198</v>
      </c>
      <c r="HS45" s="166">
        <v>-16.5718</v>
      </c>
      <c r="HT45" s="166">
        <v>-16.392600000000002</v>
      </c>
      <c r="HU45" s="166">
        <v>-16.1724</v>
      </c>
      <c r="HV45" s="166">
        <v>10.96</v>
      </c>
      <c r="HW45" s="166">
        <v>11.42</v>
      </c>
      <c r="HX45" s="166">
        <v>-29.9</v>
      </c>
      <c r="HY45" s="166">
        <v>-30.4</v>
      </c>
      <c r="HZ45" s="166">
        <v>8.8800000000000004E-2</v>
      </c>
      <c r="IA45" s="166">
        <v>-1.76</v>
      </c>
      <c r="IB45" s="166">
        <v>62.918799999999997</v>
      </c>
      <c r="IC45" s="167"/>
      <c r="ID45" s="167"/>
      <c r="IE45" s="166">
        <v>-16.899999999999999</v>
      </c>
      <c r="IF45" s="166">
        <v>-41</v>
      </c>
      <c r="IG45" s="166">
        <v>0.9</v>
      </c>
      <c r="IH45" s="166">
        <v>0.4</v>
      </c>
      <c r="II45" s="167"/>
      <c r="IJ45" s="167"/>
      <c r="IK45" s="166">
        <v>-101.654</v>
      </c>
      <c r="IL45" s="166">
        <v>13.7372</v>
      </c>
      <c r="IM45" s="166">
        <v>-281.08670000000001</v>
      </c>
      <c r="IN45" s="166">
        <v>-21.538799999999998</v>
      </c>
      <c r="IO45" s="166">
        <v>-33.742600000000003</v>
      </c>
      <c r="IP45" s="166">
        <v>140.36539999999999</v>
      </c>
      <c r="IQ45" s="166">
        <v>25.5166</v>
      </c>
      <c r="IR45" s="166">
        <v>125.6931</v>
      </c>
      <c r="IS45" s="166">
        <v>95.703999999999994</v>
      </c>
      <c r="IT45" s="166">
        <v>79.177000000000007</v>
      </c>
      <c r="IU45" s="166">
        <v>26.593</v>
      </c>
      <c r="IV45" s="166">
        <v>24.2439</v>
      </c>
      <c r="IW45" s="166">
        <v>-13.155200000000001</v>
      </c>
      <c r="IX45" s="166">
        <v>259.88400000000001</v>
      </c>
      <c r="IY45" s="166">
        <v>-190.7475</v>
      </c>
      <c r="IZ45" s="166">
        <v>84.284000000000006</v>
      </c>
      <c r="JA45" s="166">
        <v>-61.161299999999997</v>
      </c>
      <c r="JB45" s="166">
        <v>-3.0701000000000001</v>
      </c>
      <c r="JC45" s="166">
        <v>-2.9209999999999998</v>
      </c>
      <c r="JD45" s="166">
        <v>-7.76</v>
      </c>
      <c r="JE45" s="166">
        <v>-2.2989999999999999</v>
      </c>
      <c r="JF45" s="166">
        <v>-2.3180000000000001</v>
      </c>
      <c r="JG45" s="166">
        <v>2.72</v>
      </c>
      <c r="JH45" s="166">
        <v>-0.72</v>
      </c>
      <c r="JI45" s="166">
        <v>-3.2785000000000002</v>
      </c>
      <c r="JJ45" s="166">
        <v>-5.5955000000000004</v>
      </c>
      <c r="JK45" s="166">
        <v>9.4346999999999994</v>
      </c>
      <c r="JL45" s="166">
        <v>-6.6483999999999996</v>
      </c>
      <c r="JM45" s="166">
        <v>-0.8</v>
      </c>
      <c r="JN45" s="166">
        <v>6.9669999999999996</v>
      </c>
      <c r="JO45" s="166">
        <v>6.7380000000000004</v>
      </c>
      <c r="JP45" s="167"/>
      <c r="JQ45" s="167"/>
      <c r="JR45" s="166">
        <v>4.1223999999999998</v>
      </c>
      <c r="JS45" s="166">
        <v>4.0837000000000003</v>
      </c>
      <c r="JT45" s="166">
        <v>3.1909000000000001</v>
      </c>
      <c r="JU45" s="167"/>
      <c r="JV45" s="166">
        <v>26.9</v>
      </c>
      <c r="JW45" s="166">
        <v>2.7322000000000002</v>
      </c>
      <c r="JX45" s="166">
        <v>0.9</v>
      </c>
      <c r="JY45" s="167"/>
      <c r="JZ45" s="166">
        <v>-5.0960999999999999</v>
      </c>
      <c r="KA45" s="166">
        <v>-13.4697</v>
      </c>
      <c r="KB45" s="166">
        <v>-18.207999999999998</v>
      </c>
      <c r="KC45" s="166">
        <v>-3.5137999999999998</v>
      </c>
      <c r="KD45" s="166">
        <v>9.2446999999999999</v>
      </c>
      <c r="KE45" s="166">
        <v>-12.864800000000001</v>
      </c>
      <c r="KF45" s="166">
        <v>3.1736</v>
      </c>
      <c r="KG45" s="166">
        <v>-22</v>
      </c>
      <c r="KH45" s="166">
        <v>4.2</v>
      </c>
      <c r="KI45" s="166">
        <v>52.098700000000001</v>
      </c>
      <c r="KJ45" s="166">
        <v>-107.0904</v>
      </c>
    </row>
    <row r="46" spans="1:296" ht="18" customHeight="1" x14ac:dyDescent="0.3">
      <c r="A46" s="162" t="s">
        <v>67</v>
      </c>
      <c r="B46" s="162" t="s">
        <v>845</v>
      </c>
      <c r="C46" s="166">
        <v>0</v>
      </c>
      <c r="D46" s="167"/>
      <c r="E46" s="166">
        <v>2.5851000000000002</v>
      </c>
      <c r="F46" s="166">
        <v>-8.0084</v>
      </c>
      <c r="G46" s="166">
        <v>5.0621999999999998</v>
      </c>
      <c r="H46" s="166">
        <v>9.9168000000000003</v>
      </c>
      <c r="I46" s="167"/>
      <c r="J46" s="166">
        <v>11.463100000000001</v>
      </c>
      <c r="K46" s="167"/>
      <c r="L46" s="166">
        <v>17.675999999999998</v>
      </c>
      <c r="M46" s="166">
        <v>7.4127999999999998</v>
      </c>
      <c r="N46" s="166">
        <v>8.8960000000000008</v>
      </c>
      <c r="O46" s="166">
        <v>-13.32</v>
      </c>
      <c r="P46" s="167"/>
      <c r="Q46" s="166">
        <v>6.6</v>
      </c>
      <c r="R46" s="167"/>
      <c r="S46" s="167"/>
      <c r="T46" s="166">
        <v>3.6065</v>
      </c>
      <c r="U46" s="166">
        <v>-14.3977</v>
      </c>
      <c r="V46" s="166">
        <v>6.3437999999999999</v>
      </c>
      <c r="W46" s="166">
        <v>6.0365000000000002</v>
      </c>
      <c r="X46" s="166">
        <v>10.912000000000001</v>
      </c>
      <c r="Y46" s="166">
        <v>0.46949999999999997</v>
      </c>
      <c r="Z46" s="166">
        <v>0.25590000000000002</v>
      </c>
      <c r="AA46" s="166">
        <v>0.40920000000000001</v>
      </c>
      <c r="AB46" s="167"/>
      <c r="AC46" s="166">
        <v>-0.66810000000000003</v>
      </c>
      <c r="AD46" s="166">
        <v>-0.499</v>
      </c>
      <c r="AE46" s="166">
        <v>-0.49299999999999999</v>
      </c>
      <c r="AF46" s="166">
        <v>3.24</v>
      </c>
      <c r="AG46" s="166">
        <v>-6.66</v>
      </c>
      <c r="AH46" s="166">
        <v>-2.2000000000000002</v>
      </c>
      <c r="AI46" s="166">
        <v>-0.83099999999999996</v>
      </c>
      <c r="AJ46" s="166">
        <v>0.34</v>
      </c>
      <c r="AK46" s="166">
        <v>-12.62</v>
      </c>
      <c r="AL46" s="166">
        <v>-12.55</v>
      </c>
      <c r="AM46" s="166">
        <v>-10</v>
      </c>
      <c r="AN46" s="166">
        <v>-6.39</v>
      </c>
      <c r="AO46" s="166">
        <v>-6.53</v>
      </c>
      <c r="AP46" s="166">
        <v>5.5137999999999998</v>
      </c>
      <c r="AQ46" s="166">
        <v>3.5695000000000001</v>
      </c>
      <c r="AR46" s="166">
        <v>18.911000000000001</v>
      </c>
      <c r="AS46" s="166">
        <v>23.293600000000001</v>
      </c>
      <c r="AT46" s="166">
        <v>-14.0573</v>
      </c>
      <c r="AU46" s="166">
        <v>-7.0686</v>
      </c>
      <c r="AV46" s="166">
        <v>-6.7069999999999999</v>
      </c>
      <c r="AW46" s="166">
        <v>0.88470000000000004</v>
      </c>
      <c r="AX46" s="166">
        <v>0.91010000000000002</v>
      </c>
      <c r="AY46" s="166">
        <v>-12.8775</v>
      </c>
      <c r="AZ46" s="166">
        <v>-10.186</v>
      </c>
      <c r="BA46" s="166">
        <v>13.675000000000001</v>
      </c>
      <c r="BB46" s="166">
        <v>14.370699999999999</v>
      </c>
      <c r="BC46" s="166">
        <v>103.8749</v>
      </c>
      <c r="BD46" s="166">
        <v>2.1663999999999999</v>
      </c>
      <c r="BE46" s="166">
        <v>-2.2999999999999998</v>
      </c>
      <c r="BF46" s="166">
        <v>-2.4</v>
      </c>
      <c r="BG46" s="166">
        <v>-24.714700000000001</v>
      </c>
      <c r="BH46" s="166">
        <v>-24.6127</v>
      </c>
      <c r="BI46" s="166">
        <v>-2.3927999999999998</v>
      </c>
      <c r="BJ46" s="167"/>
      <c r="BK46" s="166">
        <v>2.6242999999999999</v>
      </c>
      <c r="BL46" s="166">
        <v>6.0076999999999998</v>
      </c>
      <c r="BM46" s="166">
        <v>1.3369</v>
      </c>
      <c r="BN46" s="166">
        <v>0.87470000000000003</v>
      </c>
      <c r="BO46" s="166">
        <v>-122.5928</v>
      </c>
      <c r="BP46" s="166">
        <v>106.6927</v>
      </c>
      <c r="BQ46" s="166">
        <v>106.96729999999999</v>
      </c>
      <c r="BR46" s="166">
        <v>-19.723600000000001</v>
      </c>
      <c r="BS46" s="166">
        <v>-55.210299999999997</v>
      </c>
      <c r="BT46" s="167"/>
      <c r="BU46" s="167"/>
      <c r="BV46" s="167"/>
      <c r="BW46" s="166">
        <v>26.665400000000002</v>
      </c>
      <c r="BX46" s="166">
        <v>12.74</v>
      </c>
      <c r="BY46" s="166">
        <v>9.42</v>
      </c>
      <c r="BZ46" s="166">
        <v>-14.73</v>
      </c>
      <c r="CA46" s="166">
        <v>3.31</v>
      </c>
      <c r="CB46" s="166">
        <v>-23.706199999999999</v>
      </c>
      <c r="CC46" s="166">
        <v>-23.0364</v>
      </c>
      <c r="CD46" s="166">
        <v>25.655799999999999</v>
      </c>
      <c r="CE46" s="166">
        <v>23.954499999999999</v>
      </c>
      <c r="CF46" s="166">
        <v>-6.1269999999999998</v>
      </c>
      <c r="CG46" s="166">
        <v>15.114599999999999</v>
      </c>
      <c r="CH46" s="166">
        <v>14.8406</v>
      </c>
      <c r="CI46" s="166">
        <v>2.5185</v>
      </c>
      <c r="CJ46" s="167"/>
      <c r="CK46" s="166">
        <v>-1.5316000000000001</v>
      </c>
      <c r="CL46" s="166">
        <v>-2.4039999999999999</v>
      </c>
      <c r="CM46" s="166">
        <v>-9.4</v>
      </c>
      <c r="CN46" s="166">
        <v>-9.6999999999999993</v>
      </c>
      <c r="CO46" s="166">
        <v>-3.91</v>
      </c>
      <c r="CP46" s="166">
        <v>29.000800000000002</v>
      </c>
      <c r="CQ46" s="166">
        <v>29.700199999999999</v>
      </c>
      <c r="CR46" s="166">
        <v>27.1127</v>
      </c>
      <c r="CS46" s="166">
        <v>74.143299999999996</v>
      </c>
      <c r="CT46" s="166">
        <v>74.216700000000003</v>
      </c>
      <c r="CU46" s="166">
        <v>-29.364699999999999</v>
      </c>
      <c r="CV46" s="166">
        <v>-59.109699999999997</v>
      </c>
      <c r="CW46" s="166">
        <v>-25.493500000000001</v>
      </c>
      <c r="CX46" s="166">
        <v>3.6587000000000001</v>
      </c>
      <c r="CY46" s="166">
        <v>37.46</v>
      </c>
      <c r="CZ46" s="166">
        <v>15.45</v>
      </c>
      <c r="DA46" s="166">
        <v>12.504899999999999</v>
      </c>
      <c r="DB46" s="166">
        <v>11.428800000000001</v>
      </c>
      <c r="DC46" s="166">
        <v>-12.255100000000001</v>
      </c>
      <c r="DD46" s="167"/>
      <c r="DE46" s="167"/>
      <c r="DF46" s="167"/>
      <c r="DG46" s="166">
        <v>6.6936999999999998</v>
      </c>
      <c r="DH46" s="167"/>
      <c r="DI46" s="167"/>
      <c r="DJ46" s="166">
        <v>-47.3</v>
      </c>
      <c r="DK46" s="166">
        <v>-48.5</v>
      </c>
      <c r="DL46" s="166">
        <v>-7.4499999999999997E-2</v>
      </c>
      <c r="DM46" s="166">
        <v>12.8</v>
      </c>
      <c r="DN46" s="166">
        <v>15.66</v>
      </c>
      <c r="DO46" s="166">
        <v>17.16</v>
      </c>
      <c r="DP46" s="166">
        <v>7.51</v>
      </c>
      <c r="DQ46" s="166">
        <v>-3.7</v>
      </c>
      <c r="DR46" s="166">
        <v>7.75</v>
      </c>
      <c r="DS46" s="166">
        <v>-5.9778000000000002</v>
      </c>
      <c r="DT46" s="166">
        <v>-0.81</v>
      </c>
      <c r="DU46" s="166">
        <v>-0.81</v>
      </c>
      <c r="DV46" s="166">
        <v>13.38</v>
      </c>
      <c r="DW46" s="166">
        <v>-20.88</v>
      </c>
      <c r="DX46" s="166">
        <v>-8.6181999999999999</v>
      </c>
      <c r="DY46" s="166">
        <v>-3.8908999999999998</v>
      </c>
      <c r="DZ46" s="166">
        <v>-40.590400000000002</v>
      </c>
      <c r="EA46" s="166">
        <v>-39.454500000000003</v>
      </c>
      <c r="EB46" s="166">
        <v>19.102900000000002</v>
      </c>
      <c r="EC46" s="166">
        <v>-3.6088</v>
      </c>
      <c r="ED46" s="166">
        <v>-13.736700000000001</v>
      </c>
      <c r="EE46" s="166">
        <v>-13.1295</v>
      </c>
      <c r="EF46" s="166">
        <v>-27.017199999999999</v>
      </c>
      <c r="EG46" s="166">
        <v>-35.253999999999998</v>
      </c>
      <c r="EH46" s="166">
        <v>-13.071999999999999</v>
      </c>
      <c r="EI46" s="166">
        <v>-47.017200000000003</v>
      </c>
      <c r="EJ46" s="166">
        <v>-33.354700000000001</v>
      </c>
      <c r="EK46" s="167"/>
      <c r="EL46" s="166">
        <v>-4.5167000000000002</v>
      </c>
      <c r="EM46" s="166">
        <v>-4.1997999999999998</v>
      </c>
      <c r="EN46" s="167"/>
      <c r="EO46" s="166">
        <v>-1.9966999999999999</v>
      </c>
      <c r="EP46" s="166">
        <v>-2.2040000000000002</v>
      </c>
      <c r="EQ46" s="166">
        <v>-18.436</v>
      </c>
      <c r="ER46" s="166">
        <v>-16.0258</v>
      </c>
      <c r="ES46" s="166">
        <v>-15.694599999999999</v>
      </c>
      <c r="ET46" s="166">
        <v>16.663599999999999</v>
      </c>
      <c r="EU46" s="166">
        <v>0</v>
      </c>
      <c r="EV46" s="166">
        <v>0</v>
      </c>
      <c r="EW46" s="166">
        <v>-0.1</v>
      </c>
      <c r="EX46" s="166">
        <v>6.8446999999999996</v>
      </c>
      <c r="EY46" s="166">
        <v>3.4483000000000001</v>
      </c>
      <c r="EZ46" s="166">
        <v>-8.9763999999999999</v>
      </c>
      <c r="FA46" s="166">
        <v>-8.9246999999999996</v>
      </c>
      <c r="FB46" s="166">
        <v>4.6459999999999999</v>
      </c>
      <c r="FC46" s="166">
        <v>18.670300000000001</v>
      </c>
      <c r="FD46" s="166">
        <v>-26.6721</v>
      </c>
      <c r="FE46" s="166">
        <v>7.5327999999999999</v>
      </c>
      <c r="FF46" s="166">
        <v>0.68479999999999996</v>
      </c>
      <c r="FG46" s="167"/>
      <c r="FH46" s="167"/>
      <c r="FI46" s="166">
        <v>0</v>
      </c>
      <c r="FJ46" s="167"/>
      <c r="FK46" s="166">
        <v>11.052099999999999</v>
      </c>
      <c r="FL46" s="166">
        <v>10.8847</v>
      </c>
      <c r="FM46" s="166">
        <v>-25.9557</v>
      </c>
      <c r="FN46" s="166">
        <v>21.617999999999999</v>
      </c>
      <c r="FO46" s="166">
        <v>21.916499999999999</v>
      </c>
      <c r="FP46" s="166">
        <v>-9.4422999999999995</v>
      </c>
      <c r="FQ46" s="167"/>
      <c r="FR46" s="166">
        <v>22.6236</v>
      </c>
      <c r="FS46" s="166">
        <v>-16.989999999999998</v>
      </c>
      <c r="FT46" s="167"/>
      <c r="FU46" s="166">
        <v>0.25380000000000003</v>
      </c>
      <c r="FV46" s="166">
        <v>-0.27</v>
      </c>
      <c r="FW46" s="166">
        <v>0.11</v>
      </c>
      <c r="FX46" s="166">
        <v>-22.605499999999999</v>
      </c>
      <c r="FY46" s="166">
        <v>0</v>
      </c>
      <c r="FZ46" s="166">
        <v>3.9729999999999999</v>
      </c>
      <c r="GA46" s="166">
        <v>0.27200000000000002</v>
      </c>
      <c r="GB46" s="167"/>
      <c r="GC46" s="166">
        <v>10.77</v>
      </c>
      <c r="GD46" s="166">
        <v>-15.595499999999999</v>
      </c>
      <c r="GE46" s="166">
        <v>-8.2959999999999994</v>
      </c>
      <c r="GF46" s="166">
        <v>-2.21</v>
      </c>
      <c r="GG46" s="166">
        <v>18.097300000000001</v>
      </c>
      <c r="GH46" s="167"/>
      <c r="GI46" s="166">
        <v>21.209</v>
      </c>
      <c r="GJ46" s="166">
        <v>-5.4405000000000001</v>
      </c>
      <c r="GK46" s="166">
        <v>-5.9741</v>
      </c>
      <c r="GL46" s="166">
        <v>3.7854000000000001</v>
      </c>
      <c r="GM46" s="167"/>
      <c r="GN46" s="167"/>
      <c r="GO46" s="166">
        <v>-12.668100000000001</v>
      </c>
      <c r="GP46" s="166">
        <v>54.780099999999997</v>
      </c>
      <c r="GQ46" s="166">
        <v>-0.82140000000000002</v>
      </c>
      <c r="GR46" s="166">
        <v>-18.014399999999998</v>
      </c>
      <c r="GS46" s="166">
        <v>-7.4325999999999999</v>
      </c>
      <c r="GT46" s="166">
        <v>-7.4771000000000001</v>
      </c>
      <c r="GU46" s="166">
        <v>108.23220000000001</v>
      </c>
      <c r="GV46" s="166">
        <v>-5.4928999999999997</v>
      </c>
      <c r="GW46" s="166">
        <v>-7.3350999999999997</v>
      </c>
      <c r="GX46" s="166">
        <v>-13.928800000000001</v>
      </c>
      <c r="GY46" s="166">
        <v>0.67600000000000005</v>
      </c>
      <c r="GZ46" s="166">
        <v>8.0147999999999993</v>
      </c>
      <c r="HA46" s="166">
        <v>8.2683</v>
      </c>
      <c r="HB46" s="166">
        <v>0</v>
      </c>
      <c r="HC46" s="166">
        <v>-3.4257</v>
      </c>
      <c r="HD46" s="166">
        <v>-2.7974000000000001</v>
      </c>
      <c r="HE46" s="166">
        <v>-0.84</v>
      </c>
      <c r="HF46" s="166">
        <v>0</v>
      </c>
      <c r="HG46" s="166">
        <v>28.223700000000001</v>
      </c>
      <c r="HH46" s="166">
        <v>39.478000000000002</v>
      </c>
      <c r="HI46" s="166">
        <v>76.793300000000002</v>
      </c>
      <c r="HJ46" s="166">
        <v>0</v>
      </c>
      <c r="HK46" s="166">
        <v>49.911200000000001</v>
      </c>
      <c r="HL46" s="166">
        <v>-10.6572</v>
      </c>
      <c r="HM46" s="166">
        <v>-11.864100000000001</v>
      </c>
      <c r="HN46" s="166">
        <v>-10.6387</v>
      </c>
      <c r="HO46" s="166">
        <v>0</v>
      </c>
      <c r="HP46" s="167"/>
      <c r="HQ46" s="167"/>
      <c r="HR46" s="166">
        <v>-17.7363</v>
      </c>
      <c r="HS46" s="166">
        <v>-17.489100000000001</v>
      </c>
      <c r="HT46" s="166">
        <v>-16.0959</v>
      </c>
      <c r="HU46" s="166">
        <v>-15.651300000000001</v>
      </c>
      <c r="HV46" s="166">
        <v>10.5</v>
      </c>
      <c r="HW46" s="166">
        <v>10.8</v>
      </c>
      <c r="HX46" s="166">
        <v>-30.5</v>
      </c>
      <c r="HY46" s="166">
        <v>-30.9</v>
      </c>
      <c r="HZ46" s="166">
        <v>3.5700000000000003E-2</v>
      </c>
      <c r="IA46" s="166">
        <v>-2.3199999999999998</v>
      </c>
      <c r="IB46" s="166">
        <v>64.780799999999999</v>
      </c>
      <c r="IC46" s="167"/>
      <c r="ID46" s="167"/>
      <c r="IE46" s="166">
        <v>-16.899999999999999</v>
      </c>
      <c r="IF46" s="166">
        <v>-41</v>
      </c>
      <c r="IG46" s="166">
        <v>1.7</v>
      </c>
      <c r="IH46" s="166">
        <v>1.2</v>
      </c>
      <c r="II46" s="167"/>
      <c r="IJ46" s="167"/>
      <c r="IK46" s="166">
        <v>-102.6151</v>
      </c>
      <c r="IL46" s="166">
        <v>22.717700000000001</v>
      </c>
      <c r="IM46" s="166">
        <v>-285.37549999999999</v>
      </c>
      <c r="IN46" s="166">
        <v>-22.8354</v>
      </c>
      <c r="IO46" s="166">
        <v>-32.279800000000002</v>
      </c>
      <c r="IP46" s="166">
        <v>136.72640000000001</v>
      </c>
      <c r="IQ46" s="166">
        <v>26.433499999999999</v>
      </c>
      <c r="IR46" s="166">
        <v>130.446</v>
      </c>
      <c r="IS46" s="166">
        <v>97.244200000000006</v>
      </c>
      <c r="IT46" s="166">
        <v>81.268799999999999</v>
      </c>
      <c r="IU46" s="166">
        <v>23.601400000000002</v>
      </c>
      <c r="IV46" s="166">
        <v>21.654800000000002</v>
      </c>
      <c r="IW46" s="166">
        <v>-18.329999999999998</v>
      </c>
      <c r="IX46" s="166">
        <v>261.9255</v>
      </c>
      <c r="IY46" s="166">
        <v>-190.81710000000001</v>
      </c>
      <c r="IZ46" s="166">
        <v>77.009900000000002</v>
      </c>
      <c r="JA46" s="166">
        <v>-61.281300000000002</v>
      </c>
      <c r="JB46" s="166">
        <v>-1.3587</v>
      </c>
      <c r="JC46" s="166">
        <v>-2.5470000000000002</v>
      </c>
      <c r="JD46" s="166">
        <v>-7.76</v>
      </c>
      <c r="JE46" s="166">
        <v>-2.3570000000000002</v>
      </c>
      <c r="JF46" s="166">
        <v>-2.3519999999999999</v>
      </c>
      <c r="JG46" s="166">
        <v>3.12</v>
      </c>
      <c r="JH46" s="166">
        <v>-0.8</v>
      </c>
      <c r="JI46" s="166">
        <v>-3.2555999999999998</v>
      </c>
      <c r="JJ46" s="166">
        <v>-4.9210000000000003</v>
      </c>
      <c r="JK46" s="166">
        <v>9.0562000000000005</v>
      </c>
      <c r="JL46" s="166">
        <v>-6.7062999999999997</v>
      </c>
      <c r="JM46" s="166">
        <v>-0.5</v>
      </c>
      <c r="JN46" s="166">
        <v>7.1219999999999999</v>
      </c>
      <c r="JO46" s="166">
        <v>6.3159999999999998</v>
      </c>
      <c r="JP46" s="167"/>
      <c r="JQ46" s="167"/>
      <c r="JR46" s="166">
        <v>4.1649000000000003</v>
      </c>
      <c r="JS46" s="166">
        <v>3.7576999999999998</v>
      </c>
      <c r="JT46" s="166">
        <v>3.0688</v>
      </c>
      <c r="JU46" s="167"/>
      <c r="JV46" s="166">
        <v>26.9</v>
      </c>
      <c r="JW46" s="166">
        <v>3.6755</v>
      </c>
      <c r="JX46" s="166">
        <v>0.85</v>
      </c>
      <c r="JY46" s="167"/>
      <c r="JZ46" s="166">
        <v>-4.2808999999999999</v>
      </c>
      <c r="KA46" s="166">
        <v>-14.335900000000001</v>
      </c>
      <c r="KB46" s="166">
        <v>-17.837599999999998</v>
      </c>
      <c r="KC46" s="166">
        <v>-3.4186999999999999</v>
      </c>
      <c r="KD46" s="166">
        <v>10.2021</v>
      </c>
      <c r="KE46" s="166">
        <v>-12.402900000000001</v>
      </c>
      <c r="KF46" s="166">
        <v>1.6873</v>
      </c>
      <c r="KG46" s="166">
        <v>-22.1</v>
      </c>
      <c r="KH46" s="166">
        <v>4.0999999999999996</v>
      </c>
      <c r="KI46" s="166">
        <v>40.420400000000001</v>
      </c>
      <c r="KJ46" s="166">
        <v>-96.695800000000006</v>
      </c>
    </row>
    <row r="47" spans="1:296" ht="18" customHeight="1" x14ac:dyDescent="0.3">
      <c r="A47" s="162" t="s">
        <v>67</v>
      </c>
      <c r="B47" s="162" t="s">
        <v>846</v>
      </c>
      <c r="C47" s="166">
        <v>0</v>
      </c>
      <c r="D47" s="167"/>
      <c r="E47" s="166">
        <v>2.8399000000000001</v>
      </c>
      <c r="F47" s="166">
        <v>-8.4311000000000007</v>
      </c>
      <c r="G47" s="166">
        <v>5.21</v>
      </c>
      <c r="H47" s="166">
        <v>9.6963000000000008</v>
      </c>
      <c r="I47" s="167"/>
      <c r="J47" s="166">
        <v>11.098599999999999</v>
      </c>
      <c r="K47" s="167"/>
      <c r="L47" s="166">
        <v>18.2713</v>
      </c>
      <c r="M47" s="166">
        <v>7.7298</v>
      </c>
      <c r="N47" s="166">
        <v>9.2022999999999993</v>
      </c>
      <c r="O47" s="166">
        <v>-15.54</v>
      </c>
      <c r="P47" s="167"/>
      <c r="Q47" s="166">
        <v>4.4000000000000004</v>
      </c>
      <c r="R47" s="167"/>
      <c r="S47" s="167"/>
      <c r="T47" s="166">
        <v>3.7446999999999999</v>
      </c>
      <c r="U47" s="166">
        <v>-14.2517</v>
      </c>
      <c r="V47" s="166">
        <v>5.8967000000000001</v>
      </c>
      <c r="W47" s="166">
        <v>5.8281000000000001</v>
      </c>
      <c r="X47" s="166">
        <v>10.4459</v>
      </c>
      <c r="Y47" s="166">
        <v>0.4546</v>
      </c>
      <c r="Z47" s="166">
        <v>0.18410000000000001</v>
      </c>
      <c r="AA47" s="166">
        <v>0.35770000000000002</v>
      </c>
      <c r="AB47" s="167"/>
      <c r="AC47" s="166">
        <v>-0.64</v>
      </c>
      <c r="AD47" s="166">
        <v>-0.55600000000000005</v>
      </c>
      <c r="AE47" s="166">
        <v>-0.52900000000000003</v>
      </c>
      <c r="AF47" s="166">
        <v>3.427</v>
      </c>
      <c r="AG47" s="166">
        <v>-4.4400000000000004</v>
      </c>
      <c r="AH47" s="166">
        <v>-2.2000000000000002</v>
      </c>
      <c r="AI47" s="166">
        <v>-0.77200000000000002</v>
      </c>
      <c r="AJ47" s="166">
        <v>0.34399999999999997</v>
      </c>
      <c r="AK47" s="166">
        <v>-12.33</v>
      </c>
      <c r="AL47" s="166">
        <v>-12.33</v>
      </c>
      <c r="AM47" s="167"/>
      <c r="AN47" s="166">
        <v>-6.87</v>
      </c>
      <c r="AO47" s="166">
        <v>-6.92</v>
      </c>
      <c r="AP47" s="166">
        <v>6.2957999999999998</v>
      </c>
      <c r="AQ47" s="166">
        <v>3.9664999999999999</v>
      </c>
      <c r="AR47" s="166">
        <v>18.8537</v>
      </c>
      <c r="AS47" s="166">
        <v>23.441299999999998</v>
      </c>
      <c r="AT47" s="166">
        <v>-12.759399999999999</v>
      </c>
      <c r="AU47" s="166">
        <v>-4.6044999999999998</v>
      </c>
      <c r="AV47" s="166">
        <v>-4.0933999999999999</v>
      </c>
      <c r="AW47" s="166">
        <v>1.5003</v>
      </c>
      <c r="AX47" s="166">
        <v>1.5494000000000001</v>
      </c>
      <c r="AY47" s="166">
        <v>-13.247</v>
      </c>
      <c r="AZ47" s="166">
        <v>-10.6357</v>
      </c>
      <c r="BA47" s="166">
        <v>15.8345</v>
      </c>
      <c r="BB47" s="166">
        <v>16.473600000000001</v>
      </c>
      <c r="BC47" s="166">
        <v>95.307299999999998</v>
      </c>
      <c r="BD47" s="166">
        <v>2.8317000000000001</v>
      </c>
      <c r="BE47" s="166">
        <v>-1.9</v>
      </c>
      <c r="BF47" s="166">
        <v>-1.9</v>
      </c>
      <c r="BG47" s="166">
        <v>-26.1083</v>
      </c>
      <c r="BH47" s="166">
        <v>-26.278700000000001</v>
      </c>
      <c r="BI47" s="166">
        <v>-2.2645</v>
      </c>
      <c r="BJ47" s="167"/>
      <c r="BK47" s="166">
        <v>3.9544000000000001</v>
      </c>
      <c r="BL47" s="166">
        <v>5.6734</v>
      </c>
      <c r="BM47" s="166">
        <v>1.3560000000000001</v>
      </c>
      <c r="BN47" s="166">
        <v>0.85850000000000004</v>
      </c>
      <c r="BO47" s="166">
        <v>-140.50720000000001</v>
      </c>
      <c r="BP47" s="166">
        <v>107.8219</v>
      </c>
      <c r="BQ47" s="166">
        <v>107.4251</v>
      </c>
      <c r="BR47" s="166">
        <v>-7.0792999999999999</v>
      </c>
      <c r="BS47" s="166">
        <v>-67.491200000000006</v>
      </c>
      <c r="BT47" s="167"/>
      <c r="BU47" s="167"/>
      <c r="BV47" s="167"/>
      <c r="BW47" s="166">
        <v>26.665400000000002</v>
      </c>
      <c r="BX47" s="166">
        <v>12.99</v>
      </c>
      <c r="BY47" s="166">
        <v>9.41</v>
      </c>
      <c r="BZ47" s="166">
        <v>-15.06</v>
      </c>
      <c r="CA47" s="166">
        <v>3.47</v>
      </c>
      <c r="CB47" s="166">
        <v>-22.366599999999998</v>
      </c>
      <c r="CC47" s="166">
        <v>-22.232700000000001</v>
      </c>
      <c r="CD47" s="166">
        <v>22.308599999999998</v>
      </c>
      <c r="CE47" s="166">
        <v>20.822399999999998</v>
      </c>
      <c r="CF47" s="166">
        <v>-5.4549000000000003</v>
      </c>
      <c r="CG47" s="166">
        <v>16.139299999999999</v>
      </c>
      <c r="CH47" s="166">
        <v>16.166499999999999</v>
      </c>
      <c r="CI47" s="166">
        <v>3.8159000000000001</v>
      </c>
      <c r="CJ47" s="166">
        <v>0</v>
      </c>
      <c r="CK47" s="166">
        <v>-1.5316000000000001</v>
      </c>
      <c r="CL47" s="166">
        <v>-2.4809999999999999</v>
      </c>
      <c r="CM47" s="166">
        <v>-11.4</v>
      </c>
      <c r="CN47" s="166">
        <v>-11.2</v>
      </c>
      <c r="CO47" s="166">
        <v>-3.77</v>
      </c>
      <c r="CP47" s="166">
        <v>28.206600000000002</v>
      </c>
      <c r="CQ47" s="166">
        <v>28.5121</v>
      </c>
      <c r="CR47" s="166">
        <v>26.557600000000001</v>
      </c>
      <c r="CS47" s="166">
        <v>73.956500000000005</v>
      </c>
      <c r="CT47" s="166">
        <v>74.291300000000007</v>
      </c>
      <c r="CU47" s="166">
        <v>-25.9618</v>
      </c>
      <c r="CV47" s="166">
        <v>-62.014499999999998</v>
      </c>
      <c r="CW47" s="166">
        <v>-21.652100000000001</v>
      </c>
      <c r="CX47" s="166">
        <v>3.3814000000000002</v>
      </c>
      <c r="CY47" s="166">
        <v>37.520000000000003</v>
      </c>
      <c r="CZ47" s="166">
        <v>14.97</v>
      </c>
      <c r="DA47" s="166">
        <v>11.723599999999999</v>
      </c>
      <c r="DB47" s="166">
        <v>10.549899999999999</v>
      </c>
      <c r="DC47" s="166">
        <v>-11.5379</v>
      </c>
      <c r="DD47" s="167"/>
      <c r="DE47" s="167"/>
      <c r="DF47" s="167"/>
      <c r="DG47" s="166">
        <v>9.0056999999999992</v>
      </c>
      <c r="DH47" s="167"/>
      <c r="DI47" s="167"/>
      <c r="DJ47" s="166">
        <v>-47.9</v>
      </c>
      <c r="DK47" s="166">
        <v>-48.1</v>
      </c>
      <c r="DL47" s="166">
        <v>-0.155</v>
      </c>
      <c r="DM47" s="166">
        <v>11.9</v>
      </c>
      <c r="DN47" s="166">
        <v>16.100000000000001</v>
      </c>
      <c r="DO47" s="166">
        <v>15.94</v>
      </c>
      <c r="DP47" s="166">
        <v>6.79</v>
      </c>
      <c r="DQ47" s="166">
        <v>-3.76</v>
      </c>
      <c r="DR47" s="166">
        <v>8.2769999999999992</v>
      </c>
      <c r="DS47" s="166">
        <v>-10.5581</v>
      </c>
      <c r="DT47" s="166">
        <v>-0.88</v>
      </c>
      <c r="DU47" s="166">
        <v>-0.88</v>
      </c>
      <c r="DV47" s="166">
        <v>13.15</v>
      </c>
      <c r="DW47" s="166">
        <v>-20.5</v>
      </c>
      <c r="DX47" s="166">
        <v>-12.1273</v>
      </c>
      <c r="DY47" s="166">
        <v>-5.9817999999999998</v>
      </c>
      <c r="DZ47" s="166">
        <v>-38.765000000000001</v>
      </c>
      <c r="EA47" s="166">
        <v>-37.336399999999998</v>
      </c>
      <c r="EB47" s="166">
        <v>12.834099999999999</v>
      </c>
      <c r="EC47" s="166">
        <v>-9.9040999999999997</v>
      </c>
      <c r="ED47" s="166">
        <v>-18.071100000000001</v>
      </c>
      <c r="EE47" s="166">
        <v>-18.058599999999998</v>
      </c>
      <c r="EF47" s="166">
        <v>-26.898299999999999</v>
      </c>
      <c r="EG47" s="166">
        <v>-37.061799999999998</v>
      </c>
      <c r="EH47" s="166">
        <v>-13.193</v>
      </c>
      <c r="EI47" s="166">
        <v>-64.549300000000002</v>
      </c>
      <c r="EJ47" s="166">
        <v>-39.849499999999999</v>
      </c>
      <c r="EK47" s="167"/>
      <c r="EL47" s="166">
        <v>-4.6723999999999997</v>
      </c>
      <c r="EM47" s="166">
        <v>-4.3620000000000001</v>
      </c>
      <c r="EN47" s="167"/>
      <c r="EO47" s="166">
        <v>-2.7185999999999999</v>
      </c>
      <c r="EP47" s="166">
        <v>-3.0019999999999998</v>
      </c>
      <c r="EQ47" s="166">
        <v>-14.34</v>
      </c>
      <c r="ER47" s="166">
        <v>-16.4663</v>
      </c>
      <c r="ES47" s="166">
        <v>-16.0578</v>
      </c>
      <c r="ET47" s="166">
        <v>18.3215</v>
      </c>
      <c r="EU47" s="166">
        <v>0</v>
      </c>
      <c r="EV47" s="166">
        <v>-2.25</v>
      </c>
      <c r="EW47" s="166">
        <v>0</v>
      </c>
      <c r="EX47" s="166">
        <v>6.5841000000000003</v>
      </c>
      <c r="EY47" s="166">
        <v>2.5222000000000002</v>
      </c>
      <c r="EZ47" s="166">
        <v>-9.0608000000000004</v>
      </c>
      <c r="FA47" s="166">
        <v>-8.9871999999999996</v>
      </c>
      <c r="FB47" s="166">
        <v>4.9592000000000001</v>
      </c>
      <c r="FC47" s="166">
        <v>19.921800000000001</v>
      </c>
      <c r="FD47" s="166">
        <v>-29.358899999999998</v>
      </c>
      <c r="FE47" s="166">
        <v>7.4817999999999998</v>
      </c>
      <c r="FF47" s="166">
        <v>0.77359999999999995</v>
      </c>
      <c r="FG47" s="167"/>
      <c r="FH47" s="166">
        <v>0</v>
      </c>
      <c r="FI47" s="166">
        <v>2.8018999999999998</v>
      </c>
      <c r="FJ47" s="166">
        <v>0</v>
      </c>
      <c r="FK47" s="166">
        <v>10.8847</v>
      </c>
      <c r="FL47" s="166">
        <v>10.7172</v>
      </c>
      <c r="FM47" s="166">
        <v>-20.931999999999999</v>
      </c>
      <c r="FN47" s="166">
        <v>20.238399999999999</v>
      </c>
      <c r="FO47" s="166">
        <v>20.267900000000001</v>
      </c>
      <c r="FP47" s="166">
        <v>-6.6821000000000002</v>
      </c>
      <c r="FQ47" s="167"/>
      <c r="FR47" s="166">
        <v>20.1968</v>
      </c>
      <c r="FS47" s="166">
        <v>-17.920000000000002</v>
      </c>
      <c r="FT47" s="167"/>
      <c r="FU47" s="166">
        <v>0.25380000000000003</v>
      </c>
      <c r="FV47" s="166">
        <v>-0.3</v>
      </c>
      <c r="FW47" s="166">
        <v>0.28999999999999998</v>
      </c>
      <c r="FX47" s="166">
        <v>-19.6493</v>
      </c>
      <c r="FY47" s="167"/>
      <c r="FZ47" s="166">
        <v>4.1139999999999999</v>
      </c>
      <c r="GA47" s="166">
        <v>0.16600000000000001</v>
      </c>
      <c r="GB47" s="167"/>
      <c r="GC47" s="166">
        <v>11.1</v>
      </c>
      <c r="GD47" s="166">
        <v>-16.701599999999999</v>
      </c>
      <c r="GE47" s="166">
        <v>-9.0649999999999995</v>
      </c>
      <c r="GF47" s="166">
        <v>-2.17</v>
      </c>
      <c r="GG47" s="166">
        <v>18.148700000000002</v>
      </c>
      <c r="GH47" s="167"/>
      <c r="GI47" s="166">
        <v>21.314499999999999</v>
      </c>
      <c r="GJ47" s="166">
        <v>-5.2058</v>
      </c>
      <c r="GK47" s="166">
        <v>-5.7030000000000003</v>
      </c>
      <c r="GL47" s="166">
        <v>3.8170000000000002</v>
      </c>
      <c r="GM47" s="167"/>
      <c r="GN47" s="167"/>
      <c r="GO47" s="166">
        <v>-12.204800000000001</v>
      </c>
      <c r="GP47" s="166">
        <v>55.619100000000003</v>
      </c>
      <c r="GQ47" s="166">
        <v>-0.68149999999999999</v>
      </c>
      <c r="GR47" s="166">
        <v>-18.516999999999999</v>
      </c>
      <c r="GS47" s="166">
        <v>-7.1753</v>
      </c>
      <c r="GT47" s="166">
        <v>-7.2454999999999998</v>
      </c>
      <c r="GU47" s="166">
        <v>104.48690000000001</v>
      </c>
      <c r="GV47" s="166">
        <v>-5.6163999999999996</v>
      </c>
      <c r="GW47" s="166">
        <v>-8.0318000000000005</v>
      </c>
      <c r="GX47" s="166">
        <v>-13.7562</v>
      </c>
      <c r="GY47" s="166">
        <v>3.1751999999999998</v>
      </c>
      <c r="GZ47" s="166">
        <v>8.0074000000000005</v>
      </c>
      <c r="HA47" s="166">
        <v>8.2604000000000006</v>
      </c>
      <c r="HB47" s="166">
        <v>2.7077</v>
      </c>
      <c r="HC47" s="166">
        <v>-6.2911999999999999</v>
      </c>
      <c r="HD47" s="166">
        <v>-5.3098000000000001</v>
      </c>
      <c r="HE47" s="166">
        <v>-0.42</v>
      </c>
      <c r="HF47" s="166">
        <v>0</v>
      </c>
      <c r="HG47" s="166">
        <v>18.316199999999998</v>
      </c>
      <c r="HH47" s="166">
        <v>39.494100000000003</v>
      </c>
      <c r="HI47" s="166">
        <v>74.752899999999997</v>
      </c>
      <c r="HJ47" s="166">
        <v>-1.8756999999999999</v>
      </c>
      <c r="HK47" s="166">
        <v>49.359699999999997</v>
      </c>
      <c r="HL47" s="166">
        <v>-10.614599999999999</v>
      </c>
      <c r="HM47" s="166">
        <v>-10.5807</v>
      </c>
      <c r="HN47" s="166">
        <v>0</v>
      </c>
      <c r="HO47" s="166">
        <v>-11.404999999999999</v>
      </c>
      <c r="HP47" s="167"/>
      <c r="HQ47" s="167"/>
      <c r="HR47" s="166">
        <v>-19.8018</v>
      </c>
      <c r="HS47" s="166">
        <v>-19.417300000000001</v>
      </c>
      <c r="HT47" s="166">
        <v>-18.380299999999998</v>
      </c>
      <c r="HU47" s="166">
        <v>-18.6282</v>
      </c>
      <c r="HV47" s="166">
        <v>8.5399999999999991</v>
      </c>
      <c r="HW47" s="166">
        <v>8.75</v>
      </c>
      <c r="HX47" s="166">
        <v>-29.4</v>
      </c>
      <c r="HY47" s="166">
        <v>-28.9</v>
      </c>
      <c r="HZ47" s="166">
        <v>-3.39E-2</v>
      </c>
      <c r="IA47" s="166">
        <v>-2.96</v>
      </c>
      <c r="IB47" s="166">
        <v>65.206100000000006</v>
      </c>
      <c r="IC47" s="167"/>
      <c r="ID47" s="167"/>
      <c r="IE47" s="166">
        <v>-17.399999999999999</v>
      </c>
      <c r="IF47" s="166">
        <v>-40.1</v>
      </c>
      <c r="IG47" s="166">
        <v>3.9</v>
      </c>
      <c r="IH47" s="166">
        <v>3.3</v>
      </c>
      <c r="II47" s="167"/>
      <c r="IJ47" s="167"/>
      <c r="IK47" s="166">
        <v>-103.3818</v>
      </c>
      <c r="IL47" s="166">
        <v>31.144100000000002</v>
      </c>
      <c r="IM47" s="166">
        <v>-289.81049999999999</v>
      </c>
      <c r="IN47" s="166">
        <v>-27.8858</v>
      </c>
      <c r="IO47" s="166">
        <v>-35.103099999999998</v>
      </c>
      <c r="IP47" s="166">
        <v>135.44560000000001</v>
      </c>
      <c r="IQ47" s="166">
        <v>30.116299999999999</v>
      </c>
      <c r="IR47" s="166">
        <v>133.31020000000001</v>
      </c>
      <c r="IS47" s="166">
        <v>95.022599999999997</v>
      </c>
      <c r="IT47" s="166">
        <v>75.356999999999999</v>
      </c>
      <c r="IU47" s="166">
        <v>21.0244</v>
      </c>
      <c r="IV47" s="166">
        <v>19.435300000000002</v>
      </c>
      <c r="IW47" s="166">
        <v>-23.015699999999999</v>
      </c>
      <c r="IX47" s="166">
        <v>255.71109999999999</v>
      </c>
      <c r="IY47" s="166">
        <v>-191.0565</v>
      </c>
      <c r="IZ47" s="166">
        <v>68.996499999999997</v>
      </c>
      <c r="JA47" s="166">
        <v>-55.534799999999997</v>
      </c>
      <c r="JB47" s="166">
        <v>-0.60909999999999997</v>
      </c>
      <c r="JC47" s="166">
        <v>-2.5710000000000002</v>
      </c>
      <c r="JD47" s="166">
        <v>-7.2</v>
      </c>
      <c r="JE47" s="166">
        <v>-2.302</v>
      </c>
      <c r="JF47" s="166">
        <v>-2.3010000000000002</v>
      </c>
      <c r="JG47" s="166">
        <v>2.8</v>
      </c>
      <c r="JH47" s="166">
        <v>-1.2</v>
      </c>
      <c r="JI47" s="166">
        <v>-3.3382000000000001</v>
      </c>
      <c r="JJ47" s="166">
        <v>-4.5396000000000001</v>
      </c>
      <c r="JK47" s="166">
        <v>7.5883000000000003</v>
      </c>
      <c r="JL47" s="166">
        <v>-6.5598999999999998</v>
      </c>
      <c r="JM47" s="166">
        <v>-1.1000000000000001</v>
      </c>
      <c r="JN47" s="166">
        <v>7.3879999999999999</v>
      </c>
      <c r="JO47" s="166">
        <v>6.484</v>
      </c>
      <c r="JP47" s="167"/>
      <c r="JQ47" s="167"/>
      <c r="JR47" s="166">
        <v>4.2214999999999998</v>
      </c>
      <c r="JS47" s="166">
        <v>3.7212999999999998</v>
      </c>
      <c r="JT47" s="166">
        <v>3.1069</v>
      </c>
      <c r="JU47" s="167"/>
      <c r="JV47" s="166">
        <v>25.4</v>
      </c>
      <c r="JW47" s="166">
        <v>4.4184000000000001</v>
      </c>
      <c r="JX47" s="166">
        <v>0.87</v>
      </c>
      <c r="JY47" s="167"/>
      <c r="JZ47" s="166">
        <v>-4.0259999999999998</v>
      </c>
      <c r="KA47" s="166">
        <v>-14.424300000000001</v>
      </c>
      <c r="KB47" s="166">
        <v>-18.644400000000001</v>
      </c>
      <c r="KC47" s="166">
        <v>-2.6185</v>
      </c>
      <c r="KD47" s="166">
        <v>9.9861000000000004</v>
      </c>
      <c r="KE47" s="166">
        <v>-12.865399999999999</v>
      </c>
      <c r="KF47" s="166">
        <v>2.2643</v>
      </c>
      <c r="KG47" s="166">
        <v>-20.100000000000001</v>
      </c>
      <c r="KH47" s="166">
        <v>2.5</v>
      </c>
      <c r="KI47" s="166">
        <v>30.015000000000001</v>
      </c>
      <c r="KJ47" s="166">
        <v>-95.331699999999998</v>
      </c>
    </row>
    <row r="48" spans="1:296" ht="18" customHeight="1" x14ac:dyDescent="0.3">
      <c r="A48" s="162" t="s">
        <v>67</v>
      </c>
      <c r="B48" s="162" t="s">
        <v>847</v>
      </c>
      <c r="C48" s="169">
        <v>0</v>
      </c>
      <c r="D48" s="170"/>
      <c r="E48" s="169">
        <v>2.8271999999999999</v>
      </c>
      <c r="F48" s="169">
        <v>-8.3733000000000004</v>
      </c>
      <c r="G48" s="169">
        <v>6.0606</v>
      </c>
      <c r="H48" s="169">
        <v>9.3577999999999992</v>
      </c>
      <c r="I48" s="170"/>
      <c r="J48" s="169">
        <v>10.5402</v>
      </c>
      <c r="K48" s="170"/>
      <c r="L48" s="169">
        <v>18.692900000000002</v>
      </c>
      <c r="M48" s="169">
        <v>7.9348000000000001</v>
      </c>
      <c r="N48" s="169">
        <v>9.3550000000000004</v>
      </c>
      <c r="O48" s="169">
        <v>-15.54</v>
      </c>
      <c r="P48" s="169">
        <v>-26.4</v>
      </c>
      <c r="Q48" s="169">
        <v>4.4000000000000004</v>
      </c>
      <c r="R48" s="170"/>
      <c r="S48" s="169">
        <v>-17.600000000000001</v>
      </c>
      <c r="T48" s="169">
        <v>3.8047</v>
      </c>
      <c r="U48" s="169">
        <v>-14.0023</v>
      </c>
      <c r="V48" s="169">
        <v>5.6208</v>
      </c>
      <c r="W48" s="169">
        <v>5.5162000000000004</v>
      </c>
      <c r="X48" s="169">
        <v>9.8712999999999997</v>
      </c>
      <c r="Y48" s="169">
        <v>0.75549999999999995</v>
      </c>
      <c r="Z48" s="169">
        <v>0.2792</v>
      </c>
      <c r="AA48" s="169">
        <v>0.36919999999999997</v>
      </c>
      <c r="AB48" s="170"/>
      <c r="AC48" s="169">
        <v>-0.6331</v>
      </c>
      <c r="AD48" s="169">
        <v>-0.66500000000000004</v>
      </c>
      <c r="AE48" s="169">
        <v>-0.63200000000000001</v>
      </c>
      <c r="AF48" s="169">
        <v>3.3929999999999998</v>
      </c>
      <c r="AG48" s="169">
        <v>-4.4400000000000004</v>
      </c>
      <c r="AH48" s="169">
        <v>-2.2000000000000002</v>
      </c>
      <c r="AI48" s="169">
        <v>-0.65</v>
      </c>
      <c r="AJ48" s="169">
        <v>0.34200000000000003</v>
      </c>
      <c r="AK48" s="169">
        <v>-12.99</v>
      </c>
      <c r="AL48" s="169">
        <v>-13.08</v>
      </c>
      <c r="AM48" s="170"/>
      <c r="AN48" s="169">
        <v>-7.26</v>
      </c>
      <c r="AO48" s="169">
        <v>-7.28</v>
      </c>
      <c r="AP48" s="169">
        <v>7.0593000000000004</v>
      </c>
      <c r="AQ48" s="169">
        <v>3.3254000000000001</v>
      </c>
      <c r="AR48" s="169">
        <v>17.8611</v>
      </c>
      <c r="AS48" s="169">
        <v>21.933900000000001</v>
      </c>
      <c r="AT48" s="169">
        <v>-12.0809</v>
      </c>
      <c r="AU48" s="169">
        <v>-3.6821000000000002</v>
      </c>
      <c r="AV48" s="169">
        <v>-3.2665000000000002</v>
      </c>
      <c r="AW48" s="169">
        <v>2.0832999999999999</v>
      </c>
      <c r="AX48" s="169">
        <v>2.1987000000000001</v>
      </c>
      <c r="AY48" s="169">
        <v>-13.912000000000001</v>
      </c>
      <c r="AZ48" s="169">
        <v>-11.285500000000001</v>
      </c>
      <c r="BA48" s="169">
        <v>16.954899999999999</v>
      </c>
      <c r="BB48" s="169">
        <v>17.546399999999998</v>
      </c>
      <c r="BC48" s="169">
        <v>92.182699999999997</v>
      </c>
      <c r="BD48" s="169">
        <v>3.1966999999999999</v>
      </c>
      <c r="BE48" s="169">
        <v>-2.2999999999999998</v>
      </c>
      <c r="BF48" s="169">
        <v>-2.2999999999999998</v>
      </c>
      <c r="BG48" s="169">
        <v>-27.429099999999998</v>
      </c>
      <c r="BH48" s="169">
        <v>-27.586600000000001</v>
      </c>
      <c r="BI48" s="169">
        <v>-2.1978</v>
      </c>
      <c r="BJ48" s="170"/>
      <c r="BK48" s="169">
        <v>5.9531000000000001</v>
      </c>
      <c r="BL48" s="169">
        <v>5.2268999999999997</v>
      </c>
      <c r="BM48" s="169">
        <v>1.3081</v>
      </c>
      <c r="BN48" s="169">
        <v>0.90790000000000004</v>
      </c>
      <c r="BO48" s="169">
        <v>-151.28020000000001</v>
      </c>
      <c r="BP48" s="169">
        <v>109.1036</v>
      </c>
      <c r="BQ48" s="169">
        <v>109.1952</v>
      </c>
      <c r="BR48" s="169">
        <v>-6.5586000000000002</v>
      </c>
      <c r="BS48" s="169">
        <v>-78.464200000000005</v>
      </c>
      <c r="BT48" s="170"/>
      <c r="BU48" s="170"/>
      <c r="BV48" s="170"/>
      <c r="BW48" s="169">
        <v>25.6175</v>
      </c>
      <c r="BX48" s="169">
        <v>12.94</v>
      </c>
      <c r="BY48" s="169">
        <v>9.41</v>
      </c>
      <c r="BZ48" s="169">
        <v>-14.83</v>
      </c>
      <c r="CA48" s="169">
        <v>3.22</v>
      </c>
      <c r="CB48" s="169">
        <v>-21.9648</v>
      </c>
      <c r="CC48" s="169">
        <v>-22.098700000000001</v>
      </c>
      <c r="CD48" s="169">
        <v>22.445599999999999</v>
      </c>
      <c r="CE48" s="169">
        <v>21.123000000000001</v>
      </c>
      <c r="CF48" s="169">
        <v>-5.1618000000000004</v>
      </c>
      <c r="CG48" s="169">
        <v>16.2407</v>
      </c>
      <c r="CH48" s="169">
        <v>15.8001</v>
      </c>
      <c r="CI48" s="169">
        <v>5.6563999999999997</v>
      </c>
      <c r="CJ48" s="169">
        <v>0</v>
      </c>
      <c r="CK48" s="169">
        <v>-1.5316000000000001</v>
      </c>
      <c r="CL48" s="169">
        <v>-2.4809999999999999</v>
      </c>
      <c r="CM48" s="169">
        <v>-11.6</v>
      </c>
      <c r="CN48" s="169">
        <v>-11.7</v>
      </c>
      <c r="CO48" s="169">
        <v>-3.81</v>
      </c>
      <c r="CP48" s="169">
        <v>27.725999999999999</v>
      </c>
      <c r="CQ48" s="169">
        <v>27.980399999999999</v>
      </c>
      <c r="CR48" s="169">
        <v>25.9315</v>
      </c>
      <c r="CS48" s="169">
        <v>73.854500000000002</v>
      </c>
      <c r="CT48" s="169">
        <v>74.521799999999999</v>
      </c>
      <c r="CU48" s="169">
        <v>-23.89</v>
      </c>
      <c r="CV48" s="169">
        <v>-63.377200000000002</v>
      </c>
      <c r="CW48" s="169">
        <v>-19.930099999999999</v>
      </c>
      <c r="CX48" s="169">
        <v>3.4140999999999999</v>
      </c>
      <c r="CY48" s="169">
        <v>38.94</v>
      </c>
      <c r="CZ48" s="169">
        <v>14.96</v>
      </c>
      <c r="DA48" s="169">
        <v>11.254899999999999</v>
      </c>
      <c r="DB48" s="169">
        <v>10.3546</v>
      </c>
      <c r="DC48" s="169">
        <v>-11.2864</v>
      </c>
      <c r="DD48" s="170"/>
      <c r="DE48" s="170"/>
      <c r="DF48" s="170"/>
      <c r="DG48" s="169">
        <v>7.0582000000000003</v>
      </c>
      <c r="DH48" s="170"/>
      <c r="DI48" s="170"/>
      <c r="DJ48" s="170"/>
      <c r="DK48" s="170"/>
      <c r="DL48" s="169">
        <v>-2.1999999999999999E-2</v>
      </c>
      <c r="DM48" s="169">
        <v>11.1</v>
      </c>
      <c r="DN48" s="169">
        <v>15.58</v>
      </c>
      <c r="DO48" s="169">
        <v>15.06</v>
      </c>
      <c r="DP48" s="169">
        <v>6.08</v>
      </c>
      <c r="DQ48" s="169">
        <v>-3.76</v>
      </c>
      <c r="DR48" s="169">
        <v>8.0754999999999999</v>
      </c>
      <c r="DS48" s="169">
        <v>-7.8803999999999998</v>
      </c>
      <c r="DT48" s="169">
        <v>-1.05</v>
      </c>
      <c r="DU48" s="169">
        <v>-1.08</v>
      </c>
      <c r="DV48" s="169">
        <v>13</v>
      </c>
      <c r="DW48" s="169">
        <v>-20.38</v>
      </c>
      <c r="DX48" s="169">
        <v>-10.2727</v>
      </c>
      <c r="DY48" s="169">
        <v>-5.4181999999999997</v>
      </c>
      <c r="DZ48" s="169">
        <v>-37.508400000000002</v>
      </c>
      <c r="EA48" s="169">
        <v>-36.509099999999997</v>
      </c>
      <c r="EB48" s="169">
        <v>13.169</v>
      </c>
      <c r="EC48" s="169">
        <v>-9.7483000000000004</v>
      </c>
      <c r="ED48" s="169">
        <v>-17.725300000000001</v>
      </c>
      <c r="EE48" s="169">
        <v>-17.496700000000001</v>
      </c>
      <c r="EF48" s="169">
        <v>-26.0501</v>
      </c>
      <c r="EG48" s="169">
        <v>-35.436700000000002</v>
      </c>
      <c r="EH48" s="169">
        <v>-13.243</v>
      </c>
      <c r="EI48" s="169">
        <v>-65.805700000000002</v>
      </c>
      <c r="EJ48" s="169">
        <v>-29.477799999999998</v>
      </c>
      <c r="EK48" s="170"/>
      <c r="EL48" s="169">
        <v>-4.6585000000000001</v>
      </c>
      <c r="EM48" s="169">
        <v>-4.4353999999999996</v>
      </c>
      <c r="EN48" s="170"/>
      <c r="EO48" s="169">
        <v>-2.6886999999999999</v>
      </c>
      <c r="EP48" s="169">
        <v>-3.2797000000000001</v>
      </c>
      <c r="EQ48" s="169">
        <v>-14.852</v>
      </c>
      <c r="ER48" s="169">
        <v>-15.1615</v>
      </c>
      <c r="ES48" s="169">
        <v>-14.849500000000001</v>
      </c>
      <c r="ET48" s="169">
        <v>17.046500000000002</v>
      </c>
      <c r="EU48" s="170"/>
      <c r="EV48" s="169">
        <v>0</v>
      </c>
      <c r="EW48" s="170"/>
      <c r="EX48" s="169">
        <v>6.4768999999999997</v>
      </c>
      <c r="EY48" s="169">
        <v>3.0152000000000001</v>
      </c>
      <c r="EZ48" s="169">
        <v>-10.153700000000001</v>
      </c>
      <c r="FA48" s="169">
        <v>-10.0063</v>
      </c>
      <c r="FB48" s="169">
        <v>5.6576000000000004</v>
      </c>
      <c r="FC48" s="169">
        <v>18.3735</v>
      </c>
      <c r="FD48" s="169">
        <v>-29.203700000000001</v>
      </c>
      <c r="FE48" s="169">
        <v>7.2049000000000003</v>
      </c>
      <c r="FF48" s="169">
        <v>0.68220000000000003</v>
      </c>
      <c r="FG48" s="170"/>
      <c r="FH48" s="169">
        <v>3.3452000000000002</v>
      </c>
      <c r="FI48" s="169">
        <v>3.2816000000000001</v>
      </c>
      <c r="FJ48" s="169">
        <v>0</v>
      </c>
      <c r="FK48" s="169">
        <v>10.5497</v>
      </c>
      <c r="FL48" s="169">
        <v>10.0474</v>
      </c>
      <c r="FM48" s="169">
        <v>-18.420200000000001</v>
      </c>
      <c r="FN48" s="169">
        <v>18.9925</v>
      </c>
      <c r="FO48" s="169">
        <v>19.263400000000001</v>
      </c>
      <c r="FP48" s="169">
        <v>-7.3738000000000001</v>
      </c>
      <c r="FQ48" s="170"/>
      <c r="FR48" s="169">
        <v>17.989799999999999</v>
      </c>
      <c r="FS48" s="169">
        <v>-17.93</v>
      </c>
      <c r="FT48" s="170"/>
      <c r="FU48" s="169">
        <v>0.28860000000000002</v>
      </c>
      <c r="FV48" s="169">
        <v>-0.28999999999999998</v>
      </c>
      <c r="FW48" s="169">
        <v>0.85</v>
      </c>
      <c r="FX48" s="169">
        <v>-18.499700000000001</v>
      </c>
      <c r="FY48" s="170"/>
      <c r="FZ48" s="169">
        <v>4.0869999999999997</v>
      </c>
      <c r="GA48" s="169">
        <v>0.33200000000000002</v>
      </c>
      <c r="GB48" s="170"/>
      <c r="GC48" s="169">
        <v>12.28</v>
      </c>
      <c r="GD48" s="169">
        <v>-15.9475</v>
      </c>
      <c r="GE48" s="169">
        <v>-9.1753</v>
      </c>
      <c r="GF48" s="169">
        <v>-2.29</v>
      </c>
      <c r="GG48" s="169">
        <v>18.620999999999999</v>
      </c>
      <c r="GH48" s="170"/>
      <c r="GI48" s="169">
        <v>21.459800000000001</v>
      </c>
      <c r="GJ48" s="169">
        <v>-4.8822000000000001</v>
      </c>
      <c r="GK48" s="169">
        <v>-5.3274999999999997</v>
      </c>
      <c r="GL48" s="169">
        <v>3.6917</v>
      </c>
      <c r="GM48" s="170"/>
      <c r="GN48" s="170"/>
      <c r="GO48" s="169">
        <v>-12.3079</v>
      </c>
      <c r="GP48" s="169">
        <v>56.686500000000002</v>
      </c>
      <c r="GQ48" s="169">
        <v>-0.29609999999999997</v>
      </c>
      <c r="GR48" s="169">
        <v>-19.2958</v>
      </c>
      <c r="GS48" s="169">
        <v>-7.2807000000000004</v>
      </c>
      <c r="GT48" s="169">
        <v>-7.3762999999999996</v>
      </c>
      <c r="GU48" s="169">
        <v>100.6897</v>
      </c>
      <c r="GV48" s="169">
        <v>-5.8860000000000001</v>
      </c>
      <c r="GW48" s="169">
        <v>-8.6876999999999995</v>
      </c>
      <c r="GX48" s="169">
        <v>-13.5029</v>
      </c>
      <c r="GY48" s="169">
        <v>3.0255000000000001</v>
      </c>
      <c r="GZ48" s="169">
        <v>7.8975999999999997</v>
      </c>
      <c r="HA48" s="169">
        <v>8.0617000000000001</v>
      </c>
      <c r="HB48" s="169">
        <v>2.2814999999999999</v>
      </c>
      <c r="HC48" s="169">
        <v>-2.1343999999999999</v>
      </c>
      <c r="HD48" s="169">
        <v>0</v>
      </c>
      <c r="HE48" s="169">
        <v>1.26</v>
      </c>
      <c r="HF48" s="169">
        <v>0</v>
      </c>
      <c r="HG48" s="169">
        <v>31.090399999999999</v>
      </c>
      <c r="HH48" s="169">
        <v>42.662399999999998</v>
      </c>
      <c r="HI48" s="169">
        <v>80.042100000000005</v>
      </c>
      <c r="HJ48" s="169">
        <v>1.9278999999999999</v>
      </c>
      <c r="HK48" s="169">
        <v>49.923299999999998</v>
      </c>
      <c r="HL48" s="169">
        <v>-11.2507</v>
      </c>
      <c r="HM48" s="169">
        <v>-12.129200000000001</v>
      </c>
      <c r="HN48" s="169">
        <v>0</v>
      </c>
      <c r="HO48" s="169">
        <v>0</v>
      </c>
      <c r="HP48" s="170"/>
      <c r="HQ48" s="170"/>
      <c r="HR48" s="169">
        <v>-18.450399999999998</v>
      </c>
      <c r="HS48" s="169">
        <v>-17.857199999999999</v>
      </c>
      <c r="HT48" s="169">
        <v>-18.178699999999999</v>
      </c>
      <c r="HU48" s="169">
        <v>-17.8567</v>
      </c>
      <c r="HV48" s="169">
        <v>10.4</v>
      </c>
      <c r="HW48" s="169">
        <v>10.8</v>
      </c>
      <c r="HX48" s="169">
        <v>-28.1</v>
      </c>
      <c r="HY48" s="169">
        <v>-28.1</v>
      </c>
      <c r="HZ48" s="169">
        <v>5.3999999999999999E-2</v>
      </c>
      <c r="IA48" s="169">
        <v>-2.96</v>
      </c>
      <c r="IB48" s="169">
        <v>66.831999999999994</v>
      </c>
      <c r="IC48" s="170"/>
      <c r="ID48" s="170"/>
      <c r="IE48" s="169">
        <v>-17.399999999999999</v>
      </c>
      <c r="IF48" s="169">
        <v>-40.5</v>
      </c>
      <c r="IG48" s="169">
        <v>1.6</v>
      </c>
      <c r="IH48" s="169">
        <v>1.1000000000000001</v>
      </c>
      <c r="II48" s="170"/>
      <c r="IJ48" s="170"/>
      <c r="IK48" s="169">
        <v>-90.844300000000004</v>
      </c>
      <c r="IL48" s="169">
        <v>26.640999999999998</v>
      </c>
      <c r="IM48" s="169">
        <v>-287.6506</v>
      </c>
      <c r="IN48" s="169">
        <v>-27.389700000000001</v>
      </c>
      <c r="IO48" s="169">
        <v>-33.955199999999998</v>
      </c>
      <c r="IP48" s="169">
        <v>142.28270000000001</v>
      </c>
      <c r="IQ48" s="169">
        <v>21.027999999999999</v>
      </c>
      <c r="IR48" s="169">
        <v>127.43729999999999</v>
      </c>
      <c r="IS48" s="169">
        <v>97.759100000000004</v>
      </c>
      <c r="IT48" s="169">
        <v>82.473200000000006</v>
      </c>
      <c r="IU48" s="169">
        <v>26.673500000000001</v>
      </c>
      <c r="IV48" s="169">
        <v>25.312999999999999</v>
      </c>
      <c r="IW48" s="169">
        <v>-20.002600000000001</v>
      </c>
      <c r="IX48" s="169">
        <v>266.13529999999997</v>
      </c>
      <c r="IY48" s="169">
        <v>-194.7251</v>
      </c>
      <c r="IZ48" s="169">
        <v>80.664400000000001</v>
      </c>
      <c r="JA48" s="169">
        <v>-62.384599999999999</v>
      </c>
      <c r="JB48" s="169">
        <v>-1.4759</v>
      </c>
      <c r="JC48" s="169">
        <v>0.109</v>
      </c>
      <c r="JD48" s="169">
        <v>-6.96</v>
      </c>
      <c r="JE48" s="169">
        <v>-2.327</v>
      </c>
      <c r="JF48" s="169">
        <v>-2.3239999999999998</v>
      </c>
      <c r="JG48" s="169">
        <v>2.72</v>
      </c>
      <c r="JH48" s="169">
        <v>-0.64</v>
      </c>
      <c r="JI48" s="169">
        <v>-3.2528999999999999</v>
      </c>
      <c r="JJ48" s="169">
        <v>-5.0095000000000001</v>
      </c>
      <c r="JK48" s="169">
        <v>8.1773000000000007</v>
      </c>
      <c r="JL48" s="169">
        <v>-6.6483999999999996</v>
      </c>
      <c r="JM48" s="169">
        <v>-0.4</v>
      </c>
      <c r="JN48" s="169">
        <v>6.7649999999999997</v>
      </c>
      <c r="JO48" s="169">
        <v>7.9809999999999999</v>
      </c>
      <c r="JP48" s="170"/>
      <c r="JQ48" s="170"/>
      <c r="JR48" s="169">
        <v>4.2064000000000004</v>
      </c>
      <c r="JS48" s="169">
        <v>3.6867999999999999</v>
      </c>
      <c r="JT48" s="169">
        <v>3.6789000000000001</v>
      </c>
      <c r="JU48" s="170"/>
      <c r="JV48" s="169">
        <v>25.7</v>
      </c>
      <c r="JW48" s="169">
        <v>4.9450000000000003</v>
      </c>
      <c r="JX48" s="169">
        <v>0.83</v>
      </c>
      <c r="JY48" s="170"/>
      <c r="JZ48" s="169">
        <v>-6.4509999999999996</v>
      </c>
      <c r="KA48" s="169">
        <v>-14.2119</v>
      </c>
      <c r="KB48" s="169">
        <v>-17.572099999999999</v>
      </c>
      <c r="KC48" s="169">
        <v>-4.5579000000000001</v>
      </c>
      <c r="KD48" s="169">
        <v>9.5617000000000001</v>
      </c>
      <c r="KE48" s="169">
        <v>-11.7507</v>
      </c>
      <c r="KF48" s="169">
        <v>1.5981000000000001</v>
      </c>
      <c r="KG48" s="169">
        <v>-21.1</v>
      </c>
      <c r="KH48" s="169">
        <v>3.2</v>
      </c>
      <c r="KI48" s="169">
        <v>47.49</v>
      </c>
      <c r="KJ48" s="169">
        <v>-104.19499999999999</v>
      </c>
    </row>
    <row r="49" spans="1:296" ht="18" customHeight="1" x14ac:dyDescent="0.3">
      <c r="A49" s="162" t="s">
        <v>67</v>
      </c>
      <c r="B49" s="162" t="s">
        <v>848</v>
      </c>
      <c r="C49" s="163">
        <v>0</v>
      </c>
      <c r="D49" s="164"/>
      <c r="E49" s="163">
        <v>2.7141999999999999</v>
      </c>
      <c r="F49" s="163">
        <v>-8.2059999999999995</v>
      </c>
      <c r="G49" s="163">
        <v>5.1853999999999996</v>
      </c>
      <c r="H49" s="163">
        <v>8.9707000000000008</v>
      </c>
      <c r="I49" s="164"/>
      <c r="J49" s="163">
        <v>9.7504000000000008</v>
      </c>
      <c r="K49" s="164"/>
      <c r="L49" s="163">
        <v>18.722000000000001</v>
      </c>
      <c r="M49" s="163">
        <v>7.9947999999999997</v>
      </c>
      <c r="N49" s="163">
        <v>9.3849</v>
      </c>
      <c r="O49" s="163">
        <v>-15.54</v>
      </c>
      <c r="P49" s="163">
        <v>-26.4</v>
      </c>
      <c r="Q49" s="163">
        <v>2.2000000000000002</v>
      </c>
      <c r="R49" s="163">
        <v>1.6559999999999999</v>
      </c>
      <c r="S49" s="163">
        <v>-15.4</v>
      </c>
      <c r="T49" s="163">
        <v>3.8620999999999999</v>
      </c>
      <c r="U49" s="163">
        <v>-13.2203</v>
      </c>
      <c r="V49" s="163">
        <v>5.0284000000000004</v>
      </c>
      <c r="W49" s="163">
        <v>4.9142999999999999</v>
      </c>
      <c r="X49" s="163">
        <v>9.0714000000000006</v>
      </c>
      <c r="Y49" s="163">
        <v>0.74209999999999998</v>
      </c>
      <c r="Z49" s="163">
        <v>0.2626</v>
      </c>
      <c r="AA49" s="163">
        <v>0.47149999999999997</v>
      </c>
      <c r="AB49" s="164"/>
      <c r="AC49" s="163">
        <v>-0.72160000000000002</v>
      </c>
      <c r="AD49" s="163">
        <v>-0.58699999999999997</v>
      </c>
      <c r="AE49" s="163">
        <v>-0.56999999999999995</v>
      </c>
      <c r="AF49" s="163">
        <v>3.032</v>
      </c>
      <c r="AG49" s="163">
        <v>-6.66</v>
      </c>
      <c r="AH49" s="163">
        <v>-2.2000000000000002</v>
      </c>
      <c r="AI49" s="163">
        <v>-0.90100000000000002</v>
      </c>
      <c r="AJ49" s="163">
        <v>0.33400000000000002</v>
      </c>
      <c r="AK49" s="163">
        <v>-13.17</v>
      </c>
      <c r="AL49" s="163">
        <v>-13.13</v>
      </c>
      <c r="AM49" s="164"/>
      <c r="AN49" s="163">
        <v>-7.27</v>
      </c>
      <c r="AO49" s="163">
        <v>-7.32</v>
      </c>
      <c r="AP49" s="163">
        <v>6.7831000000000001</v>
      </c>
      <c r="AQ49" s="163">
        <v>3.6554000000000002</v>
      </c>
      <c r="AR49" s="163">
        <v>17.7135</v>
      </c>
      <c r="AS49" s="163">
        <v>22.075700000000001</v>
      </c>
      <c r="AT49" s="163">
        <v>-12.274800000000001</v>
      </c>
      <c r="AU49" s="163">
        <v>-2.9889999999999999</v>
      </c>
      <c r="AV49" s="163">
        <v>-2.8988999999999998</v>
      </c>
      <c r="AW49" s="163">
        <v>2.1456</v>
      </c>
      <c r="AX49" s="163">
        <v>2.4293</v>
      </c>
      <c r="AY49" s="163">
        <v>-14.274900000000001</v>
      </c>
      <c r="AZ49" s="163">
        <v>-11.648899999999999</v>
      </c>
      <c r="BA49" s="163">
        <v>17.520399999999999</v>
      </c>
      <c r="BB49" s="163">
        <v>17.9711</v>
      </c>
      <c r="BC49" s="163">
        <v>92.449799999999996</v>
      </c>
      <c r="BD49" s="163">
        <v>3.6863999999999999</v>
      </c>
      <c r="BE49" s="163">
        <v>-2</v>
      </c>
      <c r="BF49" s="163">
        <v>-2</v>
      </c>
      <c r="BG49" s="163">
        <v>-28.0626</v>
      </c>
      <c r="BH49" s="163">
        <v>-27.721299999999999</v>
      </c>
      <c r="BI49" s="163">
        <v>-2.2831000000000001</v>
      </c>
      <c r="BJ49" s="164"/>
      <c r="BK49" s="163">
        <v>6.1349999999999998</v>
      </c>
      <c r="BL49" s="163">
        <v>4.9500999999999999</v>
      </c>
      <c r="BM49" s="163">
        <v>1.5166999999999999</v>
      </c>
      <c r="BN49" s="163">
        <v>1.0255000000000001</v>
      </c>
      <c r="BO49" s="163">
        <v>-156.07159999999999</v>
      </c>
      <c r="BP49" s="163">
        <v>109.56140000000001</v>
      </c>
      <c r="BQ49" s="163">
        <v>110.1718</v>
      </c>
      <c r="BR49" s="163">
        <v>-14.9856</v>
      </c>
      <c r="BS49" s="163">
        <v>-86.0732</v>
      </c>
      <c r="BT49" s="164"/>
      <c r="BU49" s="164"/>
      <c r="BV49" s="164"/>
      <c r="BW49" s="164"/>
      <c r="BX49" s="163">
        <v>12.66</v>
      </c>
      <c r="BY49" s="163">
        <v>9.14</v>
      </c>
      <c r="BZ49" s="163">
        <v>-15.14</v>
      </c>
      <c r="CA49" s="163">
        <v>3.02</v>
      </c>
      <c r="CB49" s="163">
        <v>-20.8931</v>
      </c>
      <c r="CC49" s="163">
        <v>-20.7592</v>
      </c>
      <c r="CD49" s="163">
        <v>20.289200000000001</v>
      </c>
      <c r="CE49" s="163">
        <v>19.259799999999998</v>
      </c>
      <c r="CF49" s="163">
        <v>-5.2732000000000001</v>
      </c>
      <c r="CG49" s="163">
        <v>20.091699999999999</v>
      </c>
      <c r="CH49" s="163">
        <v>19.8172</v>
      </c>
      <c r="CI49" s="163">
        <v>5.8399000000000001</v>
      </c>
      <c r="CJ49" s="164"/>
      <c r="CK49" s="163">
        <v>-1.5316000000000001</v>
      </c>
      <c r="CL49" s="163">
        <v>-2.8069999999999999</v>
      </c>
      <c r="CM49" s="163">
        <v>-13.5</v>
      </c>
      <c r="CN49" s="163">
        <v>-13.5</v>
      </c>
      <c r="CO49" s="163">
        <v>-3.72</v>
      </c>
      <c r="CP49" s="163">
        <v>27.9803</v>
      </c>
      <c r="CQ49" s="163">
        <v>28.299499999999998</v>
      </c>
      <c r="CR49" s="163">
        <v>26.626100000000001</v>
      </c>
      <c r="CS49" s="163">
        <v>75.0535</v>
      </c>
      <c r="CT49" s="163">
        <v>75.835899999999995</v>
      </c>
      <c r="CU49" s="163">
        <v>-22.6645</v>
      </c>
      <c r="CV49" s="163">
        <v>-64.885199999999998</v>
      </c>
      <c r="CW49" s="163">
        <v>-18.953700000000001</v>
      </c>
      <c r="CX49" s="163">
        <v>4.0022000000000002</v>
      </c>
      <c r="CY49" s="163">
        <v>39.29</v>
      </c>
      <c r="CZ49" s="163">
        <v>15.65</v>
      </c>
      <c r="DA49" s="163">
        <v>11.723599999999999</v>
      </c>
      <c r="DB49" s="163">
        <v>10.647600000000001</v>
      </c>
      <c r="DC49" s="163">
        <v>-11.4366</v>
      </c>
      <c r="DD49" s="164"/>
      <c r="DE49" s="164"/>
      <c r="DF49" s="164"/>
      <c r="DG49" s="163">
        <v>5.8082000000000003</v>
      </c>
      <c r="DH49" s="164"/>
      <c r="DI49" s="164"/>
      <c r="DJ49" s="163">
        <v>-48.1</v>
      </c>
      <c r="DK49" s="163">
        <v>-48.1</v>
      </c>
      <c r="DL49" s="163">
        <v>5.6800000000000003E-2</v>
      </c>
      <c r="DM49" s="163">
        <v>10.7</v>
      </c>
      <c r="DN49" s="163">
        <v>16.5</v>
      </c>
      <c r="DO49" s="163">
        <v>14.82</v>
      </c>
      <c r="DP49" s="163">
        <v>6.05</v>
      </c>
      <c r="DQ49" s="163">
        <v>-4.0199999999999996</v>
      </c>
      <c r="DR49" s="163">
        <v>8.6954999999999991</v>
      </c>
      <c r="DS49" s="163">
        <v>-8.8655000000000008</v>
      </c>
      <c r="DT49" s="163">
        <v>-0.62</v>
      </c>
      <c r="DU49" s="163">
        <v>-0.66</v>
      </c>
      <c r="DV49" s="163">
        <v>13.06</v>
      </c>
      <c r="DW49" s="163">
        <v>-19.95</v>
      </c>
      <c r="DX49" s="163">
        <v>-11.2</v>
      </c>
      <c r="DY49" s="163">
        <v>-5.1364000000000001</v>
      </c>
      <c r="DZ49" s="163">
        <v>-36.3782</v>
      </c>
      <c r="EA49" s="163">
        <v>-35.309100000000001</v>
      </c>
      <c r="EB49" s="163">
        <v>16.113399999999999</v>
      </c>
      <c r="EC49" s="163">
        <v>-8.5213000000000001</v>
      </c>
      <c r="ED49" s="163">
        <v>-16.7164</v>
      </c>
      <c r="EE49" s="163">
        <v>-16.151399999999999</v>
      </c>
      <c r="EF49" s="163">
        <v>-26.7104</v>
      </c>
      <c r="EG49" s="163">
        <v>-36.330599999999997</v>
      </c>
      <c r="EH49" s="163">
        <v>-13.897</v>
      </c>
      <c r="EI49" s="163">
        <v>-56.923099999999998</v>
      </c>
      <c r="EJ49" s="163">
        <v>-23.683800000000002</v>
      </c>
      <c r="EK49" s="164"/>
      <c r="EL49" s="163">
        <v>-4.7206000000000001</v>
      </c>
      <c r="EM49" s="163">
        <v>-4.5216000000000003</v>
      </c>
      <c r="EN49" s="164"/>
      <c r="EO49" s="163">
        <v>-3.9375</v>
      </c>
      <c r="EP49" s="163">
        <v>-4.4904000000000002</v>
      </c>
      <c r="EQ49" s="163">
        <v>-15.875999999999999</v>
      </c>
      <c r="ER49" s="163">
        <v>-14.3413</v>
      </c>
      <c r="ES49" s="163">
        <v>-14.1127</v>
      </c>
      <c r="ET49" s="163">
        <v>18.057099999999998</v>
      </c>
      <c r="EU49" s="164"/>
      <c r="EV49" s="163">
        <v>0</v>
      </c>
      <c r="EW49" s="164"/>
      <c r="EX49" s="163">
        <v>6.1703000000000001</v>
      </c>
      <c r="EY49" s="163">
        <v>1.8528</v>
      </c>
      <c r="EZ49" s="163">
        <v>-10.600300000000001</v>
      </c>
      <c r="FA49" s="163">
        <v>-10.3718</v>
      </c>
      <c r="FB49" s="163">
        <v>6.3856000000000002</v>
      </c>
      <c r="FC49" s="163">
        <v>19.555900000000001</v>
      </c>
      <c r="FD49" s="163">
        <v>-30.182099999999998</v>
      </c>
      <c r="FE49" s="163">
        <v>7.1704999999999997</v>
      </c>
      <c r="FF49" s="163">
        <v>0.7611</v>
      </c>
      <c r="FG49" s="164"/>
      <c r="FH49" s="163">
        <v>3.7046999999999999</v>
      </c>
      <c r="FI49" s="163">
        <v>3.8370000000000002</v>
      </c>
      <c r="FJ49" s="163">
        <v>3.4178000000000002</v>
      </c>
      <c r="FK49" s="163">
        <v>8.8751999999999995</v>
      </c>
      <c r="FL49" s="163">
        <v>9.3775999999999993</v>
      </c>
      <c r="FM49" s="163">
        <v>-20.764600000000002</v>
      </c>
      <c r="FN49" s="163">
        <v>17.410799999999998</v>
      </c>
      <c r="FO49" s="163">
        <v>17.5138</v>
      </c>
      <c r="FP49" s="163">
        <v>-8.3102</v>
      </c>
      <c r="FQ49" s="164"/>
      <c r="FR49" s="163">
        <v>17.271999999999998</v>
      </c>
      <c r="FS49" s="163">
        <v>-18.39</v>
      </c>
      <c r="FT49" s="164"/>
      <c r="FU49" s="163">
        <v>0.19980000000000001</v>
      </c>
      <c r="FV49" s="163">
        <v>-0.34</v>
      </c>
      <c r="FW49" s="163">
        <v>1.51</v>
      </c>
      <c r="FX49" s="163">
        <v>-17.712299999999999</v>
      </c>
      <c r="FY49" s="164"/>
      <c r="FZ49" s="163">
        <v>4.0910000000000002</v>
      </c>
      <c r="GA49" s="163">
        <v>0.35199999999999998</v>
      </c>
      <c r="GB49" s="164"/>
      <c r="GC49" s="163">
        <v>13.44</v>
      </c>
      <c r="GD49" s="163">
        <v>-15.021800000000001</v>
      </c>
      <c r="GE49" s="163">
        <v>-7.8593999999999999</v>
      </c>
      <c r="GF49" s="163">
        <v>-2.2200000000000002</v>
      </c>
      <c r="GG49" s="163">
        <v>20.395700000000001</v>
      </c>
      <c r="GH49" s="164"/>
      <c r="GI49" s="163">
        <v>21.589700000000001</v>
      </c>
      <c r="GJ49" s="163">
        <v>-4.8067000000000002</v>
      </c>
      <c r="GK49" s="163">
        <v>-5.3520000000000003</v>
      </c>
      <c r="GL49" s="163">
        <v>3.58</v>
      </c>
      <c r="GM49" s="164"/>
      <c r="GN49" s="164"/>
      <c r="GO49" s="164"/>
      <c r="GP49" s="163">
        <v>58.724499999999999</v>
      </c>
      <c r="GQ49" s="163">
        <v>-0.59140000000000004</v>
      </c>
      <c r="GR49" s="163">
        <v>-19.854900000000001</v>
      </c>
      <c r="GS49" s="163">
        <v>-6.9736000000000002</v>
      </c>
      <c r="GT49" s="163">
        <v>-7.1551999999999998</v>
      </c>
      <c r="GU49" s="163">
        <v>97.871700000000004</v>
      </c>
      <c r="GV49" s="163">
        <v>-6.1641000000000004</v>
      </c>
      <c r="GW49" s="163">
        <v>-8.8232999999999997</v>
      </c>
      <c r="GX49" s="163">
        <v>-13.2463</v>
      </c>
      <c r="GY49" s="163">
        <v>2.5272999999999999</v>
      </c>
      <c r="GZ49" s="163">
        <v>7.5460000000000003</v>
      </c>
      <c r="HA49" s="163">
        <v>7.7847999999999997</v>
      </c>
      <c r="HB49" s="163">
        <v>1.7322</v>
      </c>
      <c r="HC49" s="163">
        <v>-1.7264999999999999</v>
      </c>
      <c r="HD49" s="163">
        <v>0</v>
      </c>
      <c r="HE49" s="163">
        <v>1.68</v>
      </c>
      <c r="HF49" s="164"/>
      <c r="HG49" s="163">
        <v>30.165500000000002</v>
      </c>
      <c r="HH49" s="163">
        <v>45.555100000000003</v>
      </c>
      <c r="HI49" s="163">
        <v>79.177099999999996</v>
      </c>
      <c r="HJ49" s="163">
        <v>2.722</v>
      </c>
      <c r="HK49" s="164"/>
      <c r="HL49" s="163">
        <v>-11.469200000000001</v>
      </c>
      <c r="HM49" s="163">
        <v>-12.2037</v>
      </c>
      <c r="HN49" s="163">
        <v>0</v>
      </c>
      <c r="HO49" s="163">
        <v>0</v>
      </c>
      <c r="HP49" s="163">
        <v>35.736699999999999</v>
      </c>
      <c r="HQ49" s="163">
        <v>35.559800000000003</v>
      </c>
      <c r="HR49" s="163">
        <v>-18.851500000000001</v>
      </c>
      <c r="HS49" s="163">
        <v>-18.307600000000001</v>
      </c>
      <c r="HT49" s="163">
        <v>-17.1097</v>
      </c>
      <c r="HU49" s="163">
        <v>-16.942499999999999</v>
      </c>
      <c r="HV49" s="163">
        <v>10.23</v>
      </c>
      <c r="HW49" s="163">
        <v>10.78</v>
      </c>
      <c r="HX49" s="163">
        <v>-29.1</v>
      </c>
      <c r="HY49" s="163">
        <v>-29.2</v>
      </c>
      <c r="HZ49" s="163">
        <v>3.5700000000000003E-2</v>
      </c>
      <c r="IA49" s="163">
        <v>-3.36</v>
      </c>
      <c r="IB49" s="163">
        <v>68.417299999999997</v>
      </c>
      <c r="IC49" s="164"/>
      <c r="ID49" s="164"/>
      <c r="IE49" s="164"/>
      <c r="IF49" s="163">
        <v>-41</v>
      </c>
      <c r="IG49" s="163">
        <v>2.6</v>
      </c>
      <c r="IH49" s="163">
        <v>2.1</v>
      </c>
      <c r="II49" s="164"/>
      <c r="IJ49" s="164"/>
      <c r="IK49" s="163">
        <v>-85.368799999999993</v>
      </c>
      <c r="IL49" s="163">
        <v>26.737500000000001</v>
      </c>
      <c r="IM49" s="163">
        <v>-292.48669999999998</v>
      </c>
      <c r="IN49" s="163">
        <v>-32.342500000000001</v>
      </c>
      <c r="IO49" s="163">
        <v>-33.921300000000002</v>
      </c>
      <c r="IP49" s="163">
        <v>141.24809999999999</v>
      </c>
      <c r="IQ49" s="163">
        <v>21.4406</v>
      </c>
      <c r="IR49" s="163">
        <v>127.9572</v>
      </c>
      <c r="IS49" s="163">
        <v>98.352999999999994</v>
      </c>
      <c r="IT49" s="163">
        <v>82.0762</v>
      </c>
      <c r="IU49" s="163">
        <v>25.648399999999999</v>
      </c>
      <c r="IV49" s="163">
        <v>26.3186</v>
      </c>
      <c r="IW49" s="163">
        <v>-20.114999999999998</v>
      </c>
      <c r="IX49" s="163">
        <v>265.5505</v>
      </c>
      <c r="IY49" s="163">
        <v>-192.1917</v>
      </c>
      <c r="IZ49" s="163">
        <v>79.098399999999998</v>
      </c>
      <c r="JA49" s="163">
        <v>-61.391300000000001</v>
      </c>
      <c r="JB49" s="163">
        <v>-1.4295</v>
      </c>
      <c r="JC49" s="163">
        <v>0.22700000000000001</v>
      </c>
      <c r="JD49" s="163">
        <v>-6.4</v>
      </c>
      <c r="JE49" s="164"/>
      <c r="JF49" s="163">
        <v>-2.323</v>
      </c>
      <c r="JG49" s="163">
        <v>2.08</v>
      </c>
      <c r="JH49" s="163">
        <v>-0.8</v>
      </c>
      <c r="JI49" s="163">
        <v>-2.3472</v>
      </c>
      <c r="JJ49" s="163">
        <v>-4.2770999999999999</v>
      </c>
      <c r="JK49" s="163">
        <v>8.1468000000000007</v>
      </c>
      <c r="JL49" s="163">
        <v>-6.9718</v>
      </c>
      <c r="JM49" s="163">
        <v>-0.9</v>
      </c>
      <c r="JN49" s="163">
        <v>7.9359999999999999</v>
      </c>
      <c r="JO49" s="163">
        <v>6.766</v>
      </c>
      <c r="JP49" s="164"/>
      <c r="JQ49" s="164"/>
      <c r="JR49" s="163">
        <v>3.3687</v>
      </c>
      <c r="JS49" s="163">
        <v>4.3255999999999997</v>
      </c>
      <c r="JT49" s="163">
        <v>4.5025000000000004</v>
      </c>
      <c r="JU49" s="164"/>
      <c r="JV49" s="163">
        <v>26.5</v>
      </c>
      <c r="JW49" s="163">
        <v>4.4015000000000004</v>
      </c>
      <c r="JX49" s="163">
        <v>0.61</v>
      </c>
      <c r="JY49" s="164"/>
      <c r="JZ49" s="163">
        <v>-6.7675999999999998</v>
      </c>
      <c r="KA49" s="163">
        <v>-14.1814</v>
      </c>
      <c r="KB49" s="163">
        <v>-17.003599999999999</v>
      </c>
      <c r="KC49" s="163">
        <v>-4.7558999999999996</v>
      </c>
      <c r="KD49" s="163">
        <v>9.7015999999999991</v>
      </c>
      <c r="KE49" s="163">
        <v>-10.583</v>
      </c>
      <c r="KF49" s="163">
        <v>0</v>
      </c>
      <c r="KG49" s="163">
        <v>-21.2</v>
      </c>
      <c r="KH49" s="163">
        <v>3.5</v>
      </c>
      <c r="KI49" s="163">
        <v>45.303800000000003</v>
      </c>
      <c r="KJ49" s="163">
        <v>-112.38590000000001</v>
      </c>
    </row>
    <row r="50" spans="1:296" ht="18" customHeight="1" x14ac:dyDescent="0.3">
      <c r="A50" s="162" t="s">
        <v>67</v>
      </c>
      <c r="B50" s="162" t="s">
        <v>849</v>
      </c>
      <c r="C50" s="166">
        <v>0</v>
      </c>
      <c r="D50" s="167"/>
      <c r="E50" s="166">
        <v>3.0365000000000002</v>
      </c>
      <c r="F50" s="166">
        <v>-8.4865999999999993</v>
      </c>
      <c r="G50" s="166">
        <v>5.0458999999999996</v>
      </c>
      <c r="H50" s="166">
        <v>8.8239999999999998</v>
      </c>
      <c r="I50" s="167"/>
      <c r="J50" s="166">
        <v>8.6397999999999993</v>
      </c>
      <c r="K50" s="167"/>
      <c r="L50" s="166">
        <v>19.2759</v>
      </c>
      <c r="M50" s="166">
        <v>8.1257999999999999</v>
      </c>
      <c r="N50" s="166">
        <v>9.5258000000000003</v>
      </c>
      <c r="O50" s="166">
        <v>-11.1</v>
      </c>
      <c r="P50" s="166">
        <v>-26.4</v>
      </c>
      <c r="Q50" s="166">
        <v>2.2000000000000002</v>
      </c>
      <c r="R50" s="166">
        <v>0.82799999999999996</v>
      </c>
      <c r="S50" s="166">
        <v>-17.600000000000001</v>
      </c>
      <c r="T50" s="166">
        <v>3.9897999999999998</v>
      </c>
      <c r="U50" s="166">
        <v>-13.1646</v>
      </c>
      <c r="V50" s="166">
        <v>4.5591999999999997</v>
      </c>
      <c r="W50" s="166">
        <v>4.3061999999999996</v>
      </c>
      <c r="X50" s="166">
        <v>7.9866000000000001</v>
      </c>
      <c r="Y50" s="166">
        <v>0.69130000000000003</v>
      </c>
      <c r="Z50" s="166">
        <v>0.26989999999999997</v>
      </c>
      <c r="AA50" s="166">
        <v>0.36120000000000002</v>
      </c>
      <c r="AB50" s="167"/>
      <c r="AC50" s="166">
        <v>-0.69869999999999999</v>
      </c>
      <c r="AD50" s="166">
        <v>-0.44500000000000001</v>
      </c>
      <c r="AE50" s="166">
        <v>-0.435</v>
      </c>
      <c r="AF50" s="166">
        <v>3.1259999999999999</v>
      </c>
      <c r="AG50" s="166">
        <v>-8.8800000000000008</v>
      </c>
      <c r="AH50" s="166">
        <v>-2.2000000000000002</v>
      </c>
      <c r="AI50" s="166">
        <v>-1.131</v>
      </c>
      <c r="AJ50" s="166">
        <v>0.33600000000000002</v>
      </c>
      <c r="AK50" s="166">
        <v>-12.25</v>
      </c>
      <c r="AL50" s="166">
        <v>-12.39</v>
      </c>
      <c r="AM50" s="167"/>
      <c r="AN50" s="166">
        <v>-7.47</v>
      </c>
      <c r="AO50" s="166">
        <v>-7.59</v>
      </c>
      <c r="AP50" s="166">
        <v>5.3037000000000001</v>
      </c>
      <c r="AQ50" s="166">
        <v>3.6410999999999998</v>
      </c>
      <c r="AR50" s="166">
        <v>16.641100000000002</v>
      </c>
      <c r="AS50" s="166">
        <v>21.0656</v>
      </c>
      <c r="AT50" s="166">
        <v>-14.986700000000001</v>
      </c>
      <c r="AU50" s="166">
        <v>-5.1866000000000003</v>
      </c>
      <c r="AV50" s="166">
        <v>-4.9623999999999997</v>
      </c>
      <c r="AW50" s="166">
        <v>2.4636999999999998</v>
      </c>
      <c r="AX50" s="166">
        <v>2.3435999999999999</v>
      </c>
      <c r="AY50" s="166">
        <v>-14.822100000000001</v>
      </c>
      <c r="AZ50" s="166">
        <v>-12.2148</v>
      </c>
      <c r="BA50" s="166">
        <v>17.053100000000001</v>
      </c>
      <c r="BB50" s="166">
        <v>17.5075</v>
      </c>
      <c r="BC50" s="166">
        <v>101.45699999999999</v>
      </c>
      <c r="BD50" s="166">
        <v>4.0376000000000003</v>
      </c>
      <c r="BE50" s="166">
        <v>-2.1</v>
      </c>
      <c r="BF50" s="166">
        <v>-2.1</v>
      </c>
      <c r="BG50" s="166">
        <v>-26.670300000000001</v>
      </c>
      <c r="BH50" s="166">
        <v>-26.6523</v>
      </c>
      <c r="BI50" s="166">
        <v>-2.3302999999999998</v>
      </c>
      <c r="BJ50" s="167"/>
      <c r="BK50" s="166">
        <v>2.5078</v>
      </c>
      <c r="BL50" s="166">
        <v>5.3005000000000004</v>
      </c>
      <c r="BM50" s="166">
        <v>1.5273000000000001</v>
      </c>
      <c r="BN50" s="166">
        <v>1.0327999999999999</v>
      </c>
      <c r="BO50" s="166">
        <v>-146.67189999999999</v>
      </c>
      <c r="BP50" s="166">
        <v>105.7771</v>
      </c>
      <c r="BQ50" s="166">
        <v>105.68559999999999</v>
      </c>
      <c r="BR50" s="166">
        <v>-15.2485</v>
      </c>
      <c r="BS50" s="166">
        <v>-86.592200000000005</v>
      </c>
      <c r="BT50" s="167"/>
      <c r="BU50" s="167"/>
      <c r="BV50" s="167"/>
      <c r="BW50" s="166">
        <v>25.667400000000001</v>
      </c>
      <c r="BX50" s="166">
        <v>12.36</v>
      </c>
      <c r="BY50" s="166">
        <v>8.6199999999999992</v>
      </c>
      <c r="BZ50" s="166">
        <v>-15.62</v>
      </c>
      <c r="CA50" s="166">
        <v>3.08</v>
      </c>
      <c r="CB50" s="166">
        <v>-20.8931</v>
      </c>
      <c r="CC50" s="166">
        <v>-20.7592</v>
      </c>
      <c r="CD50" s="166">
        <v>21.132999999999999</v>
      </c>
      <c r="CE50" s="166">
        <v>19.9102</v>
      </c>
      <c r="CF50" s="166">
        <v>-5.7386999999999997</v>
      </c>
      <c r="CG50" s="166">
        <v>25.956800000000001</v>
      </c>
      <c r="CH50" s="166">
        <v>26.195900000000002</v>
      </c>
      <c r="CI50" s="166">
        <v>1.7865</v>
      </c>
      <c r="CJ50" s="167"/>
      <c r="CK50" s="166">
        <v>-1.3484</v>
      </c>
      <c r="CL50" s="166">
        <v>-2.883</v>
      </c>
      <c r="CM50" s="166">
        <v>-15.3</v>
      </c>
      <c r="CN50" s="166">
        <v>-15.4</v>
      </c>
      <c r="CO50" s="166">
        <v>-3.72</v>
      </c>
      <c r="CP50" s="166">
        <v>30.031500000000001</v>
      </c>
      <c r="CQ50" s="166">
        <v>30.265799999999999</v>
      </c>
      <c r="CR50" s="166">
        <v>28.388000000000002</v>
      </c>
      <c r="CS50" s="166">
        <v>77.694000000000003</v>
      </c>
      <c r="CT50" s="166">
        <v>77.728899999999996</v>
      </c>
      <c r="CU50" s="166">
        <v>-28.255099999999999</v>
      </c>
      <c r="CV50" s="166">
        <v>-61.763500000000001</v>
      </c>
      <c r="CW50" s="166">
        <v>-24.594100000000001</v>
      </c>
      <c r="CX50" s="166">
        <v>4.2108999999999996</v>
      </c>
      <c r="CY50" s="166">
        <v>36.119999999999997</v>
      </c>
      <c r="CZ50" s="166">
        <v>14.24</v>
      </c>
      <c r="DA50" s="166">
        <v>11.254899999999999</v>
      </c>
      <c r="DB50" s="166">
        <v>10.257</v>
      </c>
      <c r="DC50" s="166">
        <v>-11.1175</v>
      </c>
      <c r="DD50" s="167"/>
      <c r="DE50" s="167"/>
      <c r="DF50" s="167"/>
      <c r="DG50" s="166">
        <v>18.823699999999999</v>
      </c>
      <c r="DH50" s="167"/>
      <c r="DI50" s="167"/>
      <c r="DJ50" s="166">
        <v>-45.6</v>
      </c>
      <c r="DK50" s="166">
        <v>-46.4</v>
      </c>
      <c r="DL50" s="166">
        <v>-0.1794</v>
      </c>
      <c r="DM50" s="166">
        <v>9.8000000000000007</v>
      </c>
      <c r="DN50" s="166">
        <v>14.74</v>
      </c>
      <c r="DO50" s="166">
        <v>14.02</v>
      </c>
      <c r="DP50" s="166">
        <v>5.45</v>
      </c>
      <c r="DQ50" s="166">
        <v>-3.53</v>
      </c>
      <c r="DR50" s="166">
        <v>10.0595</v>
      </c>
      <c r="DS50" s="166">
        <v>-19.738600000000002</v>
      </c>
      <c r="DT50" s="166">
        <v>-1.06</v>
      </c>
      <c r="DU50" s="166">
        <v>-1.0900000000000001</v>
      </c>
      <c r="DV50" s="166">
        <v>13.22</v>
      </c>
      <c r="DW50" s="166">
        <v>8.09</v>
      </c>
      <c r="DX50" s="166">
        <v>-20.2182</v>
      </c>
      <c r="DY50" s="166">
        <v>-10.318199999999999</v>
      </c>
      <c r="DZ50" s="166">
        <v>-40.226999999999997</v>
      </c>
      <c r="EA50" s="166">
        <v>-38.2727</v>
      </c>
      <c r="EB50" s="166">
        <v>22.139700000000001</v>
      </c>
      <c r="EC50" s="166">
        <v>-5.2721999999999998</v>
      </c>
      <c r="ED50" s="166">
        <v>-14.330299999999999</v>
      </c>
      <c r="EE50" s="166">
        <v>-14.326000000000001</v>
      </c>
      <c r="EF50" s="166">
        <v>-27.328299999999999</v>
      </c>
      <c r="EG50" s="166">
        <v>-36.953299999999999</v>
      </c>
      <c r="EH50" s="166">
        <v>-13.847</v>
      </c>
      <c r="EI50" s="166">
        <v>-54.8992</v>
      </c>
      <c r="EJ50" s="166">
        <v>-17.851299999999998</v>
      </c>
      <c r="EK50" s="167"/>
      <c r="EL50" s="166">
        <v>-4.3368000000000002</v>
      </c>
      <c r="EM50" s="166">
        <v>-4.1203000000000003</v>
      </c>
      <c r="EN50" s="167"/>
      <c r="EO50" s="166">
        <v>-6.4576000000000002</v>
      </c>
      <c r="EP50" s="166">
        <v>-6.8874000000000004</v>
      </c>
      <c r="EQ50" s="166">
        <v>-14.34</v>
      </c>
      <c r="ER50" s="166">
        <v>-15.5663</v>
      </c>
      <c r="ES50" s="166">
        <v>-15.184799999999999</v>
      </c>
      <c r="ET50" s="166">
        <v>20.1906</v>
      </c>
      <c r="EU50" s="167"/>
      <c r="EV50" s="166">
        <v>-2.0699999999999998</v>
      </c>
      <c r="EW50" s="167"/>
      <c r="EX50" s="166">
        <v>6.0026000000000002</v>
      </c>
      <c r="EY50" s="166">
        <v>-2.6042000000000001</v>
      </c>
      <c r="EZ50" s="166">
        <v>-10.4817</v>
      </c>
      <c r="FA50" s="166">
        <v>-10.364699999999999</v>
      </c>
      <c r="FB50" s="166">
        <v>5.7771999999999997</v>
      </c>
      <c r="FC50" s="166">
        <v>21.7044</v>
      </c>
      <c r="FD50" s="166">
        <v>-33.721200000000003</v>
      </c>
      <c r="FE50" s="166">
        <v>7.1896000000000004</v>
      </c>
      <c r="FF50" s="166">
        <v>0.82440000000000002</v>
      </c>
      <c r="FG50" s="167"/>
      <c r="FH50" s="166">
        <v>4.6538000000000004</v>
      </c>
      <c r="FI50" s="166">
        <v>4.5213000000000001</v>
      </c>
      <c r="FJ50" s="166">
        <v>2.9914999999999998</v>
      </c>
      <c r="FK50" s="166">
        <v>9.3775999999999993</v>
      </c>
      <c r="FL50" s="166">
        <v>8.8751999999999995</v>
      </c>
      <c r="FM50" s="166">
        <v>-21.769300000000001</v>
      </c>
      <c r="FN50" s="166">
        <v>20.4298</v>
      </c>
      <c r="FO50" s="166">
        <v>20.4953</v>
      </c>
      <c r="FP50" s="166">
        <v>-9.5494000000000003</v>
      </c>
      <c r="FQ50" s="167"/>
      <c r="FR50" s="166">
        <v>18.3902</v>
      </c>
      <c r="FS50" s="166">
        <v>-18.73</v>
      </c>
      <c r="FT50" s="167"/>
      <c r="FU50" s="166">
        <v>0.25380000000000003</v>
      </c>
      <c r="FV50" s="166">
        <v>-0.31</v>
      </c>
      <c r="FW50" s="166">
        <v>1.42</v>
      </c>
      <c r="FX50" s="166">
        <v>-18.7181</v>
      </c>
      <c r="FY50" s="167"/>
      <c r="FZ50" s="166">
        <v>4.117</v>
      </c>
      <c r="GA50" s="166">
        <v>-0.112</v>
      </c>
      <c r="GB50" s="167"/>
      <c r="GC50" s="166">
        <v>13.04</v>
      </c>
      <c r="GD50" s="166">
        <v>-14.485900000000001</v>
      </c>
      <c r="GE50" s="166">
        <v>-7.0911</v>
      </c>
      <c r="GF50" s="166">
        <v>-1.69</v>
      </c>
      <c r="GG50" s="166">
        <v>20.158100000000001</v>
      </c>
      <c r="GH50" s="167"/>
      <c r="GI50" s="166">
        <v>21.800799999999999</v>
      </c>
      <c r="GJ50" s="166">
        <v>-4.5906000000000002</v>
      </c>
      <c r="GK50" s="166">
        <v>-5.1021999999999998</v>
      </c>
      <c r="GL50" s="166">
        <v>3.4908999999999999</v>
      </c>
      <c r="GM50" s="167"/>
      <c r="GN50" s="167"/>
      <c r="GO50" s="166">
        <v>-13.3477</v>
      </c>
      <c r="GP50" s="166">
        <v>67.363</v>
      </c>
      <c r="GQ50" s="166">
        <v>-0.5887</v>
      </c>
      <c r="GR50" s="166">
        <v>-20.690200000000001</v>
      </c>
      <c r="GS50" s="166">
        <v>-6.9591000000000003</v>
      </c>
      <c r="GT50" s="166">
        <v>-7.0162000000000004</v>
      </c>
      <c r="GU50" s="166">
        <v>102.1823</v>
      </c>
      <c r="GV50" s="166">
        <v>-6.3914</v>
      </c>
      <c r="GW50" s="166">
        <v>-9.1862999999999992</v>
      </c>
      <c r="GX50" s="166">
        <v>-12.956200000000001</v>
      </c>
      <c r="GY50" s="166">
        <v>2.4599000000000002</v>
      </c>
      <c r="GZ50" s="166">
        <v>7.1935000000000002</v>
      </c>
      <c r="HA50" s="166">
        <v>7.3893000000000004</v>
      </c>
      <c r="HB50" s="166">
        <v>1.6835</v>
      </c>
      <c r="HC50" s="166">
        <v>-1.2502</v>
      </c>
      <c r="HD50" s="166">
        <v>0</v>
      </c>
      <c r="HE50" s="166">
        <v>2.93</v>
      </c>
      <c r="HF50" s="167"/>
      <c r="HG50" s="166">
        <v>25.092700000000001</v>
      </c>
      <c r="HH50" s="166">
        <v>48.756399999999999</v>
      </c>
      <c r="HI50" s="166">
        <v>81.721199999999996</v>
      </c>
      <c r="HJ50" s="166">
        <v>3.4657</v>
      </c>
      <c r="HK50" s="167"/>
      <c r="HL50" s="166">
        <v>-11.4237</v>
      </c>
      <c r="HM50" s="166">
        <v>-12.6936</v>
      </c>
      <c r="HN50" s="166">
        <v>0</v>
      </c>
      <c r="HO50" s="166">
        <v>0</v>
      </c>
      <c r="HP50" s="167"/>
      <c r="HQ50" s="167"/>
      <c r="HR50" s="166">
        <v>-15.6104</v>
      </c>
      <c r="HS50" s="166">
        <v>-15.3193</v>
      </c>
      <c r="HT50" s="166">
        <v>-15.994899999999999</v>
      </c>
      <c r="HU50" s="166">
        <v>-16.238700000000001</v>
      </c>
      <c r="HV50" s="166">
        <v>10.51</v>
      </c>
      <c r="HW50" s="166">
        <v>10.77</v>
      </c>
      <c r="HX50" s="166">
        <v>-29</v>
      </c>
      <c r="HY50" s="166">
        <v>-28.7</v>
      </c>
      <c r="HZ50" s="166">
        <v>3.5700000000000003E-2</v>
      </c>
      <c r="IA50" s="166">
        <v>-4.4000000000000004</v>
      </c>
      <c r="IB50" s="166">
        <v>51.313200000000002</v>
      </c>
      <c r="IC50" s="167"/>
      <c r="ID50" s="167"/>
      <c r="IE50" s="166">
        <v>-18.2</v>
      </c>
      <c r="IF50" s="166">
        <v>-41.9</v>
      </c>
      <c r="IG50" s="166">
        <v>-1.1000000000000001</v>
      </c>
      <c r="IH50" s="166">
        <v>-1.7</v>
      </c>
      <c r="II50" s="167"/>
      <c r="IJ50" s="167"/>
      <c r="IK50" s="166">
        <v>-79.249499999999998</v>
      </c>
      <c r="IL50" s="166">
        <v>28.526499999999999</v>
      </c>
      <c r="IM50" s="166">
        <v>-291.18189999999998</v>
      </c>
      <c r="IN50" s="166">
        <v>-31.9343</v>
      </c>
      <c r="IO50" s="166">
        <v>-33.042099999999998</v>
      </c>
      <c r="IP50" s="166">
        <v>143.1354</v>
      </c>
      <c r="IQ50" s="166">
        <v>20.3828</v>
      </c>
      <c r="IR50" s="166">
        <v>118.8293</v>
      </c>
      <c r="IS50" s="166">
        <v>94.640900000000002</v>
      </c>
      <c r="IT50" s="166">
        <v>85.022900000000007</v>
      </c>
      <c r="IU50" s="166">
        <v>26.829699999999999</v>
      </c>
      <c r="IV50" s="166">
        <v>24.444700000000001</v>
      </c>
      <c r="IW50" s="166">
        <v>-12.2135</v>
      </c>
      <c r="IX50" s="166">
        <v>266.56900000000002</v>
      </c>
      <c r="IY50" s="166">
        <v>-189.52440000000001</v>
      </c>
      <c r="IZ50" s="166">
        <v>86.897199999999998</v>
      </c>
      <c r="JA50" s="166">
        <v>-65.122799999999998</v>
      </c>
      <c r="JB50" s="166">
        <v>-3.0701000000000001</v>
      </c>
      <c r="JC50" s="166">
        <v>0.17899999999999999</v>
      </c>
      <c r="JD50" s="166">
        <v>-5.76</v>
      </c>
      <c r="JE50" s="166">
        <v>-2.2330000000000001</v>
      </c>
      <c r="JF50" s="166">
        <v>-2.2410000000000001</v>
      </c>
      <c r="JG50" s="166">
        <v>1.36</v>
      </c>
      <c r="JH50" s="166">
        <v>-0.88</v>
      </c>
      <c r="JI50" s="166">
        <v>-2.0979000000000001</v>
      </c>
      <c r="JJ50" s="166">
        <v>-4.4816000000000003</v>
      </c>
      <c r="JK50" s="166">
        <v>7.9698000000000002</v>
      </c>
      <c r="JL50" s="166">
        <v>-7.2923</v>
      </c>
      <c r="JM50" s="166">
        <v>-1</v>
      </c>
      <c r="JN50" s="166">
        <v>7.1379999999999999</v>
      </c>
      <c r="JO50" s="166">
        <v>6.5140000000000002</v>
      </c>
      <c r="JP50" s="167"/>
      <c r="JQ50" s="167"/>
      <c r="JR50" s="166">
        <v>4.1801000000000004</v>
      </c>
      <c r="JS50" s="166">
        <v>3.9784000000000002</v>
      </c>
      <c r="JT50" s="166">
        <v>3.4857999999999998</v>
      </c>
      <c r="JU50" s="167"/>
      <c r="JV50" s="166">
        <v>27.3</v>
      </c>
      <c r="JW50" s="166">
        <v>4.5334000000000003</v>
      </c>
      <c r="JX50" s="166">
        <v>0.57999999999999996</v>
      </c>
      <c r="JY50" s="167"/>
      <c r="JZ50" s="166">
        <v>-6.6818</v>
      </c>
      <c r="KA50" s="166">
        <v>-14.4467</v>
      </c>
      <c r="KB50" s="166">
        <v>-16.127700000000001</v>
      </c>
      <c r="KC50" s="166">
        <v>-5.0766</v>
      </c>
      <c r="KD50" s="166">
        <v>9.8269000000000002</v>
      </c>
      <c r="KE50" s="166">
        <v>-10.694100000000001</v>
      </c>
      <c r="KF50" s="166">
        <v>0</v>
      </c>
      <c r="KG50" s="166">
        <v>-22.6</v>
      </c>
      <c r="KH50" s="166">
        <v>5</v>
      </c>
      <c r="KI50" s="166">
        <v>45.785600000000002</v>
      </c>
      <c r="KJ50" s="166">
        <v>-114.8278</v>
      </c>
    </row>
    <row r="51" spans="1:296" ht="18" customHeight="1" x14ac:dyDescent="0.3">
      <c r="A51" s="162" t="s">
        <v>67</v>
      </c>
      <c r="B51" s="162" t="s">
        <v>850</v>
      </c>
      <c r="C51" s="166">
        <v>0</v>
      </c>
      <c r="D51" s="167"/>
      <c r="E51" s="166">
        <v>3.9171999999999998</v>
      </c>
      <c r="F51" s="166">
        <v>-9.6076999999999995</v>
      </c>
      <c r="G51" s="166">
        <v>4.7830000000000004</v>
      </c>
      <c r="H51" s="166">
        <v>8.2569999999999997</v>
      </c>
      <c r="I51" s="167"/>
      <c r="J51" s="166">
        <v>7.7784000000000004</v>
      </c>
      <c r="K51" s="167"/>
      <c r="L51" s="166">
        <v>19.201499999999999</v>
      </c>
      <c r="M51" s="166">
        <v>8.4557000000000002</v>
      </c>
      <c r="N51" s="166">
        <v>9.7225999999999999</v>
      </c>
      <c r="O51" s="166">
        <v>-11.1</v>
      </c>
      <c r="P51" s="166">
        <v>-24.2</v>
      </c>
      <c r="Q51" s="166">
        <v>2.2000000000000002</v>
      </c>
      <c r="R51" s="166">
        <v>1.6559999999999999</v>
      </c>
      <c r="S51" s="166">
        <v>-15.4</v>
      </c>
      <c r="T51" s="166">
        <v>3.7202999999999999</v>
      </c>
      <c r="U51" s="166">
        <v>-13.1806</v>
      </c>
      <c r="V51" s="166">
        <v>3.8033000000000001</v>
      </c>
      <c r="W51" s="166">
        <v>3.6755</v>
      </c>
      <c r="X51" s="166">
        <v>6.6658999999999997</v>
      </c>
      <c r="Y51" s="166">
        <v>0.624</v>
      </c>
      <c r="Z51" s="166">
        <v>0.25750000000000001</v>
      </c>
      <c r="AA51" s="166">
        <v>0.44840000000000002</v>
      </c>
      <c r="AB51" s="167"/>
      <c r="AC51" s="166">
        <v>-0.56289999999999996</v>
      </c>
      <c r="AD51" s="166">
        <v>-0.46500000000000002</v>
      </c>
      <c r="AE51" s="166">
        <v>-0.441</v>
      </c>
      <c r="AF51" s="166">
        <v>2.82</v>
      </c>
      <c r="AG51" s="166">
        <v>-8.8800000000000008</v>
      </c>
      <c r="AH51" s="166">
        <v>-6.6</v>
      </c>
      <c r="AI51" s="166">
        <v>-1.4159999999999999</v>
      </c>
      <c r="AJ51" s="166">
        <v>0.32500000000000001</v>
      </c>
      <c r="AK51" s="166">
        <v>-12.09</v>
      </c>
      <c r="AL51" s="166">
        <v>-12.01</v>
      </c>
      <c r="AM51" s="167"/>
      <c r="AN51" s="166">
        <v>-8.14</v>
      </c>
      <c r="AO51" s="166">
        <v>-8.1300000000000008</v>
      </c>
      <c r="AP51" s="167"/>
      <c r="AQ51" s="166">
        <v>3.8089</v>
      </c>
      <c r="AR51" s="166">
        <v>15.3062</v>
      </c>
      <c r="AS51" s="166">
        <v>19.440300000000001</v>
      </c>
      <c r="AT51" s="166">
        <v>-16.410900000000002</v>
      </c>
      <c r="AU51" s="166">
        <v>-4.0265000000000004</v>
      </c>
      <c r="AV51" s="166">
        <v>-3.5266999999999999</v>
      </c>
      <c r="AW51" s="166">
        <v>14.017799999999999</v>
      </c>
      <c r="AX51" s="166">
        <v>14.0481</v>
      </c>
      <c r="AY51" s="166">
        <v>-18.052</v>
      </c>
      <c r="AZ51" s="166">
        <v>-15.4015</v>
      </c>
      <c r="BA51" s="166">
        <v>20.698</v>
      </c>
      <c r="BB51" s="166">
        <v>18.872900000000001</v>
      </c>
      <c r="BC51" s="166">
        <v>99.427899999999994</v>
      </c>
      <c r="BD51" s="166">
        <v>4.0564</v>
      </c>
      <c r="BE51" s="166">
        <v>-2.4</v>
      </c>
      <c r="BF51" s="166">
        <v>-2.4</v>
      </c>
      <c r="BG51" s="166">
        <v>-26.732700000000001</v>
      </c>
      <c r="BH51" s="166">
        <v>-27.590199999999999</v>
      </c>
      <c r="BI51" s="166">
        <v>-1.7788999999999999</v>
      </c>
      <c r="BJ51" s="167"/>
      <c r="BK51" s="166">
        <v>5.0796999999999999</v>
      </c>
      <c r="BL51" s="166">
        <v>4.6388999999999996</v>
      </c>
      <c r="BM51" s="166">
        <v>1.2466999999999999</v>
      </c>
      <c r="BN51" s="166">
        <v>0.87</v>
      </c>
      <c r="BO51" s="166">
        <v>-142.73500000000001</v>
      </c>
      <c r="BP51" s="166">
        <v>105.8382</v>
      </c>
      <c r="BQ51" s="166">
        <v>105.89919999999999</v>
      </c>
      <c r="BR51" s="166">
        <v>-16.617699999999999</v>
      </c>
      <c r="BS51" s="166">
        <v>-86.959000000000003</v>
      </c>
      <c r="BT51" s="167"/>
      <c r="BU51" s="167"/>
      <c r="BV51" s="167"/>
      <c r="BW51" s="166">
        <v>24.659500000000001</v>
      </c>
      <c r="BX51" s="166">
        <v>12.52</v>
      </c>
      <c r="BY51" s="166">
        <v>8.2799999999999994</v>
      </c>
      <c r="BZ51" s="166">
        <v>-15.94</v>
      </c>
      <c r="CA51" s="166">
        <v>4.3499999999999996</v>
      </c>
      <c r="CB51" s="166">
        <v>-20.8931</v>
      </c>
      <c r="CC51" s="166">
        <v>-20.6252</v>
      </c>
      <c r="CD51" s="166">
        <v>24.072399999999998</v>
      </c>
      <c r="CE51" s="166">
        <v>22.779900000000001</v>
      </c>
      <c r="CF51" s="166">
        <v>-4.2731000000000003</v>
      </c>
      <c r="CG51" s="166">
        <v>27.673200000000001</v>
      </c>
      <c r="CH51" s="166">
        <v>27.599900000000002</v>
      </c>
      <c r="CI51" s="166">
        <v>4.6692</v>
      </c>
      <c r="CJ51" s="167"/>
      <c r="CK51" s="166">
        <v>2.1076000000000001</v>
      </c>
      <c r="CL51" s="166">
        <v>-0.98399999999999999</v>
      </c>
      <c r="CM51" s="166">
        <v>-17</v>
      </c>
      <c r="CN51" s="166">
        <v>-16.7</v>
      </c>
      <c r="CO51" s="166">
        <v>-3.66</v>
      </c>
      <c r="CP51" s="166">
        <v>29.987300000000001</v>
      </c>
      <c r="CQ51" s="166">
        <v>30.2319</v>
      </c>
      <c r="CR51" s="166">
        <v>28.1007</v>
      </c>
      <c r="CS51" s="166">
        <v>76.649199999999993</v>
      </c>
      <c r="CT51" s="166">
        <v>76.548199999999994</v>
      </c>
      <c r="CU51" s="166">
        <v>-24.584599999999998</v>
      </c>
      <c r="CV51" s="166">
        <v>-64.344200000000001</v>
      </c>
      <c r="CW51" s="166">
        <v>-21.7134</v>
      </c>
      <c r="CX51" s="166">
        <v>3.9575</v>
      </c>
      <c r="CY51" s="166">
        <v>34.19</v>
      </c>
      <c r="CZ51" s="166">
        <v>13.38</v>
      </c>
      <c r="DA51" s="166">
        <v>10.004899999999999</v>
      </c>
      <c r="DB51" s="166">
        <v>8.8897999999999993</v>
      </c>
      <c r="DC51" s="166">
        <v>-10.534800000000001</v>
      </c>
      <c r="DD51" s="167"/>
      <c r="DE51" s="167"/>
      <c r="DF51" s="167"/>
      <c r="DG51" s="166">
        <v>18.338000000000001</v>
      </c>
      <c r="DH51" s="167"/>
      <c r="DI51" s="167"/>
      <c r="DJ51" s="166">
        <v>-46.3</v>
      </c>
      <c r="DK51" s="166">
        <v>-45.8</v>
      </c>
      <c r="DL51" s="166">
        <v>0.52059999999999995</v>
      </c>
      <c r="DM51" s="166">
        <v>8</v>
      </c>
      <c r="DN51" s="166">
        <v>12.28</v>
      </c>
      <c r="DO51" s="166">
        <v>12.06</v>
      </c>
      <c r="DP51" s="166">
        <v>4.13</v>
      </c>
      <c r="DQ51" s="166">
        <v>-2.85</v>
      </c>
      <c r="DR51" s="166">
        <v>12.586</v>
      </c>
      <c r="DS51" s="166">
        <v>-19.2911</v>
      </c>
      <c r="DT51" s="166">
        <v>-1.23</v>
      </c>
      <c r="DU51" s="166">
        <v>-1.22</v>
      </c>
      <c r="DV51" s="166">
        <v>12.76</v>
      </c>
      <c r="DW51" s="166">
        <v>7.79</v>
      </c>
      <c r="DX51" s="166">
        <v>-19.454499999999999</v>
      </c>
      <c r="DY51" s="166">
        <v>-10.0273</v>
      </c>
      <c r="DZ51" s="166">
        <v>-39.955300000000001</v>
      </c>
      <c r="EA51" s="166">
        <v>-38.545499999999997</v>
      </c>
      <c r="EB51" s="166">
        <v>21.3658</v>
      </c>
      <c r="EC51" s="166">
        <v>-6.9245000000000001</v>
      </c>
      <c r="ED51" s="166">
        <v>-16.0184</v>
      </c>
      <c r="EE51" s="166">
        <v>-16.450500000000002</v>
      </c>
      <c r="EF51" s="166">
        <v>-27.446200000000001</v>
      </c>
      <c r="EG51" s="166">
        <v>-35.964799999999997</v>
      </c>
      <c r="EH51" s="166">
        <v>-14.169</v>
      </c>
      <c r="EI51" s="166">
        <v>-57.2211</v>
      </c>
      <c r="EJ51" s="166">
        <v>-11.8085</v>
      </c>
      <c r="EK51" s="167"/>
      <c r="EL51" s="166">
        <v>-4.7483000000000004</v>
      </c>
      <c r="EM51" s="166">
        <v>-4.4584000000000001</v>
      </c>
      <c r="EN51" s="167"/>
      <c r="EO51" s="166">
        <v>-7.9958</v>
      </c>
      <c r="EP51" s="166">
        <v>-7.7675999999999998</v>
      </c>
      <c r="EQ51" s="166">
        <v>-14.34</v>
      </c>
      <c r="ER51" s="166">
        <v>-16.145</v>
      </c>
      <c r="ES51" s="166">
        <v>-15.914899999999999</v>
      </c>
      <c r="ET51" s="166">
        <v>21.274799999999999</v>
      </c>
      <c r="EU51" s="167"/>
      <c r="EV51" s="166">
        <v>-3.31</v>
      </c>
      <c r="EW51" s="167"/>
      <c r="EX51" s="166">
        <v>6.0632999999999999</v>
      </c>
      <c r="EY51" s="166">
        <v>-6.3468</v>
      </c>
      <c r="EZ51" s="166">
        <v>-11.053100000000001</v>
      </c>
      <c r="FA51" s="166">
        <v>-10.8698</v>
      </c>
      <c r="FB51" s="166">
        <v>7.1426999999999996</v>
      </c>
      <c r="FC51" s="166">
        <v>21.6568</v>
      </c>
      <c r="FD51" s="166">
        <v>-36.2669</v>
      </c>
      <c r="FE51" s="166">
        <v>7.0662000000000003</v>
      </c>
      <c r="FF51" s="166">
        <v>0.5867</v>
      </c>
      <c r="FG51" s="167"/>
      <c r="FH51" s="166">
        <v>3.8368000000000002</v>
      </c>
      <c r="FI51" s="166">
        <v>3.1469999999999998</v>
      </c>
      <c r="FJ51" s="166">
        <v>2.7458</v>
      </c>
      <c r="FK51" s="166">
        <v>8.7077000000000009</v>
      </c>
      <c r="FL51" s="166">
        <v>8.8751999999999995</v>
      </c>
      <c r="FM51" s="166">
        <v>-21.936800000000002</v>
      </c>
      <c r="FN51" s="166">
        <v>20.888300000000001</v>
      </c>
      <c r="FO51" s="166">
        <v>20.842199999999998</v>
      </c>
      <c r="FP51" s="166">
        <v>-9.4532000000000007</v>
      </c>
      <c r="FQ51" s="167"/>
      <c r="FR51" s="166">
        <v>20.206600000000002</v>
      </c>
      <c r="FS51" s="166">
        <v>-17.36</v>
      </c>
      <c r="FT51" s="167"/>
      <c r="FU51" s="166">
        <v>0.23549999999999999</v>
      </c>
      <c r="FV51" s="166">
        <v>-0.32</v>
      </c>
      <c r="FW51" s="166">
        <v>-0.37</v>
      </c>
      <c r="FX51" s="166">
        <v>-19.663399999999999</v>
      </c>
      <c r="FY51" s="167"/>
      <c r="FZ51" s="166">
        <v>4.1040000000000001</v>
      </c>
      <c r="GA51" s="166">
        <v>0.79900000000000004</v>
      </c>
      <c r="GB51" s="167"/>
      <c r="GC51" s="166">
        <v>14.32</v>
      </c>
      <c r="GD51" s="166">
        <v>-16.201499999999999</v>
      </c>
      <c r="GE51" s="166">
        <v>-8.2083999999999993</v>
      </c>
      <c r="GF51" s="166">
        <v>-1.51</v>
      </c>
      <c r="GG51" s="166">
        <v>22.369700000000002</v>
      </c>
      <c r="GH51" s="167"/>
      <c r="GI51" s="166">
        <v>22.915400000000002</v>
      </c>
      <c r="GJ51" s="166">
        <v>-4.5312999999999999</v>
      </c>
      <c r="GK51" s="166">
        <v>-4.9824000000000002</v>
      </c>
      <c r="GL51" s="166">
        <v>3.3376000000000001</v>
      </c>
      <c r="GM51" s="167"/>
      <c r="GN51" s="167"/>
      <c r="GO51" s="166">
        <v>-12.962300000000001</v>
      </c>
      <c r="GP51" s="166">
        <v>71.780100000000004</v>
      </c>
      <c r="GQ51" s="166">
        <v>-0.29570000000000002</v>
      </c>
      <c r="GR51" s="166">
        <v>-22.2043</v>
      </c>
      <c r="GS51" s="166">
        <v>-6.9462999999999999</v>
      </c>
      <c r="GT51" s="166">
        <v>-7.0692000000000004</v>
      </c>
      <c r="GU51" s="166">
        <v>105.6401</v>
      </c>
      <c r="GV51" s="166">
        <v>-6.0648999999999997</v>
      </c>
      <c r="GW51" s="166">
        <v>-10.411</v>
      </c>
      <c r="GX51" s="166">
        <v>-11.269399999999999</v>
      </c>
      <c r="GY51" s="166">
        <v>2.4491000000000001</v>
      </c>
      <c r="GZ51" s="166">
        <v>6.8418999999999999</v>
      </c>
      <c r="HA51" s="166">
        <v>7.0491999999999999</v>
      </c>
      <c r="HB51" s="166">
        <v>1.6859999999999999</v>
      </c>
      <c r="HC51" s="166">
        <v>1.3673999999999999</v>
      </c>
      <c r="HD51" s="166">
        <v>2.1160000000000001</v>
      </c>
      <c r="HE51" s="166">
        <v>4.6100000000000003</v>
      </c>
      <c r="HF51" s="166">
        <v>0</v>
      </c>
      <c r="HG51" s="166">
        <v>25.467400000000001</v>
      </c>
      <c r="HH51" s="166">
        <v>55.390900000000002</v>
      </c>
      <c r="HI51" s="166">
        <v>82.738699999999994</v>
      </c>
      <c r="HJ51" s="166">
        <v>5.1295999999999999</v>
      </c>
      <c r="HK51" s="167"/>
      <c r="HL51" s="166">
        <v>-12.1562</v>
      </c>
      <c r="HM51" s="166">
        <v>-13.6347</v>
      </c>
      <c r="HN51" s="166">
        <v>0</v>
      </c>
      <c r="HO51" s="166">
        <v>0</v>
      </c>
      <c r="HP51" s="167"/>
      <c r="HQ51" s="167"/>
      <c r="HR51" s="166">
        <v>-16.8354</v>
      </c>
      <c r="HS51" s="166">
        <v>-16.566299999999998</v>
      </c>
      <c r="HT51" s="166">
        <v>-15.280900000000001</v>
      </c>
      <c r="HU51" s="166">
        <v>-15.200200000000001</v>
      </c>
      <c r="HV51" s="166">
        <v>10.6</v>
      </c>
      <c r="HW51" s="166">
        <v>10.92</v>
      </c>
      <c r="HX51" s="166">
        <v>-29.2</v>
      </c>
      <c r="HY51" s="166">
        <v>-28.8</v>
      </c>
      <c r="HZ51" s="166">
        <v>3.5700000000000003E-2</v>
      </c>
      <c r="IA51" s="166">
        <v>-4.6399999999999997</v>
      </c>
      <c r="IB51" s="166">
        <v>62.699399999999997</v>
      </c>
      <c r="IC51" s="167"/>
      <c r="ID51" s="167"/>
      <c r="IE51" s="166">
        <v>-18.2</v>
      </c>
      <c r="IF51" s="166">
        <v>-42.5</v>
      </c>
      <c r="IG51" s="166">
        <v>1.7</v>
      </c>
      <c r="IH51" s="166">
        <v>1.1000000000000001</v>
      </c>
      <c r="II51" s="167"/>
      <c r="IJ51" s="167"/>
      <c r="IK51" s="166">
        <v>-71.346500000000006</v>
      </c>
      <c r="IL51" s="166">
        <v>35.875799999999998</v>
      </c>
      <c r="IM51" s="166">
        <v>-291.90109999999999</v>
      </c>
      <c r="IN51" s="166">
        <v>-34.558900000000001</v>
      </c>
      <c r="IO51" s="166">
        <v>-29.494299999999999</v>
      </c>
      <c r="IP51" s="166">
        <v>147.90600000000001</v>
      </c>
      <c r="IQ51" s="166">
        <v>18.063700000000001</v>
      </c>
      <c r="IR51" s="166">
        <v>122.2623</v>
      </c>
      <c r="IS51" s="166">
        <v>97.787499999999994</v>
      </c>
      <c r="IT51" s="166">
        <v>86.345600000000005</v>
      </c>
      <c r="IU51" s="166">
        <v>29.278600000000001</v>
      </c>
      <c r="IV51" s="166">
        <v>28.9146</v>
      </c>
      <c r="IW51" s="166">
        <v>-15.619199999999999</v>
      </c>
      <c r="IX51" s="166">
        <v>269.11799999999999</v>
      </c>
      <c r="IY51" s="166">
        <v>-192.83779999999999</v>
      </c>
      <c r="IZ51" s="166">
        <v>83.849699999999999</v>
      </c>
      <c r="JA51" s="166">
        <v>-70.253100000000003</v>
      </c>
      <c r="JB51" s="166">
        <v>-2.2498</v>
      </c>
      <c r="JC51" s="166">
        <v>0.108</v>
      </c>
      <c r="JD51" s="166">
        <v>-5.28</v>
      </c>
      <c r="JE51" s="166">
        <v>-2.2400000000000002</v>
      </c>
      <c r="JF51" s="166">
        <v>-2.2440000000000002</v>
      </c>
      <c r="JG51" s="166">
        <v>1.04</v>
      </c>
      <c r="JH51" s="166">
        <v>-1.44</v>
      </c>
      <c r="JI51" s="166">
        <v>-1.7053</v>
      </c>
      <c r="JJ51" s="166">
        <v>-4.3350999999999997</v>
      </c>
      <c r="JK51" s="166">
        <v>8.2353000000000005</v>
      </c>
      <c r="JL51" s="166">
        <v>-7.2068000000000003</v>
      </c>
      <c r="JM51" s="166">
        <v>-1</v>
      </c>
      <c r="JN51" s="166">
        <v>8.5020000000000007</v>
      </c>
      <c r="JO51" s="166">
        <v>7.53</v>
      </c>
      <c r="JP51" s="166">
        <v>0</v>
      </c>
      <c r="JQ51" s="166">
        <v>0</v>
      </c>
      <c r="JR51" s="166">
        <v>4.3255999999999997</v>
      </c>
      <c r="JS51" s="166">
        <v>3.8138999999999998</v>
      </c>
      <c r="JT51" s="166">
        <v>3.8073000000000001</v>
      </c>
      <c r="JU51" s="167"/>
      <c r="JV51" s="166">
        <v>27.3</v>
      </c>
      <c r="JW51" s="166">
        <v>4.5800999999999998</v>
      </c>
      <c r="JX51" s="166">
        <v>0.42</v>
      </c>
      <c r="JY51" s="167"/>
      <c r="JZ51" s="166">
        <v>-8.1631</v>
      </c>
      <c r="KA51" s="166">
        <v>-13.530900000000001</v>
      </c>
      <c r="KB51" s="166">
        <v>-15.8574</v>
      </c>
      <c r="KC51" s="166">
        <v>-6.5942999999999996</v>
      </c>
      <c r="KD51" s="166">
        <v>9.6229999999999993</v>
      </c>
      <c r="KE51" s="166">
        <v>-9.8405000000000005</v>
      </c>
      <c r="KF51" s="166">
        <v>0</v>
      </c>
      <c r="KG51" s="166">
        <v>-23</v>
      </c>
      <c r="KH51" s="166">
        <v>5</v>
      </c>
      <c r="KI51" s="166">
        <v>47.227600000000002</v>
      </c>
      <c r="KJ51" s="166">
        <v>-115.0078</v>
      </c>
    </row>
    <row r="52" spans="1:296" ht="18" customHeight="1" x14ac:dyDescent="0.3">
      <c r="A52" s="162" t="s">
        <v>67</v>
      </c>
      <c r="B52" s="162" t="s">
        <v>851</v>
      </c>
      <c r="C52" s="166">
        <v>0</v>
      </c>
      <c r="D52" s="167"/>
      <c r="E52" s="166">
        <v>3.7947000000000002</v>
      </c>
      <c r="F52" s="166">
        <v>-9.3869000000000007</v>
      </c>
      <c r="G52" s="166">
        <v>4.5282</v>
      </c>
      <c r="H52" s="166">
        <v>7.6881000000000004</v>
      </c>
      <c r="I52" s="167"/>
      <c r="J52" s="166">
        <v>6.2934999999999999</v>
      </c>
      <c r="K52" s="167"/>
      <c r="L52" s="166">
        <v>18.930399999999999</v>
      </c>
      <c r="M52" s="166">
        <v>8.1818000000000008</v>
      </c>
      <c r="N52" s="166">
        <v>9.7208000000000006</v>
      </c>
      <c r="O52" s="166">
        <v>-8.8800000000000008</v>
      </c>
      <c r="P52" s="166">
        <v>-26.4</v>
      </c>
      <c r="Q52" s="166">
        <v>2.2000000000000002</v>
      </c>
      <c r="R52" s="166">
        <v>1.6559999999999999</v>
      </c>
      <c r="S52" s="166">
        <v>-17.600000000000001</v>
      </c>
      <c r="T52" s="166">
        <v>4.1886000000000001</v>
      </c>
      <c r="U52" s="166">
        <v>-13.520899999999999</v>
      </c>
      <c r="V52" s="166">
        <v>3.2717000000000001</v>
      </c>
      <c r="W52" s="166">
        <v>3.1379999999999999</v>
      </c>
      <c r="X52" s="166">
        <v>5.7415000000000003</v>
      </c>
      <c r="Y52" s="166">
        <v>0.66259999999999997</v>
      </c>
      <c r="Z52" s="166">
        <v>0.25719999999999998</v>
      </c>
      <c r="AA52" s="166">
        <v>0.45029999999999998</v>
      </c>
      <c r="AB52" s="167"/>
      <c r="AC52" s="166">
        <v>-0.53600000000000003</v>
      </c>
      <c r="AD52" s="166">
        <v>-0.497</v>
      </c>
      <c r="AE52" s="166">
        <v>-0.45800000000000002</v>
      </c>
      <c r="AF52" s="166">
        <v>2.9660000000000002</v>
      </c>
      <c r="AG52" s="166">
        <v>-11.1</v>
      </c>
      <c r="AH52" s="166">
        <v>-6.6</v>
      </c>
      <c r="AI52" s="166">
        <v>-1.371</v>
      </c>
      <c r="AJ52" s="166">
        <v>0.32300000000000001</v>
      </c>
      <c r="AK52" s="166">
        <v>-10.95</v>
      </c>
      <c r="AL52" s="166">
        <v>-11.24</v>
      </c>
      <c r="AM52" s="167"/>
      <c r="AN52" s="166">
        <v>-8.98</v>
      </c>
      <c r="AO52" s="166">
        <v>-8.99</v>
      </c>
      <c r="AP52" s="167"/>
      <c r="AQ52" s="166">
        <v>3.9167000000000001</v>
      </c>
      <c r="AR52" s="166">
        <v>15.796900000000001</v>
      </c>
      <c r="AS52" s="166">
        <v>20.2011</v>
      </c>
      <c r="AT52" s="166">
        <v>-17.415800000000001</v>
      </c>
      <c r="AU52" s="166">
        <v>-4.5179</v>
      </c>
      <c r="AV52" s="166">
        <v>-4.2374000000000001</v>
      </c>
      <c r="AW52" s="166">
        <v>13.7468</v>
      </c>
      <c r="AX52" s="166">
        <v>17.160599999999999</v>
      </c>
      <c r="AY52" s="166">
        <v>-17.318200000000001</v>
      </c>
      <c r="AZ52" s="166">
        <v>-15.6317</v>
      </c>
      <c r="BA52" s="166">
        <v>28.059899999999999</v>
      </c>
      <c r="BB52" s="166">
        <v>24.7194</v>
      </c>
      <c r="BC52" s="166">
        <v>98.915499999999994</v>
      </c>
      <c r="BD52" s="166">
        <v>14.0267</v>
      </c>
      <c r="BE52" s="166">
        <v>-5.7</v>
      </c>
      <c r="BF52" s="166">
        <v>-5.8</v>
      </c>
      <c r="BG52" s="166">
        <v>-27.850999999999999</v>
      </c>
      <c r="BH52" s="166">
        <v>-27.226199999999999</v>
      </c>
      <c r="BI52" s="166">
        <v>-1.6119000000000001</v>
      </c>
      <c r="BJ52" s="167"/>
      <c r="BK52" s="166">
        <v>1.64</v>
      </c>
      <c r="BL52" s="166">
        <v>5.2050000000000001</v>
      </c>
      <c r="BM52" s="166">
        <v>2.0653999999999999</v>
      </c>
      <c r="BN52" s="166">
        <v>1.3414999999999999</v>
      </c>
      <c r="BO52" s="166">
        <v>-143.7116</v>
      </c>
      <c r="BP52" s="166">
        <v>100.98569999999999</v>
      </c>
      <c r="BQ52" s="166">
        <v>100.9247</v>
      </c>
      <c r="BR52" s="166">
        <v>-21.526700000000002</v>
      </c>
      <c r="BS52" s="166">
        <v>-102.3865</v>
      </c>
      <c r="BT52" s="167"/>
      <c r="BU52" s="167"/>
      <c r="BV52" s="167"/>
      <c r="BW52" s="166">
        <v>26.395900000000001</v>
      </c>
      <c r="BX52" s="166">
        <v>9.3800000000000008</v>
      </c>
      <c r="BY52" s="166">
        <v>7.49</v>
      </c>
      <c r="BZ52" s="166">
        <v>-6.82</v>
      </c>
      <c r="CA52" s="166">
        <v>8.57</v>
      </c>
      <c r="CB52" s="166">
        <v>-22.232700000000001</v>
      </c>
      <c r="CC52" s="166">
        <v>-22.098700000000001</v>
      </c>
      <c r="CD52" s="166">
        <v>25.942399999999999</v>
      </c>
      <c r="CE52" s="166">
        <v>24.4377</v>
      </c>
      <c r="CF52" s="166">
        <v>-3.8191999999999999</v>
      </c>
      <c r="CG52" s="166">
        <v>20.123899999999999</v>
      </c>
      <c r="CH52" s="166">
        <v>19.990100000000002</v>
      </c>
      <c r="CI52" s="166">
        <v>1.5415000000000001</v>
      </c>
      <c r="CJ52" s="167"/>
      <c r="CK52" s="166">
        <v>3.456</v>
      </c>
      <c r="CL52" s="166">
        <v>9.2799999999999994</v>
      </c>
      <c r="CM52" s="166">
        <v>-19.899999999999999</v>
      </c>
      <c r="CN52" s="166">
        <v>-19.2</v>
      </c>
      <c r="CO52" s="166">
        <v>-3.42</v>
      </c>
      <c r="CP52" s="166">
        <v>34.387700000000002</v>
      </c>
      <c r="CQ52" s="166">
        <v>34.997799999999998</v>
      </c>
      <c r="CR52" s="166">
        <v>32.719799999999999</v>
      </c>
      <c r="CS52" s="166">
        <v>76.675899999999999</v>
      </c>
      <c r="CT52" s="166">
        <v>76.363200000000006</v>
      </c>
      <c r="CU52" s="166">
        <v>-28.936499999999999</v>
      </c>
      <c r="CV52" s="166">
        <v>-60.822800000000001</v>
      </c>
      <c r="CW52" s="166">
        <v>-25.1236</v>
      </c>
      <c r="CX52" s="166">
        <v>3.968</v>
      </c>
      <c r="CY52" s="166">
        <v>32.9</v>
      </c>
      <c r="CZ52" s="166">
        <v>12.83</v>
      </c>
      <c r="DA52" s="166">
        <v>9.0673999999999992</v>
      </c>
      <c r="DB52" s="166">
        <v>8.1084999999999994</v>
      </c>
      <c r="DC52" s="166">
        <v>-10.002700000000001</v>
      </c>
      <c r="DD52" s="167"/>
      <c r="DE52" s="167"/>
      <c r="DF52" s="167"/>
      <c r="DG52" s="166">
        <v>12.341100000000001</v>
      </c>
      <c r="DH52" s="167"/>
      <c r="DI52" s="167"/>
      <c r="DJ52" s="166">
        <v>-43.9</v>
      </c>
      <c r="DK52" s="166">
        <v>-45.8</v>
      </c>
      <c r="DL52" s="166">
        <v>0.50719999999999998</v>
      </c>
      <c r="DM52" s="166">
        <v>6.4</v>
      </c>
      <c r="DN52" s="166">
        <v>11.3</v>
      </c>
      <c r="DO52" s="166">
        <v>10.56</v>
      </c>
      <c r="DP52" s="166">
        <v>2.96</v>
      </c>
      <c r="DQ52" s="166">
        <v>-2.79</v>
      </c>
      <c r="DR52" s="166">
        <v>13.624499999999999</v>
      </c>
      <c r="DS52" s="166">
        <v>-13.6533</v>
      </c>
      <c r="DT52" s="166">
        <v>-1.54</v>
      </c>
      <c r="DU52" s="166">
        <v>-1.52</v>
      </c>
      <c r="DV52" s="166">
        <v>11.99</v>
      </c>
      <c r="DW52" s="166">
        <v>7.12</v>
      </c>
      <c r="DX52" s="166">
        <v>-13.4727</v>
      </c>
      <c r="DY52" s="166">
        <v>-6.9635999999999996</v>
      </c>
      <c r="DZ52" s="166">
        <v>-38.848300000000002</v>
      </c>
      <c r="EA52" s="166">
        <v>-37.845500000000001</v>
      </c>
      <c r="EB52" s="166">
        <v>22.818999999999999</v>
      </c>
      <c r="EC52" s="166">
        <v>-6.2663000000000002</v>
      </c>
      <c r="ED52" s="166">
        <v>-15.5603</v>
      </c>
      <c r="EE52" s="166">
        <v>-15.4476</v>
      </c>
      <c r="EF52" s="166">
        <v>-25.9526</v>
      </c>
      <c r="EG52" s="166">
        <v>-33.985700000000001</v>
      </c>
      <c r="EH52" s="166">
        <v>-13.811999999999999</v>
      </c>
      <c r="EI52" s="166">
        <v>-48.700899999999997</v>
      </c>
      <c r="EJ52" s="166">
        <v>-17.363199999999999</v>
      </c>
      <c r="EK52" s="167"/>
      <c r="EL52" s="166">
        <v>-7.6505000000000001</v>
      </c>
      <c r="EM52" s="166">
        <v>-7.4739000000000004</v>
      </c>
      <c r="EN52" s="167"/>
      <c r="EO52" s="166">
        <v>-9.3994</v>
      </c>
      <c r="EP52" s="166">
        <v>-9.2364999999999995</v>
      </c>
      <c r="EQ52" s="166">
        <v>-12.804</v>
      </c>
      <c r="ER52" s="166">
        <v>-17.178699999999999</v>
      </c>
      <c r="ES52" s="166">
        <v>-16.738600000000002</v>
      </c>
      <c r="ET52" s="166">
        <v>19.0258</v>
      </c>
      <c r="EU52" s="167"/>
      <c r="EV52" s="166">
        <v>-3.12</v>
      </c>
      <c r="EW52" s="166">
        <v>0</v>
      </c>
      <c r="EX52" s="166">
        <v>5.7282999999999999</v>
      </c>
      <c r="EY52" s="166">
        <v>-7.0968</v>
      </c>
      <c r="EZ52" s="166">
        <v>-10.3819</v>
      </c>
      <c r="FA52" s="166">
        <v>-10.283099999999999</v>
      </c>
      <c r="FB52" s="166">
        <v>7.3617999999999997</v>
      </c>
      <c r="FC52" s="166">
        <v>19.790299999999998</v>
      </c>
      <c r="FD52" s="166">
        <v>-33.999299999999998</v>
      </c>
      <c r="FE52" s="166">
        <v>7.0091999999999999</v>
      </c>
      <c r="FF52" s="166">
        <v>0.17249999999999999</v>
      </c>
      <c r="FG52" s="167"/>
      <c r="FH52" s="166">
        <v>3.6897000000000002</v>
      </c>
      <c r="FI52" s="166">
        <v>4.43</v>
      </c>
      <c r="FJ52" s="166">
        <v>2.5859999999999999</v>
      </c>
      <c r="FK52" s="166">
        <v>11.554500000000001</v>
      </c>
      <c r="FL52" s="166">
        <v>11.387</v>
      </c>
      <c r="FM52" s="166">
        <v>-21.099499999999999</v>
      </c>
      <c r="FN52" s="166">
        <v>19.465199999999999</v>
      </c>
      <c r="FO52" s="166">
        <v>19.638500000000001</v>
      </c>
      <c r="FP52" s="166">
        <v>-9.1714000000000002</v>
      </c>
      <c r="FQ52" s="167"/>
      <c r="FR52" s="166">
        <v>19.679300000000001</v>
      </c>
      <c r="FS52" s="166">
        <v>-17.68</v>
      </c>
      <c r="FT52" s="167"/>
      <c r="FU52" s="166">
        <v>0.23369999999999999</v>
      </c>
      <c r="FV52" s="166">
        <v>-0.31</v>
      </c>
      <c r="FW52" s="166">
        <v>0.23</v>
      </c>
      <c r="FX52" s="166">
        <v>-20.288799999999998</v>
      </c>
      <c r="FY52" s="167"/>
      <c r="FZ52" s="166">
        <v>3.944</v>
      </c>
      <c r="GA52" s="166">
        <v>0.56799999999999995</v>
      </c>
      <c r="GB52" s="167"/>
      <c r="GC52" s="166">
        <v>14.3</v>
      </c>
      <c r="GD52" s="166">
        <v>-15.2681</v>
      </c>
      <c r="GE52" s="166">
        <v>-8.2387999999999995</v>
      </c>
      <c r="GF52" s="166">
        <v>-1.67</v>
      </c>
      <c r="GG52" s="166">
        <v>22.174199999999999</v>
      </c>
      <c r="GH52" s="167"/>
      <c r="GI52" s="166">
        <v>22.828600000000002</v>
      </c>
      <c r="GJ52" s="166">
        <v>-5.0742000000000003</v>
      </c>
      <c r="GK52" s="166">
        <v>-5.7092000000000001</v>
      </c>
      <c r="GL52" s="166">
        <v>3.0716999999999999</v>
      </c>
      <c r="GM52" s="167"/>
      <c r="GN52" s="167"/>
      <c r="GO52" s="167"/>
      <c r="GP52" s="166">
        <v>71.569699999999997</v>
      </c>
      <c r="GQ52" s="166">
        <v>1.0130999999999999</v>
      </c>
      <c r="GR52" s="166">
        <v>-23.1218</v>
      </c>
      <c r="GS52" s="166">
        <v>-7.7297000000000002</v>
      </c>
      <c r="GT52" s="166">
        <v>-7.3757000000000001</v>
      </c>
      <c r="GU52" s="166">
        <v>103.9956</v>
      </c>
      <c r="GV52" s="166">
        <v>-8.4298999999999999</v>
      </c>
      <c r="GW52" s="166">
        <v>-8.7652000000000001</v>
      </c>
      <c r="GX52" s="166">
        <v>-9.4131999999999998</v>
      </c>
      <c r="GY52" s="166">
        <v>2.4312</v>
      </c>
      <c r="GZ52" s="166">
        <v>6.3438999999999997</v>
      </c>
      <c r="HA52" s="166">
        <v>6.4795999999999996</v>
      </c>
      <c r="HB52" s="166">
        <v>1.6687000000000001</v>
      </c>
      <c r="HC52" s="166">
        <v>0</v>
      </c>
      <c r="HD52" s="166">
        <v>0</v>
      </c>
      <c r="HE52" s="166">
        <v>5.03</v>
      </c>
      <c r="HF52" s="166">
        <v>0</v>
      </c>
      <c r="HG52" s="166">
        <v>25.499600000000001</v>
      </c>
      <c r="HH52" s="166">
        <v>52.362000000000002</v>
      </c>
      <c r="HI52" s="166">
        <v>79.267899999999997</v>
      </c>
      <c r="HJ52" s="166">
        <v>3.4792999999999998</v>
      </c>
      <c r="HK52" s="167"/>
      <c r="HL52" s="166">
        <v>-11.3292</v>
      </c>
      <c r="HM52" s="166">
        <v>-11.947699999999999</v>
      </c>
      <c r="HN52" s="166">
        <v>0</v>
      </c>
      <c r="HO52" s="166">
        <v>0</v>
      </c>
      <c r="HP52" s="167"/>
      <c r="HQ52" s="167"/>
      <c r="HR52" s="166">
        <v>-17.027699999999999</v>
      </c>
      <c r="HS52" s="166">
        <v>-16.5608</v>
      </c>
      <c r="HT52" s="166">
        <v>-14.4039</v>
      </c>
      <c r="HU52" s="166">
        <v>-14.413399999999999</v>
      </c>
      <c r="HV52" s="166">
        <v>9.68</v>
      </c>
      <c r="HW52" s="166">
        <v>10.029999999999999</v>
      </c>
      <c r="HX52" s="166">
        <v>-28.9</v>
      </c>
      <c r="HY52" s="166">
        <v>-28.9</v>
      </c>
      <c r="HZ52" s="166">
        <v>5.3999999999999999E-2</v>
      </c>
      <c r="IA52" s="166">
        <v>-5.44</v>
      </c>
      <c r="IB52" s="166">
        <v>61.479300000000002</v>
      </c>
      <c r="IC52" s="167"/>
      <c r="ID52" s="167"/>
      <c r="IE52" s="166">
        <v>-18.7</v>
      </c>
      <c r="IF52" s="166">
        <v>-41.5</v>
      </c>
      <c r="IG52" s="166">
        <v>2.1</v>
      </c>
      <c r="IH52" s="166">
        <v>1.6</v>
      </c>
      <c r="II52" s="167"/>
      <c r="IJ52" s="167"/>
      <c r="IK52" s="166">
        <v>-69.9499</v>
      </c>
      <c r="IL52" s="166">
        <v>34.706000000000003</v>
      </c>
      <c r="IM52" s="166">
        <v>-292.87310000000002</v>
      </c>
      <c r="IN52" s="166">
        <v>-34.923099999999998</v>
      </c>
      <c r="IO52" s="166">
        <v>-29.595199999999998</v>
      </c>
      <c r="IP52" s="166">
        <v>146.01410000000001</v>
      </c>
      <c r="IQ52" s="166">
        <v>21.7593</v>
      </c>
      <c r="IR52" s="166">
        <v>125.761</v>
      </c>
      <c r="IS52" s="166">
        <v>97.263499999999993</v>
      </c>
      <c r="IT52" s="166">
        <v>79.033000000000001</v>
      </c>
      <c r="IU52" s="166">
        <v>24.4877</v>
      </c>
      <c r="IV52" s="166">
        <v>25.041399999999999</v>
      </c>
      <c r="IW52" s="166">
        <v>-18.068999999999999</v>
      </c>
      <c r="IX52" s="166">
        <v>266.17219999999998</v>
      </c>
      <c r="IY52" s="166">
        <v>-192.53229999999999</v>
      </c>
      <c r="IZ52" s="166">
        <v>77.181200000000004</v>
      </c>
      <c r="JA52" s="166">
        <v>-65.424300000000002</v>
      </c>
      <c r="JB52" s="166">
        <v>-2.1545999999999998</v>
      </c>
      <c r="JC52" s="166">
        <v>2.5590000000000002</v>
      </c>
      <c r="JD52" s="166">
        <v>-5.68</v>
      </c>
      <c r="JE52" s="166">
        <v>-2.2690000000000001</v>
      </c>
      <c r="JF52" s="166">
        <v>-2.27</v>
      </c>
      <c r="JG52" s="166">
        <v>0.88</v>
      </c>
      <c r="JH52" s="166">
        <v>-0.8</v>
      </c>
      <c r="JI52" s="166">
        <v>-1.5814999999999999</v>
      </c>
      <c r="JJ52" s="166">
        <v>-4.7744999999999997</v>
      </c>
      <c r="JK52" s="166">
        <v>8.4702999999999999</v>
      </c>
      <c r="JL52" s="166">
        <v>-5.9463999999999997</v>
      </c>
      <c r="JM52" s="166">
        <v>-1.5</v>
      </c>
      <c r="JN52" s="166">
        <v>6.1029999999999998</v>
      </c>
      <c r="JO52" s="166">
        <v>7.3710000000000004</v>
      </c>
      <c r="JP52" s="167"/>
      <c r="JQ52" s="167"/>
      <c r="JR52" s="166">
        <v>3.3738000000000001</v>
      </c>
      <c r="JS52" s="166">
        <v>4.0050999999999997</v>
      </c>
      <c r="JT52" s="166">
        <v>3.3929</v>
      </c>
      <c r="JU52" s="167"/>
      <c r="JV52" s="166">
        <v>26.7</v>
      </c>
      <c r="JW52" s="166">
        <v>3.1179000000000001</v>
      </c>
      <c r="JX52" s="166">
        <v>0.41</v>
      </c>
      <c r="JY52" s="167"/>
      <c r="JZ52" s="166">
        <v>-7.0807000000000002</v>
      </c>
      <c r="KA52" s="166">
        <v>-14.5465</v>
      </c>
      <c r="KB52" s="166">
        <v>-16.452400000000001</v>
      </c>
      <c r="KC52" s="166">
        <v>-5.5494000000000003</v>
      </c>
      <c r="KD52" s="166">
        <v>10.4155</v>
      </c>
      <c r="KE52" s="166">
        <v>-10.5578</v>
      </c>
      <c r="KF52" s="166">
        <v>0</v>
      </c>
      <c r="KG52" s="166">
        <v>-21.9</v>
      </c>
      <c r="KH52" s="166">
        <v>3.7</v>
      </c>
      <c r="KI52" s="166">
        <v>41.926600000000001</v>
      </c>
      <c r="KJ52" s="166">
        <v>-114.4482</v>
      </c>
    </row>
    <row r="53" spans="1:296" ht="18" customHeight="1" x14ac:dyDescent="0.3">
      <c r="A53" s="162" t="s">
        <v>67</v>
      </c>
      <c r="B53" s="162" t="s">
        <v>852</v>
      </c>
      <c r="C53" s="166">
        <v>0</v>
      </c>
      <c r="D53" s="167"/>
      <c r="E53" s="166">
        <v>3.1518000000000002</v>
      </c>
      <c r="F53" s="166">
        <v>-8.5969999999999995</v>
      </c>
      <c r="G53" s="166">
        <v>4.4436</v>
      </c>
      <c r="H53" s="166">
        <v>6.9177</v>
      </c>
      <c r="I53" s="167"/>
      <c r="J53" s="166">
        <v>12.769600000000001</v>
      </c>
      <c r="K53" s="167"/>
      <c r="L53" s="166">
        <v>14.2462</v>
      </c>
      <c r="M53" s="166">
        <v>5.7568000000000001</v>
      </c>
      <c r="N53" s="166">
        <v>7.2808000000000002</v>
      </c>
      <c r="O53" s="166">
        <v>-11.1</v>
      </c>
      <c r="P53" s="166">
        <v>-22</v>
      </c>
      <c r="Q53" s="166">
        <v>-2.2000000000000002</v>
      </c>
      <c r="R53" s="166">
        <v>0</v>
      </c>
      <c r="S53" s="166">
        <v>-13.2</v>
      </c>
      <c r="T53" s="166">
        <v>4.141</v>
      </c>
      <c r="U53" s="166">
        <v>-14.4336</v>
      </c>
      <c r="V53" s="166">
        <v>2.6101000000000001</v>
      </c>
      <c r="W53" s="166">
        <v>2.6362000000000001</v>
      </c>
      <c r="X53" s="166">
        <v>4.8777999999999997</v>
      </c>
      <c r="Y53" s="166">
        <v>0.66400000000000003</v>
      </c>
      <c r="Z53" s="166">
        <v>0.25740000000000002</v>
      </c>
      <c r="AA53" s="166">
        <v>0.39050000000000001</v>
      </c>
      <c r="AB53" s="167"/>
      <c r="AC53" s="166">
        <v>-0.60840000000000005</v>
      </c>
      <c r="AD53" s="166">
        <v>-0.69099999999999995</v>
      </c>
      <c r="AE53" s="166">
        <v>-0.66700000000000004</v>
      </c>
      <c r="AF53" s="166">
        <v>2.7330000000000001</v>
      </c>
      <c r="AG53" s="166">
        <v>-8.8800000000000008</v>
      </c>
      <c r="AH53" s="166">
        <v>-11</v>
      </c>
      <c r="AI53" s="166">
        <v>-1.286</v>
      </c>
      <c r="AJ53" s="166">
        <v>0.316</v>
      </c>
      <c r="AK53" s="166">
        <v>-11.36</v>
      </c>
      <c r="AL53" s="166">
        <v>-11.34</v>
      </c>
      <c r="AM53" s="167"/>
      <c r="AN53" s="166">
        <v>-9.5500000000000007</v>
      </c>
      <c r="AO53" s="166">
        <v>-9.94</v>
      </c>
      <c r="AP53" s="167"/>
      <c r="AQ53" s="166">
        <v>4.0679999999999996</v>
      </c>
      <c r="AR53" s="166">
        <v>21.327000000000002</v>
      </c>
      <c r="AS53" s="166">
        <v>23.601299999999998</v>
      </c>
      <c r="AT53" s="166">
        <v>-18.000900000000001</v>
      </c>
      <c r="AU53" s="166">
        <v>-8.5023</v>
      </c>
      <c r="AV53" s="166">
        <v>-8.4708000000000006</v>
      </c>
      <c r="AW53" s="166">
        <v>12.7188</v>
      </c>
      <c r="AX53" s="166">
        <v>22.3202</v>
      </c>
      <c r="AY53" s="166">
        <v>-17.4331</v>
      </c>
      <c r="AZ53" s="166">
        <v>-16.0228</v>
      </c>
      <c r="BA53" s="166">
        <v>19.882999999999999</v>
      </c>
      <c r="BB53" s="166">
        <v>27.107199999999999</v>
      </c>
      <c r="BC53" s="166">
        <v>25.0547</v>
      </c>
      <c r="BD53" s="166">
        <v>11.452</v>
      </c>
      <c r="BE53" s="166">
        <v>-4.9000000000000004</v>
      </c>
      <c r="BF53" s="166">
        <v>-4.9000000000000004</v>
      </c>
      <c r="BG53" s="166">
        <v>-21.948699999999999</v>
      </c>
      <c r="BH53" s="166">
        <v>-22.0398</v>
      </c>
      <c r="BI53" s="166">
        <v>-1.5698000000000001</v>
      </c>
      <c r="BJ53" s="167"/>
      <c r="BK53" s="166">
        <v>2.0945</v>
      </c>
      <c r="BL53" s="166">
        <v>4.3493000000000004</v>
      </c>
      <c r="BM53" s="166">
        <v>1.903</v>
      </c>
      <c r="BN53" s="166">
        <v>1.3372999999999999</v>
      </c>
      <c r="BO53" s="166">
        <v>-89.785399999999996</v>
      </c>
      <c r="BP53" s="166">
        <v>69.7958</v>
      </c>
      <c r="BQ53" s="166">
        <v>69.521100000000004</v>
      </c>
      <c r="BR53" s="166">
        <v>-19.689800000000002</v>
      </c>
      <c r="BS53" s="166">
        <v>-121.24209999999999</v>
      </c>
      <c r="BT53" s="167"/>
      <c r="BU53" s="167"/>
      <c r="BV53" s="167"/>
      <c r="BW53" s="166">
        <v>22.8033</v>
      </c>
      <c r="BX53" s="166">
        <v>9.6999999999999993</v>
      </c>
      <c r="BY53" s="166">
        <v>7.57</v>
      </c>
      <c r="BZ53" s="166">
        <v>-7.58</v>
      </c>
      <c r="CA53" s="166">
        <v>8.33</v>
      </c>
      <c r="CB53" s="166">
        <v>-23.9741</v>
      </c>
      <c r="CC53" s="166">
        <v>-23.840199999999999</v>
      </c>
      <c r="CD53" s="166">
        <v>26.574200000000001</v>
      </c>
      <c r="CE53" s="166">
        <v>24.935099999999998</v>
      </c>
      <c r="CF53" s="166">
        <v>-2.6415000000000002</v>
      </c>
      <c r="CG53" s="166">
        <v>3.6779000000000002</v>
      </c>
      <c r="CH53" s="166">
        <v>3.3412000000000002</v>
      </c>
      <c r="CI53" s="166">
        <v>1.4029</v>
      </c>
      <c r="CJ53" s="167"/>
      <c r="CK53" s="166">
        <v>3.6393</v>
      </c>
      <c r="CL53" s="166">
        <v>7.3620000000000001</v>
      </c>
      <c r="CM53" s="166">
        <v>-13.7</v>
      </c>
      <c r="CN53" s="166">
        <v>-13.5</v>
      </c>
      <c r="CO53" s="166">
        <v>-3.43</v>
      </c>
      <c r="CP53" s="166">
        <v>28.252099999999999</v>
      </c>
      <c r="CQ53" s="166">
        <v>28.6097</v>
      </c>
      <c r="CR53" s="166">
        <v>26.5655</v>
      </c>
      <c r="CS53" s="166">
        <v>59.063099999999999</v>
      </c>
      <c r="CT53" s="166">
        <v>58.093800000000002</v>
      </c>
      <c r="CU53" s="166">
        <v>-26.17</v>
      </c>
      <c r="CV53" s="166">
        <v>-43.939500000000002</v>
      </c>
      <c r="CW53" s="166">
        <v>-23.028600000000001</v>
      </c>
      <c r="CX53" s="166">
        <v>3.8167</v>
      </c>
      <c r="CY53" s="166">
        <v>31.87</v>
      </c>
      <c r="CZ53" s="166">
        <v>12.38</v>
      </c>
      <c r="DA53" s="166">
        <v>8.2860999999999994</v>
      </c>
      <c r="DB53" s="166">
        <v>7.3273000000000001</v>
      </c>
      <c r="DC53" s="166">
        <v>-9.4666999999999994</v>
      </c>
      <c r="DD53" s="167"/>
      <c r="DE53" s="167"/>
      <c r="DF53" s="167"/>
      <c r="DG53" s="166">
        <v>11.4489</v>
      </c>
      <c r="DH53" s="167"/>
      <c r="DI53" s="167"/>
      <c r="DJ53" s="166">
        <v>-35.700000000000003</v>
      </c>
      <c r="DK53" s="166">
        <v>-35.4</v>
      </c>
      <c r="DL53" s="166">
        <v>0.33629999999999999</v>
      </c>
      <c r="DM53" s="166">
        <v>4.4000000000000004</v>
      </c>
      <c r="DN53" s="166">
        <v>10.16</v>
      </c>
      <c r="DO53" s="166">
        <v>8.24</v>
      </c>
      <c r="DP53" s="166">
        <v>1.32</v>
      </c>
      <c r="DQ53" s="166">
        <v>-3.01</v>
      </c>
      <c r="DR53" s="166">
        <v>13.95</v>
      </c>
      <c r="DS53" s="166">
        <v>-12.200699999999999</v>
      </c>
      <c r="DT53" s="166">
        <v>-6.91</v>
      </c>
      <c r="DU53" s="166">
        <v>-7.03</v>
      </c>
      <c r="DV53" s="166">
        <v>21.25</v>
      </c>
      <c r="DW53" s="166">
        <v>6.07</v>
      </c>
      <c r="DX53" s="166">
        <v>-12.6182</v>
      </c>
      <c r="DY53" s="166">
        <v>-6.5364000000000004</v>
      </c>
      <c r="DZ53" s="166">
        <v>-39.660200000000003</v>
      </c>
      <c r="EA53" s="166">
        <v>-38.009099999999997</v>
      </c>
      <c r="EB53" s="166">
        <v>22.774799999999999</v>
      </c>
      <c r="EC53" s="166">
        <v>-6.0016999999999996</v>
      </c>
      <c r="ED53" s="166">
        <v>-14.810700000000001</v>
      </c>
      <c r="EE53" s="166">
        <v>-14.669499999999999</v>
      </c>
      <c r="EF53" s="166">
        <v>-26.245100000000001</v>
      </c>
      <c r="EG53" s="166">
        <v>-34.351399999999998</v>
      </c>
      <c r="EH53" s="166">
        <v>-14.131</v>
      </c>
      <c r="EI53" s="166">
        <v>-54.920499999999997</v>
      </c>
      <c r="EJ53" s="166">
        <v>-18.1845</v>
      </c>
      <c r="EK53" s="167"/>
      <c r="EL53" s="166">
        <v>-7.7268999999999997</v>
      </c>
      <c r="EM53" s="166">
        <v>-7.2009999999999996</v>
      </c>
      <c r="EN53" s="167"/>
      <c r="EO53" s="166">
        <v>-10.5687</v>
      </c>
      <c r="EP53" s="166">
        <v>-10.7522</v>
      </c>
      <c r="EQ53" s="166">
        <v>-9.7319999999999993</v>
      </c>
      <c r="ER53" s="166">
        <v>-16.154499999999999</v>
      </c>
      <c r="ES53" s="166">
        <v>-15.8123</v>
      </c>
      <c r="ET53" s="166">
        <v>18.973600000000001</v>
      </c>
      <c r="EU53" s="167"/>
      <c r="EV53" s="166">
        <v>-5.24</v>
      </c>
      <c r="EW53" s="166">
        <v>-0.1</v>
      </c>
      <c r="EX53" s="166">
        <v>5.7012</v>
      </c>
      <c r="EY53" s="166">
        <v>-9.2113999999999994</v>
      </c>
      <c r="EZ53" s="166">
        <v>-10.4274</v>
      </c>
      <c r="FA53" s="166">
        <v>-10.308400000000001</v>
      </c>
      <c r="FB53" s="166">
        <v>7.5819000000000001</v>
      </c>
      <c r="FC53" s="166">
        <v>20.035299999999999</v>
      </c>
      <c r="FD53" s="166">
        <v>-34.149099999999997</v>
      </c>
      <c r="FE53" s="166">
        <v>7.2701000000000002</v>
      </c>
      <c r="FF53" s="166">
        <v>0.2918</v>
      </c>
      <c r="FG53" s="167"/>
      <c r="FH53" s="166">
        <v>0</v>
      </c>
      <c r="FI53" s="166">
        <v>0</v>
      </c>
      <c r="FJ53" s="166">
        <v>0</v>
      </c>
      <c r="FK53" s="166">
        <v>12.3918</v>
      </c>
      <c r="FL53" s="166">
        <v>12.3918</v>
      </c>
      <c r="FM53" s="166">
        <v>-19.592400000000001</v>
      </c>
      <c r="FN53" s="166">
        <v>20.3538</v>
      </c>
      <c r="FO53" s="166">
        <v>20.003499999999999</v>
      </c>
      <c r="FP53" s="166">
        <v>-7.2656999999999998</v>
      </c>
      <c r="FQ53" s="167"/>
      <c r="FR53" s="166">
        <v>19.23</v>
      </c>
      <c r="FS53" s="166">
        <v>-16.940000000000001</v>
      </c>
      <c r="FT53" s="167"/>
      <c r="FU53" s="166">
        <v>0.25019999999999998</v>
      </c>
      <c r="FV53" s="166">
        <v>-0.32</v>
      </c>
      <c r="FW53" s="166">
        <v>-0.05</v>
      </c>
      <c r="FX53" s="166">
        <v>-19.661899999999999</v>
      </c>
      <c r="FY53" s="166">
        <v>1.931</v>
      </c>
      <c r="FZ53" s="166">
        <v>4.0090000000000003</v>
      </c>
      <c r="GA53" s="166">
        <v>0.59599999999999997</v>
      </c>
      <c r="GB53" s="167"/>
      <c r="GC53" s="166">
        <v>14.16</v>
      </c>
      <c r="GD53" s="166">
        <v>-16.6355</v>
      </c>
      <c r="GE53" s="166">
        <v>-9.8788999999999998</v>
      </c>
      <c r="GF53" s="166">
        <v>-1.51</v>
      </c>
      <c r="GG53" s="166">
        <v>21.997699999999998</v>
      </c>
      <c r="GH53" s="167"/>
      <c r="GI53" s="166">
        <v>20.813199999999998</v>
      </c>
      <c r="GJ53" s="166">
        <v>-3.8241000000000001</v>
      </c>
      <c r="GK53" s="166">
        <v>-4.2664999999999997</v>
      </c>
      <c r="GL53" s="166">
        <v>2.8549000000000002</v>
      </c>
      <c r="GM53" s="167"/>
      <c r="GN53" s="167"/>
      <c r="GO53" s="166">
        <v>-13.2399</v>
      </c>
      <c r="GP53" s="166">
        <v>70.805000000000007</v>
      </c>
      <c r="GQ53" s="166">
        <v>1.1037999999999999</v>
      </c>
      <c r="GR53" s="166">
        <v>-22.110700000000001</v>
      </c>
      <c r="GS53" s="166">
        <v>-7.4604999999999997</v>
      </c>
      <c r="GT53" s="166">
        <v>-7.4489999999999998</v>
      </c>
      <c r="GU53" s="166">
        <v>107.8965</v>
      </c>
      <c r="GV53" s="166">
        <v>-5.4489000000000001</v>
      </c>
      <c r="GW53" s="166">
        <v>-9.6633999999999993</v>
      </c>
      <c r="GX53" s="166">
        <v>9.3131000000000004</v>
      </c>
      <c r="GY53" s="166">
        <v>2.3256000000000001</v>
      </c>
      <c r="GZ53" s="166">
        <v>5.8018999999999998</v>
      </c>
      <c r="HA53" s="166">
        <v>5.8784000000000001</v>
      </c>
      <c r="HB53" s="166">
        <v>1.6059000000000001</v>
      </c>
      <c r="HC53" s="166">
        <v>-9.6571999999999996</v>
      </c>
      <c r="HD53" s="166">
        <v>-7.6508000000000003</v>
      </c>
      <c r="HE53" s="166">
        <v>0.84</v>
      </c>
      <c r="HF53" s="166">
        <v>0</v>
      </c>
      <c r="HG53" s="166">
        <v>30.8614</v>
      </c>
      <c r="HH53" s="166">
        <v>45.127099999999999</v>
      </c>
      <c r="HI53" s="166">
        <v>75.680800000000005</v>
      </c>
      <c r="HJ53" s="166">
        <v>8.1984999999999992</v>
      </c>
      <c r="HK53" s="166">
        <v>9.3797999999999995</v>
      </c>
      <c r="HL53" s="166">
        <v>0</v>
      </c>
      <c r="HM53" s="166">
        <v>-7.5833000000000004</v>
      </c>
      <c r="HN53" s="166">
        <v>0</v>
      </c>
      <c r="HO53" s="166">
        <v>0</v>
      </c>
      <c r="HP53" s="166">
        <v>25.009799999999998</v>
      </c>
      <c r="HQ53" s="166">
        <v>25.404699999999998</v>
      </c>
      <c r="HR53" s="166">
        <v>-17.428699999999999</v>
      </c>
      <c r="HS53" s="166">
        <v>-17.066099999999999</v>
      </c>
      <c r="HT53" s="166">
        <v>-14.397</v>
      </c>
      <c r="HU53" s="166">
        <v>-14.2544</v>
      </c>
      <c r="HV53" s="166">
        <v>10.5</v>
      </c>
      <c r="HW53" s="166">
        <v>10.58</v>
      </c>
      <c r="HX53" s="166">
        <v>-30.1</v>
      </c>
      <c r="HY53" s="166">
        <v>-30.4</v>
      </c>
      <c r="HZ53" s="166">
        <v>0.58140000000000003</v>
      </c>
      <c r="IA53" s="166">
        <v>-6.08</v>
      </c>
      <c r="IB53" s="166">
        <v>55.952199999999998</v>
      </c>
      <c r="IC53" s="167"/>
      <c r="ID53" s="167"/>
      <c r="IE53" s="166">
        <v>-19.100000000000001</v>
      </c>
      <c r="IF53" s="166">
        <v>-42.7</v>
      </c>
      <c r="IG53" s="166">
        <v>2.2000000000000002</v>
      </c>
      <c r="IH53" s="166">
        <v>1.4</v>
      </c>
      <c r="II53" s="167"/>
      <c r="IJ53" s="167"/>
      <c r="IK53" s="166">
        <v>-67.784000000000006</v>
      </c>
      <c r="IL53" s="166">
        <v>36.672899999999998</v>
      </c>
      <c r="IM53" s="166">
        <v>-297.83550000000002</v>
      </c>
      <c r="IN53" s="166">
        <v>-35.363900000000001</v>
      </c>
      <c r="IO53" s="166">
        <v>-28.997699999999998</v>
      </c>
      <c r="IP53" s="166">
        <v>136.12180000000001</v>
      </c>
      <c r="IQ53" s="166">
        <v>27.549900000000001</v>
      </c>
      <c r="IR53" s="166">
        <v>130.41309999999999</v>
      </c>
      <c r="IS53" s="166">
        <v>89.127300000000005</v>
      </c>
      <c r="IT53" s="166">
        <v>73.208600000000004</v>
      </c>
      <c r="IU53" s="166">
        <v>20.457799999999999</v>
      </c>
      <c r="IV53" s="166">
        <v>19.8324</v>
      </c>
      <c r="IW53" s="166">
        <v>-25.1341</v>
      </c>
      <c r="IX53" s="166">
        <v>259.10340000000002</v>
      </c>
      <c r="IY53" s="166">
        <v>-189.39320000000001</v>
      </c>
      <c r="IZ53" s="166">
        <v>69.355199999999996</v>
      </c>
      <c r="JA53" s="166">
        <v>-60.584600000000002</v>
      </c>
      <c r="JB53" s="166">
        <v>-2.0373999999999999</v>
      </c>
      <c r="JC53" s="166">
        <v>2.7989999999999999</v>
      </c>
      <c r="JD53" s="166">
        <v>-5.6</v>
      </c>
      <c r="JE53" s="166">
        <v>-2.222</v>
      </c>
      <c r="JF53" s="166">
        <v>-2.2349999999999999</v>
      </c>
      <c r="JG53" s="166">
        <v>1.04</v>
      </c>
      <c r="JH53" s="166">
        <v>-0.88</v>
      </c>
      <c r="JI53" s="166">
        <v>-1.4319</v>
      </c>
      <c r="JJ53" s="166">
        <v>-5.0095000000000001</v>
      </c>
      <c r="JK53" s="166">
        <v>7.9698000000000002</v>
      </c>
      <c r="JL53" s="166">
        <v>-5.7694000000000001</v>
      </c>
      <c r="JM53" s="166">
        <v>-1.1000000000000001</v>
      </c>
      <c r="JN53" s="166">
        <v>6.9960000000000004</v>
      </c>
      <c r="JO53" s="166">
        <v>8.4190000000000005</v>
      </c>
      <c r="JP53" s="167"/>
      <c r="JQ53" s="167"/>
      <c r="JR53" s="166">
        <v>4.5669000000000004</v>
      </c>
      <c r="JS53" s="166">
        <v>3.8748999999999998</v>
      </c>
      <c r="JT53" s="166">
        <v>3.3502999999999998</v>
      </c>
      <c r="JU53" s="167"/>
      <c r="JV53" s="166">
        <v>26.9</v>
      </c>
      <c r="JW53" s="166">
        <v>3.3553999999999999</v>
      </c>
      <c r="JX53" s="166">
        <v>0.34</v>
      </c>
      <c r="JY53" s="167"/>
      <c r="JZ53" s="166">
        <v>0</v>
      </c>
      <c r="KA53" s="166">
        <v>-17.9846</v>
      </c>
      <c r="KB53" s="166">
        <v>-20.9314</v>
      </c>
      <c r="KC53" s="166">
        <v>3.1943000000000001</v>
      </c>
      <c r="KD53" s="166">
        <v>14.538</v>
      </c>
      <c r="KE53" s="166">
        <v>-16.2331</v>
      </c>
      <c r="KF53" s="166">
        <v>1.6568000000000001</v>
      </c>
      <c r="KG53" s="166">
        <v>-22.2</v>
      </c>
      <c r="KH53" s="166">
        <v>4.3</v>
      </c>
      <c r="KI53" s="166">
        <v>45.454700000000003</v>
      </c>
      <c r="KJ53" s="166">
        <v>-116.0346</v>
      </c>
    </row>
    <row r="54" spans="1:296" ht="18" customHeight="1" x14ac:dyDescent="0.3">
      <c r="A54" s="162" t="s">
        <v>67</v>
      </c>
      <c r="B54" s="162" t="s">
        <v>853</v>
      </c>
      <c r="C54" s="166">
        <v>0</v>
      </c>
      <c r="D54" s="167"/>
      <c r="E54" s="166">
        <v>2.9094000000000002</v>
      </c>
      <c r="F54" s="166">
        <v>-8.2729999999999997</v>
      </c>
      <c r="G54" s="166">
        <v>4.0301999999999998</v>
      </c>
      <c r="H54" s="166">
        <v>5.9420000000000002</v>
      </c>
      <c r="I54" s="167"/>
      <c r="J54" s="166">
        <v>11.843</v>
      </c>
      <c r="K54" s="167"/>
      <c r="L54" s="166">
        <v>14.251899999999999</v>
      </c>
      <c r="M54" s="166">
        <v>5.7778</v>
      </c>
      <c r="N54" s="166">
        <v>7.2008000000000001</v>
      </c>
      <c r="O54" s="166">
        <v>-6.66</v>
      </c>
      <c r="P54" s="166">
        <v>-19.8</v>
      </c>
      <c r="Q54" s="166">
        <v>-4.4000000000000004</v>
      </c>
      <c r="R54" s="166">
        <v>0</v>
      </c>
      <c r="S54" s="166">
        <v>-11</v>
      </c>
      <c r="T54" s="166">
        <v>4.2808000000000002</v>
      </c>
      <c r="U54" s="166">
        <v>-14.8551</v>
      </c>
      <c r="V54" s="166">
        <v>2.3732000000000002</v>
      </c>
      <c r="W54" s="166">
        <v>2.1880999999999999</v>
      </c>
      <c r="X54" s="166">
        <v>4.0682</v>
      </c>
      <c r="Y54" s="166">
        <v>0.33139999999999997</v>
      </c>
      <c r="Z54" s="166">
        <v>0.18110000000000001</v>
      </c>
      <c r="AA54" s="166">
        <v>0.4108</v>
      </c>
      <c r="AB54" s="167"/>
      <c r="AC54" s="166">
        <v>-0.72160000000000002</v>
      </c>
      <c r="AD54" s="166">
        <v>-0.39900000000000002</v>
      </c>
      <c r="AE54" s="166">
        <v>-0.377</v>
      </c>
      <c r="AF54" s="166">
        <v>2.7890000000000001</v>
      </c>
      <c r="AG54" s="166">
        <v>-13.32</v>
      </c>
      <c r="AH54" s="166">
        <v>-15.4</v>
      </c>
      <c r="AI54" s="166">
        <v>-1.4410000000000001</v>
      </c>
      <c r="AJ54" s="166">
        <v>0.309</v>
      </c>
      <c r="AK54" s="166">
        <v>-8.3000000000000007</v>
      </c>
      <c r="AL54" s="166">
        <v>-8.3000000000000007</v>
      </c>
      <c r="AM54" s="167"/>
      <c r="AN54" s="166">
        <v>-9.24</v>
      </c>
      <c r="AO54" s="166">
        <v>-9.2799999999999994</v>
      </c>
      <c r="AP54" s="166">
        <v>4.3182999999999998</v>
      </c>
      <c r="AQ54" s="166">
        <v>4.2130000000000001</v>
      </c>
      <c r="AR54" s="166">
        <v>19.6751</v>
      </c>
      <c r="AS54" s="166">
        <v>21.6632</v>
      </c>
      <c r="AT54" s="166">
        <v>-19.3337</v>
      </c>
      <c r="AU54" s="166">
        <v>-4.7676999999999996</v>
      </c>
      <c r="AV54" s="166">
        <v>-4.3583999999999996</v>
      </c>
      <c r="AW54" s="166">
        <v>3.2296999999999998</v>
      </c>
      <c r="AX54" s="166">
        <v>3.6444999999999999</v>
      </c>
      <c r="AY54" s="166">
        <v>-17.069800000000001</v>
      </c>
      <c r="AZ54" s="166">
        <v>-14.474299999999999</v>
      </c>
      <c r="BA54" s="166">
        <v>8.2672000000000008</v>
      </c>
      <c r="BB54" s="166">
        <v>8.1318000000000001</v>
      </c>
      <c r="BC54" s="166">
        <v>32.9206</v>
      </c>
      <c r="BD54" s="166">
        <v>11.145</v>
      </c>
      <c r="BE54" s="166">
        <v>-4.9000000000000004</v>
      </c>
      <c r="BF54" s="166">
        <v>-4.8</v>
      </c>
      <c r="BG54" s="166">
        <v>-23.6614</v>
      </c>
      <c r="BH54" s="166">
        <v>-23.8734</v>
      </c>
      <c r="BI54" s="166">
        <v>-1.5569</v>
      </c>
      <c r="BJ54" s="167"/>
      <c r="BK54" s="166">
        <v>4.4143999999999997</v>
      </c>
      <c r="BL54" s="166">
        <v>4.0430999999999999</v>
      </c>
      <c r="BM54" s="166">
        <v>1.5597000000000001</v>
      </c>
      <c r="BN54" s="166">
        <v>1.0405</v>
      </c>
      <c r="BO54" s="166">
        <v>-77.761099999999999</v>
      </c>
      <c r="BP54" s="166">
        <v>66.805000000000007</v>
      </c>
      <c r="BQ54" s="166">
        <v>66.682900000000004</v>
      </c>
      <c r="BR54" s="166">
        <v>-8.1745999999999999</v>
      </c>
      <c r="BS54" s="166">
        <v>-113.6155</v>
      </c>
      <c r="BT54" s="167"/>
      <c r="BU54" s="167"/>
      <c r="BV54" s="167"/>
      <c r="BW54" s="166">
        <v>19.729600000000001</v>
      </c>
      <c r="BX54" s="166">
        <v>9.75</v>
      </c>
      <c r="BY54" s="166">
        <v>7.25</v>
      </c>
      <c r="BZ54" s="166">
        <v>-8.83</v>
      </c>
      <c r="CA54" s="166">
        <v>7.91</v>
      </c>
      <c r="CB54" s="166">
        <v>-23.706199999999999</v>
      </c>
      <c r="CC54" s="166">
        <v>-23.438300000000002</v>
      </c>
      <c r="CD54" s="166">
        <v>27.297999999999998</v>
      </c>
      <c r="CE54" s="166">
        <v>26.185099999999998</v>
      </c>
      <c r="CF54" s="166">
        <v>-2.3054000000000001</v>
      </c>
      <c r="CG54" s="166">
        <v>0.3276</v>
      </c>
      <c r="CH54" s="166">
        <v>0.14149999999999999</v>
      </c>
      <c r="CI54" s="166">
        <v>4.2553000000000001</v>
      </c>
      <c r="CJ54" s="167"/>
      <c r="CK54" s="167"/>
      <c r="CL54" s="166">
        <v>8.3260000000000005</v>
      </c>
      <c r="CM54" s="166">
        <v>-16.3</v>
      </c>
      <c r="CN54" s="166">
        <v>-15.9</v>
      </c>
      <c r="CO54" s="166">
        <v>-3.26</v>
      </c>
      <c r="CP54" s="166">
        <v>23.930099999999999</v>
      </c>
      <c r="CQ54" s="166">
        <v>24.334199999999999</v>
      </c>
      <c r="CR54" s="166">
        <v>22.3111</v>
      </c>
      <c r="CS54" s="166">
        <v>57.240099999999998</v>
      </c>
      <c r="CT54" s="166">
        <v>57.477899999999998</v>
      </c>
      <c r="CU54" s="166">
        <v>-21.946100000000001</v>
      </c>
      <c r="CV54" s="166">
        <v>-46.687800000000003</v>
      </c>
      <c r="CW54" s="166">
        <v>-18.7806</v>
      </c>
      <c r="CX54" s="166">
        <v>3.6776</v>
      </c>
      <c r="CY54" s="166">
        <v>30.68</v>
      </c>
      <c r="CZ54" s="166">
        <v>11.78</v>
      </c>
      <c r="DA54" s="166">
        <v>7.9736000000000002</v>
      </c>
      <c r="DB54" s="166">
        <v>6.8390000000000004</v>
      </c>
      <c r="DC54" s="166">
        <v>-9.2676999999999996</v>
      </c>
      <c r="DD54" s="167"/>
      <c r="DE54" s="167"/>
      <c r="DF54" s="167"/>
      <c r="DG54" s="166">
        <v>18.976299999999998</v>
      </c>
      <c r="DH54" s="167"/>
      <c r="DI54" s="167"/>
      <c r="DJ54" s="166">
        <v>-33.4</v>
      </c>
      <c r="DK54" s="166">
        <v>-33.1</v>
      </c>
      <c r="DL54" s="166">
        <v>0.4254</v>
      </c>
      <c r="DM54" s="166">
        <v>3.5</v>
      </c>
      <c r="DN54" s="166">
        <v>9.26</v>
      </c>
      <c r="DO54" s="166">
        <v>7.42</v>
      </c>
      <c r="DP54" s="166">
        <v>0.68</v>
      </c>
      <c r="DQ54" s="166">
        <v>-2.5099999999999998</v>
      </c>
      <c r="DR54" s="166">
        <v>12.896000000000001</v>
      </c>
      <c r="DS54" s="166">
        <v>-19.848600000000001</v>
      </c>
      <c r="DT54" s="166">
        <v>-8.0399999999999991</v>
      </c>
      <c r="DU54" s="166">
        <v>-8.17</v>
      </c>
      <c r="DV54" s="166">
        <v>22.65</v>
      </c>
      <c r="DW54" s="166">
        <v>5.61</v>
      </c>
      <c r="DX54" s="166">
        <v>-20.0364</v>
      </c>
      <c r="DY54" s="166">
        <v>-10.163600000000001</v>
      </c>
      <c r="DZ54" s="166">
        <v>-40.093600000000002</v>
      </c>
      <c r="EA54" s="166">
        <v>-38.236400000000003</v>
      </c>
      <c r="EB54" s="166">
        <v>16.181899999999999</v>
      </c>
      <c r="EC54" s="166">
        <v>-11.552199999999999</v>
      </c>
      <c r="ED54" s="166">
        <v>-20.461099999999998</v>
      </c>
      <c r="EE54" s="166">
        <v>-20.523700000000002</v>
      </c>
      <c r="EF54" s="166">
        <v>-23.3748</v>
      </c>
      <c r="EG54" s="166">
        <v>-29.770099999999999</v>
      </c>
      <c r="EH54" s="166">
        <v>-12.972</v>
      </c>
      <c r="EI54" s="166">
        <v>-64.925899999999999</v>
      </c>
      <c r="EJ54" s="166">
        <v>-25.944900000000001</v>
      </c>
      <c r="EK54" s="167"/>
      <c r="EL54" s="166">
        <v>-6.8337000000000003</v>
      </c>
      <c r="EM54" s="166">
        <v>-6.9396000000000004</v>
      </c>
      <c r="EN54" s="167"/>
      <c r="EO54" s="166">
        <v>-15.0794</v>
      </c>
      <c r="EP54" s="166">
        <v>-14.380100000000001</v>
      </c>
      <c r="EQ54" s="166">
        <v>1.04</v>
      </c>
      <c r="ER54" s="166">
        <v>-16.293299999999999</v>
      </c>
      <c r="ES54" s="166">
        <v>-15.822900000000001</v>
      </c>
      <c r="ET54" s="166">
        <v>19.075900000000001</v>
      </c>
      <c r="EU54" s="167"/>
      <c r="EV54" s="166">
        <v>-3.9</v>
      </c>
      <c r="EW54" s="166">
        <v>-1.8</v>
      </c>
      <c r="EX54" s="166">
        <v>5.3019999999999996</v>
      </c>
      <c r="EY54" s="166">
        <v>-16.4452</v>
      </c>
      <c r="EZ54" s="166">
        <v>-9.6004000000000005</v>
      </c>
      <c r="FA54" s="166">
        <v>-9.5538000000000007</v>
      </c>
      <c r="FB54" s="166">
        <v>7.9311999999999996</v>
      </c>
      <c r="FC54" s="166">
        <v>18.319299999999998</v>
      </c>
      <c r="FD54" s="166">
        <v>-36.039400000000001</v>
      </c>
      <c r="FE54" s="166">
        <v>7.3287000000000004</v>
      </c>
      <c r="FF54" s="166">
        <v>-0.76060000000000005</v>
      </c>
      <c r="FG54" s="167"/>
      <c r="FH54" s="166">
        <v>0</v>
      </c>
      <c r="FI54" s="166">
        <v>0</v>
      </c>
      <c r="FJ54" s="166">
        <v>0</v>
      </c>
      <c r="FK54" s="166">
        <v>11.554500000000001</v>
      </c>
      <c r="FL54" s="166">
        <v>11.7219</v>
      </c>
      <c r="FM54" s="166">
        <v>-17.080500000000001</v>
      </c>
      <c r="FN54" s="166">
        <v>20.312799999999999</v>
      </c>
      <c r="FO54" s="166">
        <v>20.4406</v>
      </c>
      <c r="FP54" s="166">
        <v>-5.2991000000000001</v>
      </c>
      <c r="FQ54" s="167"/>
      <c r="FR54" s="166">
        <v>18.668500000000002</v>
      </c>
      <c r="FS54" s="166">
        <v>-17.170000000000002</v>
      </c>
      <c r="FT54" s="167"/>
      <c r="FU54" s="166">
        <v>0.16500000000000001</v>
      </c>
      <c r="FV54" s="166">
        <v>-0.32</v>
      </c>
      <c r="FW54" s="166">
        <v>0.47</v>
      </c>
      <c r="FX54" s="166">
        <v>-18.620100000000001</v>
      </c>
      <c r="FY54" s="167"/>
      <c r="FZ54" s="166">
        <v>3.8879999999999999</v>
      </c>
      <c r="GA54" s="166">
        <v>0.77800000000000002</v>
      </c>
      <c r="GB54" s="167"/>
      <c r="GC54" s="166">
        <v>13.75</v>
      </c>
      <c r="GD54" s="166">
        <v>-19.2898</v>
      </c>
      <c r="GE54" s="166">
        <v>-11.7576</v>
      </c>
      <c r="GF54" s="166">
        <v>-1.83</v>
      </c>
      <c r="GG54" s="166">
        <v>20.990500000000001</v>
      </c>
      <c r="GH54" s="167"/>
      <c r="GI54" s="166">
        <v>20.468699999999998</v>
      </c>
      <c r="GJ54" s="166">
        <v>-3.5148999999999999</v>
      </c>
      <c r="GK54" s="166">
        <v>-3.9028</v>
      </c>
      <c r="GL54" s="166">
        <v>2.6215999999999999</v>
      </c>
      <c r="GM54" s="167"/>
      <c r="GN54" s="167"/>
      <c r="GO54" s="166">
        <v>-11.459199999999999</v>
      </c>
      <c r="GP54" s="166">
        <v>70.086200000000005</v>
      </c>
      <c r="GQ54" s="166">
        <v>0.68159999999999998</v>
      </c>
      <c r="GR54" s="166">
        <v>-22.264800000000001</v>
      </c>
      <c r="GS54" s="166">
        <v>-7.0785999999999998</v>
      </c>
      <c r="GT54" s="166">
        <v>-6.3238000000000003</v>
      </c>
      <c r="GU54" s="166">
        <v>106.92189999999999</v>
      </c>
      <c r="GV54" s="166">
        <v>-5.9061000000000003</v>
      </c>
      <c r="GW54" s="166">
        <v>-9.7789000000000001</v>
      </c>
      <c r="GX54" s="166">
        <v>9.1475000000000009</v>
      </c>
      <c r="GY54" s="166">
        <v>2.6337999999999999</v>
      </c>
      <c r="GZ54" s="166">
        <v>5.4283000000000001</v>
      </c>
      <c r="HA54" s="166">
        <v>5.5304000000000002</v>
      </c>
      <c r="HB54" s="166">
        <v>1.9249000000000001</v>
      </c>
      <c r="HC54" s="166">
        <v>-15.352600000000001</v>
      </c>
      <c r="HD54" s="166">
        <v>-14.0753</v>
      </c>
      <c r="HE54" s="166">
        <v>-1.68</v>
      </c>
      <c r="HF54" s="166">
        <v>0</v>
      </c>
      <c r="HG54" s="166">
        <v>25.639099999999999</v>
      </c>
      <c r="HH54" s="166">
        <v>37.145600000000002</v>
      </c>
      <c r="HI54" s="166">
        <v>76.001900000000006</v>
      </c>
      <c r="HJ54" s="166">
        <v>3.8740999999999999</v>
      </c>
      <c r="HK54" s="166">
        <v>3.4594</v>
      </c>
      <c r="HL54" s="167"/>
      <c r="HM54" s="166">
        <v>-5.4634</v>
      </c>
      <c r="HN54" s="166">
        <v>-10.61</v>
      </c>
      <c r="HO54" s="166">
        <v>-13.6972</v>
      </c>
      <c r="HP54" s="167"/>
      <c r="HQ54" s="167"/>
      <c r="HR54" s="166">
        <v>-19.8018</v>
      </c>
      <c r="HS54" s="166">
        <v>-19.181000000000001</v>
      </c>
      <c r="HT54" s="166">
        <v>-13.6684</v>
      </c>
      <c r="HU54" s="166">
        <v>-13.952400000000001</v>
      </c>
      <c r="HV54" s="166">
        <v>9</v>
      </c>
      <c r="HW54" s="166">
        <v>9.16</v>
      </c>
      <c r="HX54" s="166">
        <v>-30.7</v>
      </c>
      <c r="HY54" s="166">
        <v>-31.2</v>
      </c>
      <c r="HZ54" s="166">
        <v>-5.2200000000000003E-2</v>
      </c>
      <c r="IA54" s="166">
        <v>-7.12</v>
      </c>
      <c r="IB54" s="166">
        <v>53.068899999999999</v>
      </c>
      <c r="IC54" s="167"/>
      <c r="ID54" s="167"/>
      <c r="IE54" s="166">
        <v>-19.899999999999999</v>
      </c>
      <c r="IF54" s="166">
        <v>-41.9</v>
      </c>
      <c r="IG54" s="166">
        <v>4.3</v>
      </c>
      <c r="IH54" s="166">
        <v>3.3</v>
      </c>
      <c r="II54" s="167"/>
      <c r="IJ54" s="167"/>
      <c r="IK54" s="166">
        <v>-80.219300000000004</v>
      </c>
      <c r="IL54" s="166">
        <v>41.991100000000003</v>
      </c>
      <c r="IM54" s="166">
        <v>-298.5462</v>
      </c>
      <c r="IN54" s="166">
        <v>-36.590000000000003</v>
      </c>
      <c r="IO54" s="166">
        <v>-31.3001</v>
      </c>
      <c r="IP54" s="166">
        <v>125.9461</v>
      </c>
      <c r="IQ54" s="166">
        <v>40.413699999999999</v>
      </c>
      <c r="IR54" s="166">
        <v>137.64619999999999</v>
      </c>
      <c r="IS54" s="166">
        <v>80.936000000000007</v>
      </c>
      <c r="IT54" s="166">
        <v>59.4069</v>
      </c>
      <c r="IU54" s="166">
        <v>12.4765</v>
      </c>
      <c r="IV54" s="166">
        <v>11.965</v>
      </c>
      <c r="IW54" s="166">
        <v>-28.7136</v>
      </c>
      <c r="IX54" s="166">
        <v>244.1292</v>
      </c>
      <c r="IY54" s="166">
        <v>-184.5823</v>
      </c>
      <c r="IZ54" s="166">
        <v>59.371600000000001</v>
      </c>
      <c r="JA54" s="166">
        <v>-50.549599999999998</v>
      </c>
      <c r="JB54" s="166">
        <v>-1.0071000000000001</v>
      </c>
      <c r="JC54" s="166">
        <v>2.8260000000000001</v>
      </c>
      <c r="JD54" s="166">
        <v>-5.84</v>
      </c>
      <c r="JE54" s="166">
        <v>-2.1749999999999998</v>
      </c>
      <c r="JF54" s="166">
        <v>-2.181</v>
      </c>
      <c r="JG54" s="166">
        <v>1.28</v>
      </c>
      <c r="JH54" s="166">
        <v>-1.44</v>
      </c>
      <c r="JI54" s="166">
        <v>-1.6467000000000001</v>
      </c>
      <c r="JJ54" s="166">
        <v>-4.8630000000000004</v>
      </c>
      <c r="JK54" s="166">
        <v>7.6768000000000001</v>
      </c>
      <c r="JL54" s="166">
        <v>-5.1559999999999997</v>
      </c>
      <c r="JM54" s="166">
        <v>-1.2</v>
      </c>
      <c r="JN54" s="166">
        <v>6.8879999999999999</v>
      </c>
      <c r="JO54" s="166">
        <v>6.39</v>
      </c>
      <c r="JP54" s="167"/>
      <c r="JQ54" s="167"/>
      <c r="JR54" s="166">
        <v>4.1790000000000003</v>
      </c>
      <c r="JS54" s="166">
        <v>4.5711000000000004</v>
      </c>
      <c r="JT54" s="166">
        <v>3.5687000000000002</v>
      </c>
      <c r="JU54" s="167"/>
      <c r="JV54" s="166">
        <v>26.2</v>
      </c>
      <c r="JW54" s="166">
        <v>3.6328999999999998</v>
      </c>
      <c r="JX54" s="166">
        <v>0.26</v>
      </c>
      <c r="JY54" s="167"/>
      <c r="JZ54" s="166">
        <v>3.7833999999999999</v>
      </c>
      <c r="KA54" s="166">
        <v>-19.97</v>
      </c>
      <c r="KB54" s="166">
        <v>-22.965299999999999</v>
      </c>
      <c r="KC54" s="166">
        <v>7.3487999999999998</v>
      </c>
      <c r="KD54" s="166">
        <v>15.7539</v>
      </c>
      <c r="KE54" s="166">
        <v>-17.841899999999999</v>
      </c>
      <c r="KF54" s="166">
        <v>0</v>
      </c>
      <c r="KG54" s="166">
        <v>-21.3</v>
      </c>
      <c r="KH54" s="166">
        <v>3</v>
      </c>
      <c r="KI54" s="166">
        <v>36.619999999999997</v>
      </c>
      <c r="KJ54" s="166">
        <v>-108.7385</v>
      </c>
    </row>
    <row r="55" spans="1:296" ht="18" customHeight="1" x14ac:dyDescent="0.3">
      <c r="A55" s="162" t="s">
        <v>67</v>
      </c>
      <c r="B55" s="162" t="s">
        <v>854</v>
      </c>
      <c r="C55" s="166">
        <v>0</v>
      </c>
      <c r="D55" s="167"/>
      <c r="E55" s="166">
        <v>2.6061999999999999</v>
      </c>
      <c r="F55" s="166">
        <v>-8.0557999999999996</v>
      </c>
      <c r="G55" s="166">
        <v>4.2763999999999998</v>
      </c>
      <c r="H55" s="166">
        <v>3.8086000000000002</v>
      </c>
      <c r="I55" s="167"/>
      <c r="J55" s="166">
        <v>10.885899999999999</v>
      </c>
      <c r="K55" s="167"/>
      <c r="L55" s="166">
        <v>14.840999999999999</v>
      </c>
      <c r="M55" s="166">
        <v>6.0827999999999998</v>
      </c>
      <c r="N55" s="166">
        <v>7.1486999999999998</v>
      </c>
      <c r="O55" s="166">
        <v>-2.2200000000000002</v>
      </c>
      <c r="P55" s="166">
        <v>-22</v>
      </c>
      <c r="Q55" s="166">
        <v>-2.2000000000000002</v>
      </c>
      <c r="R55" s="166">
        <v>-0.82799999999999996</v>
      </c>
      <c r="S55" s="166">
        <v>-15.4</v>
      </c>
      <c r="T55" s="166">
        <v>4.2835000000000001</v>
      </c>
      <c r="U55" s="166">
        <v>-15.291499999999999</v>
      </c>
      <c r="V55" s="166">
        <v>1.9625999999999999</v>
      </c>
      <c r="W55" s="166">
        <v>1.8657999999999999</v>
      </c>
      <c r="X55" s="166">
        <v>3.5007000000000001</v>
      </c>
      <c r="Y55" s="166">
        <v>0.57820000000000005</v>
      </c>
      <c r="Z55" s="166">
        <v>0.18640000000000001</v>
      </c>
      <c r="AA55" s="166">
        <v>0.36070000000000002</v>
      </c>
      <c r="AB55" s="167"/>
      <c r="AC55" s="166">
        <v>-0.65859999999999996</v>
      </c>
      <c r="AD55" s="166">
        <v>-0.372</v>
      </c>
      <c r="AE55" s="166">
        <v>-0.35499999999999998</v>
      </c>
      <c r="AF55" s="166">
        <v>2.5369999999999999</v>
      </c>
      <c r="AG55" s="166">
        <v>-17.760000000000002</v>
      </c>
      <c r="AH55" s="166">
        <v>-13.2</v>
      </c>
      <c r="AI55" s="166">
        <v>-1.6759999999999999</v>
      </c>
      <c r="AJ55" s="166">
        <v>0.29899999999999999</v>
      </c>
      <c r="AK55" s="166">
        <v>-8.65</v>
      </c>
      <c r="AL55" s="166">
        <v>-8.6199999999999992</v>
      </c>
      <c r="AM55" s="167"/>
      <c r="AN55" s="166">
        <v>-8.81</v>
      </c>
      <c r="AO55" s="166">
        <v>-8.9700000000000006</v>
      </c>
      <c r="AP55" s="166">
        <v>3.4081999999999999</v>
      </c>
      <c r="AQ55" s="166">
        <v>3.8212999999999999</v>
      </c>
      <c r="AR55" s="166">
        <v>18.8203</v>
      </c>
      <c r="AS55" s="166">
        <v>20.851500000000001</v>
      </c>
      <c r="AT55" s="166">
        <v>-20.267099999999999</v>
      </c>
      <c r="AU55" s="166">
        <v>-4.2877999999999998</v>
      </c>
      <c r="AV55" s="166">
        <v>-3.6751999999999998</v>
      </c>
      <c r="AW55" s="166">
        <v>14.394399999999999</v>
      </c>
      <c r="AX55" s="166">
        <v>13.164</v>
      </c>
      <c r="AY55" s="166">
        <v>-20.541799999999999</v>
      </c>
      <c r="AZ55" s="166">
        <v>-17.801500000000001</v>
      </c>
      <c r="BA55" s="166">
        <v>10.970800000000001</v>
      </c>
      <c r="BB55" s="166">
        <v>19.266400000000001</v>
      </c>
      <c r="BC55" s="166">
        <v>21.750900000000001</v>
      </c>
      <c r="BD55" s="166">
        <v>10.990600000000001</v>
      </c>
      <c r="BE55" s="166">
        <v>-4.7</v>
      </c>
      <c r="BF55" s="166">
        <v>-4.9000000000000004</v>
      </c>
      <c r="BG55" s="166">
        <v>-23.361699999999999</v>
      </c>
      <c r="BH55" s="166">
        <v>-23.3325</v>
      </c>
      <c r="BI55" s="166">
        <v>-1.4719</v>
      </c>
      <c r="BJ55" s="167"/>
      <c r="BK55" s="166">
        <v>4.2138999999999998</v>
      </c>
      <c r="BL55" s="166">
        <v>3.9260000000000002</v>
      </c>
      <c r="BM55" s="166">
        <v>1.3030999999999999</v>
      </c>
      <c r="BN55" s="166">
        <v>0.94820000000000004</v>
      </c>
      <c r="BO55" s="166">
        <v>-67.995199999999997</v>
      </c>
      <c r="BP55" s="166">
        <v>35.584600000000002</v>
      </c>
      <c r="BQ55" s="166">
        <v>35.370899999999999</v>
      </c>
      <c r="BR55" s="166">
        <v>11.2843</v>
      </c>
      <c r="BS55" s="166">
        <v>-151.0737</v>
      </c>
      <c r="BT55" s="167"/>
      <c r="BU55" s="167"/>
      <c r="BV55" s="167"/>
      <c r="BW55" s="166">
        <v>17.534099999999999</v>
      </c>
      <c r="BX55" s="166">
        <v>10.07</v>
      </c>
      <c r="BY55" s="166">
        <v>7.31</v>
      </c>
      <c r="BZ55" s="166">
        <v>-9.1</v>
      </c>
      <c r="CA55" s="166">
        <v>7.63</v>
      </c>
      <c r="CB55" s="166">
        <v>-22.366599999999998</v>
      </c>
      <c r="CC55" s="166">
        <v>-21.8308</v>
      </c>
      <c r="CD55" s="166">
        <v>27.819099999999999</v>
      </c>
      <c r="CE55" s="166">
        <v>26.395900000000001</v>
      </c>
      <c r="CF55" s="166">
        <v>-1.4054</v>
      </c>
      <c r="CG55" s="166">
        <v>-15.4406</v>
      </c>
      <c r="CH55" s="166">
        <v>-15.529500000000001</v>
      </c>
      <c r="CI55" s="166">
        <v>4.5377000000000001</v>
      </c>
      <c r="CJ55" s="167"/>
      <c r="CK55" s="166">
        <v>3.6393</v>
      </c>
      <c r="CL55" s="166">
        <v>7.9349999999999996</v>
      </c>
      <c r="CM55" s="166">
        <v>-10.4</v>
      </c>
      <c r="CN55" s="166">
        <v>-10.5</v>
      </c>
      <c r="CO55" s="166">
        <v>-3.2</v>
      </c>
      <c r="CP55" s="166">
        <v>18.0867</v>
      </c>
      <c r="CQ55" s="166">
        <v>18.482099999999999</v>
      </c>
      <c r="CR55" s="166">
        <v>17.191700000000001</v>
      </c>
      <c r="CS55" s="166">
        <v>40.130699999999997</v>
      </c>
      <c r="CT55" s="166">
        <v>41.025700000000001</v>
      </c>
      <c r="CU55" s="166">
        <v>-23.401299999999999</v>
      </c>
      <c r="CV55" s="166">
        <v>-27.4542</v>
      </c>
      <c r="CW55" s="166">
        <v>-21.196899999999999</v>
      </c>
      <c r="CX55" s="166">
        <v>3.3504</v>
      </c>
      <c r="CY55" s="166">
        <v>31.36</v>
      </c>
      <c r="CZ55" s="166">
        <v>12.01</v>
      </c>
      <c r="DA55" s="166">
        <v>6.8799000000000001</v>
      </c>
      <c r="DB55" s="166">
        <v>5.9600999999999997</v>
      </c>
      <c r="DC55" s="166">
        <v>-8.8187999999999995</v>
      </c>
      <c r="DD55" s="167"/>
      <c r="DE55" s="167"/>
      <c r="DF55" s="167"/>
      <c r="DG55" s="166">
        <v>16.270399999999999</v>
      </c>
      <c r="DH55" s="167"/>
      <c r="DI55" s="167"/>
      <c r="DJ55" s="166">
        <v>-23.1</v>
      </c>
      <c r="DK55" s="166">
        <v>-22.6</v>
      </c>
      <c r="DL55" s="166">
        <v>0.45229999999999998</v>
      </c>
      <c r="DM55" s="166">
        <v>1.5</v>
      </c>
      <c r="DN55" s="166">
        <v>8.64</v>
      </c>
      <c r="DO55" s="166">
        <v>5.72</v>
      </c>
      <c r="DP55" s="166">
        <v>-0.49</v>
      </c>
      <c r="DQ55" s="166">
        <v>-2.54</v>
      </c>
      <c r="DR55" s="166">
        <v>12.2295</v>
      </c>
      <c r="DS55" s="166">
        <v>-16.741</v>
      </c>
      <c r="DT55" s="166">
        <v>-7.26</v>
      </c>
      <c r="DU55" s="166">
        <v>-7.39</v>
      </c>
      <c r="DV55" s="166">
        <v>18.3</v>
      </c>
      <c r="DW55" s="166">
        <v>3.13</v>
      </c>
      <c r="DX55" s="166">
        <v>-15.2364</v>
      </c>
      <c r="DY55" s="166">
        <v>-8.0273000000000003</v>
      </c>
      <c r="DZ55" s="166">
        <v>-38.078800000000001</v>
      </c>
      <c r="EA55" s="166">
        <v>-36.200000000000003</v>
      </c>
      <c r="EB55" s="166">
        <v>14.488799999999999</v>
      </c>
      <c r="EC55" s="166">
        <v>-13.084</v>
      </c>
      <c r="ED55" s="166">
        <v>-21.845800000000001</v>
      </c>
      <c r="EE55" s="166">
        <v>-21.1311</v>
      </c>
      <c r="EF55" s="166">
        <v>-28.3919</v>
      </c>
      <c r="EG55" s="166">
        <v>-29.299399999999999</v>
      </c>
      <c r="EH55" s="166">
        <v>-11.975</v>
      </c>
      <c r="EI55" s="166">
        <v>-80.841200000000001</v>
      </c>
      <c r="EJ55" s="166">
        <v>-14.1683</v>
      </c>
      <c r="EK55" s="167"/>
      <c r="EL55" s="166">
        <v>-6.5092999999999996</v>
      </c>
      <c r="EM55" s="166">
        <v>-6.2975000000000003</v>
      </c>
      <c r="EN55" s="167"/>
      <c r="EO55" s="166">
        <v>-11.5983</v>
      </c>
      <c r="EP55" s="166">
        <v>-9.5408000000000008</v>
      </c>
      <c r="EQ55" s="166">
        <v>-6.1479999999999997</v>
      </c>
      <c r="ER55" s="166">
        <v>-16.968</v>
      </c>
      <c r="ES55" s="166">
        <v>-16.272500000000001</v>
      </c>
      <c r="ET55" s="166">
        <v>15.1092</v>
      </c>
      <c r="EU55" s="167"/>
      <c r="EV55" s="166">
        <v>-7.82</v>
      </c>
      <c r="EW55" s="166">
        <v>-2.7</v>
      </c>
      <c r="EX55" s="166">
        <v>5.3198999999999996</v>
      </c>
      <c r="EY55" s="166">
        <v>-10.6615</v>
      </c>
      <c r="EZ55" s="166">
        <v>-10.2197</v>
      </c>
      <c r="FA55" s="166">
        <v>-10.142899999999999</v>
      </c>
      <c r="FB55" s="166">
        <v>7.5178000000000003</v>
      </c>
      <c r="FC55" s="166">
        <v>14.0648</v>
      </c>
      <c r="FD55" s="166">
        <v>-31.867599999999999</v>
      </c>
      <c r="FE55" s="166">
        <v>6.8327999999999998</v>
      </c>
      <c r="FF55" s="166">
        <v>-0.56989999999999996</v>
      </c>
      <c r="FG55" s="167"/>
      <c r="FH55" s="166">
        <v>0</v>
      </c>
      <c r="FI55" s="166">
        <v>0</v>
      </c>
      <c r="FJ55" s="167"/>
      <c r="FK55" s="166">
        <v>11.052099999999999</v>
      </c>
      <c r="FL55" s="166">
        <v>10.5497</v>
      </c>
      <c r="FM55" s="166">
        <v>-14.903600000000001</v>
      </c>
      <c r="FN55" s="166">
        <v>17.410299999999999</v>
      </c>
      <c r="FO55" s="166">
        <v>17.4985</v>
      </c>
      <c r="FP55" s="166">
        <v>-3.0741000000000001</v>
      </c>
      <c r="FQ55" s="167"/>
      <c r="FR55" s="166">
        <v>16.295400000000001</v>
      </c>
      <c r="FS55" s="166">
        <v>-16.559999999999999</v>
      </c>
      <c r="FT55" s="167"/>
      <c r="FU55" s="166">
        <v>0.19520000000000001</v>
      </c>
      <c r="FV55" s="166">
        <v>-0.33</v>
      </c>
      <c r="FW55" s="166">
        <v>0.12</v>
      </c>
      <c r="FX55" s="166">
        <v>-15.954599999999999</v>
      </c>
      <c r="FY55" s="167"/>
      <c r="FZ55" s="166">
        <v>4.0170000000000003</v>
      </c>
      <c r="GA55" s="166">
        <v>1.0389999999999999</v>
      </c>
      <c r="GB55" s="167"/>
      <c r="GC55" s="166">
        <v>14.71</v>
      </c>
      <c r="GD55" s="166">
        <v>-20.247199999999999</v>
      </c>
      <c r="GE55" s="166">
        <v>-13.355600000000001</v>
      </c>
      <c r="GF55" s="166">
        <v>-1.65</v>
      </c>
      <c r="GG55" s="166">
        <v>21.3871</v>
      </c>
      <c r="GH55" s="167"/>
      <c r="GI55" s="166">
        <v>19.895099999999999</v>
      </c>
      <c r="GJ55" s="166">
        <v>-3.3308</v>
      </c>
      <c r="GK55" s="166">
        <v>-3.6703999999999999</v>
      </c>
      <c r="GL55" s="166">
        <v>2.4062000000000001</v>
      </c>
      <c r="GM55" s="167"/>
      <c r="GN55" s="167"/>
      <c r="GO55" s="166">
        <v>-12.053599999999999</v>
      </c>
      <c r="GP55" s="166">
        <v>69.585700000000003</v>
      </c>
      <c r="GQ55" s="166">
        <v>0.68659999999999999</v>
      </c>
      <c r="GR55" s="166">
        <v>-22.6144</v>
      </c>
      <c r="GS55" s="166">
        <v>-7.3253000000000004</v>
      </c>
      <c r="GT55" s="166">
        <v>-6.7331000000000003</v>
      </c>
      <c r="GU55" s="166">
        <v>103.8657</v>
      </c>
      <c r="GV55" s="166">
        <v>-6.3178000000000001</v>
      </c>
      <c r="GW55" s="166">
        <v>-9.7896999999999998</v>
      </c>
      <c r="GX55" s="166">
        <v>9.5258000000000003</v>
      </c>
      <c r="GY55" s="166">
        <v>3.1614</v>
      </c>
      <c r="GZ55" s="166">
        <v>5.0182000000000002</v>
      </c>
      <c r="HA55" s="166">
        <v>5.1665000000000001</v>
      </c>
      <c r="HB55" s="166">
        <v>2.3912</v>
      </c>
      <c r="HC55" s="166">
        <v>-5.9611999999999998</v>
      </c>
      <c r="HD55" s="166">
        <v>-2.9950000000000001</v>
      </c>
      <c r="HE55" s="166">
        <v>-2.5099999999999998</v>
      </c>
      <c r="HF55" s="166">
        <v>0</v>
      </c>
      <c r="HG55" s="166">
        <v>25.179500000000001</v>
      </c>
      <c r="HH55" s="166">
        <v>31.474</v>
      </c>
      <c r="HI55" s="166">
        <v>83.656700000000001</v>
      </c>
      <c r="HJ55" s="166">
        <v>-2.7008999999999999</v>
      </c>
      <c r="HK55" s="166">
        <v>49.421300000000002</v>
      </c>
      <c r="HL55" s="167"/>
      <c r="HM55" s="166">
        <v>-10.112299999999999</v>
      </c>
      <c r="HN55" s="166">
        <v>0</v>
      </c>
      <c r="HO55" s="166">
        <v>0</v>
      </c>
      <c r="HP55" s="166">
        <v>35.1858</v>
      </c>
      <c r="HQ55" s="166">
        <v>19.084800000000001</v>
      </c>
      <c r="HR55" s="166">
        <v>-19.779800000000002</v>
      </c>
      <c r="HS55" s="166">
        <v>-19.593</v>
      </c>
      <c r="HT55" s="166">
        <v>-13.4801</v>
      </c>
      <c r="HU55" s="166">
        <v>-13.459300000000001</v>
      </c>
      <c r="HV55" s="166">
        <v>8.98</v>
      </c>
      <c r="HW55" s="166">
        <v>9.23</v>
      </c>
      <c r="HX55" s="166">
        <v>-31.3</v>
      </c>
      <c r="HY55" s="166">
        <v>-31.5</v>
      </c>
      <c r="HZ55" s="166">
        <v>5.3999999999999999E-2</v>
      </c>
      <c r="IA55" s="166">
        <v>-6.96</v>
      </c>
      <c r="IB55" s="166">
        <v>55.706299999999999</v>
      </c>
      <c r="IC55" s="167"/>
      <c r="ID55" s="167"/>
      <c r="IE55" s="166">
        <v>-20</v>
      </c>
      <c r="IF55" s="166">
        <v>-43</v>
      </c>
      <c r="IG55" s="166">
        <v>3.9</v>
      </c>
      <c r="IH55" s="166">
        <v>3.3</v>
      </c>
      <c r="II55" s="167"/>
      <c r="IJ55" s="167"/>
      <c r="IK55" s="166">
        <v>-86.168000000000006</v>
      </c>
      <c r="IL55" s="166">
        <v>34.6432</v>
      </c>
      <c r="IM55" s="166">
        <v>-293.31099999999998</v>
      </c>
      <c r="IN55" s="166">
        <v>-30.6144</v>
      </c>
      <c r="IO55" s="166">
        <v>-32.303699999999999</v>
      </c>
      <c r="IP55" s="166">
        <v>128.81209999999999</v>
      </c>
      <c r="IQ55" s="166">
        <v>34.689500000000002</v>
      </c>
      <c r="IR55" s="166">
        <v>133.77670000000001</v>
      </c>
      <c r="IS55" s="166">
        <v>87.086799999999997</v>
      </c>
      <c r="IT55" s="166">
        <v>68.853700000000003</v>
      </c>
      <c r="IU55" s="166">
        <v>22.111699999999999</v>
      </c>
      <c r="IV55" s="166">
        <v>21.4101</v>
      </c>
      <c r="IW55" s="166">
        <v>-24.787700000000001</v>
      </c>
      <c r="IX55" s="166">
        <v>250.5455</v>
      </c>
      <c r="IY55" s="166">
        <v>-189.1095</v>
      </c>
      <c r="IZ55" s="166">
        <v>62.554299999999998</v>
      </c>
      <c r="JA55" s="166">
        <v>-50.9559</v>
      </c>
      <c r="JB55" s="166">
        <v>-1.1463000000000001</v>
      </c>
      <c r="JC55" s="166">
        <v>4.0510000000000002</v>
      </c>
      <c r="JD55" s="166">
        <v>-5.92</v>
      </c>
      <c r="JE55" s="166">
        <v>-2.14</v>
      </c>
      <c r="JF55" s="166">
        <v>-2.145</v>
      </c>
      <c r="JG55" s="166">
        <v>1.28</v>
      </c>
      <c r="JH55" s="166">
        <v>-0.96</v>
      </c>
      <c r="JI55" s="166">
        <v>-1.8664000000000001</v>
      </c>
      <c r="JJ55" s="166">
        <v>-5.1254999999999997</v>
      </c>
      <c r="JK55" s="166">
        <v>9.7002000000000006</v>
      </c>
      <c r="JL55" s="166">
        <v>-6.2668999999999997</v>
      </c>
      <c r="JM55" s="166">
        <v>-1.7</v>
      </c>
      <c r="JN55" s="166">
        <v>7</v>
      </c>
      <c r="JO55" s="166">
        <v>6.9349999999999996</v>
      </c>
      <c r="JP55" s="167"/>
      <c r="JQ55" s="167"/>
      <c r="JR55" s="166">
        <v>4.49</v>
      </c>
      <c r="JS55" s="166">
        <v>4.0568</v>
      </c>
      <c r="JT55" s="166">
        <v>3.1046999999999998</v>
      </c>
      <c r="JU55" s="167"/>
      <c r="JV55" s="166">
        <v>27.1</v>
      </c>
      <c r="JW55" s="166">
        <v>4.1566000000000001</v>
      </c>
      <c r="JX55" s="166">
        <v>0.06</v>
      </c>
      <c r="JY55" s="167"/>
      <c r="JZ55" s="166">
        <v>-5.3766999999999996</v>
      </c>
      <c r="KA55" s="166">
        <v>-16.419499999999999</v>
      </c>
      <c r="KB55" s="166">
        <v>-17.313099999999999</v>
      </c>
      <c r="KC55" s="166">
        <v>-1.4106000000000001</v>
      </c>
      <c r="KD55" s="166">
        <v>12.8994</v>
      </c>
      <c r="KE55" s="166">
        <v>-11.9002</v>
      </c>
      <c r="KF55" s="166">
        <v>0</v>
      </c>
      <c r="KG55" s="166">
        <v>-21.9</v>
      </c>
      <c r="KH55" s="166">
        <v>4.0999999999999996</v>
      </c>
      <c r="KI55" s="166">
        <v>52.2913</v>
      </c>
      <c r="KJ55" s="166">
        <v>-118.0805</v>
      </c>
    </row>
    <row r="56" spans="1:296" ht="18" customHeight="1" x14ac:dyDescent="0.3">
      <c r="A56" s="162" t="s">
        <v>855</v>
      </c>
      <c r="B56" s="162" t="s">
        <v>68</v>
      </c>
      <c r="C56" s="169">
        <v>0</v>
      </c>
      <c r="D56" s="170"/>
      <c r="E56" s="169">
        <v>2.3891</v>
      </c>
      <c r="F56" s="169">
        <v>-7.6688999999999998</v>
      </c>
      <c r="G56" s="169">
        <v>4.1075999999999997</v>
      </c>
      <c r="H56" s="169">
        <v>3.2450000000000001</v>
      </c>
      <c r="I56" s="170"/>
      <c r="J56" s="169">
        <v>10.787699999999999</v>
      </c>
      <c r="K56" s="170"/>
      <c r="L56" s="169">
        <v>12.2134</v>
      </c>
      <c r="M56" s="169">
        <v>4.8859000000000004</v>
      </c>
      <c r="N56" s="169">
        <v>6.3182</v>
      </c>
      <c r="O56" s="169">
        <v>-4.4400000000000004</v>
      </c>
      <c r="P56" s="169">
        <v>-19.8</v>
      </c>
      <c r="Q56" s="170"/>
      <c r="R56" s="169">
        <v>-0.82799999999999996</v>
      </c>
      <c r="S56" s="169">
        <v>-13.2</v>
      </c>
      <c r="T56" s="169">
        <v>4.2694999999999999</v>
      </c>
      <c r="U56" s="169">
        <v>-12.443899999999999</v>
      </c>
      <c r="V56" s="169">
        <v>1.6359999999999999</v>
      </c>
      <c r="W56" s="169">
        <v>1.4533</v>
      </c>
      <c r="X56" s="169">
        <v>2.7934999999999999</v>
      </c>
      <c r="Y56" s="169">
        <v>0.50209999999999999</v>
      </c>
      <c r="Z56" s="169">
        <v>0.27039999999999997</v>
      </c>
      <c r="AA56" s="169">
        <v>0.3795</v>
      </c>
      <c r="AB56" s="170"/>
      <c r="AC56" s="169">
        <v>-0.66249999999999998</v>
      </c>
      <c r="AD56" s="169">
        <v>-0.56000000000000005</v>
      </c>
      <c r="AE56" s="169">
        <v>-0.53600000000000003</v>
      </c>
      <c r="AF56" s="169">
        <v>2.0049999999999999</v>
      </c>
      <c r="AG56" s="169">
        <v>-15.54</v>
      </c>
      <c r="AH56" s="170"/>
      <c r="AI56" s="169">
        <v>-1.883</v>
      </c>
      <c r="AJ56" s="169">
        <v>0.27900000000000003</v>
      </c>
      <c r="AK56" s="169">
        <v>-9.74</v>
      </c>
      <c r="AL56" s="169">
        <v>-9.61</v>
      </c>
      <c r="AM56" s="170"/>
      <c r="AN56" s="169">
        <v>-8.98</v>
      </c>
      <c r="AO56" s="169">
        <v>-9.1</v>
      </c>
      <c r="AP56" s="169">
        <v>3.5123000000000002</v>
      </c>
      <c r="AQ56" s="169">
        <v>4.0294999999999996</v>
      </c>
      <c r="AR56" s="169">
        <v>16.379300000000001</v>
      </c>
      <c r="AS56" s="169">
        <v>18.379100000000001</v>
      </c>
      <c r="AT56" s="169">
        <v>-23.765899999999998</v>
      </c>
      <c r="AU56" s="169">
        <v>-12.2783</v>
      </c>
      <c r="AV56" s="169">
        <v>-12.247299999999999</v>
      </c>
      <c r="AW56" s="169">
        <v>17.323499999999999</v>
      </c>
      <c r="AX56" s="169">
        <v>12.656599999999999</v>
      </c>
      <c r="AY56" s="169">
        <v>-18.824300000000001</v>
      </c>
      <c r="AZ56" s="169">
        <v>-16.046500000000002</v>
      </c>
      <c r="BA56" s="169">
        <v>10.9878</v>
      </c>
      <c r="BB56" s="169">
        <v>13.395799999999999</v>
      </c>
      <c r="BC56" s="169">
        <v>31.383400000000002</v>
      </c>
      <c r="BD56" s="169">
        <v>10.9857</v>
      </c>
      <c r="BE56" s="169">
        <v>-4.9000000000000004</v>
      </c>
      <c r="BF56" s="169">
        <v>-5</v>
      </c>
      <c r="BG56" s="169">
        <v>-18.374400000000001</v>
      </c>
      <c r="BH56" s="169">
        <v>-18.970500000000001</v>
      </c>
      <c r="BI56" s="169">
        <v>-1.3243</v>
      </c>
      <c r="BJ56" s="170"/>
      <c r="BK56" s="169">
        <v>-1.1077999999999999</v>
      </c>
      <c r="BL56" s="169">
        <v>4.1425000000000001</v>
      </c>
      <c r="BM56" s="169">
        <v>0.79420000000000002</v>
      </c>
      <c r="BN56" s="169">
        <v>0.68140000000000001</v>
      </c>
      <c r="BO56" s="169">
        <v>-89.022499999999994</v>
      </c>
      <c r="BP56" s="169">
        <v>20.294799999999999</v>
      </c>
      <c r="BQ56" s="169">
        <v>20.111699999999999</v>
      </c>
      <c r="BR56" s="169">
        <v>28.232700000000001</v>
      </c>
      <c r="BS56" s="169">
        <v>-187.1695</v>
      </c>
      <c r="BT56" s="170"/>
      <c r="BU56" s="170"/>
      <c r="BV56" s="170"/>
      <c r="BW56" s="169">
        <v>14.410500000000001</v>
      </c>
      <c r="BX56" s="169">
        <v>9.43</v>
      </c>
      <c r="BY56" s="169">
        <v>6.74</v>
      </c>
      <c r="BZ56" s="169">
        <v>-10.18</v>
      </c>
      <c r="CA56" s="169">
        <v>6.75</v>
      </c>
      <c r="CB56" s="169">
        <v>-22.7685</v>
      </c>
      <c r="CC56" s="169">
        <v>-22.7685</v>
      </c>
      <c r="CD56" s="169">
        <v>27.839400000000001</v>
      </c>
      <c r="CE56" s="169">
        <v>27.312100000000001</v>
      </c>
      <c r="CF56" s="169">
        <v>-2.0009000000000001</v>
      </c>
      <c r="CG56" s="169">
        <v>-21.545300000000001</v>
      </c>
      <c r="CH56" s="169">
        <v>-21.5885</v>
      </c>
      <c r="CI56" s="169">
        <v>-2.3304</v>
      </c>
      <c r="CJ56" s="170"/>
      <c r="CK56" s="169">
        <v>3.8355999999999999</v>
      </c>
      <c r="CL56" s="169">
        <v>8.1229999999999993</v>
      </c>
      <c r="CM56" s="169">
        <v>-9.6</v>
      </c>
      <c r="CN56" s="169">
        <v>-9.6999999999999993</v>
      </c>
      <c r="CO56" s="169">
        <v>-3.3</v>
      </c>
      <c r="CP56" s="169">
        <v>15.5161</v>
      </c>
      <c r="CQ56" s="169">
        <v>15.488099999999999</v>
      </c>
      <c r="CR56" s="169">
        <v>13.870799999999999</v>
      </c>
      <c r="CS56" s="169">
        <v>36.846499999999999</v>
      </c>
      <c r="CT56" s="169">
        <v>37.289299999999997</v>
      </c>
      <c r="CU56" s="169">
        <v>-27.256499999999999</v>
      </c>
      <c r="CV56" s="169">
        <v>-17.032900000000001</v>
      </c>
      <c r="CW56" s="169">
        <v>-25.021699999999999</v>
      </c>
      <c r="CX56" s="169">
        <v>3.2039</v>
      </c>
      <c r="CY56" s="169">
        <v>30.17</v>
      </c>
      <c r="CZ56" s="169">
        <v>11.52</v>
      </c>
      <c r="DA56" s="169">
        <v>6.0986000000000002</v>
      </c>
      <c r="DB56" s="169">
        <v>5.0811999999999999</v>
      </c>
      <c r="DC56" s="169">
        <v>-7.9996999999999998</v>
      </c>
      <c r="DD56" s="170"/>
      <c r="DE56" s="170"/>
      <c r="DF56" s="170"/>
      <c r="DG56" s="169">
        <v>15.850099999999999</v>
      </c>
      <c r="DH56" s="170"/>
      <c r="DI56" s="170"/>
      <c r="DJ56" s="169">
        <v>-19.899999999999999</v>
      </c>
      <c r="DK56" s="169">
        <v>-19.2</v>
      </c>
      <c r="DL56" s="169">
        <v>0.62319999999999998</v>
      </c>
      <c r="DM56" s="169">
        <v>0.7</v>
      </c>
      <c r="DN56" s="169">
        <v>7.56</v>
      </c>
      <c r="DO56" s="169">
        <v>4.6399999999999997</v>
      </c>
      <c r="DP56" s="169">
        <v>-1.29</v>
      </c>
      <c r="DQ56" s="169">
        <v>-2.2799999999999998</v>
      </c>
      <c r="DR56" s="169">
        <v>13.593500000000001</v>
      </c>
      <c r="DS56" s="169">
        <v>-15.618399999999999</v>
      </c>
      <c r="DT56" s="169">
        <v>-8.33</v>
      </c>
      <c r="DU56" s="169">
        <v>-8.4600000000000009</v>
      </c>
      <c r="DV56" s="169">
        <v>19.71</v>
      </c>
      <c r="DW56" s="169">
        <v>1.97</v>
      </c>
      <c r="DX56" s="169">
        <v>-15.672700000000001</v>
      </c>
      <c r="DY56" s="169">
        <v>-8.5182000000000002</v>
      </c>
      <c r="DZ56" s="169">
        <v>-37.199100000000001</v>
      </c>
      <c r="EA56" s="169">
        <v>-36.390900000000002</v>
      </c>
      <c r="EB56" s="169">
        <v>10.8711</v>
      </c>
      <c r="EC56" s="169">
        <v>-15.988200000000001</v>
      </c>
      <c r="ED56" s="169">
        <v>-23.748200000000001</v>
      </c>
      <c r="EE56" s="169">
        <v>-23.769400000000001</v>
      </c>
      <c r="EF56" s="169">
        <v>-28.758700000000001</v>
      </c>
      <c r="EG56" s="169">
        <v>-34.615099999999998</v>
      </c>
      <c r="EH56" s="169">
        <v>-12.545999999999999</v>
      </c>
      <c r="EI56" s="169">
        <v>-101.40219999999999</v>
      </c>
      <c r="EJ56" s="169">
        <v>-8.0572999999999997</v>
      </c>
      <c r="EK56" s="170"/>
      <c r="EL56" s="169">
        <v>-7.0408999999999997</v>
      </c>
      <c r="EM56" s="169">
        <v>-6.8654000000000002</v>
      </c>
      <c r="EN56" s="170"/>
      <c r="EO56" s="169">
        <v>-9.2819000000000003</v>
      </c>
      <c r="EP56" s="169">
        <v>-8.5973000000000006</v>
      </c>
      <c r="EQ56" s="169">
        <v>-12.292</v>
      </c>
      <c r="ER56" s="169">
        <v>-15.2096</v>
      </c>
      <c r="ES56" s="169">
        <v>-14.920400000000001</v>
      </c>
      <c r="ET56" s="169">
        <v>17.4603</v>
      </c>
      <c r="EU56" s="169">
        <v>6.77</v>
      </c>
      <c r="EV56" s="169">
        <v>-4.68</v>
      </c>
      <c r="EW56" s="169">
        <v>0</v>
      </c>
      <c r="EX56" s="169">
        <v>5.4189999999999996</v>
      </c>
      <c r="EY56" s="169">
        <v>-5.6665000000000001</v>
      </c>
      <c r="EZ56" s="169">
        <v>-9.1959</v>
      </c>
      <c r="FA56" s="169">
        <v>-9.0813000000000006</v>
      </c>
      <c r="FB56" s="169">
        <v>7.1120999999999999</v>
      </c>
      <c r="FC56" s="169">
        <v>20.663900000000002</v>
      </c>
      <c r="FD56" s="169">
        <v>-35.266399999999997</v>
      </c>
      <c r="FE56" s="169">
        <v>7.2027999999999999</v>
      </c>
      <c r="FF56" s="169">
        <v>-0.33789999999999998</v>
      </c>
      <c r="FG56" s="170"/>
      <c r="FH56" s="169">
        <v>0</v>
      </c>
      <c r="FI56" s="169">
        <v>0</v>
      </c>
      <c r="FJ56" s="170"/>
      <c r="FK56" s="169">
        <v>10.7172</v>
      </c>
      <c r="FL56" s="169">
        <v>10.2148</v>
      </c>
      <c r="FM56" s="169">
        <v>-12.559200000000001</v>
      </c>
      <c r="FN56" s="169">
        <v>17.420200000000001</v>
      </c>
      <c r="FO56" s="169">
        <v>17.386299999999999</v>
      </c>
      <c r="FP56" s="169">
        <v>-2.1042000000000001</v>
      </c>
      <c r="FQ56" s="169">
        <v>10.252700000000001</v>
      </c>
      <c r="FR56" s="169">
        <v>17.271999999999998</v>
      </c>
      <c r="FS56" s="169">
        <v>-15.67</v>
      </c>
      <c r="FT56" s="170"/>
      <c r="FU56" s="169">
        <v>0.18970000000000001</v>
      </c>
      <c r="FV56" s="169">
        <v>-0.31</v>
      </c>
      <c r="FW56" s="169">
        <v>-0.06</v>
      </c>
      <c r="FX56" s="169">
        <v>-17.182400000000001</v>
      </c>
      <c r="FY56" s="170"/>
      <c r="FZ56" s="169">
        <v>4.1070000000000002</v>
      </c>
      <c r="GA56" s="169">
        <v>1.0900000000000001</v>
      </c>
      <c r="GB56" s="170"/>
      <c r="GC56" s="169">
        <v>15.1</v>
      </c>
      <c r="GD56" s="169">
        <v>-22.298200000000001</v>
      </c>
      <c r="GE56" s="169">
        <v>-14.809699999999999</v>
      </c>
      <c r="GF56" s="169">
        <v>-1.74</v>
      </c>
      <c r="GG56" s="169">
        <v>21.732900000000001</v>
      </c>
      <c r="GH56" s="170"/>
      <c r="GI56" s="169">
        <v>19.7591</v>
      </c>
      <c r="GJ56" s="169">
        <v>-3.2555999999999998</v>
      </c>
      <c r="GK56" s="169">
        <v>-3.4512</v>
      </c>
      <c r="GL56" s="169">
        <v>2.2385999999999999</v>
      </c>
      <c r="GM56" s="170"/>
      <c r="GN56" s="170"/>
      <c r="GO56" s="169">
        <v>-12.1914</v>
      </c>
      <c r="GP56" s="169">
        <v>68.082700000000003</v>
      </c>
      <c r="GQ56" s="169">
        <v>1.2251000000000001</v>
      </c>
      <c r="GR56" s="169">
        <v>-22.7103</v>
      </c>
      <c r="GS56" s="169">
        <v>-7.2243000000000004</v>
      </c>
      <c r="GT56" s="169">
        <v>-7.4710000000000001</v>
      </c>
      <c r="GU56" s="169">
        <v>104.6035</v>
      </c>
      <c r="GV56" s="169">
        <v>-6.7999000000000001</v>
      </c>
      <c r="GW56" s="169">
        <v>-9.6717999999999993</v>
      </c>
      <c r="GX56" s="169">
        <v>8.9543999999999997</v>
      </c>
      <c r="GY56" s="169">
        <v>4.2619999999999996</v>
      </c>
      <c r="GZ56" s="169">
        <v>4.9448999999999996</v>
      </c>
      <c r="HA56" s="169">
        <v>4.9844999999999997</v>
      </c>
      <c r="HB56" s="169">
        <v>3.5400999999999998</v>
      </c>
      <c r="HC56" s="169">
        <v>-6.1257999999999999</v>
      </c>
      <c r="HD56" s="169">
        <v>-3.8281000000000001</v>
      </c>
      <c r="HE56" s="169">
        <v>-5.45</v>
      </c>
      <c r="HF56" s="169">
        <v>0</v>
      </c>
      <c r="HG56" s="169">
        <v>36.607300000000002</v>
      </c>
      <c r="HH56" s="169">
        <v>26.442599999999999</v>
      </c>
      <c r="HI56" s="169">
        <v>87.252799999999993</v>
      </c>
      <c r="HJ56" s="169">
        <v>-2.3147000000000002</v>
      </c>
      <c r="HK56" s="169">
        <v>48.173299999999998</v>
      </c>
      <c r="HL56" s="170"/>
      <c r="HM56" s="169">
        <v>-11.541600000000001</v>
      </c>
      <c r="HN56" s="169">
        <v>0</v>
      </c>
      <c r="HO56" s="169">
        <v>0</v>
      </c>
      <c r="HP56" s="170"/>
      <c r="HQ56" s="169">
        <v>34.616799999999998</v>
      </c>
      <c r="HR56" s="169">
        <v>-19.433700000000002</v>
      </c>
      <c r="HS56" s="169">
        <v>-19.175599999999999</v>
      </c>
      <c r="HT56" s="169">
        <v>-13.4061</v>
      </c>
      <c r="HU56" s="169">
        <v>-13.6402</v>
      </c>
      <c r="HV56" s="169">
        <v>10.14</v>
      </c>
      <c r="HW56" s="169">
        <v>10.050000000000001</v>
      </c>
      <c r="HX56" s="169">
        <v>-29.1</v>
      </c>
      <c r="HY56" s="169">
        <v>-29.2</v>
      </c>
      <c r="HZ56" s="169">
        <v>-1.7399999999999999E-2</v>
      </c>
      <c r="IA56" s="169">
        <v>-9.0399999999999991</v>
      </c>
      <c r="IB56" s="169">
        <v>53.5869</v>
      </c>
      <c r="IC56" s="170"/>
      <c r="ID56" s="170"/>
      <c r="IE56" s="169">
        <v>-19.899999999999999</v>
      </c>
      <c r="IF56" s="169">
        <v>-39.299999999999997</v>
      </c>
      <c r="IG56" s="169">
        <v>5.2</v>
      </c>
      <c r="IH56" s="169">
        <v>4.5999999999999996</v>
      </c>
      <c r="II56" s="170"/>
      <c r="IJ56" s="170"/>
      <c r="IK56" s="169">
        <v>-91.766400000000004</v>
      </c>
      <c r="IL56" s="169">
        <v>31.635200000000001</v>
      </c>
      <c r="IM56" s="169">
        <v>-290.5009</v>
      </c>
      <c r="IN56" s="169">
        <v>-28.456399999999999</v>
      </c>
      <c r="IO56" s="169">
        <v>-31.280799999999999</v>
      </c>
      <c r="IP56" s="169">
        <v>123.5915</v>
      </c>
      <c r="IQ56" s="169">
        <v>39.744500000000002</v>
      </c>
      <c r="IR56" s="169">
        <v>132.82859999999999</v>
      </c>
      <c r="IS56" s="169">
        <v>85.137200000000007</v>
      </c>
      <c r="IT56" s="169">
        <v>63.123100000000001</v>
      </c>
      <c r="IU56" s="169">
        <v>23.1311</v>
      </c>
      <c r="IV56" s="169">
        <v>21.745200000000001</v>
      </c>
      <c r="IW56" s="169">
        <v>-25.8888</v>
      </c>
      <c r="IX56" s="169">
        <v>242.20320000000001</v>
      </c>
      <c r="IY56" s="169">
        <v>-186.203</v>
      </c>
      <c r="IZ56" s="169">
        <v>58.912599999999998</v>
      </c>
      <c r="JA56" s="169">
        <v>-42.705399999999997</v>
      </c>
      <c r="JB56" s="169">
        <v>-0.72629999999999995</v>
      </c>
      <c r="JC56" s="169">
        <v>8.1199999999999992</v>
      </c>
      <c r="JD56" s="169">
        <v>-4.5599999999999996</v>
      </c>
      <c r="JE56" s="169">
        <v>-2.1110000000000002</v>
      </c>
      <c r="JF56" s="169">
        <v>-2.117</v>
      </c>
      <c r="JG56" s="169">
        <v>0.16</v>
      </c>
      <c r="JH56" s="169">
        <v>-0.4</v>
      </c>
      <c r="JI56" s="169">
        <v>-1.4418</v>
      </c>
      <c r="JJ56" s="169">
        <v>-5.5650000000000004</v>
      </c>
      <c r="JK56" s="169">
        <v>8.1163000000000007</v>
      </c>
      <c r="JL56" s="169">
        <v>-3.2517</v>
      </c>
      <c r="JM56" s="169">
        <v>-2.2000000000000002</v>
      </c>
      <c r="JN56" s="169">
        <v>6.8120000000000003</v>
      </c>
      <c r="JO56" s="169">
        <v>5.6550000000000002</v>
      </c>
      <c r="JP56" s="170"/>
      <c r="JQ56" s="170"/>
      <c r="JR56" s="169">
        <v>4.0953999999999997</v>
      </c>
      <c r="JS56" s="169">
        <v>3.8399000000000001</v>
      </c>
      <c r="JT56" s="169">
        <v>2.9034</v>
      </c>
      <c r="JU56" s="170"/>
      <c r="JV56" s="169">
        <v>23.2</v>
      </c>
      <c r="JW56" s="169">
        <v>2.8266</v>
      </c>
      <c r="JX56" s="169">
        <v>0.06</v>
      </c>
      <c r="JY56" s="170"/>
      <c r="JZ56" s="169">
        <v>-4.1500000000000004</v>
      </c>
      <c r="KA56" s="169">
        <v>-17.18</v>
      </c>
      <c r="KB56" s="169">
        <v>-17.252300000000002</v>
      </c>
      <c r="KC56" s="169">
        <v>-1.8238000000000001</v>
      </c>
      <c r="KD56" s="169">
        <v>12.6851</v>
      </c>
      <c r="KE56" s="169">
        <v>-10.795999999999999</v>
      </c>
      <c r="KF56" s="169">
        <v>-1.9792000000000001</v>
      </c>
      <c r="KG56" s="169">
        <v>-18.5</v>
      </c>
      <c r="KH56" s="169">
        <v>0.4</v>
      </c>
      <c r="KI56" s="169">
        <v>59.729799999999997</v>
      </c>
      <c r="KJ56" s="169">
        <v>-127.6512</v>
      </c>
    </row>
    <row r="57" spans="1:296" x14ac:dyDescent="0.3">
      <c r="A57" s="236" t="s">
        <v>867</v>
      </c>
      <c r="B57" s="236"/>
      <c r="C57" s="172">
        <v>0</v>
      </c>
      <c r="D57" s="172">
        <v>0</v>
      </c>
      <c r="E57" s="172">
        <v>6.2222999999999997</v>
      </c>
      <c r="F57" s="172">
        <v>-5.7107999999999999</v>
      </c>
      <c r="G57" s="172">
        <v>8.9979999999999993</v>
      </c>
      <c r="H57" s="172">
        <v>12.239000000000001</v>
      </c>
      <c r="I57" s="172">
        <v>0</v>
      </c>
      <c r="J57" s="172">
        <v>20.528300000000002</v>
      </c>
      <c r="K57" s="172">
        <v>0</v>
      </c>
      <c r="L57" s="172">
        <v>23.201599999999999</v>
      </c>
      <c r="M57" s="172">
        <v>10.1897</v>
      </c>
      <c r="N57" s="172">
        <v>11.489000000000001</v>
      </c>
      <c r="O57" s="172">
        <v>4.4400000000000004</v>
      </c>
      <c r="P57" s="172">
        <v>-19.8</v>
      </c>
      <c r="Q57" s="172">
        <v>11</v>
      </c>
      <c r="R57" s="172">
        <v>5.7960000000000003</v>
      </c>
      <c r="S57" s="172">
        <v>-11</v>
      </c>
      <c r="T57" s="172">
        <v>4.4101999999999997</v>
      </c>
      <c r="U57" s="172">
        <v>-9.5</v>
      </c>
      <c r="V57" s="172">
        <v>6.4154</v>
      </c>
      <c r="W57" s="172">
        <v>11.700699999999999</v>
      </c>
      <c r="X57" s="172">
        <v>19.849599999999999</v>
      </c>
      <c r="Y57" s="172">
        <v>3.8176000000000001</v>
      </c>
      <c r="Z57" s="172">
        <v>0.2792</v>
      </c>
      <c r="AA57" s="172">
        <v>1.5842000000000001</v>
      </c>
      <c r="AB57" s="172">
        <v>0</v>
      </c>
      <c r="AC57" s="172">
        <v>-0.53600000000000003</v>
      </c>
      <c r="AD57" s="172">
        <v>0.157</v>
      </c>
      <c r="AE57" s="172">
        <v>0.20300000000000001</v>
      </c>
      <c r="AF57" s="172">
        <v>3.7530000000000001</v>
      </c>
      <c r="AG57" s="172">
        <v>0</v>
      </c>
      <c r="AH57" s="172">
        <v>4.4000000000000004</v>
      </c>
      <c r="AI57" s="172">
        <v>1.3740000000000001</v>
      </c>
      <c r="AJ57" s="172">
        <v>0.34799999999999998</v>
      </c>
      <c r="AK57" s="172">
        <v>-6.78</v>
      </c>
      <c r="AL57" s="172">
        <v>-7.78</v>
      </c>
      <c r="AM57" s="172">
        <v>-10</v>
      </c>
      <c r="AN57" s="172">
        <v>-6.12</v>
      </c>
      <c r="AO57" s="172">
        <v>-6.09</v>
      </c>
      <c r="AP57" s="172">
        <v>7.4229000000000003</v>
      </c>
      <c r="AQ57" s="172">
        <v>4.2130000000000001</v>
      </c>
      <c r="AR57" s="172">
        <v>26.0641</v>
      </c>
      <c r="AS57" s="172">
        <v>30.455400000000001</v>
      </c>
      <c r="AT57" s="172">
        <v>-10.4931</v>
      </c>
      <c r="AU57" s="172">
        <v>-2.9889999999999999</v>
      </c>
      <c r="AV57" s="172">
        <v>-2.6985999999999999</v>
      </c>
      <c r="AW57" s="172">
        <v>27.579799999999999</v>
      </c>
      <c r="AX57" s="172">
        <v>23.4529</v>
      </c>
      <c r="AY57" s="172">
        <v>-10.280099999999999</v>
      </c>
      <c r="AZ57" s="172">
        <v>-7.7596999999999996</v>
      </c>
      <c r="BA57" s="172">
        <v>28.059899999999999</v>
      </c>
      <c r="BB57" s="172">
        <v>36.349400000000003</v>
      </c>
      <c r="BC57" s="172">
        <v>111.8369</v>
      </c>
      <c r="BD57" s="172">
        <v>19.717500000000001</v>
      </c>
      <c r="BE57" s="172">
        <v>-1.9</v>
      </c>
      <c r="BF57" s="172">
        <v>-1.8</v>
      </c>
      <c r="BG57" s="172">
        <v>-18.374400000000001</v>
      </c>
      <c r="BH57" s="172">
        <v>-18.970500000000001</v>
      </c>
      <c r="BI57" s="172">
        <v>-1.3243</v>
      </c>
      <c r="BJ57" s="172">
        <v>0</v>
      </c>
      <c r="BK57" s="172">
        <v>17.6431</v>
      </c>
      <c r="BL57" s="172">
        <v>10.362</v>
      </c>
      <c r="BM57" s="172">
        <v>2.0653999999999999</v>
      </c>
      <c r="BN57" s="172">
        <v>1.4215</v>
      </c>
      <c r="BO57" s="172">
        <v>-67.995199999999997</v>
      </c>
      <c r="BP57" s="172">
        <v>124.485</v>
      </c>
      <c r="BQ57" s="172">
        <v>123.7525</v>
      </c>
      <c r="BR57" s="172">
        <v>51.353299999999997</v>
      </c>
      <c r="BS57" s="172">
        <v>-26.285799999999998</v>
      </c>
      <c r="BT57" s="172">
        <v>0</v>
      </c>
      <c r="BU57" s="172">
        <v>0</v>
      </c>
      <c r="BV57" s="172">
        <v>0</v>
      </c>
      <c r="BW57" s="172">
        <v>46.624499999999998</v>
      </c>
      <c r="BX57" s="172">
        <v>21.9</v>
      </c>
      <c r="BY57" s="172">
        <v>10.51</v>
      </c>
      <c r="BZ57" s="172">
        <v>3.74</v>
      </c>
      <c r="CA57" s="172">
        <v>15.15</v>
      </c>
      <c r="CB57" s="172">
        <v>-15.4009</v>
      </c>
      <c r="CC57" s="172">
        <v>-15.4009</v>
      </c>
      <c r="CD57" s="172">
        <v>36.764499999999998</v>
      </c>
      <c r="CE57" s="172">
        <v>35.796199999999999</v>
      </c>
      <c r="CF57" s="172">
        <v>-1.4054</v>
      </c>
      <c r="CG57" s="172">
        <v>31.535799999999998</v>
      </c>
      <c r="CH57" s="172">
        <v>31.088899999999999</v>
      </c>
      <c r="CI57" s="172">
        <v>17.900099999999998</v>
      </c>
      <c r="CJ57" s="172">
        <v>0</v>
      </c>
      <c r="CK57" s="172">
        <v>4.7912999999999997</v>
      </c>
      <c r="CL57" s="172">
        <v>9.5619999999999994</v>
      </c>
      <c r="CM57" s="172">
        <v>1.6</v>
      </c>
      <c r="CN57" s="172">
        <v>0.5</v>
      </c>
      <c r="CO57" s="172">
        <v>-2.59</v>
      </c>
      <c r="CP57" s="172">
        <v>46.555300000000003</v>
      </c>
      <c r="CQ57" s="172">
        <v>46.354500000000002</v>
      </c>
      <c r="CR57" s="172">
        <v>43.6387</v>
      </c>
      <c r="CS57" s="172">
        <v>77.694000000000003</v>
      </c>
      <c r="CT57" s="172">
        <v>77.728899999999996</v>
      </c>
      <c r="CU57" s="172">
        <v>-20.641999999999999</v>
      </c>
      <c r="CV57" s="172">
        <v>-9.2222000000000008</v>
      </c>
      <c r="CW57" s="172">
        <v>-15.236499999999999</v>
      </c>
      <c r="CX57" s="172">
        <v>4.5355999999999996</v>
      </c>
      <c r="CY57" s="172">
        <v>45.27</v>
      </c>
      <c r="CZ57" s="172">
        <v>19.09</v>
      </c>
      <c r="DA57" s="172">
        <v>16.098600000000001</v>
      </c>
      <c r="DB57" s="172">
        <v>14.8468</v>
      </c>
      <c r="DC57" s="172">
        <v>-6.4503000000000004</v>
      </c>
      <c r="DD57" s="172">
        <v>0</v>
      </c>
      <c r="DE57" s="172">
        <v>0</v>
      </c>
      <c r="DF57" s="172">
        <v>0</v>
      </c>
      <c r="DG57" s="172">
        <v>27.7651</v>
      </c>
      <c r="DH57" s="172">
        <v>0</v>
      </c>
      <c r="DI57" s="172">
        <v>0</v>
      </c>
      <c r="DJ57" s="172">
        <v>-12.6</v>
      </c>
      <c r="DK57" s="172">
        <v>-11.7</v>
      </c>
      <c r="DL57" s="172">
        <v>3.2684000000000002</v>
      </c>
      <c r="DM57" s="172">
        <v>20.399999999999999</v>
      </c>
      <c r="DN57" s="172">
        <v>19.420000000000002</v>
      </c>
      <c r="DO57" s="172">
        <v>25.58</v>
      </c>
      <c r="DP57" s="172">
        <v>14.02</v>
      </c>
      <c r="DQ57" s="172">
        <v>-1.1499999999999999</v>
      </c>
      <c r="DR57" s="172">
        <v>21.452000000000002</v>
      </c>
      <c r="DS57" s="172">
        <v>-5.4603000000000002</v>
      </c>
      <c r="DT57" s="172">
        <v>-0.62</v>
      </c>
      <c r="DU57" s="172">
        <v>-0.66</v>
      </c>
      <c r="DV57" s="172">
        <v>33.299999999999997</v>
      </c>
      <c r="DW57" s="172">
        <v>14.45</v>
      </c>
      <c r="DX57" s="172">
        <v>-5.9817999999999998</v>
      </c>
      <c r="DY57" s="172">
        <v>-3.2273000000000001</v>
      </c>
      <c r="DZ57" s="172">
        <v>0</v>
      </c>
      <c r="EA57" s="172">
        <v>-33.736400000000003</v>
      </c>
      <c r="EB57" s="172">
        <v>55.4527</v>
      </c>
      <c r="EC57" s="172">
        <v>23.095600000000001</v>
      </c>
      <c r="ED57" s="172">
        <v>11.059900000000001</v>
      </c>
      <c r="EE57" s="172">
        <v>11.6983</v>
      </c>
      <c r="EF57" s="172">
        <v>-4.0648</v>
      </c>
      <c r="EG57" s="172">
        <v>-12.4527</v>
      </c>
      <c r="EH57" s="172">
        <v>-11.279</v>
      </c>
      <c r="EI57" s="172">
        <v>28.474599999999999</v>
      </c>
      <c r="EJ57" s="172">
        <v>15.761799999999999</v>
      </c>
      <c r="EK57" s="172">
        <v>0</v>
      </c>
      <c r="EL57" s="172">
        <v>-4.3368000000000002</v>
      </c>
      <c r="EM57" s="172">
        <v>-4.1203000000000003</v>
      </c>
      <c r="EN57" s="172">
        <v>0</v>
      </c>
      <c r="EO57" s="172">
        <v>-1.9966999999999999</v>
      </c>
      <c r="EP57" s="172">
        <v>-2.2040000000000002</v>
      </c>
      <c r="EQ57" s="172">
        <v>28.175999999999998</v>
      </c>
      <c r="ER57" s="172">
        <v>-13.7698</v>
      </c>
      <c r="ES57" s="172">
        <v>-13.189</v>
      </c>
      <c r="ET57" s="172">
        <v>21.274799999999999</v>
      </c>
      <c r="EU57" s="172">
        <v>6.78</v>
      </c>
      <c r="EV57" s="172">
        <v>0</v>
      </c>
      <c r="EW57" s="172">
        <v>12.7</v>
      </c>
      <c r="EX57" s="172">
        <v>9.7197999999999993</v>
      </c>
      <c r="EY57" s="172">
        <v>3.4483000000000001</v>
      </c>
      <c r="EZ57" s="172">
        <v>-6.8133999999999997</v>
      </c>
      <c r="FA57" s="172">
        <v>-6.8090000000000002</v>
      </c>
      <c r="FB57" s="172">
        <v>9.7638999999999996</v>
      </c>
      <c r="FC57" s="172">
        <v>25.7455</v>
      </c>
      <c r="FD57" s="172">
        <v>-13.2158</v>
      </c>
      <c r="FE57" s="172">
        <v>8.4963999999999995</v>
      </c>
      <c r="FF57" s="172">
        <v>0.84140000000000004</v>
      </c>
      <c r="FG57" s="172">
        <v>0</v>
      </c>
      <c r="FH57" s="172">
        <v>5.1534000000000004</v>
      </c>
      <c r="FI57" s="172">
        <v>5.4188000000000001</v>
      </c>
      <c r="FJ57" s="172">
        <v>3.7179000000000002</v>
      </c>
      <c r="FK57" s="172">
        <v>15.406000000000001</v>
      </c>
      <c r="FL57" s="172">
        <v>15.406000000000001</v>
      </c>
      <c r="FM57" s="172">
        <v>-8.0379000000000005</v>
      </c>
      <c r="FN57" s="172">
        <v>24.360800000000001</v>
      </c>
      <c r="FO57" s="172">
        <v>31.043299999999999</v>
      </c>
      <c r="FP57" s="172">
        <v>2.2378</v>
      </c>
      <c r="FQ57" s="172">
        <v>16.093299999999999</v>
      </c>
      <c r="FR57" s="172">
        <v>24.4938</v>
      </c>
      <c r="FS57" s="172">
        <v>-10.83</v>
      </c>
      <c r="FT57" s="172">
        <v>0</v>
      </c>
      <c r="FU57" s="172">
        <v>0.29139999999999999</v>
      </c>
      <c r="FV57" s="172">
        <v>-0.22</v>
      </c>
      <c r="FW57" s="172">
        <v>1.51</v>
      </c>
      <c r="FX57" s="172">
        <v>-15.4993</v>
      </c>
      <c r="FY57" s="172">
        <v>1.931</v>
      </c>
      <c r="FZ57" s="172">
        <v>5.84</v>
      </c>
      <c r="GA57" s="172">
        <v>3.0630000000000002</v>
      </c>
      <c r="GB57" s="172">
        <v>3.4474</v>
      </c>
      <c r="GC57" s="172">
        <v>15.1</v>
      </c>
      <c r="GD57" s="172">
        <v>-14.485900000000001</v>
      </c>
      <c r="GE57" s="172">
        <v>-7.0911</v>
      </c>
      <c r="GF57" s="172">
        <v>-1.23</v>
      </c>
      <c r="GG57" s="172">
        <v>22.369700000000002</v>
      </c>
      <c r="GH57" s="172">
        <v>0</v>
      </c>
      <c r="GI57" s="172">
        <v>29.4771</v>
      </c>
      <c r="GJ57" s="172">
        <v>-1.3768</v>
      </c>
      <c r="GK57" s="172">
        <v>0</v>
      </c>
      <c r="GL57" s="172">
        <v>3.8170000000000002</v>
      </c>
      <c r="GM57" s="172">
        <v>0</v>
      </c>
      <c r="GN57" s="172">
        <v>0</v>
      </c>
      <c r="GO57" s="172">
        <v>-11.1303</v>
      </c>
      <c r="GP57" s="172">
        <v>87.845399999999998</v>
      </c>
      <c r="GQ57" s="172">
        <v>2.0451000000000001</v>
      </c>
      <c r="GR57" s="172">
        <v>-18.014399999999998</v>
      </c>
      <c r="GS57" s="172">
        <v>-5.93</v>
      </c>
      <c r="GT57" s="172">
        <v>-6.0819000000000001</v>
      </c>
      <c r="GU57" s="172">
        <v>136.351</v>
      </c>
      <c r="GV57" s="172">
        <v>-1.9737</v>
      </c>
      <c r="GW57" s="172">
        <v>-3.9542000000000002</v>
      </c>
      <c r="GX57" s="172">
        <v>10.390499999999999</v>
      </c>
      <c r="GY57" s="172">
        <v>4.2619999999999996</v>
      </c>
      <c r="GZ57" s="172">
        <v>8.2565000000000008</v>
      </c>
      <c r="HA57" s="172">
        <v>8.4977</v>
      </c>
      <c r="HB57" s="172">
        <v>3.5400999999999998</v>
      </c>
      <c r="HC57" s="172">
        <v>14.5595</v>
      </c>
      <c r="HD57" s="172">
        <v>15.4078</v>
      </c>
      <c r="HE57" s="172">
        <v>5.03</v>
      </c>
      <c r="HF57" s="172">
        <v>11.893000000000001</v>
      </c>
      <c r="HG57" s="172">
        <v>45.370100000000001</v>
      </c>
      <c r="HH57" s="172">
        <v>55.390900000000002</v>
      </c>
      <c r="HI57" s="172">
        <v>99.384399999999999</v>
      </c>
      <c r="HJ57" s="172">
        <v>8.1984999999999992</v>
      </c>
      <c r="HK57" s="172">
        <v>49.9938</v>
      </c>
      <c r="HL57" s="172">
        <v>0</v>
      </c>
      <c r="HM57" s="172">
        <v>0</v>
      </c>
      <c r="HN57" s="172">
        <v>0</v>
      </c>
      <c r="HO57" s="172">
        <v>0</v>
      </c>
      <c r="HP57" s="172">
        <v>42.427599999999998</v>
      </c>
      <c r="HQ57" s="172">
        <v>38.334899999999998</v>
      </c>
      <c r="HR57" s="172">
        <v>-15.539</v>
      </c>
      <c r="HS57" s="172">
        <v>-14.989699999999999</v>
      </c>
      <c r="HT57" s="172">
        <v>-4.8243999999999998</v>
      </c>
      <c r="HU57" s="172">
        <v>-4.7812999999999999</v>
      </c>
      <c r="HV57" s="172">
        <v>30.7</v>
      </c>
      <c r="HW57" s="172">
        <v>31.13</v>
      </c>
      <c r="HX57" s="172">
        <v>-27.6</v>
      </c>
      <c r="HY57" s="172">
        <v>-27.8</v>
      </c>
      <c r="HZ57" s="172">
        <v>0.98599999999999999</v>
      </c>
      <c r="IA57" s="172">
        <v>9.92</v>
      </c>
      <c r="IB57" s="172">
        <v>75.147300000000001</v>
      </c>
      <c r="IC57" s="172">
        <v>37.655999999999999</v>
      </c>
      <c r="ID57" s="172">
        <v>37.429200000000002</v>
      </c>
      <c r="IE57" s="172">
        <v>-14.4</v>
      </c>
      <c r="IF57" s="172">
        <v>-39.299999999999997</v>
      </c>
      <c r="IG57" s="172">
        <v>6</v>
      </c>
      <c r="IH57" s="172">
        <v>5.5</v>
      </c>
      <c r="II57" s="172">
        <v>-17.465299999999999</v>
      </c>
      <c r="IJ57" s="172">
        <v>-17.2746</v>
      </c>
      <c r="IK57" s="172">
        <v>-67.784000000000006</v>
      </c>
      <c r="IL57" s="172">
        <v>51.470399999999998</v>
      </c>
      <c r="IM57" s="172">
        <v>-240.0975</v>
      </c>
      <c r="IN57" s="172">
        <v>-19.1205</v>
      </c>
      <c r="IO57" s="172">
        <v>-22.693200000000001</v>
      </c>
      <c r="IP57" s="172">
        <v>147.90600000000001</v>
      </c>
      <c r="IQ57" s="172">
        <v>106.80370000000001</v>
      </c>
      <c r="IR57" s="172">
        <v>160.83459999999999</v>
      </c>
      <c r="IS57" s="172">
        <v>124.846</v>
      </c>
      <c r="IT57" s="172">
        <v>86.345600000000005</v>
      </c>
      <c r="IU57" s="172">
        <v>34.743899999999996</v>
      </c>
      <c r="IV57" s="172">
        <v>33.615200000000002</v>
      </c>
      <c r="IW57" s="172">
        <v>14.5589</v>
      </c>
      <c r="IX57" s="172">
        <v>269.11799999999999</v>
      </c>
      <c r="IY57" s="172">
        <v>-170.8074</v>
      </c>
      <c r="IZ57" s="172">
        <v>96.146799999999999</v>
      </c>
      <c r="JA57" s="172">
        <v>-28.0854</v>
      </c>
      <c r="JB57" s="172">
        <v>1.5954999999999999</v>
      </c>
      <c r="JC57" s="172">
        <v>10.823</v>
      </c>
      <c r="JD57" s="172">
        <v>-4.5599999999999996</v>
      </c>
      <c r="JE57" s="172">
        <v>-1.9370000000000001</v>
      </c>
      <c r="JF57" s="172">
        <v>-1.9330000000000001</v>
      </c>
      <c r="JG57" s="172">
        <v>5.6</v>
      </c>
      <c r="JH57" s="172">
        <v>-0.32</v>
      </c>
      <c r="JI57" s="172">
        <v>-0.91320000000000001</v>
      </c>
      <c r="JJ57" s="172">
        <v>-0.37990000000000002</v>
      </c>
      <c r="JK57" s="172">
        <v>10.8995</v>
      </c>
      <c r="JL57" s="172">
        <v>-3.2517</v>
      </c>
      <c r="JM57" s="172">
        <v>-0.3</v>
      </c>
      <c r="JN57" s="172">
        <v>9.7360000000000007</v>
      </c>
      <c r="JO57" s="172">
        <v>9.3889999999999993</v>
      </c>
      <c r="JP57" s="172">
        <v>1.8703000000000001</v>
      </c>
      <c r="JQ57" s="172">
        <v>2.0893000000000002</v>
      </c>
      <c r="JR57" s="172">
        <v>5.08</v>
      </c>
      <c r="JS57" s="172">
        <v>4.7953000000000001</v>
      </c>
      <c r="JT57" s="172">
        <v>4.7262000000000004</v>
      </c>
      <c r="JU57" s="172">
        <v>0</v>
      </c>
      <c r="JV57" s="172">
        <v>30.8</v>
      </c>
      <c r="JW57" s="172">
        <v>4.9450000000000003</v>
      </c>
      <c r="JX57" s="172">
        <v>1.66</v>
      </c>
      <c r="JY57" s="172">
        <v>0</v>
      </c>
      <c r="JZ57" s="172">
        <v>6.5362999999999998</v>
      </c>
      <c r="KA57" s="172">
        <v>-13.4697</v>
      </c>
      <c r="KB57" s="172">
        <v>-15.8574</v>
      </c>
      <c r="KC57" s="172">
        <v>8.8234999999999992</v>
      </c>
      <c r="KD57" s="172">
        <v>15.8697</v>
      </c>
      <c r="KE57" s="172">
        <v>-9.8405000000000005</v>
      </c>
      <c r="KF57" s="172">
        <v>5.7864000000000004</v>
      </c>
      <c r="KG57" s="172">
        <v>-18.5</v>
      </c>
      <c r="KH57" s="172">
        <v>6.9</v>
      </c>
      <c r="KI57" s="172">
        <v>70.823499999999996</v>
      </c>
      <c r="KJ57" s="172">
        <v>-61.207900000000002</v>
      </c>
    </row>
    <row r="58" spans="1:296" x14ac:dyDescent="0.3">
      <c r="A58" s="236" t="s">
        <v>868</v>
      </c>
      <c r="B58" s="236"/>
      <c r="C58" s="172">
        <v>0</v>
      </c>
      <c r="D58" s="172">
        <v>0</v>
      </c>
      <c r="E58" s="172">
        <v>-0.9325</v>
      </c>
      <c r="F58" s="172">
        <v>-12.384600000000001</v>
      </c>
      <c r="G58" s="172">
        <v>1.0423</v>
      </c>
      <c r="H58" s="172">
        <v>3.2450000000000001</v>
      </c>
      <c r="I58" s="172">
        <v>0</v>
      </c>
      <c r="J58" s="172">
        <v>6.2934999999999999</v>
      </c>
      <c r="K58" s="172">
        <v>0</v>
      </c>
      <c r="L58" s="172">
        <v>11.690899999999999</v>
      </c>
      <c r="M58" s="172">
        <v>4.5269000000000004</v>
      </c>
      <c r="N58" s="172">
        <v>5.9414999999999996</v>
      </c>
      <c r="O58" s="172">
        <v>-19.98</v>
      </c>
      <c r="P58" s="172">
        <v>-35.200000000000003</v>
      </c>
      <c r="Q58" s="172">
        <v>-4.4000000000000004</v>
      </c>
      <c r="R58" s="172">
        <v>-0.82799999999999996</v>
      </c>
      <c r="S58" s="172">
        <v>-24.2</v>
      </c>
      <c r="T58" s="172">
        <v>2.9043000000000001</v>
      </c>
      <c r="U58" s="172">
        <v>-15.291499999999999</v>
      </c>
      <c r="V58" s="172">
        <v>1.6359999999999999</v>
      </c>
      <c r="W58" s="172">
        <v>1.4533</v>
      </c>
      <c r="X58" s="172">
        <v>2.7934999999999999</v>
      </c>
      <c r="Y58" s="172">
        <v>0.33139999999999997</v>
      </c>
      <c r="Z58" s="172">
        <v>-1.3441000000000001</v>
      </c>
      <c r="AA58" s="172">
        <v>0.35770000000000002</v>
      </c>
      <c r="AB58" s="172">
        <v>0</v>
      </c>
      <c r="AC58" s="172">
        <v>-1.3334999999999999</v>
      </c>
      <c r="AD58" s="172">
        <v>-0.92</v>
      </c>
      <c r="AE58" s="172">
        <v>-0.90400000000000003</v>
      </c>
      <c r="AF58" s="172">
        <v>1.83</v>
      </c>
      <c r="AG58" s="172">
        <v>-26.64</v>
      </c>
      <c r="AH58" s="172">
        <v>-15.4</v>
      </c>
      <c r="AI58" s="172">
        <v>-1.883</v>
      </c>
      <c r="AJ58" s="172">
        <v>0.245</v>
      </c>
      <c r="AK58" s="172">
        <v>-13.17</v>
      </c>
      <c r="AL58" s="172">
        <v>-13.13</v>
      </c>
      <c r="AM58" s="172">
        <v>-10</v>
      </c>
      <c r="AN58" s="172">
        <v>-12.63</v>
      </c>
      <c r="AO58" s="172">
        <v>-12.69</v>
      </c>
      <c r="AP58" s="172">
        <v>0.24790000000000001</v>
      </c>
      <c r="AQ58" s="172">
        <v>3.2492000000000001</v>
      </c>
      <c r="AR58" s="172">
        <v>12.6066</v>
      </c>
      <c r="AS58" s="172">
        <v>14.666600000000001</v>
      </c>
      <c r="AT58" s="172">
        <v>-23.765899999999998</v>
      </c>
      <c r="AU58" s="172">
        <v>-12.2783</v>
      </c>
      <c r="AV58" s="172">
        <v>-12.247299999999999</v>
      </c>
      <c r="AW58" s="172">
        <v>0.88470000000000004</v>
      </c>
      <c r="AX58" s="172">
        <v>0.91010000000000002</v>
      </c>
      <c r="AY58" s="172">
        <v>-20.541799999999999</v>
      </c>
      <c r="AZ58" s="172">
        <v>-17.801500000000001</v>
      </c>
      <c r="BA58" s="172">
        <v>7.1506999999999996</v>
      </c>
      <c r="BB58" s="172">
        <v>7.4593999999999996</v>
      </c>
      <c r="BC58" s="172">
        <v>4.3201999999999998</v>
      </c>
      <c r="BD58" s="172">
        <v>2.1663999999999999</v>
      </c>
      <c r="BE58" s="172">
        <v>-7.3</v>
      </c>
      <c r="BF58" s="172">
        <v>-7.3</v>
      </c>
      <c r="BG58" s="172">
        <v>-28.412800000000001</v>
      </c>
      <c r="BH58" s="172">
        <v>-28.291</v>
      </c>
      <c r="BI58" s="172">
        <v>-4.0442</v>
      </c>
      <c r="BJ58" s="172">
        <v>0</v>
      </c>
      <c r="BK58" s="172">
        <v>-1.2017</v>
      </c>
      <c r="BL58" s="172">
        <v>1.7166999999999999</v>
      </c>
      <c r="BM58" s="172">
        <v>-0.39419999999999999</v>
      </c>
      <c r="BN58" s="172">
        <v>-0.16600000000000001</v>
      </c>
      <c r="BO58" s="172">
        <v>-156.07159999999999</v>
      </c>
      <c r="BP58" s="172">
        <v>5.5237999999999996</v>
      </c>
      <c r="BQ58" s="172">
        <v>5.3407</v>
      </c>
      <c r="BR58" s="172">
        <v>-92.808800000000005</v>
      </c>
      <c r="BS58" s="172">
        <v>-223.6814</v>
      </c>
      <c r="BT58" s="172">
        <v>0</v>
      </c>
      <c r="BU58" s="172">
        <v>0</v>
      </c>
      <c r="BV58" s="172">
        <v>0</v>
      </c>
      <c r="BW58" s="172">
        <v>7.6443000000000003</v>
      </c>
      <c r="BX58" s="172">
        <v>9.0299999999999994</v>
      </c>
      <c r="BY58" s="172">
        <v>0</v>
      </c>
      <c r="BZ58" s="172">
        <v>-15.94</v>
      </c>
      <c r="CA58" s="172">
        <v>0.22</v>
      </c>
      <c r="CB58" s="172">
        <v>-25.447700000000001</v>
      </c>
      <c r="CC58" s="172">
        <v>-25.313700000000001</v>
      </c>
      <c r="CD58" s="172">
        <v>20.289200000000001</v>
      </c>
      <c r="CE58" s="172">
        <v>19.259799999999998</v>
      </c>
      <c r="CF58" s="172">
        <v>-11.527699999999999</v>
      </c>
      <c r="CG58" s="172">
        <v>-25.0457</v>
      </c>
      <c r="CH58" s="172">
        <v>-24.899100000000001</v>
      </c>
      <c r="CI58" s="172">
        <v>-2.3304</v>
      </c>
      <c r="CJ58" s="172">
        <v>0</v>
      </c>
      <c r="CK58" s="172">
        <v>-1.5316000000000001</v>
      </c>
      <c r="CL58" s="172">
        <v>-2.883</v>
      </c>
      <c r="CM58" s="172">
        <v>-19.899999999999999</v>
      </c>
      <c r="CN58" s="172">
        <v>-19.2</v>
      </c>
      <c r="CO58" s="172">
        <v>-5.09</v>
      </c>
      <c r="CP58" s="172">
        <v>8.0864999999999991</v>
      </c>
      <c r="CQ58" s="172">
        <v>8.2979000000000003</v>
      </c>
      <c r="CR58" s="172">
        <v>7.1150000000000002</v>
      </c>
      <c r="CS58" s="172">
        <v>31.921800000000001</v>
      </c>
      <c r="CT58" s="172">
        <v>32.441800000000001</v>
      </c>
      <c r="CU58" s="172">
        <v>-33.444699999999997</v>
      </c>
      <c r="CV58" s="172">
        <v>-67.432299999999998</v>
      </c>
      <c r="CW58" s="172">
        <v>-30.370999999999999</v>
      </c>
      <c r="CX58" s="172">
        <v>2.7629000000000001</v>
      </c>
      <c r="CY58" s="172">
        <v>24.74</v>
      </c>
      <c r="CZ58" s="172">
        <v>8.8800000000000008</v>
      </c>
      <c r="DA58" s="172">
        <v>4.2236000000000002</v>
      </c>
      <c r="DB58" s="172">
        <v>3.3233999999999999</v>
      </c>
      <c r="DC58" s="172">
        <v>-14.021599999999999</v>
      </c>
      <c r="DD58" s="172">
        <v>0</v>
      </c>
      <c r="DE58" s="172">
        <v>0</v>
      </c>
      <c r="DF58" s="172">
        <v>0</v>
      </c>
      <c r="DG58" s="172">
        <v>4.0304000000000002</v>
      </c>
      <c r="DH58" s="172">
        <v>0</v>
      </c>
      <c r="DI58" s="172">
        <v>0</v>
      </c>
      <c r="DJ58" s="172">
        <v>-54.2</v>
      </c>
      <c r="DK58" s="172">
        <v>-53.3</v>
      </c>
      <c r="DL58" s="172">
        <v>-0.19289999999999999</v>
      </c>
      <c r="DM58" s="172">
        <v>-1.3</v>
      </c>
      <c r="DN58" s="172">
        <v>3.08</v>
      </c>
      <c r="DO58" s="172">
        <v>2.5</v>
      </c>
      <c r="DP58" s="172">
        <v>-2.86</v>
      </c>
      <c r="DQ58" s="172">
        <v>-4.8499999999999996</v>
      </c>
      <c r="DR58" s="172">
        <v>7.75</v>
      </c>
      <c r="DS58" s="172">
        <v>-27.276599999999998</v>
      </c>
      <c r="DT58" s="172">
        <v>-14.53</v>
      </c>
      <c r="DU58" s="172">
        <v>-14.77</v>
      </c>
      <c r="DV58" s="172">
        <v>11.99</v>
      </c>
      <c r="DW58" s="172">
        <v>-20.88</v>
      </c>
      <c r="DX58" s="172">
        <v>-28.545500000000001</v>
      </c>
      <c r="DY58" s="172">
        <v>-14.6091</v>
      </c>
      <c r="DZ58" s="172">
        <v>-43.0456</v>
      </c>
      <c r="EA58" s="172">
        <v>-46.263599999999997</v>
      </c>
      <c r="EB58" s="172">
        <v>10.8711</v>
      </c>
      <c r="EC58" s="172">
        <v>-26.910699999999999</v>
      </c>
      <c r="ED58" s="172">
        <v>-33.1569</v>
      </c>
      <c r="EE58" s="172">
        <v>-33.197800000000001</v>
      </c>
      <c r="EF58" s="172">
        <v>-28.758700000000001</v>
      </c>
      <c r="EG58" s="172">
        <v>-37.061799999999998</v>
      </c>
      <c r="EH58" s="172">
        <v>-14.832000000000001</v>
      </c>
      <c r="EI58" s="172">
        <v>-130.24629999999999</v>
      </c>
      <c r="EJ58" s="172">
        <v>-75.427400000000006</v>
      </c>
      <c r="EK58" s="172">
        <v>0</v>
      </c>
      <c r="EL58" s="172">
        <v>-15.149699999999999</v>
      </c>
      <c r="EM58" s="172">
        <v>-13.7935</v>
      </c>
      <c r="EN58" s="172">
        <v>0</v>
      </c>
      <c r="EO58" s="172">
        <v>-21.040700000000001</v>
      </c>
      <c r="EP58" s="172">
        <v>-21.0275</v>
      </c>
      <c r="EQ58" s="172">
        <v>-24.068000000000001</v>
      </c>
      <c r="ER58" s="172">
        <v>-23.5566</v>
      </c>
      <c r="ES58" s="172">
        <v>-23.5625</v>
      </c>
      <c r="ET58" s="172">
        <v>1.2126999999999999</v>
      </c>
      <c r="EU58" s="172">
        <v>-21.66</v>
      </c>
      <c r="EV58" s="172">
        <v>-15.07</v>
      </c>
      <c r="EW58" s="172">
        <v>-5.7</v>
      </c>
      <c r="EX58" s="172">
        <v>1.5797000000000001</v>
      </c>
      <c r="EY58" s="172">
        <v>-33.942399999999999</v>
      </c>
      <c r="EZ58" s="172">
        <v>-11.053100000000001</v>
      </c>
      <c r="FA58" s="172">
        <v>-10.8698</v>
      </c>
      <c r="FB58" s="172">
        <v>4.2925000000000004</v>
      </c>
      <c r="FC58" s="172">
        <v>1.2746</v>
      </c>
      <c r="FD58" s="172">
        <v>-36.2669</v>
      </c>
      <c r="FE58" s="172">
        <v>6.7896999999999998</v>
      </c>
      <c r="FF58" s="172">
        <v>-1.3875</v>
      </c>
      <c r="FG58" s="172">
        <v>0</v>
      </c>
      <c r="FH58" s="172">
        <v>0</v>
      </c>
      <c r="FI58" s="172">
        <v>0</v>
      </c>
      <c r="FJ58" s="172">
        <v>0</v>
      </c>
      <c r="FK58" s="172">
        <v>4.5213000000000001</v>
      </c>
      <c r="FL58" s="172">
        <v>4.5213000000000001</v>
      </c>
      <c r="FM58" s="172">
        <v>-25.9557</v>
      </c>
      <c r="FN58" s="172">
        <v>0</v>
      </c>
      <c r="FO58" s="172">
        <v>15.1198</v>
      </c>
      <c r="FP58" s="172">
        <v>-9.5494000000000003</v>
      </c>
      <c r="FQ58" s="172">
        <v>0</v>
      </c>
      <c r="FR58" s="172">
        <v>15.597200000000001</v>
      </c>
      <c r="FS58" s="172">
        <v>-18.73</v>
      </c>
      <c r="FT58" s="172">
        <v>0</v>
      </c>
      <c r="FU58" s="172">
        <v>0.1293</v>
      </c>
      <c r="FV58" s="172">
        <v>-0.34</v>
      </c>
      <c r="FW58" s="172">
        <v>-1.83</v>
      </c>
      <c r="FX58" s="172">
        <v>-24.506499999999999</v>
      </c>
      <c r="FY58" s="172">
        <v>0</v>
      </c>
      <c r="FZ58" s="172">
        <v>3.8879999999999999</v>
      </c>
      <c r="GA58" s="172">
        <v>-0.112</v>
      </c>
      <c r="GB58" s="172">
        <v>2.8894000000000002</v>
      </c>
      <c r="GC58" s="172">
        <v>8.57</v>
      </c>
      <c r="GD58" s="172">
        <v>-26.854600000000001</v>
      </c>
      <c r="GE58" s="172">
        <v>-18.364899999999999</v>
      </c>
      <c r="GF58" s="172">
        <v>-2.93</v>
      </c>
      <c r="GG58" s="172">
        <v>15.8119</v>
      </c>
      <c r="GH58" s="172">
        <v>0</v>
      </c>
      <c r="GI58" s="172">
        <v>14.5692</v>
      </c>
      <c r="GJ58" s="172">
        <v>-10.246700000000001</v>
      </c>
      <c r="GK58" s="172">
        <v>-10.914099999999999</v>
      </c>
      <c r="GL58" s="172">
        <v>1.6552</v>
      </c>
      <c r="GM58" s="172">
        <v>0</v>
      </c>
      <c r="GN58" s="172">
        <v>0</v>
      </c>
      <c r="GO58" s="172">
        <v>-13.5288</v>
      </c>
      <c r="GP58" s="172">
        <v>54.780099999999997</v>
      </c>
      <c r="GQ58" s="172">
        <v>-0.95520000000000005</v>
      </c>
      <c r="GR58" s="172">
        <v>-25.0487</v>
      </c>
      <c r="GS58" s="172">
        <v>-7.7656000000000001</v>
      </c>
      <c r="GT58" s="172">
        <v>-7.8175999999999997</v>
      </c>
      <c r="GU58" s="172">
        <v>97.346299999999999</v>
      </c>
      <c r="GV58" s="172">
        <v>-11.215400000000001</v>
      </c>
      <c r="GW58" s="172">
        <v>-10.679500000000001</v>
      </c>
      <c r="GX58" s="172">
        <v>-16.424299999999999</v>
      </c>
      <c r="GY58" s="172">
        <v>0.67600000000000005</v>
      </c>
      <c r="GZ58" s="172">
        <v>4.7765000000000004</v>
      </c>
      <c r="HA58" s="172">
        <v>4.8105000000000002</v>
      </c>
      <c r="HB58" s="172">
        <v>0</v>
      </c>
      <c r="HC58" s="172">
        <v>-23.222100000000001</v>
      </c>
      <c r="HD58" s="172">
        <v>-21.991599999999998</v>
      </c>
      <c r="HE58" s="172">
        <v>-12.15</v>
      </c>
      <c r="HF58" s="172">
        <v>0</v>
      </c>
      <c r="HG58" s="172">
        <v>10.3384</v>
      </c>
      <c r="HH58" s="172">
        <v>11.865</v>
      </c>
      <c r="HI58" s="172">
        <v>39.4298</v>
      </c>
      <c r="HJ58" s="172">
        <v>-49.998100000000001</v>
      </c>
      <c r="HK58" s="172">
        <v>-5.8703000000000003</v>
      </c>
      <c r="HL58" s="172">
        <v>-12.1562</v>
      </c>
      <c r="HM58" s="172">
        <v>-13.6347</v>
      </c>
      <c r="HN58" s="172">
        <v>-13.1593</v>
      </c>
      <c r="HO58" s="172">
        <v>-14.6492</v>
      </c>
      <c r="HP58" s="172">
        <v>2.2850000000000001</v>
      </c>
      <c r="HQ58" s="172">
        <v>3.6943000000000001</v>
      </c>
      <c r="HR58" s="172">
        <v>-22.3507</v>
      </c>
      <c r="HS58" s="172">
        <v>-21.7684</v>
      </c>
      <c r="HT58" s="172">
        <v>-22.199000000000002</v>
      </c>
      <c r="HU58" s="172">
        <v>-21.787600000000001</v>
      </c>
      <c r="HV58" s="172">
        <v>2.2400000000000002</v>
      </c>
      <c r="HW58" s="172">
        <v>2.37</v>
      </c>
      <c r="HX58" s="172">
        <v>-37.4</v>
      </c>
      <c r="HY58" s="172">
        <v>-37.4</v>
      </c>
      <c r="HZ58" s="172">
        <v>-5.2200000000000003E-2</v>
      </c>
      <c r="IA58" s="172">
        <v>-9.68</v>
      </c>
      <c r="IB58" s="172">
        <v>43.012500000000003</v>
      </c>
      <c r="IC58" s="172">
        <v>8.8285</v>
      </c>
      <c r="ID58" s="172">
        <v>8.7545999999999999</v>
      </c>
      <c r="IE58" s="172">
        <v>-20.399999999999999</v>
      </c>
      <c r="IF58" s="172">
        <v>-45.2</v>
      </c>
      <c r="IG58" s="172">
        <v>-1.1000000000000001</v>
      </c>
      <c r="IH58" s="172">
        <v>-1.7</v>
      </c>
      <c r="II58" s="172">
        <v>-18.200099999999999</v>
      </c>
      <c r="IJ58" s="172">
        <v>-18.331800000000001</v>
      </c>
      <c r="IK58" s="172">
        <v>-151.3939</v>
      </c>
      <c r="IL58" s="172">
        <v>9.6930999999999994</v>
      </c>
      <c r="IM58" s="172">
        <v>-298.5462</v>
      </c>
      <c r="IN58" s="172">
        <v>-37.505899999999997</v>
      </c>
      <c r="IO58" s="172">
        <v>-40.337000000000003</v>
      </c>
      <c r="IP58" s="172">
        <v>64.125200000000007</v>
      </c>
      <c r="IQ58" s="172">
        <v>18.063700000000001</v>
      </c>
      <c r="IR58" s="172">
        <v>0</v>
      </c>
      <c r="IS58" s="172">
        <v>60.103000000000002</v>
      </c>
      <c r="IT58" s="172">
        <v>-15.2186</v>
      </c>
      <c r="IU58" s="172">
        <v>9.5249000000000006</v>
      </c>
      <c r="IV58" s="172">
        <v>8.9651999999999994</v>
      </c>
      <c r="IW58" s="172">
        <v>-50.615000000000002</v>
      </c>
      <c r="IX58" s="172">
        <v>120.3111</v>
      </c>
      <c r="IY58" s="172">
        <v>-226.00049999999999</v>
      </c>
      <c r="IZ58" s="172">
        <v>35.692399999999999</v>
      </c>
      <c r="JA58" s="172">
        <v>-89.216099999999997</v>
      </c>
      <c r="JB58" s="172">
        <v>-3.0701000000000001</v>
      </c>
      <c r="JC58" s="172">
        <v>-2.9209999999999998</v>
      </c>
      <c r="JD58" s="172">
        <v>-10.4</v>
      </c>
      <c r="JE58" s="172">
        <v>-2.3570000000000002</v>
      </c>
      <c r="JF58" s="172">
        <v>-2.3519999999999999</v>
      </c>
      <c r="JG58" s="172">
        <v>0.16</v>
      </c>
      <c r="JH58" s="172">
        <v>-6.08</v>
      </c>
      <c r="JI58" s="172">
        <v>-3.6903000000000001</v>
      </c>
      <c r="JJ58" s="172">
        <v>-5.5955000000000004</v>
      </c>
      <c r="JK58" s="172">
        <v>5.0400999999999998</v>
      </c>
      <c r="JL58" s="172">
        <v>-9.7551000000000005</v>
      </c>
      <c r="JM58" s="172">
        <v>-7.6</v>
      </c>
      <c r="JN58" s="172">
        <v>-3.1179999999999999</v>
      </c>
      <c r="JO58" s="172">
        <v>-3.2639999999999998</v>
      </c>
      <c r="JP58" s="172">
        <v>0</v>
      </c>
      <c r="JQ58" s="172">
        <v>0</v>
      </c>
      <c r="JR58" s="172">
        <v>3.1065</v>
      </c>
      <c r="JS58" s="172">
        <v>2.7269999999999999</v>
      </c>
      <c r="JT58" s="172">
        <v>2.6381000000000001</v>
      </c>
      <c r="JU58" s="172">
        <v>0</v>
      </c>
      <c r="JV58" s="172">
        <v>23.2</v>
      </c>
      <c r="JW58" s="172">
        <v>-4.0888999999999998</v>
      </c>
      <c r="JX58" s="172">
        <v>-0.13</v>
      </c>
      <c r="JY58" s="172">
        <v>0</v>
      </c>
      <c r="JZ58" s="172">
        <v>-8.1631</v>
      </c>
      <c r="KA58" s="172">
        <v>-20.147200000000002</v>
      </c>
      <c r="KB58" s="172">
        <v>-26.074000000000002</v>
      </c>
      <c r="KC58" s="172">
        <v>-6.5942999999999996</v>
      </c>
      <c r="KD58" s="172">
        <v>9.2446999999999999</v>
      </c>
      <c r="KE58" s="172">
        <v>-21.499400000000001</v>
      </c>
      <c r="KF58" s="172">
        <v>-1.9792000000000001</v>
      </c>
      <c r="KG58" s="172">
        <v>-25.2</v>
      </c>
      <c r="KH58" s="172">
        <v>0.4</v>
      </c>
      <c r="KI58" s="172">
        <v>11.130800000000001</v>
      </c>
      <c r="KJ58" s="172">
        <v>-137.01320000000001</v>
      </c>
    </row>
    <row r="59" spans="1:296" x14ac:dyDescent="0.3">
      <c r="A59" s="236" t="s">
        <v>869</v>
      </c>
      <c r="B59" s="236"/>
      <c r="C59" s="172">
        <v>0</v>
      </c>
      <c r="D59" s="172">
        <v>0</v>
      </c>
      <c r="E59" s="172">
        <v>2.8778145833333335</v>
      </c>
      <c r="F59" s="172">
        <v>-8.5480187500000007</v>
      </c>
      <c r="G59" s="172">
        <v>4.4618104166666663</v>
      </c>
      <c r="H59" s="172">
        <v>9.6423812499999997</v>
      </c>
      <c r="I59" s="172">
        <v>0</v>
      </c>
      <c r="J59" s="172">
        <v>12.072902083333334</v>
      </c>
      <c r="K59" s="172">
        <v>0</v>
      </c>
      <c r="L59" s="172">
        <v>17.193922916666665</v>
      </c>
      <c r="M59" s="172">
        <v>7.2827999999999999</v>
      </c>
      <c r="N59" s="172">
        <v>8.6472291666666674</v>
      </c>
      <c r="O59" s="172">
        <v>-8.9282608695652161</v>
      </c>
      <c r="P59" s="172">
        <v>-26.6</v>
      </c>
      <c r="Q59" s="172">
        <v>4.2114285714285717</v>
      </c>
      <c r="R59" s="172">
        <v>2.3805000000000001</v>
      </c>
      <c r="S59" s="172">
        <v>-17.760975609756098</v>
      </c>
      <c r="T59" s="172">
        <v>3.9827166666666671</v>
      </c>
      <c r="U59" s="172">
        <v>-11.842133333333333</v>
      </c>
      <c r="V59" s="172">
        <v>4.4850176470588234</v>
      </c>
      <c r="W59" s="172">
        <v>5.9453687500000001</v>
      </c>
      <c r="X59" s="172">
        <v>10.416520833333333</v>
      </c>
      <c r="Y59" s="172">
        <v>1.7746437500000001</v>
      </c>
      <c r="Z59" s="172">
        <v>-0.31963333333333332</v>
      </c>
      <c r="AA59" s="172">
        <v>1.1246145833333334</v>
      </c>
      <c r="AB59" s="172">
        <v>0</v>
      </c>
      <c r="AC59" s="172">
        <v>-0.94373125000000002</v>
      </c>
      <c r="AD59" s="172">
        <v>-0.47912500000000002</v>
      </c>
      <c r="AE59" s="172">
        <v>-0.45600000000000002</v>
      </c>
      <c r="AF59" s="172">
        <v>2.648541666666667</v>
      </c>
      <c r="AG59" s="172">
        <v>-11.593333333333334</v>
      </c>
      <c r="AH59" s="172">
        <v>-5.3428571428571434</v>
      </c>
      <c r="AI59" s="172">
        <v>-0.56085416666666665</v>
      </c>
      <c r="AJ59" s="172">
        <v>0.28533333333333333</v>
      </c>
      <c r="AK59" s="172">
        <v>-10.375833333333333</v>
      </c>
      <c r="AL59" s="172">
        <v>-10.113333333333333</v>
      </c>
      <c r="AM59" s="172">
        <v>-10</v>
      </c>
      <c r="AN59" s="172">
        <v>-9.3331250000000008</v>
      </c>
      <c r="AO59" s="172">
        <v>-9.3564583333333324</v>
      </c>
      <c r="AP59" s="172">
        <v>5.4488156249999999</v>
      </c>
      <c r="AQ59" s="172">
        <v>3.6502625000000002</v>
      </c>
      <c r="AR59" s="172">
        <v>19.018320833333334</v>
      </c>
      <c r="AS59" s="172">
        <v>22.321108333333335</v>
      </c>
      <c r="AT59" s="172">
        <v>-15.037772916666666</v>
      </c>
      <c r="AU59" s="172">
        <v>-6.8641333333333341</v>
      </c>
      <c r="AV59" s="172">
        <v>-6.5752499999999996</v>
      </c>
      <c r="AW59" s="172">
        <v>9.2620770833333328</v>
      </c>
      <c r="AX59" s="172">
        <v>9.5595499999999998</v>
      </c>
      <c r="AY59" s="172">
        <v>-15.913456249999999</v>
      </c>
      <c r="AZ59" s="172">
        <v>-13.3963625</v>
      </c>
      <c r="BA59" s="172">
        <v>16.770283333333332</v>
      </c>
      <c r="BB59" s="172">
        <v>19.37151875</v>
      </c>
      <c r="BC59" s="172">
        <v>68.992314583333339</v>
      </c>
      <c r="BD59" s="172">
        <v>11.789770833333334</v>
      </c>
      <c r="BE59" s="172">
        <v>-4.9958333333333327</v>
      </c>
      <c r="BF59" s="172">
        <v>-5.0062499999999996</v>
      </c>
      <c r="BG59" s="172">
        <v>-24.397727083333333</v>
      </c>
      <c r="BH59" s="172">
        <v>-24.3233</v>
      </c>
      <c r="BI59" s="172">
        <v>-2.4315229166666668</v>
      </c>
      <c r="BJ59" s="172">
        <v>0</v>
      </c>
      <c r="BK59" s="172">
        <v>6.0609458333333333</v>
      </c>
      <c r="BL59" s="172">
        <v>5.6876708333333337</v>
      </c>
      <c r="BM59" s="172">
        <v>0.77186999999999995</v>
      </c>
      <c r="BN59" s="172">
        <v>0.46817291666666672</v>
      </c>
      <c r="BO59" s="172">
        <v>-115.75539999999999</v>
      </c>
      <c r="BP59" s="172">
        <v>76.23902291666667</v>
      </c>
      <c r="BQ59" s="172">
        <v>76.3293125</v>
      </c>
      <c r="BR59" s="172">
        <v>-18.434574999999999</v>
      </c>
      <c r="BS59" s="172">
        <v>-109.97080208333333</v>
      </c>
      <c r="BT59" s="172">
        <v>0</v>
      </c>
      <c r="BU59" s="172">
        <v>0</v>
      </c>
      <c r="BV59" s="172">
        <v>0</v>
      </c>
      <c r="BW59" s="172">
        <v>27.168557777777774</v>
      </c>
      <c r="BX59" s="172">
        <v>13.55625</v>
      </c>
      <c r="BY59" s="172">
        <v>7.1531250000000002</v>
      </c>
      <c r="BZ59" s="172">
        <v>-8.8587500000000006</v>
      </c>
      <c r="CA59" s="172">
        <v>6.4358333333333331</v>
      </c>
      <c r="CB59" s="172">
        <v>-21.107995833333334</v>
      </c>
      <c r="CC59" s="172">
        <v>-20.97404375</v>
      </c>
      <c r="CD59" s="172">
        <v>30.606872916666667</v>
      </c>
      <c r="CE59" s="172">
        <v>29.087687500000001</v>
      </c>
      <c r="CF59" s="172">
        <v>-5.3681104166666662</v>
      </c>
      <c r="CG59" s="172">
        <v>5.9191083333333339</v>
      </c>
      <c r="CH59" s="172">
        <v>5.838247916666667</v>
      </c>
      <c r="CI59" s="172">
        <v>5.8919208333333337</v>
      </c>
      <c r="CJ59" s="172">
        <v>0</v>
      </c>
      <c r="CK59" s="172">
        <v>3.0332227272727277</v>
      </c>
      <c r="CL59" s="172">
        <v>6.5744130434782608</v>
      </c>
      <c r="CM59" s="172">
        <v>-8.7687500000000007</v>
      </c>
      <c r="CN59" s="172">
        <v>-9.1187500000000004</v>
      </c>
      <c r="CO59" s="172">
        <v>-3.8435416666666669</v>
      </c>
      <c r="CP59" s="172">
        <v>28.453766666666667</v>
      </c>
      <c r="CQ59" s="172">
        <v>28.584624999999999</v>
      </c>
      <c r="CR59" s="172">
        <v>26.697739583333334</v>
      </c>
      <c r="CS59" s="172">
        <v>55.014079166666669</v>
      </c>
      <c r="CT59" s="172">
        <v>55.28341666666666</v>
      </c>
      <c r="CU59" s="172">
        <v>-27.209579166666664</v>
      </c>
      <c r="CV59" s="172">
        <v>-41.835697916666668</v>
      </c>
      <c r="CW59" s="172">
        <v>-23.270095833333333</v>
      </c>
      <c r="CX59" s="172">
        <v>3.6144604166666667</v>
      </c>
      <c r="CY59" s="172">
        <v>35.733125000000001</v>
      </c>
      <c r="CZ59" s="172">
        <v>14.221666666666666</v>
      </c>
      <c r="DA59" s="172">
        <v>10.428052083333334</v>
      </c>
      <c r="DB59" s="172">
        <v>9.3597437499999998</v>
      </c>
      <c r="DC59" s="172">
        <v>-10.332185416666666</v>
      </c>
      <c r="DD59" s="172">
        <v>0</v>
      </c>
      <c r="DE59" s="172">
        <v>0</v>
      </c>
      <c r="DF59" s="172">
        <v>0</v>
      </c>
      <c r="DG59" s="172">
        <v>17.701797916666667</v>
      </c>
      <c r="DH59" s="172">
        <v>0</v>
      </c>
      <c r="DI59" s="172">
        <v>0</v>
      </c>
      <c r="DJ59" s="172">
        <v>-40.310810810810814</v>
      </c>
      <c r="DK59" s="172">
        <v>-39.413513513513507</v>
      </c>
      <c r="DL59" s="172">
        <v>1.3330562500000001</v>
      </c>
      <c r="DM59" s="172">
        <v>9.9229166666666675</v>
      </c>
      <c r="DN59" s="172">
        <v>12.57</v>
      </c>
      <c r="DO59" s="172">
        <v>14.312916666666666</v>
      </c>
      <c r="DP59" s="172">
        <v>5.7445833333333338</v>
      </c>
      <c r="DQ59" s="172">
        <v>-3.2402083333333334</v>
      </c>
      <c r="DR59" s="172">
        <v>14.2231875</v>
      </c>
      <c r="DS59" s="172">
        <v>-18.585872916666666</v>
      </c>
      <c r="DT59" s="172">
        <v>-8.7445833333333329</v>
      </c>
      <c r="DU59" s="172">
        <v>-8.8397916666666667</v>
      </c>
      <c r="DV59" s="172">
        <v>25.367083333333333</v>
      </c>
      <c r="DW59" s="172">
        <v>-3.7079166666666667</v>
      </c>
      <c r="DX59" s="172">
        <v>-19.501518749999999</v>
      </c>
      <c r="DY59" s="172">
        <v>-9.8378791666666672</v>
      </c>
      <c r="DZ59" s="172">
        <v>-37.836603125000003</v>
      </c>
      <c r="EA59" s="172">
        <v>-39.811549999999997</v>
      </c>
      <c r="EB59" s="172">
        <v>33.915369444444444</v>
      </c>
      <c r="EC59" s="172">
        <v>-2.8964354166666668</v>
      </c>
      <c r="ED59" s="172">
        <v>-11.710314583333332</v>
      </c>
      <c r="EE59" s="172">
        <v>-11.514581250000001</v>
      </c>
      <c r="EF59" s="172">
        <v>-18.702389583333332</v>
      </c>
      <c r="EG59" s="172">
        <v>-25.881383333333332</v>
      </c>
      <c r="EH59" s="172">
        <v>-13.410625</v>
      </c>
      <c r="EI59" s="172">
        <v>-52.0914</v>
      </c>
      <c r="EJ59" s="172">
        <v>-33.312879166666669</v>
      </c>
      <c r="EK59" s="172">
        <v>0</v>
      </c>
      <c r="EL59" s="172">
        <v>-9.6963749999999997</v>
      </c>
      <c r="EM59" s="172">
        <v>-9.2785875000000004</v>
      </c>
      <c r="EN59" s="172">
        <v>0</v>
      </c>
      <c r="EO59" s="172">
        <v>-12.216885416666667</v>
      </c>
      <c r="EP59" s="172">
        <v>-11.931437499999999</v>
      </c>
      <c r="EQ59" s="172">
        <v>-1.9159999999999999</v>
      </c>
      <c r="ER59" s="172">
        <v>-17.625391666666665</v>
      </c>
      <c r="ES59" s="172">
        <v>-17.329433333333334</v>
      </c>
      <c r="ET59" s="172">
        <v>13.647650000000001</v>
      </c>
      <c r="EU59" s="172">
        <v>2.9250000000000002E-2</v>
      </c>
      <c r="EV59" s="172">
        <v>-6.2868085106382976</v>
      </c>
      <c r="EW59" s="172">
        <v>0.52954545454545454</v>
      </c>
      <c r="EX59" s="172">
        <v>5.8812562499999999</v>
      </c>
      <c r="EY59" s="172">
        <v>-17.86825</v>
      </c>
      <c r="EZ59" s="172">
        <v>-9.2642375000000001</v>
      </c>
      <c r="FA59" s="172">
        <v>-9.281989583333333</v>
      </c>
      <c r="FB59" s="172">
        <v>7.3370708333333337</v>
      </c>
      <c r="FC59" s="172">
        <v>13.843183333333332</v>
      </c>
      <c r="FD59" s="172">
        <v>-26.7877875</v>
      </c>
      <c r="FE59" s="172">
        <v>7.5577458333333336</v>
      </c>
      <c r="FF59" s="172">
        <v>0.10442083333333334</v>
      </c>
      <c r="FG59" s="172">
        <v>0</v>
      </c>
      <c r="FH59" s="172">
        <v>1.704984090909091</v>
      </c>
      <c r="FI59" s="172">
        <v>1.76475</v>
      </c>
      <c r="FJ59" s="172">
        <v>1.6353516129032259</v>
      </c>
      <c r="FK59" s="172">
        <v>9.9427208333333326</v>
      </c>
      <c r="FL59" s="172">
        <v>9.7473541666666659</v>
      </c>
      <c r="FM59" s="172">
        <v>-16.208375</v>
      </c>
      <c r="FN59" s="172">
        <v>19.099025000000001</v>
      </c>
      <c r="FO59" s="172">
        <v>23.03889375</v>
      </c>
      <c r="FP59" s="172">
        <v>-3.1739916666666668</v>
      </c>
      <c r="FQ59" s="172">
        <v>8.3491027777777784</v>
      </c>
      <c r="FR59" s="172">
        <v>20.792960416666666</v>
      </c>
      <c r="FS59" s="172">
        <v>-14.997083333333332</v>
      </c>
      <c r="FT59" s="172">
        <v>0</v>
      </c>
      <c r="FU59" s="172">
        <v>0.19458333333333333</v>
      </c>
      <c r="FV59" s="172">
        <v>-0.28458333333333335</v>
      </c>
      <c r="FW59" s="172">
        <v>7.3541666666666672E-2</v>
      </c>
      <c r="FX59" s="172">
        <v>-20.833004166666669</v>
      </c>
      <c r="FY59" s="172">
        <v>0.96550000000000002</v>
      </c>
      <c r="FZ59" s="172">
        <v>4.6461458333333328</v>
      </c>
      <c r="GA59" s="172">
        <v>0.99108333333333332</v>
      </c>
      <c r="GB59" s="172">
        <v>3.1552250000000002</v>
      </c>
      <c r="GC59" s="172">
        <v>11.904375</v>
      </c>
      <c r="GD59" s="172">
        <v>-21.609877083333334</v>
      </c>
      <c r="GE59" s="172">
        <v>-13.494404166666666</v>
      </c>
      <c r="GF59" s="172">
        <v>-1.896521739130435</v>
      </c>
      <c r="GG59" s="172">
        <v>19.816275000000001</v>
      </c>
      <c r="GH59" s="172">
        <v>0</v>
      </c>
      <c r="GI59" s="172">
        <v>23.101400000000002</v>
      </c>
      <c r="GJ59" s="172">
        <v>-5.8458541666666664</v>
      </c>
      <c r="GK59" s="172">
        <v>-6.3320333333333334</v>
      </c>
      <c r="GL59" s="172">
        <v>2.6476083333333333</v>
      </c>
      <c r="GM59" s="172">
        <v>0</v>
      </c>
      <c r="GN59" s="172">
        <v>0</v>
      </c>
      <c r="GO59" s="172">
        <v>-12.436954999999999</v>
      </c>
      <c r="GP59" s="172">
        <v>71.687037500000002</v>
      </c>
      <c r="GQ59" s="172">
        <v>0.58033333333333337</v>
      </c>
      <c r="GR59" s="172">
        <v>-22.157599999999999</v>
      </c>
      <c r="GS59" s="172">
        <v>-6.9567145833333335</v>
      </c>
      <c r="GT59" s="172">
        <v>-6.9380875</v>
      </c>
      <c r="GU59" s="172">
        <v>111.299525</v>
      </c>
      <c r="GV59" s="172">
        <v>-5.4101291666666667</v>
      </c>
      <c r="GW59" s="172">
        <v>-7.959985416666667</v>
      </c>
      <c r="GX59" s="172">
        <v>-4.3788187499999998</v>
      </c>
      <c r="GY59" s="172">
        <v>2.8263500000000001</v>
      </c>
      <c r="GZ59" s="172">
        <v>6.5906958333333341</v>
      </c>
      <c r="HA59" s="172">
        <v>6.70818125</v>
      </c>
      <c r="HB59" s="172">
        <v>2.1536958333333334</v>
      </c>
      <c r="HC59" s="172">
        <v>-1.8637895833333333</v>
      </c>
      <c r="HD59" s="172">
        <v>-0.45302291666666666</v>
      </c>
      <c r="HE59" s="172">
        <v>-4.4262499999999996</v>
      </c>
      <c r="HF59" s="172">
        <v>3.6014434782608697</v>
      </c>
      <c r="HG59" s="172">
        <v>27.716739583333332</v>
      </c>
      <c r="HH59" s="172">
        <v>31.504393749999998</v>
      </c>
      <c r="HI59" s="172">
        <v>72.232587499999994</v>
      </c>
      <c r="HJ59" s="172">
        <v>-11.63288</v>
      </c>
      <c r="HK59" s="172">
        <v>27.692022727272725</v>
      </c>
      <c r="HL59" s="172">
        <v>-5.2600533333333335</v>
      </c>
      <c r="HM59" s="172">
        <v>-6.9021125000000003</v>
      </c>
      <c r="HN59" s="172">
        <v>-4.459695833333333</v>
      </c>
      <c r="HO59" s="172">
        <v>-6.2983208333333334</v>
      </c>
      <c r="HP59" s="172">
        <v>22.881630769230767</v>
      </c>
      <c r="HQ59" s="172">
        <v>23.388333333333332</v>
      </c>
      <c r="HR59" s="172">
        <v>-18.902037499999999</v>
      </c>
      <c r="HS59" s="172">
        <v>-18.367247916666667</v>
      </c>
      <c r="HT59" s="172">
        <v>-13.988572916666666</v>
      </c>
      <c r="HU59" s="172">
        <v>-13.858012499999999</v>
      </c>
      <c r="HV59" s="172">
        <v>16.067708333333332</v>
      </c>
      <c r="HW59" s="172">
        <v>16.322083333333332</v>
      </c>
      <c r="HX59" s="172">
        <v>-30.431249999999999</v>
      </c>
      <c r="HY59" s="172">
        <v>-30.566666666666666</v>
      </c>
      <c r="HZ59" s="172">
        <v>0.17822083333333336</v>
      </c>
      <c r="IA59" s="172">
        <v>-1.5766666666666667</v>
      </c>
      <c r="IB59" s="172">
        <v>60.338427083333329</v>
      </c>
      <c r="IC59" s="172">
        <v>21.505741666666665</v>
      </c>
      <c r="ID59" s="172">
        <v>21.34739722222222</v>
      </c>
      <c r="IE59" s="172">
        <v>-17.437777777777779</v>
      </c>
      <c r="IF59" s="172">
        <v>-42.2</v>
      </c>
      <c r="IG59" s="172">
        <v>2.9583333333333335</v>
      </c>
      <c r="IH59" s="172">
        <v>2.3979166666666667</v>
      </c>
      <c r="II59" s="172">
        <v>-17.954237500000001</v>
      </c>
      <c r="IJ59" s="172">
        <v>-17.887073913043476</v>
      </c>
      <c r="IK59" s="172">
        <v>-105.27331458333332</v>
      </c>
      <c r="IL59" s="172">
        <v>28.060779166666663</v>
      </c>
      <c r="IM59" s="172">
        <v>-272.93693541666664</v>
      </c>
      <c r="IN59" s="172">
        <v>-28.413731250000001</v>
      </c>
      <c r="IO59" s="172">
        <v>-30.777233333333335</v>
      </c>
      <c r="IP59" s="172">
        <v>106.05082916666666</v>
      </c>
      <c r="IQ59" s="172">
        <v>60.818604166666667</v>
      </c>
      <c r="IR59" s="172">
        <v>134.71947499999999</v>
      </c>
      <c r="IS59" s="172">
        <v>90.740102083333326</v>
      </c>
      <c r="IT59" s="172">
        <v>37.429397916666666</v>
      </c>
      <c r="IU59" s="172">
        <v>22.867927083333335</v>
      </c>
      <c r="IV59" s="172">
        <v>21.913195833333329</v>
      </c>
      <c r="IW59" s="172">
        <v>-29.037400000000002</v>
      </c>
      <c r="IX59" s="172">
        <v>201.69015625</v>
      </c>
      <c r="IY59" s="172">
        <v>-195.06872916666666</v>
      </c>
      <c r="IZ59" s="172">
        <v>67.578687500000001</v>
      </c>
      <c r="JA59" s="172">
        <v>-58.735662499999997</v>
      </c>
      <c r="JB59" s="172">
        <v>-0.85379166666666673</v>
      </c>
      <c r="JC59" s="172">
        <v>5.9473750000000001</v>
      </c>
      <c r="JD59" s="172">
        <v>-7.4683333333333337</v>
      </c>
      <c r="JE59" s="172">
        <v>-2.1391702127659578</v>
      </c>
      <c r="JF59" s="172">
        <v>-2.1484583333333336</v>
      </c>
      <c r="JG59" s="172">
        <v>2.7733333333333334</v>
      </c>
      <c r="JH59" s="172">
        <v>-2.061666666666667</v>
      </c>
      <c r="JI59" s="172">
        <v>-2.2665333333333333</v>
      </c>
      <c r="JJ59" s="172">
        <v>-3.8623729166666672</v>
      </c>
      <c r="JK59" s="172">
        <v>8.4502583333333341</v>
      </c>
      <c r="JL59" s="172">
        <v>-6.7112333333333334</v>
      </c>
      <c r="JM59" s="172">
        <v>-2.0833333333333335</v>
      </c>
      <c r="JN59" s="172">
        <v>6.8070624999999998</v>
      </c>
      <c r="JO59" s="172">
        <v>6.7290638297872336</v>
      </c>
      <c r="JP59" s="172">
        <v>1.465225</v>
      </c>
      <c r="JQ59" s="172">
        <v>1.4799500000000001</v>
      </c>
      <c r="JR59" s="172">
        <v>3.9747666666666666</v>
      </c>
      <c r="JS59" s="172">
        <v>3.7750354166666669</v>
      </c>
      <c r="JT59" s="172">
        <v>3.6196479166666671</v>
      </c>
      <c r="JU59" s="172">
        <v>0</v>
      </c>
      <c r="JV59" s="172">
        <v>26.891666666666666</v>
      </c>
      <c r="JW59" s="172">
        <v>1.1467937500000001</v>
      </c>
      <c r="JX59" s="172">
        <v>0.6752083333333333</v>
      </c>
      <c r="JY59" s="172">
        <v>0</v>
      </c>
      <c r="JZ59" s="172">
        <v>-1.2106066666666668</v>
      </c>
      <c r="KA59" s="172">
        <v>-17.016266666666667</v>
      </c>
      <c r="KB59" s="172">
        <v>-20.441700000000001</v>
      </c>
      <c r="KC59" s="172">
        <v>1.2422520833333335</v>
      </c>
      <c r="KD59" s="172">
        <v>12.663908333333332</v>
      </c>
      <c r="KE59" s="172">
        <v>-15.394802083333333</v>
      </c>
      <c r="KF59" s="172">
        <v>2.2302173913043482</v>
      </c>
      <c r="KG59" s="172">
        <v>-21.856249999999999</v>
      </c>
      <c r="KH59" s="172">
        <v>3.8645833333333335</v>
      </c>
      <c r="KI59" s="172">
        <v>40.644624999999998</v>
      </c>
      <c r="KJ59" s="172">
        <v>-100.48741458333332</v>
      </c>
    </row>
    <row r="60" spans="1:296" x14ac:dyDescent="0.3">
      <c r="A60" s="236" t="s">
        <v>2466</v>
      </c>
      <c r="B60" s="236"/>
      <c r="C60" s="159" t="s">
        <v>188</v>
      </c>
      <c r="D60" s="159" t="s">
        <v>188</v>
      </c>
      <c r="E60" s="159" t="s">
        <v>188</v>
      </c>
      <c r="F60" s="159" t="s">
        <v>188</v>
      </c>
      <c r="G60" s="159" t="s">
        <v>188</v>
      </c>
      <c r="H60" s="159" t="s">
        <v>188</v>
      </c>
      <c r="I60" s="159" t="s">
        <v>2467</v>
      </c>
      <c r="J60" s="159" t="s">
        <v>188</v>
      </c>
      <c r="K60" s="159" t="s">
        <v>188</v>
      </c>
      <c r="L60" s="159" t="s">
        <v>2467</v>
      </c>
      <c r="M60" s="159" t="s">
        <v>188</v>
      </c>
      <c r="N60" s="159" t="s">
        <v>188</v>
      </c>
      <c r="O60" s="159" t="s">
        <v>188</v>
      </c>
      <c r="P60" s="159" t="s">
        <v>188</v>
      </c>
      <c r="Q60" s="159" t="s">
        <v>188</v>
      </c>
      <c r="R60" s="159" t="s">
        <v>188</v>
      </c>
      <c r="S60" s="159" t="s">
        <v>188</v>
      </c>
      <c r="T60" s="159" t="s">
        <v>188</v>
      </c>
      <c r="U60" s="159" t="s">
        <v>188</v>
      </c>
      <c r="V60" s="159" t="s">
        <v>188</v>
      </c>
      <c r="W60" s="159" t="s">
        <v>188</v>
      </c>
      <c r="X60" s="159" t="s">
        <v>188</v>
      </c>
      <c r="Y60" s="159" t="s">
        <v>2467</v>
      </c>
      <c r="Z60" s="159" t="s">
        <v>2467</v>
      </c>
      <c r="AA60" s="159" t="s">
        <v>2467</v>
      </c>
      <c r="AB60" s="159" t="s">
        <v>188</v>
      </c>
      <c r="AC60" s="159" t="s">
        <v>2467</v>
      </c>
      <c r="AD60" s="159" t="s">
        <v>188</v>
      </c>
      <c r="AE60" s="159" t="s">
        <v>188</v>
      </c>
      <c r="AF60" s="159" t="s">
        <v>2467</v>
      </c>
      <c r="AG60" s="159" t="s">
        <v>188</v>
      </c>
      <c r="AH60" s="159" t="s">
        <v>188</v>
      </c>
      <c r="AI60" s="159" t="s">
        <v>188</v>
      </c>
      <c r="AJ60" s="159" t="s">
        <v>188</v>
      </c>
      <c r="AK60" s="159" t="s">
        <v>188</v>
      </c>
      <c r="AL60" s="159" t="s">
        <v>188</v>
      </c>
      <c r="AM60" s="159" t="s">
        <v>2467</v>
      </c>
      <c r="AN60" s="159" t="s">
        <v>188</v>
      </c>
      <c r="AO60" s="159" t="s">
        <v>188</v>
      </c>
      <c r="AP60" s="159" t="s">
        <v>188</v>
      </c>
      <c r="AQ60" s="159" t="s">
        <v>2467</v>
      </c>
      <c r="AR60" s="159" t="s">
        <v>188</v>
      </c>
      <c r="AS60" s="159" t="s">
        <v>188</v>
      </c>
      <c r="AT60" s="159" t="s">
        <v>188</v>
      </c>
      <c r="AU60" s="159" t="s">
        <v>188</v>
      </c>
      <c r="AV60" s="159" t="s">
        <v>188</v>
      </c>
      <c r="AW60" s="159" t="s">
        <v>2467</v>
      </c>
      <c r="AX60" s="159" t="s">
        <v>2467</v>
      </c>
      <c r="AY60" s="159" t="s">
        <v>188</v>
      </c>
      <c r="AZ60" s="159" t="s">
        <v>188</v>
      </c>
      <c r="BA60" s="159" t="s">
        <v>188</v>
      </c>
      <c r="BB60" s="159" t="s">
        <v>188</v>
      </c>
      <c r="BC60" s="159" t="s">
        <v>188</v>
      </c>
      <c r="BD60" s="159" t="s">
        <v>2467</v>
      </c>
      <c r="BE60" s="159" t="s">
        <v>2467</v>
      </c>
      <c r="BF60" s="159" t="s">
        <v>2467</v>
      </c>
      <c r="BG60" s="159" t="s">
        <v>188</v>
      </c>
      <c r="BH60" s="159" t="s">
        <v>188</v>
      </c>
      <c r="BI60" s="159" t="s">
        <v>2467</v>
      </c>
      <c r="BJ60" s="159" t="s">
        <v>2467</v>
      </c>
      <c r="BK60" s="159" t="s">
        <v>2467</v>
      </c>
      <c r="BL60" s="159" t="s">
        <v>2467</v>
      </c>
      <c r="BM60" s="159" t="s">
        <v>2467</v>
      </c>
      <c r="BN60" s="159" t="s">
        <v>2467</v>
      </c>
      <c r="BO60" s="159" t="s">
        <v>188</v>
      </c>
      <c r="BP60" s="159" t="s">
        <v>188</v>
      </c>
      <c r="BQ60" s="159" t="s">
        <v>188</v>
      </c>
      <c r="BR60" s="159" t="s">
        <v>2467</v>
      </c>
      <c r="BS60" s="159" t="s">
        <v>2467</v>
      </c>
      <c r="BT60" s="159" t="s">
        <v>2467</v>
      </c>
      <c r="BU60" s="159" t="s">
        <v>2467</v>
      </c>
      <c r="BV60" s="159" t="s">
        <v>2467</v>
      </c>
      <c r="BW60" s="159" t="s">
        <v>2467</v>
      </c>
      <c r="BX60" s="159" t="s">
        <v>2467</v>
      </c>
      <c r="BY60" s="159" t="s">
        <v>2468</v>
      </c>
      <c r="BZ60" s="159" t="s">
        <v>2467</v>
      </c>
      <c r="CA60" s="159" t="s">
        <v>2467</v>
      </c>
      <c r="CB60" s="159" t="s">
        <v>2467</v>
      </c>
      <c r="CC60" s="159" t="s">
        <v>2467</v>
      </c>
      <c r="CD60" s="159" t="s">
        <v>2467</v>
      </c>
      <c r="CE60" s="159" t="s">
        <v>2467</v>
      </c>
      <c r="CF60" s="159" t="s">
        <v>2467</v>
      </c>
      <c r="CG60" s="159" t="s">
        <v>2467</v>
      </c>
      <c r="CH60" s="159" t="s">
        <v>2467</v>
      </c>
      <c r="CI60" s="159" t="s">
        <v>2467</v>
      </c>
      <c r="CJ60" s="159" t="s">
        <v>2467</v>
      </c>
      <c r="CK60" s="159" t="s">
        <v>2467</v>
      </c>
      <c r="CL60" s="159" t="s">
        <v>2467</v>
      </c>
      <c r="CM60" s="159" t="s">
        <v>2467</v>
      </c>
      <c r="CN60" s="159" t="s">
        <v>2467</v>
      </c>
      <c r="CO60" s="159" t="s">
        <v>2467</v>
      </c>
      <c r="CP60" s="159" t="s">
        <v>2467</v>
      </c>
      <c r="CQ60" s="159" t="s">
        <v>2467</v>
      </c>
      <c r="CR60" s="159" t="s">
        <v>2467</v>
      </c>
      <c r="CS60" s="159" t="s">
        <v>2467</v>
      </c>
      <c r="CT60" s="159" t="s">
        <v>2467</v>
      </c>
      <c r="CU60" s="159" t="s">
        <v>2467</v>
      </c>
      <c r="CV60" s="159" t="s">
        <v>2467</v>
      </c>
      <c r="CW60" s="159" t="s">
        <v>2467</v>
      </c>
      <c r="CX60" s="159" t="s">
        <v>2467</v>
      </c>
      <c r="CY60" s="159" t="s">
        <v>2467</v>
      </c>
      <c r="CZ60" s="159" t="s">
        <v>2467</v>
      </c>
      <c r="DA60" s="159" t="s">
        <v>2467</v>
      </c>
      <c r="DB60" s="159" t="s">
        <v>2467</v>
      </c>
      <c r="DC60" s="159" t="s">
        <v>2467</v>
      </c>
      <c r="DD60" s="159" t="s">
        <v>2467</v>
      </c>
      <c r="DE60" s="159" t="s">
        <v>2467</v>
      </c>
      <c r="DF60" s="159" t="s">
        <v>2467</v>
      </c>
      <c r="DG60" s="159" t="s">
        <v>2467</v>
      </c>
      <c r="DH60" s="159" t="s">
        <v>2467</v>
      </c>
      <c r="DI60" s="159" t="s">
        <v>2467</v>
      </c>
      <c r="DJ60" s="159" t="s">
        <v>2467</v>
      </c>
      <c r="DK60" s="159" t="s">
        <v>2467</v>
      </c>
      <c r="DL60" s="159" t="s">
        <v>2467</v>
      </c>
      <c r="DM60" s="159" t="s">
        <v>2467</v>
      </c>
      <c r="DN60" s="159" t="s">
        <v>2467</v>
      </c>
      <c r="DO60" s="159" t="s">
        <v>2467</v>
      </c>
      <c r="DP60" s="159" t="s">
        <v>2467</v>
      </c>
      <c r="DQ60" s="159" t="s">
        <v>2467</v>
      </c>
      <c r="DR60" s="159" t="s">
        <v>2467</v>
      </c>
      <c r="DS60" s="159" t="s">
        <v>2467</v>
      </c>
      <c r="DT60" s="159" t="s">
        <v>2467</v>
      </c>
      <c r="DU60" s="159" t="s">
        <v>2467</v>
      </c>
      <c r="DV60" s="159" t="s">
        <v>2467</v>
      </c>
      <c r="DW60" s="159" t="s">
        <v>2467</v>
      </c>
      <c r="DX60" s="159" t="s">
        <v>2467</v>
      </c>
      <c r="DY60" s="159" t="s">
        <v>2467</v>
      </c>
      <c r="DZ60" s="159" t="s">
        <v>2467</v>
      </c>
      <c r="EA60" s="159" t="s">
        <v>2467</v>
      </c>
      <c r="EB60" s="159" t="s">
        <v>2467</v>
      </c>
      <c r="EC60" s="159" t="s">
        <v>2467</v>
      </c>
      <c r="ED60" s="159" t="s">
        <v>2467</v>
      </c>
      <c r="EE60" s="159" t="s">
        <v>2467</v>
      </c>
      <c r="EF60" s="159" t="s">
        <v>2467</v>
      </c>
      <c r="EG60" s="159" t="s">
        <v>2467</v>
      </c>
      <c r="EH60" s="159" t="s">
        <v>2467</v>
      </c>
      <c r="EI60" s="159" t="s">
        <v>2467</v>
      </c>
      <c r="EJ60" s="159" t="s">
        <v>2467</v>
      </c>
      <c r="EK60" s="159" t="s">
        <v>2467</v>
      </c>
      <c r="EL60" s="159" t="s">
        <v>2467</v>
      </c>
      <c r="EM60" s="159" t="s">
        <v>2467</v>
      </c>
      <c r="EN60" s="159" t="s">
        <v>2467</v>
      </c>
      <c r="EO60" s="159" t="s">
        <v>2467</v>
      </c>
      <c r="EP60" s="159" t="s">
        <v>2467</v>
      </c>
      <c r="EQ60" s="159" t="s">
        <v>2467</v>
      </c>
      <c r="ER60" s="159" t="s">
        <v>2467</v>
      </c>
      <c r="ES60" s="159" t="s">
        <v>2467</v>
      </c>
      <c r="ET60" s="159" t="s">
        <v>2467</v>
      </c>
      <c r="EU60" s="159" t="s">
        <v>2467</v>
      </c>
      <c r="EV60" s="159" t="s">
        <v>2467</v>
      </c>
      <c r="EW60" s="159" t="s">
        <v>2467</v>
      </c>
      <c r="EX60" s="159" t="s">
        <v>2467</v>
      </c>
      <c r="EY60" s="159" t="s">
        <v>2467</v>
      </c>
      <c r="EZ60" s="159" t="s">
        <v>2467</v>
      </c>
      <c r="FA60" s="159" t="s">
        <v>2467</v>
      </c>
      <c r="FB60" s="159" t="s">
        <v>2467</v>
      </c>
      <c r="FC60" s="159" t="s">
        <v>2467</v>
      </c>
      <c r="FD60" s="159" t="s">
        <v>2467</v>
      </c>
      <c r="FE60" s="159" t="s">
        <v>2467</v>
      </c>
      <c r="FF60" s="159" t="s">
        <v>2467</v>
      </c>
      <c r="FG60" s="159" t="s">
        <v>2467</v>
      </c>
      <c r="FH60" s="159" t="s">
        <v>2467</v>
      </c>
      <c r="FI60" s="159" t="s">
        <v>2467</v>
      </c>
      <c r="FJ60" s="159" t="s">
        <v>2467</v>
      </c>
      <c r="FK60" s="159" t="s">
        <v>2467</v>
      </c>
      <c r="FL60" s="159" t="s">
        <v>2467</v>
      </c>
      <c r="FM60" s="159" t="s">
        <v>2467</v>
      </c>
      <c r="FN60" s="159" t="s">
        <v>2467</v>
      </c>
      <c r="FO60" s="159" t="s">
        <v>2467</v>
      </c>
      <c r="FP60" s="159" t="s">
        <v>2467</v>
      </c>
      <c r="FQ60" s="159" t="s">
        <v>2467</v>
      </c>
      <c r="FR60" s="159" t="s">
        <v>2467</v>
      </c>
      <c r="FS60" s="159" t="s">
        <v>2467</v>
      </c>
      <c r="FT60" s="159" t="s">
        <v>2467</v>
      </c>
      <c r="FU60" s="159" t="s">
        <v>2467</v>
      </c>
      <c r="FV60" s="159" t="s">
        <v>2467</v>
      </c>
      <c r="FW60" s="159" t="s">
        <v>2467</v>
      </c>
      <c r="FX60" s="159" t="s">
        <v>2467</v>
      </c>
      <c r="FY60" s="159" t="s">
        <v>2467</v>
      </c>
      <c r="FZ60" s="159" t="s">
        <v>2467</v>
      </c>
      <c r="GA60" s="159" t="s">
        <v>2467</v>
      </c>
      <c r="GB60" s="159" t="s">
        <v>2467</v>
      </c>
      <c r="GC60" s="159" t="s">
        <v>2467</v>
      </c>
      <c r="GD60" s="159" t="s">
        <v>2467</v>
      </c>
      <c r="GE60" s="159" t="s">
        <v>2467</v>
      </c>
      <c r="GF60" s="159" t="s">
        <v>2467</v>
      </c>
      <c r="GG60" s="159" t="s">
        <v>2467</v>
      </c>
      <c r="GH60" s="159" t="s">
        <v>2467</v>
      </c>
      <c r="GI60" s="159" t="s">
        <v>2467</v>
      </c>
      <c r="GJ60" s="159" t="s">
        <v>2467</v>
      </c>
      <c r="GK60" s="159" t="s">
        <v>2467</v>
      </c>
      <c r="GL60" s="159" t="s">
        <v>2467</v>
      </c>
      <c r="GM60" s="159" t="s">
        <v>2467</v>
      </c>
      <c r="GN60" s="159" t="s">
        <v>2467</v>
      </c>
      <c r="GO60" s="159" t="s">
        <v>2467</v>
      </c>
      <c r="GP60" s="159" t="s">
        <v>2467</v>
      </c>
      <c r="GQ60" s="159" t="s">
        <v>2467</v>
      </c>
      <c r="GR60" s="159" t="s">
        <v>2467</v>
      </c>
      <c r="GS60" s="159" t="s">
        <v>2467</v>
      </c>
      <c r="GT60" s="159" t="s">
        <v>2467</v>
      </c>
      <c r="GU60" s="159" t="s">
        <v>2467</v>
      </c>
      <c r="GV60" s="159" t="s">
        <v>2467</v>
      </c>
      <c r="GW60" s="159" t="s">
        <v>2467</v>
      </c>
      <c r="GX60" s="159" t="s">
        <v>2467</v>
      </c>
      <c r="GY60" s="159" t="s">
        <v>2467</v>
      </c>
      <c r="GZ60" s="159" t="s">
        <v>2467</v>
      </c>
      <c r="HA60" s="159" t="s">
        <v>2467</v>
      </c>
      <c r="HB60" s="159" t="s">
        <v>2467</v>
      </c>
      <c r="HC60" s="159" t="s">
        <v>2467</v>
      </c>
      <c r="HD60" s="159" t="s">
        <v>2467</v>
      </c>
      <c r="HE60" s="159" t="s">
        <v>2467</v>
      </c>
      <c r="HF60" s="159" t="s">
        <v>2468</v>
      </c>
      <c r="HG60" s="159" t="s">
        <v>2468</v>
      </c>
      <c r="HH60" s="159" t="s">
        <v>2468</v>
      </c>
      <c r="HI60" s="159" t="s">
        <v>2468</v>
      </c>
      <c r="HJ60" s="159" t="s">
        <v>2468</v>
      </c>
      <c r="HK60" s="159" t="s">
        <v>2468</v>
      </c>
      <c r="HL60" s="159" t="s">
        <v>2468</v>
      </c>
      <c r="HM60" s="159" t="s">
        <v>2468</v>
      </c>
      <c r="HN60" s="159" t="s">
        <v>2468</v>
      </c>
      <c r="HO60" s="159" t="s">
        <v>2468</v>
      </c>
      <c r="HP60" s="159" t="s">
        <v>2468</v>
      </c>
      <c r="HQ60" s="159" t="s">
        <v>2468</v>
      </c>
      <c r="HR60" s="159" t="s">
        <v>2468</v>
      </c>
      <c r="HS60" s="159" t="s">
        <v>2468</v>
      </c>
      <c r="HT60" s="159" t="s">
        <v>2468</v>
      </c>
      <c r="HU60" s="159" t="s">
        <v>2468</v>
      </c>
      <c r="HV60" s="159" t="s">
        <v>2468</v>
      </c>
      <c r="HW60" s="159" t="s">
        <v>2468</v>
      </c>
      <c r="HX60" s="159" t="s">
        <v>2468</v>
      </c>
      <c r="HY60" s="159" t="s">
        <v>2468</v>
      </c>
      <c r="HZ60" s="159" t="s">
        <v>2468</v>
      </c>
      <c r="IA60" s="159" t="s">
        <v>2468</v>
      </c>
      <c r="IB60" s="159" t="s">
        <v>2468</v>
      </c>
      <c r="IC60" s="159" t="s">
        <v>2468</v>
      </c>
      <c r="ID60" s="159" t="s">
        <v>2468</v>
      </c>
      <c r="IE60" s="159" t="s">
        <v>2468</v>
      </c>
      <c r="IF60" s="159" t="s">
        <v>2468</v>
      </c>
      <c r="IG60" s="159" t="s">
        <v>2468</v>
      </c>
      <c r="IH60" s="159" t="s">
        <v>2468</v>
      </c>
      <c r="II60" s="159" t="s">
        <v>2468</v>
      </c>
      <c r="IJ60" s="159" t="s">
        <v>2468</v>
      </c>
      <c r="IK60" s="159" t="s">
        <v>2468</v>
      </c>
      <c r="IL60" s="159" t="s">
        <v>2468</v>
      </c>
      <c r="IM60" s="159" t="s">
        <v>2468</v>
      </c>
      <c r="IN60" s="159" t="s">
        <v>2468</v>
      </c>
      <c r="IO60" s="159" t="s">
        <v>2468</v>
      </c>
      <c r="IP60" s="159" t="s">
        <v>2468</v>
      </c>
      <c r="IQ60" s="159" t="s">
        <v>2468</v>
      </c>
      <c r="IR60" s="159" t="s">
        <v>2468</v>
      </c>
      <c r="IS60" s="159" t="s">
        <v>188</v>
      </c>
      <c r="IT60" s="159" t="s">
        <v>2467</v>
      </c>
      <c r="IU60" s="159" t="s">
        <v>2468</v>
      </c>
      <c r="IV60" s="159" t="s">
        <v>2468</v>
      </c>
      <c r="IW60" s="159" t="s">
        <v>2468</v>
      </c>
      <c r="IX60" s="159" t="s">
        <v>188</v>
      </c>
      <c r="IY60" s="159" t="s">
        <v>188</v>
      </c>
      <c r="IZ60" s="159" t="s">
        <v>188</v>
      </c>
      <c r="JA60" s="159" t="s">
        <v>188</v>
      </c>
      <c r="JB60" s="159" t="s">
        <v>2467</v>
      </c>
      <c r="JC60" s="159" t="s">
        <v>2468</v>
      </c>
      <c r="JD60" s="159" t="s">
        <v>2467</v>
      </c>
      <c r="JE60" s="159" t="s">
        <v>2468</v>
      </c>
      <c r="JF60" s="159" t="s">
        <v>2468</v>
      </c>
      <c r="JG60" s="159" t="s">
        <v>2468</v>
      </c>
      <c r="JH60" s="159" t="s">
        <v>2468</v>
      </c>
      <c r="JI60" s="159" t="s">
        <v>2467</v>
      </c>
      <c r="JJ60" s="159" t="s">
        <v>2467</v>
      </c>
      <c r="JK60" s="159" t="s">
        <v>2467</v>
      </c>
      <c r="JL60" s="159" t="s">
        <v>2467</v>
      </c>
      <c r="JM60" s="159" t="s">
        <v>2468</v>
      </c>
      <c r="JN60" s="159" t="s">
        <v>2467</v>
      </c>
      <c r="JO60" s="159" t="s">
        <v>2467</v>
      </c>
      <c r="JP60" s="159" t="s">
        <v>2468</v>
      </c>
      <c r="JQ60" s="159" t="s">
        <v>2468</v>
      </c>
      <c r="JR60" s="159" t="s">
        <v>2468</v>
      </c>
      <c r="JS60" s="159" t="s">
        <v>2468</v>
      </c>
      <c r="JT60" s="159" t="s">
        <v>2467</v>
      </c>
      <c r="JU60" s="159" t="s">
        <v>2467</v>
      </c>
      <c r="JV60" s="159" t="s">
        <v>2468</v>
      </c>
      <c r="JW60" s="159" t="s">
        <v>2468</v>
      </c>
      <c r="JX60" s="159" t="s">
        <v>2468</v>
      </c>
      <c r="JY60" s="159" t="s">
        <v>2468</v>
      </c>
      <c r="JZ60" s="159" t="s">
        <v>2468</v>
      </c>
      <c r="KA60" s="159" t="s">
        <v>2468</v>
      </c>
      <c r="KB60" s="159" t="s">
        <v>2468</v>
      </c>
      <c r="KC60" s="159" t="s">
        <v>2468</v>
      </c>
      <c r="KD60" s="159" t="s">
        <v>2468</v>
      </c>
      <c r="KE60" s="159" t="s">
        <v>2468</v>
      </c>
      <c r="KF60" s="159" t="s">
        <v>2468</v>
      </c>
      <c r="KG60" s="159" t="s">
        <v>2468</v>
      </c>
      <c r="KH60" s="159" t="s">
        <v>2468</v>
      </c>
      <c r="KI60" s="159" t="s">
        <v>2467</v>
      </c>
      <c r="KJ60" s="159" t="s">
        <v>2467</v>
      </c>
    </row>
    <row r="61" spans="1:296" ht="27" customHeight="1" x14ac:dyDescent="0.3">
      <c r="A61" s="236" t="s">
        <v>3</v>
      </c>
      <c r="B61" s="236"/>
      <c r="C61" s="235" t="s">
        <v>2469</v>
      </c>
      <c r="D61" s="235" t="s">
        <v>55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2470</v>
      </c>
      <c r="P61" s="235"/>
      <c r="Q61" s="235"/>
      <c r="R61" s="235"/>
      <c r="S61" s="235"/>
      <c r="T61" s="235" t="s">
        <v>49</v>
      </c>
      <c r="U61" s="235" t="s">
        <v>55</v>
      </c>
      <c r="V61" s="235"/>
      <c r="W61" s="235"/>
      <c r="X61" s="235"/>
      <c r="Y61" s="235" t="s">
        <v>880</v>
      </c>
      <c r="Z61" s="235"/>
      <c r="AA61" s="235"/>
      <c r="AB61" s="235" t="s">
        <v>250</v>
      </c>
      <c r="AC61" s="235" t="s">
        <v>55</v>
      </c>
      <c r="AD61" s="235" t="s">
        <v>2471</v>
      </c>
      <c r="AE61" s="235"/>
      <c r="AF61" s="235" t="s">
        <v>55</v>
      </c>
      <c r="AG61" s="235" t="s">
        <v>2470</v>
      </c>
      <c r="AH61" s="235"/>
      <c r="AI61" s="235" t="s">
        <v>334</v>
      </c>
      <c r="AJ61" s="235"/>
      <c r="AK61" s="235" t="s">
        <v>2471</v>
      </c>
      <c r="AL61" s="235"/>
      <c r="AM61" s="235"/>
      <c r="AN61" s="235"/>
      <c r="AO61" s="235"/>
      <c r="AP61" s="235" t="s">
        <v>2472</v>
      </c>
      <c r="AQ61" s="235" t="s">
        <v>2473</v>
      </c>
      <c r="AR61" s="235" t="s">
        <v>55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2474</v>
      </c>
      <c r="BC61" s="235" t="s">
        <v>49</v>
      </c>
      <c r="BD61" s="235" t="s">
        <v>922</v>
      </c>
      <c r="BE61" s="235" t="s">
        <v>366</v>
      </c>
      <c r="BF61" s="235"/>
      <c r="BG61" s="235" t="s">
        <v>55</v>
      </c>
      <c r="BH61" s="235"/>
      <c r="BI61" s="235"/>
      <c r="BJ61" s="235"/>
      <c r="BK61" s="235"/>
      <c r="BL61" s="235"/>
      <c r="BM61" s="235"/>
      <c r="BN61" s="235"/>
      <c r="BO61" s="235" t="s">
        <v>49</v>
      </c>
      <c r="BP61" s="235"/>
      <c r="BQ61" s="235"/>
      <c r="BR61" s="235"/>
      <c r="BS61" s="235"/>
      <c r="BT61" s="235"/>
      <c r="BU61" s="235" t="s">
        <v>250</v>
      </c>
      <c r="BV61" s="235"/>
      <c r="BW61" s="235" t="s">
        <v>49</v>
      </c>
      <c r="BX61" s="235" t="s">
        <v>2475</v>
      </c>
      <c r="BY61" s="235"/>
      <c r="BZ61" s="235"/>
      <c r="CA61" s="235"/>
      <c r="CB61" s="235" t="s">
        <v>55</v>
      </c>
      <c r="CC61" s="235"/>
      <c r="CD61" s="235" t="s">
        <v>2476</v>
      </c>
      <c r="CE61" s="235"/>
      <c r="CF61" s="235" t="s">
        <v>130</v>
      </c>
      <c r="CG61" s="235" t="s">
        <v>55</v>
      </c>
      <c r="CH61" s="235"/>
      <c r="CI61" s="235"/>
      <c r="CJ61" s="235"/>
      <c r="CK61" s="235" t="s">
        <v>922</v>
      </c>
      <c r="CL61" s="235"/>
      <c r="CM61" s="235" t="s">
        <v>2475</v>
      </c>
      <c r="CN61" s="235"/>
      <c r="CO61" s="235"/>
      <c r="CP61" s="235" t="s">
        <v>55</v>
      </c>
      <c r="CQ61" s="235"/>
      <c r="CR61" s="235"/>
      <c r="CS61" s="235"/>
      <c r="CT61" s="235"/>
      <c r="CU61" s="235"/>
      <c r="CV61" s="235"/>
      <c r="CW61" s="235"/>
      <c r="CX61" s="235" t="s">
        <v>2476</v>
      </c>
      <c r="CY61" s="235" t="s">
        <v>2475</v>
      </c>
      <c r="CZ61" s="235"/>
      <c r="DA61" s="235" t="s">
        <v>2477</v>
      </c>
      <c r="DB61" s="235"/>
      <c r="DC61" s="235"/>
      <c r="DD61" s="235"/>
      <c r="DE61" s="235" t="s">
        <v>55</v>
      </c>
      <c r="DF61" s="235"/>
      <c r="DG61" s="235"/>
      <c r="DH61" s="235" t="s">
        <v>2477</v>
      </c>
      <c r="DI61" s="235"/>
      <c r="DJ61" s="235" t="s">
        <v>904</v>
      </c>
      <c r="DK61" s="235"/>
      <c r="DL61" s="235" t="s">
        <v>609</v>
      </c>
      <c r="DM61" s="235" t="s">
        <v>2477</v>
      </c>
      <c r="DN61" s="235"/>
      <c r="DO61" s="235"/>
      <c r="DP61" s="235"/>
      <c r="DQ61" s="235" t="s">
        <v>609</v>
      </c>
      <c r="DR61" s="235" t="s">
        <v>2477</v>
      </c>
      <c r="DS61" s="235" t="s">
        <v>609</v>
      </c>
      <c r="DT61" s="235" t="s">
        <v>2477</v>
      </c>
      <c r="DU61" s="235"/>
      <c r="DV61" s="235"/>
      <c r="DW61" s="235"/>
      <c r="DX61" s="235" t="s">
        <v>55</v>
      </c>
      <c r="DY61" s="235" t="s">
        <v>609</v>
      </c>
      <c r="DZ61" s="235" t="s">
        <v>55</v>
      </c>
      <c r="EA61" s="235"/>
      <c r="EB61" s="235"/>
      <c r="EC61" s="235"/>
      <c r="ED61" s="235"/>
      <c r="EE61" s="235"/>
      <c r="EF61" s="235" t="s">
        <v>49</v>
      </c>
      <c r="EG61" s="235"/>
      <c r="EH61" s="235" t="s">
        <v>2477</v>
      </c>
      <c r="EI61" s="235" t="s">
        <v>49</v>
      </c>
      <c r="EJ61" s="235" t="s">
        <v>2478</v>
      </c>
      <c r="EK61" s="235" t="s">
        <v>609</v>
      </c>
      <c r="EL61" s="235" t="s">
        <v>55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899</v>
      </c>
      <c r="EV61" s="235"/>
      <c r="EW61" s="235"/>
      <c r="EX61" s="235" t="s">
        <v>55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912</v>
      </c>
      <c r="FI61" s="235"/>
      <c r="FJ61" s="235"/>
      <c r="FK61" s="235" t="s">
        <v>55</v>
      </c>
      <c r="FL61" s="235"/>
      <c r="FM61" s="235"/>
      <c r="FN61" s="235"/>
      <c r="FO61" s="235"/>
      <c r="FP61" s="235"/>
      <c r="FQ61" s="235" t="s">
        <v>2474</v>
      </c>
      <c r="FR61" s="235" t="s">
        <v>366</v>
      </c>
      <c r="FS61" s="235"/>
      <c r="FT61" s="235"/>
      <c r="FU61" s="235"/>
      <c r="FV61" s="235"/>
      <c r="FW61" s="235"/>
      <c r="FX61" s="235" t="s">
        <v>2476</v>
      </c>
      <c r="FY61" s="235" t="s">
        <v>646</v>
      </c>
      <c r="FZ61" s="235"/>
      <c r="GA61" s="235"/>
      <c r="GB61" s="235" t="s">
        <v>609</v>
      </c>
      <c r="GC61" s="235" t="s">
        <v>2471</v>
      </c>
      <c r="GD61" s="235" t="s">
        <v>2474</v>
      </c>
      <c r="GE61" s="235" t="s">
        <v>55</v>
      </c>
      <c r="GF61" s="235" t="s">
        <v>151</v>
      </c>
      <c r="GG61" s="235" t="s">
        <v>2474</v>
      </c>
      <c r="GH61" s="235" t="s">
        <v>2471</v>
      </c>
      <c r="GI61" s="235" t="s">
        <v>55</v>
      </c>
      <c r="GJ61" s="235" t="s">
        <v>2474</v>
      </c>
      <c r="GK61" s="235" t="s">
        <v>55</v>
      </c>
      <c r="GL61" s="235"/>
      <c r="GM61" s="235" t="s">
        <v>2479</v>
      </c>
      <c r="GN61" s="235" t="s">
        <v>55</v>
      </c>
      <c r="GO61" s="235" t="s">
        <v>366</v>
      </c>
      <c r="GP61" s="235" t="s">
        <v>55</v>
      </c>
      <c r="GQ61" s="235"/>
      <c r="GR61" s="235"/>
      <c r="GS61" s="235" t="s">
        <v>373</v>
      </c>
      <c r="GT61" s="235"/>
      <c r="GU61" s="235" t="s">
        <v>2474</v>
      </c>
      <c r="GV61" s="235"/>
      <c r="GW61" s="235" t="s">
        <v>55</v>
      </c>
      <c r="GX61" s="235" t="s">
        <v>2474</v>
      </c>
      <c r="GY61" s="235" t="s">
        <v>351</v>
      </c>
      <c r="GZ61" s="235" t="s">
        <v>55</v>
      </c>
      <c r="HA61" s="235"/>
      <c r="HB61" s="235" t="s">
        <v>351</v>
      </c>
      <c r="HC61" s="235" t="s">
        <v>49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226</v>
      </c>
      <c r="HO61" s="235"/>
      <c r="HP61" s="235" t="s">
        <v>49</v>
      </c>
      <c r="HQ61" s="235"/>
      <c r="HR61" s="235" t="s">
        <v>2480</v>
      </c>
      <c r="HS61" s="235"/>
      <c r="HT61" s="235" t="s">
        <v>49</v>
      </c>
      <c r="HU61" s="235"/>
      <c r="HV61" s="235" t="s">
        <v>377</v>
      </c>
      <c r="HW61" s="235"/>
      <c r="HX61" s="235" t="s">
        <v>2481</v>
      </c>
      <c r="HY61" s="235"/>
      <c r="HZ61" s="235" t="s">
        <v>377</v>
      </c>
      <c r="IA61" s="235" t="s">
        <v>55</v>
      </c>
      <c r="IB61" s="235" t="s">
        <v>196</v>
      </c>
      <c r="IC61" s="235" t="s">
        <v>93</v>
      </c>
      <c r="ID61" s="235"/>
      <c r="IE61" s="235" t="s">
        <v>2480</v>
      </c>
      <c r="IF61" s="235"/>
      <c r="IG61" s="235"/>
      <c r="IH61" s="235"/>
      <c r="II61" s="235" t="s">
        <v>93</v>
      </c>
      <c r="IJ61" s="235"/>
      <c r="IK61" s="235" t="s">
        <v>49</v>
      </c>
      <c r="IL61" s="235" t="s">
        <v>196</v>
      </c>
      <c r="IM61" s="235" t="s">
        <v>49</v>
      </c>
      <c r="IN61" s="235" t="s">
        <v>196</v>
      </c>
      <c r="IO61" s="235"/>
      <c r="IP61" s="235"/>
      <c r="IQ61" s="235"/>
      <c r="IR61" s="235"/>
      <c r="IS61" s="235" t="s">
        <v>49</v>
      </c>
      <c r="IT61" s="235" t="s">
        <v>2478</v>
      </c>
      <c r="IU61" s="235" t="s">
        <v>377</v>
      </c>
      <c r="IV61" s="235"/>
      <c r="IW61" s="235" t="s">
        <v>196</v>
      </c>
      <c r="IX61" s="235" t="s">
        <v>49</v>
      </c>
      <c r="IY61" s="235"/>
      <c r="IZ61" s="235"/>
      <c r="JA61" s="235"/>
      <c r="JB61" s="235" t="s">
        <v>55</v>
      </c>
      <c r="JC61" s="235" t="s">
        <v>944</v>
      </c>
      <c r="JD61" s="235" t="s">
        <v>55</v>
      </c>
      <c r="JE61" s="235" t="s">
        <v>75</v>
      </c>
      <c r="JF61" s="235"/>
      <c r="JG61" s="235" t="s">
        <v>55</v>
      </c>
      <c r="JH61" s="235"/>
      <c r="JI61" s="235"/>
      <c r="JJ61" s="235"/>
      <c r="JK61" s="235"/>
      <c r="JL61" s="235"/>
      <c r="JM61" s="235" t="s">
        <v>2481</v>
      </c>
      <c r="JN61" s="235" t="s">
        <v>151</v>
      </c>
      <c r="JO61" s="235"/>
      <c r="JP61" s="235" t="s">
        <v>939</v>
      </c>
      <c r="JQ61" s="235"/>
      <c r="JR61" s="235" t="s">
        <v>941</v>
      </c>
      <c r="JS61" s="235"/>
      <c r="JT61" s="235"/>
      <c r="JU61" s="235" t="s">
        <v>55</v>
      </c>
      <c r="JV61" s="235" t="s">
        <v>2480</v>
      </c>
      <c r="JW61" s="235" t="s">
        <v>603</v>
      </c>
      <c r="JX61" s="235" t="s">
        <v>2482</v>
      </c>
      <c r="JY61" s="235"/>
      <c r="JZ61" s="235" t="s">
        <v>49</v>
      </c>
      <c r="KA61" s="235"/>
      <c r="KB61" s="235"/>
      <c r="KC61" s="235"/>
      <c r="KD61" s="235"/>
      <c r="KE61" s="235"/>
      <c r="KF61" s="235"/>
      <c r="KG61" s="235" t="s">
        <v>2480</v>
      </c>
      <c r="KH61" s="235"/>
      <c r="KI61" s="235" t="s">
        <v>49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8" t="s">
        <v>2483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2484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2485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2486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</row>
    <row r="4" spans="1:13" ht="30" customHeight="1" x14ac:dyDescent="0.3">
      <c r="A4" s="237" t="s">
        <v>2777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</row>
    <row r="5" spans="1:13" ht="19.95" hidden="1" customHeight="1" x14ac:dyDescent="0.3">
      <c r="A5" s="236" t="s">
        <v>1830</v>
      </c>
      <c r="B5" s="236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3">
      <c r="A6" s="236" t="s">
        <v>271</v>
      </c>
      <c r="B6" s="236"/>
      <c r="C6" s="235" t="s">
        <v>2778</v>
      </c>
      <c r="D6" s="235"/>
      <c r="E6" s="235"/>
      <c r="F6" s="235"/>
      <c r="G6" s="235"/>
      <c r="H6" s="235"/>
      <c r="I6" s="235" t="s">
        <v>2779</v>
      </c>
      <c r="J6" s="235"/>
      <c r="K6" s="235"/>
      <c r="L6" s="235"/>
      <c r="M6" s="235"/>
    </row>
    <row r="7" spans="1:13" ht="27" customHeight="1" x14ac:dyDescent="0.3">
      <c r="A7" s="158" t="s">
        <v>63</v>
      </c>
      <c r="B7" s="158" t="s">
        <v>590</v>
      </c>
      <c r="C7" s="159" t="s">
        <v>2780</v>
      </c>
      <c r="D7" s="159" t="s">
        <v>2781</v>
      </c>
      <c r="E7" s="159" t="s">
        <v>2782</v>
      </c>
      <c r="F7" s="159" t="s">
        <v>2783</v>
      </c>
      <c r="G7" s="159" t="s">
        <v>2784</v>
      </c>
      <c r="H7" s="159" t="s">
        <v>961</v>
      </c>
      <c r="I7" s="159" t="s">
        <v>2785</v>
      </c>
      <c r="J7" s="159" t="s">
        <v>2786</v>
      </c>
      <c r="K7" s="159" t="s">
        <v>2787</v>
      </c>
      <c r="L7" s="159" t="s">
        <v>2788</v>
      </c>
      <c r="M7" s="159" t="s">
        <v>961</v>
      </c>
    </row>
    <row r="8" spans="1:13" ht="18" customHeight="1" x14ac:dyDescent="0.3">
      <c r="A8" s="162" t="s">
        <v>67</v>
      </c>
      <c r="B8" s="162" t="s">
        <v>808</v>
      </c>
      <c r="C8" s="163">
        <v>-70</v>
      </c>
      <c r="D8" s="163">
        <v>-69.599999999999994</v>
      </c>
      <c r="E8" s="163">
        <v>-53.120399999999997</v>
      </c>
      <c r="F8" s="163">
        <v>-52.708100000000002</v>
      </c>
      <c r="G8" s="163">
        <v>-459.76780000000002</v>
      </c>
      <c r="H8" s="163">
        <v>-705.19629999999995</v>
      </c>
      <c r="I8" s="163">
        <v>155.13239999999999</v>
      </c>
      <c r="J8" s="163">
        <v>156.53210000000001</v>
      </c>
      <c r="K8" s="163">
        <v>477.87310000000002</v>
      </c>
      <c r="L8" s="163">
        <v>385.86810000000003</v>
      </c>
      <c r="M8" s="163">
        <v>1175.4057</v>
      </c>
    </row>
    <row r="9" spans="1:13" ht="18" customHeight="1" x14ac:dyDescent="0.3">
      <c r="A9" s="162" t="s">
        <v>67</v>
      </c>
      <c r="B9" s="162" t="s">
        <v>809</v>
      </c>
      <c r="C9" s="166">
        <v>-72.430000000000007</v>
      </c>
      <c r="D9" s="166">
        <v>-71.56</v>
      </c>
      <c r="E9" s="166">
        <v>-57.0383</v>
      </c>
      <c r="F9" s="166">
        <v>-56.436</v>
      </c>
      <c r="G9" s="166">
        <v>-452.53539999999998</v>
      </c>
      <c r="H9" s="166">
        <v>-709.99969999999996</v>
      </c>
      <c r="I9" s="166">
        <v>164.01079999999999</v>
      </c>
      <c r="J9" s="166">
        <v>162.56829999999999</v>
      </c>
      <c r="K9" s="166">
        <v>501.39460000000003</v>
      </c>
      <c r="L9" s="166">
        <v>401.68369999999999</v>
      </c>
      <c r="M9" s="166">
        <v>1229.6574000000001</v>
      </c>
    </row>
    <row r="10" spans="1:13" ht="18" customHeight="1" x14ac:dyDescent="0.3">
      <c r="A10" s="162" t="s">
        <v>67</v>
      </c>
      <c r="B10" s="162" t="s">
        <v>810</v>
      </c>
      <c r="C10" s="166">
        <v>-70.33</v>
      </c>
      <c r="D10" s="166">
        <v>-69.739999999999995</v>
      </c>
      <c r="E10" s="166">
        <v>-52.458199999999998</v>
      </c>
      <c r="F10" s="166">
        <v>-52.582599999999999</v>
      </c>
      <c r="G10" s="166">
        <v>-448.452</v>
      </c>
      <c r="H10" s="166">
        <v>-693.56280000000004</v>
      </c>
      <c r="I10" s="166">
        <v>165.44229999999999</v>
      </c>
      <c r="J10" s="166">
        <v>166.0412</v>
      </c>
      <c r="K10" s="166">
        <v>504.1551</v>
      </c>
      <c r="L10" s="166">
        <v>411.14030000000002</v>
      </c>
      <c r="M10" s="166">
        <v>1246.7789</v>
      </c>
    </row>
    <row r="11" spans="1:13" ht="18" customHeight="1" x14ac:dyDescent="0.3">
      <c r="A11" s="162" t="s">
        <v>67</v>
      </c>
      <c r="B11" s="162" t="s">
        <v>811</v>
      </c>
      <c r="C11" s="166">
        <v>-68.23</v>
      </c>
      <c r="D11" s="166">
        <v>-66.97</v>
      </c>
      <c r="E11" s="166">
        <v>-55.5212</v>
      </c>
      <c r="F11" s="166">
        <v>-54.829900000000002</v>
      </c>
      <c r="G11" s="166">
        <v>-439.04829999999998</v>
      </c>
      <c r="H11" s="166">
        <v>-684.59939999999995</v>
      </c>
      <c r="I11" s="166">
        <v>161.0104</v>
      </c>
      <c r="J11" s="166">
        <v>159.99359999999999</v>
      </c>
      <c r="K11" s="166">
        <v>499.97559999999999</v>
      </c>
      <c r="L11" s="166">
        <v>400.94810000000001</v>
      </c>
      <c r="M11" s="166">
        <v>1221.9277</v>
      </c>
    </row>
    <row r="12" spans="1:13" ht="18" customHeight="1" x14ac:dyDescent="0.3">
      <c r="A12" s="162" t="s">
        <v>67</v>
      </c>
      <c r="B12" s="162" t="s">
        <v>812</v>
      </c>
      <c r="C12" s="166">
        <v>-66.86</v>
      </c>
      <c r="D12" s="166">
        <v>-68.3</v>
      </c>
      <c r="E12" s="166">
        <v>-58.642699999999998</v>
      </c>
      <c r="F12" s="166">
        <v>-56.452399999999997</v>
      </c>
      <c r="G12" s="166">
        <v>-420.39120000000003</v>
      </c>
      <c r="H12" s="166">
        <v>-670.6463</v>
      </c>
      <c r="I12" s="166">
        <v>160.03819999999999</v>
      </c>
      <c r="J12" s="166">
        <v>160.73580000000001</v>
      </c>
      <c r="K12" s="166">
        <v>492.12580000000003</v>
      </c>
      <c r="L12" s="166">
        <v>397.0204</v>
      </c>
      <c r="M12" s="166">
        <v>1209.9202</v>
      </c>
    </row>
    <row r="13" spans="1:13" ht="18" customHeight="1" x14ac:dyDescent="0.3">
      <c r="A13" s="162" t="s">
        <v>67</v>
      </c>
      <c r="B13" s="162" t="s">
        <v>813</v>
      </c>
      <c r="C13" s="166">
        <v>-63.58</v>
      </c>
      <c r="D13" s="166">
        <v>-63.3</v>
      </c>
      <c r="E13" s="166">
        <v>-54.914700000000003</v>
      </c>
      <c r="F13" s="166">
        <v>-54.963200000000001</v>
      </c>
      <c r="G13" s="166">
        <v>-396.21109999999999</v>
      </c>
      <c r="H13" s="166">
        <v>-632.96900000000005</v>
      </c>
      <c r="I13" s="166">
        <v>160.1241</v>
      </c>
      <c r="J13" s="166">
        <v>159.84049999999999</v>
      </c>
      <c r="K13" s="166">
        <v>504.15570000000002</v>
      </c>
      <c r="L13" s="166">
        <v>403.61529999999999</v>
      </c>
      <c r="M13" s="166">
        <v>1227.7356</v>
      </c>
    </row>
    <row r="14" spans="1:13" ht="18" customHeight="1" x14ac:dyDescent="0.3">
      <c r="A14" s="162" t="s">
        <v>67</v>
      </c>
      <c r="B14" s="162" t="s">
        <v>814</v>
      </c>
      <c r="C14" s="166">
        <v>-67.69</v>
      </c>
      <c r="D14" s="166">
        <v>-67.05</v>
      </c>
      <c r="E14" s="166">
        <v>-62.110599999999998</v>
      </c>
      <c r="F14" s="166">
        <v>-61.762599999999999</v>
      </c>
      <c r="G14" s="166">
        <v>-411.94029999999998</v>
      </c>
      <c r="H14" s="166">
        <v>-670.55349999999999</v>
      </c>
      <c r="I14" s="166">
        <v>159.64349999999999</v>
      </c>
      <c r="J14" s="166">
        <v>158.78720000000001</v>
      </c>
      <c r="K14" s="166">
        <v>489.70659999999998</v>
      </c>
      <c r="L14" s="166">
        <v>395.64080000000001</v>
      </c>
      <c r="M14" s="166">
        <v>1203.7781</v>
      </c>
    </row>
    <row r="15" spans="1:13" ht="18" customHeight="1" x14ac:dyDescent="0.3">
      <c r="A15" s="162" t="s">
        <v>67</v>
      </c>
      <c r="B15" s="162" t="s">
        <v>815</v>
      </c>
      <c r="C15" s="169">
        <v>-66.25</v>
      </c>
      <c r="D15" s="169">
        <v>-65.73</v>
      </c>
      <c r="E15" s="169">
        <v>-57.210700000000003</v>
      </c>
      <c r="F15" s="169">
        <v>-57.207299999999996</v>
      </c>
      <c r="G15" s="169">
        <v>-423.17380000000003</v>
      </c>
      <c r="H15" s="169">
        <v>-669.57180000000005</v>
      </c>
      <c r="I15" s="169">
        <v>161.79839999999999</v>
      </c>
      <c r="J15" s="169">
        <v>159.3553</v>
      </c>
      <c r="K15" s="169">
        <v>499.05939999999998</v>
      </c>
      <c r="L15" s="169">
        <v>398.6223</v>
      </c>
      <c r="M15" s="169">
        <v>1218.8353999999999</v>
      </c>
    </row>
    <row r="16" spans="1:13" ht="18" customHeight="1" x14ac:dyDescent="0.3">
      <c r="A16" s="162" t="s">
        <v>67</v>
      </c>
      <c r="B16" s="162" t="s">
        <v>816</v>
      </c>
      <c r="C16" s="163">
        <v>-64</v>
      </c>
      <c r="D16" s="163">
        <v>-63.11</v>
      </c>
      <c r="E16" s="163">
        <v>-51.105899999999998</v>
      </c>
      <c r="F16" s="163">
        <v>-51.550600000000003</v>
      </c>
      <c r="G16" s="163">
        <v>-415.58150000000001</v>
      </c>
      <c r="H16" s="163">
        <v>-645.34799999999996</v>
      </c>
      <c r="I16" s="163">
        <v>151.14070000000001</v>
      </c>
      <c r="J16" s="163">
        <v>150.98769999999999</v>
      </c>
      <c r="K16" s="163">
        <v>472.56119999999999</v>
      </c>
      <c r="L16" s="163">
        <v>375.34699999999998</v>
      </c>
      <c r="M16" s="163">
        <v>1150.0365999999999</v>
      </c>
    </row>
    <row r="17" spans="1:13" ht="18" customHeight="1" x14ac:dyDescent="0.3">
      <c r="A17" s="162" t="s">
        <v>67</v>
      </c>
      <c r="B17" s="162" t="s">
        <v>817</v>
      </c>
      <c r="C17" s="166">
        <v>-63.73</v>
      </c>
      <c r="D17" s="166">
        <v>-63.75</v>
      </c>
      <c r="E17" s="166">
        <v>-49.9679</v>
      </c>
      <c r="F17" s="166">
        <v>-49.792000000000002</v>
      </c>
      <c r="G17" s="166">
        <v>-421.26420000000002</v>
      </c>
      <c r="H17" s="166">
        <v>-648.50409999999999</v>
      </c>
      <c r="I17" s="166">
        <v>157.03030000000001</v>
      </c>
      <c r="J17" s="166">
        <v>158.63409999999999</v>
      </c>
      <c r="K17" s="166">
        <v>482.85359999999997</v>
      </c>
      <c r="L17" s="166">
        <v>392.42619999999999</v>
      </c>
      <c r="M17" s="166">
        <v>1190.9441999999999</v>
      </c>
    </row>
    <row r="18" spans="1:13" ht="18" customHeight="1" x14ac:dyDescent="0.3">
      <c r="A18" s="162" t="s">
        <v>67</v>
      </c>
      <c r="B18" s="162" t="s">
        <v>818</v>
      </c>
      <c r="C18" s="166">
        <v>-68.209999999999994</v>
      </c>
      <c r="D18" s="166">
        <v>-68.52</v>
      </c>
      <c r="E18" s="166">
        <v>-58.591999999999999</v>
      </c>
      <c r="F18" s="166">
        <v>-58.486400000000003</v>
      </c>
      <c r="G18" s="166">
        <v>-435.23570000000001</v>
      </c>
      <c r="H18" s="166">
        <v>-689.04409999999996</v>
      </c>
      <c r="I18" s="166">
        <v>159.52029999999999</v>
      </c>
      <c r="J18" s="166">
        <v>160.21019999999999</v>
      </c>
      <c r="K18" s="166">
        <v>491.42860000000002</v>
      </c>
      <c r="L18" s="166">
        <v>389.12790000000001</v>
      </c>
      <c r="M18" s="166">
        <v>1200.287</v>
      </c>
    </row>
    <row r="19" spans="1:13" ht="18" customHeight="1" x14ac:dyDescent="0.3">
      <c r="A19" s="162" t="s">
        <v>67</v>
      </c>
      <c r="B19" s="162" t="s">
        <v>819</v>
      </c>
      <c r="C19" s="166">
        <v>-66.3</v>
      </c>
      <c r="D19" s="166">
        <v>-64.959999999999994</v>
      </c>
      <c r="E19" s="166">
        <v>-56.374499999999998</v>
      </c>
      <c r="F19" s="166">
        <v>-55.5944</v>
      </c>
      <c r="G19" s="166">
        <v>-429.35500000000002</v>
      </c>
      <c r="H19" s="166">
        <v>-672.58389999999997</v>
      </c>
      <c r="I19" s="166">
        <v>156.0189</v>
      </c>
      <c r="J19" s="166">
        <v>156.1456</v>
      </c>
      <c r="K19" s="166">
        <v>473.0686</v>
      </c>
      <c r="L19" s="166">
        <v>381.36340000000001</v>
      </c>
      <c r="M19" s="166">
        <v>1166.5965000000001</v>
      </c>
    </row>
    <row r="20" spans="1:13" ht="18" customHeight="1" x14ac:dyDescent="0.3">
      <c r="A20" s="162" t="s">
        <v>67</v>
      </c>
      <c r="B20" s="162" t="s">
        <v>820</v>
      </c>
      <c r="C20" s="166">
        <v>-67.38</v>
      </c>
      <c r="D20" s="166">
        <v>-67.010000000000005</v>
      </c>
      <c r="E20" s="166">
        <v>-57.612200000000001</v>
      </c>
      <c r="F20" s="166">
        <v>-57.910200000000003</v>
      </c>
      <c r="G20" s="166">
        <v>-435.959</v>
      </c>
      <c r="H20" s="166">
        <v>-685.87139999999999</v>
      </c>
      <c r="I20" s="166">
        <v>154.4315</v>
      </c>
      <c r="J20" s="166">
        <v>153.38579999999999</v>
      </c>
      <c r="K20" s="166">
        <v>463.97669999999999</v>
      </c>
      <c r="L20" s="166">
        <v>369.48540000000003</v>
      </c>
      <c r="M20" s="166">
        <v>1141.2793999999999</v>
      </c>
    </row>
    <row r="21" spans="1:13" ht="18" customHeight="1" x14ac:dyDescent="0.3">
      <c r="A21" s="162" t="s">
        <v>67</v>
      </c>
      <c r="B21" s="162" t="s">
        <v>821</v>
      </c>
      <c r="C21" s="166">
        <v>-69.349999999999994</v>
      </c>
      <c r="D21" s="166">
        <v>-69.150000000000006</v>
      </c>
      <c r="E21" s="166">
        <v>-52.563299999999998</v>
      </c>
      <c r="F21" s="166">
        <v>-52.734099999999998</v>
      </c>
      <c r="G21" s="166">
        <v>-467.36869999999999</v>
      </c>
      <c r="H21" s="166">
        <v>-711.16610000000003</v>
      </c>
      <c r="I21" s="166">
        <v>130.84389999999999</v>
      </c>
      <c r="J21" s="166">
        <v>131.97290000000001</v>
      </c>
      <c r="K21" s="166">
        <v>371.44819999999999</v>
      </c>
      <c r="L21" s="166">
        <v>294.05889999999999</v>
      </c>
      <c r="M21" s="166">
        <v>928.32389999999998</v>
      </c>
    </row>
    <row r="22" spans="1:13" ht="18" customHeight="1" x14ac:dyDescent="0.3">
      <c r="A22" s="162" t="s">
        <v>67</v>
      </c>
      <c r="B22" s="162" t="s">
        <v>822</v>
      </c>
      <c r="C22" s="166">
        <v>-67.97</v>
      </c>
      <c r="D22" s="166">
        <v>-68.849999999999994</v>
      </c>
      <c r="E22" s="166">
        <v>-51.948399999999999</v>
      </c>
      <c r="F22" s="166">
        <v>-51.522100000000002</v>
      </c>
      <c r="G22" s="166">
        <v>-468.03680000000003</v>
      </c>
      <c r="H22" s="166">
        <v>-708.32730000000004</v>
      </c>
      <c r="I22" s="166">
        <v>110.5829</v>
      </c>
      <c r="J22" s="166">
        <v>111.42230000000001</v>
      </c>
      <c r="K22" s="166">
        <v>278.34519999999998</v>
      </c>
      <c r="L22" s="166">
        <v>207.84100000000001</v>
      </c>
      <c r="M22" s="166">
        <v>708.19140000000004</v>
      </c>
    </row>
    <row r="23" spans="1:13" ht="18" customHeight="1" x14ac:dyDescent="0.3">
      <c r="A23" s="162" t="s">
        <v>67</v>
      </c>
      <c r="B23" s="162" t="s">
        <v>823</v>
      </c>
      <c r="C23" s="169">
        <v>-65.73</v>
      </c>
      <c r="D23" s="169">
        <v>-65.98</v>
      </c>
      <c r="E23" s="169">
        <v>-47.607799999999997</v>
      </c>
      <c r="F23" s="169">
        <v>-47.695399999999999</v>
      </c>
      <c r="G23" s="169">
        <v>-484.37259999999998</v>
      </c>
      <c r="H23" s="169">
        <v>-711.38580000000002</v>
      </c>
      <c r="I23" s="169">
        <v>90.790199999999999</v>
      </c>
      <c r="J23" s="169">
        <v>91.906599999999997</v>
      </c>
      <c r="K23" s="169">
        <v>177.21709999999999</v>
      </c>
      <c r="L23" s="169">
        <v>116.6317</v>
      </c>
      <c r="M23" s="169">
        <v>476.54559999999998</v>
      </c>
    </row>
    <row r="24" spans="1:13" ht="18" customHeight="1" x14ac:dyDescent="0.3">
      <c r="A24" s="162" t="s">
        <v>67</v>
      </c>
      <c r="B24" s="162" t="s">
        <v>824</v>
      </c>
      <c r="C24" s="163">
        <v>-74.98</v>
      </c>
      <c r="D24" s="163">
        <v>-74.66</v>
      </c>
      <c r="E24" s="163">
        <v>-54.636899999999997</v>
      </c>
      <c r="F24" s="163">
        <v>-53.177300000000002</v>
      </c>
      <c r="G24" s="163">
        <v>-521.71720000000005</v>
      </c>
      <c r="H24" s="163">
        <v>-779.17139999999995</v>
      </c>
      <c r="I24" s="163">
        <v>94.956599999999995</v>
      </c>
      <c r="J24" s="163">
        <v>94.975999999999999</v>
      </c>
      <c r="K24" s="163">
        <v>236.26</v>
      </c>
      <c r="L24" s="163">
        <v>35.835900000000002</v>
      </c>
      <c r="M24" s="163">
        <v>462.02850000000001</v>
      </c>
    </row>
    <row r="25" spans="1:13" ht="18" customHeight="1" x14ac:dyDescent="0.3">
      <c r="A25" s="162" t="s">
        <v>67</v>
      </c>
      <c r="B25" s="162" t="s">
        <v>825</v>
      </c>
      <c r="C25" s="166">
        <v>-70.319999999999993</v>
      </c>
      <c r="D25" s="166">
        <v>-70.739999999999995</v>
      </c>
      <c r="E25" s="166">
        <v>-50.116399999999999</v>
      </c>
      <c r="F25" s="166">
        <v>-50.153599999999997</v>
      </c>
      <c r="G25" s="166">
        <v>-522.29380000000003</v>
      </c>
      <c r="H25" s="166">
        <v>-763.62379999999996</v>
      </c>
      <c r="I25" s="166">
        <v>98.231999999999999</v>
      </c>
      <c r="J25" s="166">
        <v>98.443600000000004</v>
      </c>
      <c r="K25" s="166">
        <v>228.45429999999999</v>
      </c>
      <c r="L25" s="166">
        <v>26.5153</v>
      </c>
      <c r="M25" s="166">
        <v>451.64519999999999</v>
      </c>
    </row>
    <row r="26" spans="1:13" ht="18" customHeight="1" x14ac:dyDescent="0.3">
      <c r="A26" s="162" t="s">
        <v>67</v>
      </c>
      <c r="B26" s="162" t="s">
        <v>826</v>
      </c>
      <c r="C26" s="166">
        <v>-73.97</v>
      </c>
      <c r="D26" s="166">
        <v>-73.959999999999994</v>
      </c>
      <c r="E26" s="166">
        <v>-58.891800000000003</v>
      </c>
      <c r="F26" s="166">
        <v>-58.659300000000002</v>
      </c>
      <c r="G26" s="166">
        <v>-535.40549999999996</v>
      </c>
      <c r="H26" s="166">
        <v>-800.88660000000004</v>
      </c>
      <c r="I26" s="166">
        <v>139.96270000000001</v>
      </c>
      <c r="J26" s="166">
        <v>137.4564</v>
      </c>
      <c r="K26" s="166">
        <v>179.42410000000001</v>
      </c>
      <c r="L26" s="166">
        <v>-1.8601000000000001</v>
      </c>
      <c r="M26" s="166">
        <v>454.98309999999998</v>
      </c>
    </row>
    <row r="27" spans="1:13" ht="18" customHeight="1" x14ac:dyDescent="0.3">
      <c r="A27" s="162" t="s">
        <v>67</v>
      </c>
      <c r="B27" s="162" t="s">
        <v>827</v>
      </c>
      <c r="C27" s="166">
        <v>-70.61</v>
      </c>
      <c r="D27" s="166">
        <v>-71.53</v>
      </c>
      <c r="E27" s="166">
        <v>-61.055700000000002</v>
      </c>
      <c r="F27" s="166">
        <v>-60.866399999999999</v>
      </c>
      <c r="G27" s="166">
        <v>-524.22860000000003</v>
      </c>
      <c r="H27" s="166">
        <v>-788.29070000000002</v>
      </c>
      <c r="I27" s="166">
        <v>141.48070000000001</v>
      </c>
      <c r="J27" s="166">
        <v>140.13</v>
      </c>
      <c r="K27" s="166">
        <v>179.9161</v>
      </c>
      <c r="L27" s="166">
        <v>1.8767</v>
      </c>
      <c r="M27" s="166">
        <v>463.40350000000001</v>
      </c>
    </row>
    <row r="28" spans="1:13" ht="18" customHeight="1" x14ac:dyDescent="0.3">
      <c r="A28" s="162" t="s">
        <v>67</v>
      </c>
      <c r="B28" s="162" t="s">
        <v>828</v>
      </c>
      <c r="C28" s="166">
        <v>-71.89</v>
      </c>
      <c r="D28" s="166">
        <v>-73.13</v>
      </c>
      <c r="E28" s="166">
        <v>-64.2684</v>
      </c>
      <c r="F28" s="166">
        <v>-63.840699999999998</v>
      </c>
      <c r="G28" s="166">
        <v>-531.36890000000005</v>
      </c>
      <c r="H28" s="166">
        <v>-804.49800000000005</v>
      </c>
      <c r="I28" s="166">
        <v>128.0566</v>
      </c>
      <c r="J28" s="166">
        <v>127.9375</v>
      </c>
      <c r="K28" s="166">
        <v>146.84479999999999</v>
      </c>
      <c r="L28" s="166">
        <v>-17.242799999999999</v>
      </c>
      <c r="M28" s="166">
        <v>385.59609999999998</v>
      </c>
    </row>
    <row r="29" spans="1:13" ht="18" customHeight="1" x14ac:dyDescent="0.3">
      <c r="A29" s="162" t="s">
        <v>67</v>
      </c>
      <c r="B29" s="162" t="s">
        <v>829</v>
      </c>
      <c r="C29" s="166">
        <v>-73.010000000000005</v>
      </c>
      <c r="D29" s="166">
        <v>-72.849999999999994</v>
      </c>
      <c r="E29" s="166">
        <v>-62.731000000000002</v>
      </c>
      <c r="F29" s="166">
        <v>-62.306600000000003</v>
      </c>
      <c r="G29" s="166">
        <v>-537.00869999999998</v>
      </c>
      <c r="H29" s="166">
        <v>-807.90629999999999</v>
      </c>
      <c r="I29" s="166">
        <v>128.04759999999999</v>
      </c>
      <c r="J29" s="166">
        <v>126</v>
      </c>
      <c r="K29" s="166">
        <v>142.8853</v>
      </c>
      <c r="L29" s="166">
        <v>-23.088799999999999</v>
      </c>
      <c r="M29" s="166">
        <v>373.84410000000003</v>
      </c>
    </row>
    <row r="30" spans="1:13" ht="18" customHeight="1" x14ac:dyDescent="0.3">
      <c r="A30" s="162" t="s">
        <v>67</v>
      </c>
      <c r="B30" s="162" t="s">
        <v>830</v>
      </c>
      <c r="C30" s="166">
        <v>-74.86</v>
      </c>
      <c r="D30" s="166">
        <v>-75.31</v>
      </c>
      <c r="E30" s="166">
        <v>-61.054200000000002</v>
      </c>
      <c r="F30" s="166">
        <v>-61.037199999999999</v>
      </c>
      <c r="G30" s="166">
        <v>-559.8913</v>
      </c>
      <c r="H30" s="166">
        <v>-832.15269999999998</v>
      </c>
      <c r="I30" s="166">
        <v>126.7316</v>
      </c>
      <c r="J30" s="166">
        <v>125.92659999999999</v>
      </c>
      <c r="K30" s="166">
        <v>134.5909</v>
      </c>
      <c r="L30" s="166">
        <v>-25.8659</v>
      </c>
      <c r="M30" s="166">
        <v>361.38319999999999</v>
      </c>
    </row>
    <row r="31" spans="1:13" ht="18" customHeight="1" x14ac:dyDescent="0.3">
      <c r="A31" s="162" t="s">
        <v>67</v>
      </c>
      <c r="B31" s="162" t="s">
        <v>831</v>
      </c>
      <c r="C31" s="169">
        <v>-75.760000000000005</v>
      </c>
      <c r="D31" s="169">
        <v>-76.52</v>
      </c>
      <c r="E31" s="169">
        <v>-65.006699999999995</v>
      </c>
      <c r="F31" s="169">
        <v>-63.4923</v>
      </c>
      <c r="G31" s="169">
        <v>-542.2124</v>
      </c>
      <c r="H31" s="169">
        <v>-822.9914</v>
      </c>
      <c r="I31" s="169">
        <v>133.76009999999999</v>
      </c>
      <c r="J31" s="169">
        <v>131.31950000000001</v>
      </c>
      <c r="K31" s="169">
        <v>170.78100000000001</v>
      </c>
      <c r="L31" s="169">
        <v>-8.5798000000000005</v>
      </c>
      <c r="M31" s="169">
        <v>427.2808</v>
      </c>
    </row>
    <row r="32" spans="1:13" ht="18" customHeight="1" x14ac:dyDescent="0.3">
      <c r="A32" s="162" t="s">
        <v>67</v>
      </c>
      <c r="B32" s="162" t="s">
        <v>832</v>
      </c>
      <c r="C32" s="163">
        <v>-70.83</v>
      </c>
      <c r="D32" s="163">
        <v>-71.040000000000006</v>
      </c>
      <c r="E32" s="163">
        <v>-55.408799999999999</v>
      </c>
      <c r="F32" s="163">
        <v>-55.069200000000002</v>
      </c>
      <c r="G32" s="163">
        <v>-525.46249999999998</v>
      </c>
      <c r="H32" s="163">
        <v>-777.81050000000005</v>
      </c>
      <c r="I32" s="163">
        <v>128.5754</v>
      </c>
      <c r="J32" s="163">
        <v>130.22550000000001</v>
      </c>
      <c r="K32" s="163">
        <v>170.85230000000001</v>
      </c>
      <c r="L32" s="163">
        <v>-10.934699999999999</v>
      </c>
      <c r="M32" s="163">
        <v>418.71850000000001</v>
      </c>
    </row>
    <row r="33" spans="1:13" ht="18" customHeight="1" x14ac:dyDescent="0.3">
      <c r="A33" s="162" t="s">
        <v>67</v>
      </c>
      <c r="B33" s="162" t="s">
        <v>833</v>
      </c>
      <c r="C33" s="166">
        <v>-67.989999999999995</v>
      </c>
      <c r="D33" s="166">
        <v>-68.66</v>
      </c>
      <c r="E33" s="166">
        <v>-50.733699999999999</v>
      </c>
      <c r="F33" s="166">
        <v>-50.968400000000003</v>
      </c>
      <c r="G33" s="166">
        <v>-532.72590000000002</v>
      </c>
      <c r="H33" s="166">
        <v>-771.07799999999997</v>
      </c>
      <c r="I33" s="166">
        <v>117.10290000000001</v>
      </c>
      <c r="J33" s="166">
        <v>116.9117</v>
      </c>
      <c r="K33" s="166">
        <v>159.1525</v>
      </c>
      <c r="L33" s="166">
        <v>-18.148399999999999</v>
      </c>
      <c r="M33" s="166">
        <v>375.01870000000002</v>
      </c>
    </row>
    <row r="34" spans="1:13" ht="18" customHeight="1" x14ac:dyDescent="0.3">
      <c r="A34" s="162" t="s">
        <v>67</v>
      </c>
      <c r="B34" s="162" t="s">
        <v>834</v>
      </c>
      <c r="C34" s="166">
        <v>-77.099999999999994</v>
      </c>
      <c r="D34" s="166">
        <v>-77.03</v>
      </c>
      <c r="E34" s="166">
        <v>-54.433700000000002</v>
      </c>
      <c r="F34" s="166">
        <v>-54.204700000000003</v>
      </c>
      <c r="G34" s="166">
        <v>-536.16560000000004</v>
      </c>
      <c r="H34" s="166">
        <v>-798.93399999999997</v>
      </c>
      <c r="I34" s="166">
        <v>117.51909999999999</v>
      </c>
      <c r="J34" s="166">
        <v>118.2839</v>
      </c>
      <c r="K34" s="166">
        <v>160.9375</v>
      </c>
      <c r="L34" s="166">
        <v>-9.7407000000000004</v>
      </c>
      <c r="M34" s="166">
        <v>386.99979999999999</v>
      </c>
    </row>
    <row r="35" spans="1:13" ht="18" customHeight="1" x14ac:dyDescent="0.3">
      <c r="A35" s="162" t="s">
        <v>67</v>
      </c>
      <c r="B35" s="162" t="s">
        <v>835</v>
      </c>
      <c r="C35" s="166">
        <v>-76.38</v>
      </c>
      <c r="D35" s="166">
        <v>-77.17</v>
      </c>
      <c r="E35" s="166">
        <v>-56.866999999999997</v>
      </c>
      <c r="F35" s="166">
        <v>-56.517400000000002</v>
      </c>
      <c r="G35" s="166">
        <v>-528.39179999999999</v>
      </c>
      <c r="H35" s="166">
        <v>-795.32619999999997</v>
      </c>
      <c r="I35" s="166">
        <v>120.8164</v>
      </c>
      <c r="J35" s="166">
        <v>120.51439999999999</v>
      </c>
      <c r="K35" s="166">
        <v>167.0136</v>
      </c>
      <c r="L35" s="166">
        <v>-11.774800000000001</v>
      </c>
      <c r="M35" s="166">
        <v>396.56959999999998</v>
      </c>
    </row>
    <row r="36" spans="1:13" ht="18" customHeight="1" x14ac:dyDescent="0.3">
      <c r="A36" s="162" t="s">
        <v>67</v>
      </c>
      <c r="B36" s="162" t="s">
        <v>836</v>
      </c>
      <c r="C36" s="166">
        <v>-74.959999999999994</v>
      </c>
      <c r="D36" s="166">
        <v>-75.08</v>
      </c>
      <c r="E36" s="166">
        <v>-61.096400000000003</v>
      </c>
      <c r="F36" s="166">
        <v>-60.689799999999998</v>
      </c>
      <c r="G36" s="166">
        <v>-518.99879999999996</v>
      </c>
      <c r="H36" s="166">
        <v>-790.82500000000005</v>
      </c>
      <c r="I36" s="166">
        <v>126.0342</v>
      </c>
      <c r="J36" s="166">
        <v>125.7945</v>
      </c>
      <c r="K36" s="166">
        <v>180.28049999999999</v>
      </c>
      <c r="L36" s="166">
        <v>-5.5503999999999998</v>
      </c>
      <c r="M36" s="166">
        <v>426.55880000000002</v>
      </c>
    </row>
    <row r="37" spans="1:13" ht="18" customHeight="1" x14ac:dyDescent="0.3">
      <c r="A37" s="162" t="s">
        <v>67</v>
      </c>
      <c r="B37" s="162" t="s">
        <v>837</v>
      </c>
      <c r="C37" s="166">
        <v>-78.16</v>
      </c>
      <c r="D37" s="166">
        <v>-77.86</v>
      </c>
      <c r="E37" s="166">
        <v>-67.941999999999993</v>
      </c>
      <c r="F37" s="166">
        <v>-66.873099999999994</v>
      </c>
      <c r="G37" s="166">
        <v>-519.71529999999996</v>
      </c>
      <c r="H37" s="166">
        <v>-810.55039999999997</v>
      </c>
      <c r="I37" s="166">
        <v>132.56059999999999</v>
      </c>
      <c r="J37" s="166">
        <v>130.17910000000001</v>
      </c>
      <c r="K37" s="166">
        <v>204.4367</v>
      </c>
      <c r="L37" s="166">
        <v>12.243600000000001</v>
      </c>
      <c r="M37" s="166">
        <v>479.42</v>
      </c>
    </row>
    <row r="38" spans="1:13" ht="18" customHeight="1" x14ac:dyDescent="0.3">
      <c r="A38" s="162" t="s">
        <v>67</v>
      </c>
      <c r="B38" s="162" t="s">
        <v>838</v>
      </c>
      <c r="C38" s="166">
        <v>-76.36</v>
      </c>
      <c r="D38" s="166">
        <v>-77.099999999999994</v>
      </c>
      <c r="E38" s="166">
        <v>-56.696399999999997</v>
      </c>
      <c r="F38" s="166">
        <v>-56.847099999999998</v>
      </c>
      <c r="G38" s="166">
        <v>-533.04259999999999</v>
      </c>
      <c r="H38" s="166">
        <v>-800.04610000000002</v>
      </c>
      <c r="I38" s="166">
        <v>133.16069999999999</v>
      </c>
      <c r="J38" s="166">
        <v>134.37960000000001</v>
      </c>
      <c r="K38" s="166">
        <v>215.9323</v>
      </c>
      <c r="L38" s="166">
        <v>28.5975</v>
      </c>
      <c r="M38" s="166">
        <v>512.07010000000002</v>
      </c>
    </row>
    <row r="39" spans="1:13" ht="18" customHeight="1" x14ac:dyDescent="0.3">
      <c r="A39" s="162" t="s">
        <v>67</v>
      </c>
      <c r="B39" s="162" t="s">
        <v>839</v>
      </c>
      <c r="C39" s="169">
        <v>-77.23</v>
      </c>
      <c r="D39" s="169">
        <v>-77.97</v>
      </c>
      <c r="E39" s="169">
        <v>-58.746600000000001</v>
      </c>
      <c r="F39" s="169">
        <v>-58.8735</v>
      </c>
      <c r="G39" s="169">
        <v>-530.50229999999999</v>
      </c>
      <c r="H39" s="169">
        <v>-803.32240000000002</v>
      </c>
      <c r="I39" s="169">
        <v>152.79900000000001</v>
      </c>
      <c r="J39" s="169">
        <v>149.37809999999999</v>
      </c>
      <c r="K39" s="169">
        <v>281.52179999999998</v>
      </c>
      <c r="L39" s="169">
        <v>78.771000000000001</v>
      </c>
      <c r="M39" s="169">
        <v>662.46990000000005</v>
      </c>
    </row>
    <row r="40" spans="1:13" ht="18" customHeight="1" x14ac:dyDescent="0.3">
      <c r="A40" s="162" t="s">
        <v>67</v>
      </c>
      <c r="B40" s="162" t="s">
        <v>840</v>
      </c>
      <c r="C40" s="163">
        <v>-79.16</v>
      </c>
      <c r="D40" s="163">
        <v>-79.290000000000006</v>
      </c>
      <c r="E40" s="163">
        <v>-66.950400000000002</v>
      </c>
      <c r="F40" s="163">
        <v>-66.356999999999999</v>
      </c>
      <c r="G40" s="163">
        <v>-520.22400000000005</v>
      </c>
      <c r="H40" s="163">
        <v>-811.98140000000001</v>
      </c>
      <c r="I40" s="163">
        <v>190.5626</v>
      </c>
      <c r="J40" s="163">
        <v>190.2371</v>
      </c>
      <c r="K40" s="163">
        <v>412.76139999999998</v>
      </c>
      <c r="L40" s="163">
        <v>191.55860000000001</v>
      </c>
      <c r="M40" s="163">
        <v>985.11969999999997</v>
      </c>
    </row>
    <row r="41" spans="1:13" ht="18" customHeight="1" x14ac:dyDescent="0.3">
      <c r="A41" s="162" t="s">
        <v>67</v>
      </c>
      <c r="B41" s="162" t="s">
        <v>841</v>
      </c>
      <c r="C41" s="166">
        <v>-75.22</v>
      </c>
      <c r="D41" s="166">
        <v>-75.41</v>
      </c>
      <c r="E41" s="166">
        <v>-58.109400000000001</v>
      </c>
      <c r="F41" s="166">
        <v>-58.723300000000002</v>
      </c>
      <c r="G41" s="166">
        <v>-513.68740000000003</v>
      </c>
      <c r="H41" s="166">
        <v>-781.15009999999995</v>
      </c>
      <c r="I41" s="166">
        <v>209.19980000000001</v>
      </c>
      <c r="J41" s="166">
        <v>207.1645</v>
      </c>
      <c r="K41" s="166">
        <v>422.39550000000003</v>
      </c>
      <c r="L41" s="166">
        <v>349.04739999999998</v>
      </c>
      <c r="M41" s="166">
        <v>1187.8072</v>
      </c>
    </row>
    <row r="42" spans="1:13" ht="18" customHeight="1" x14ac:dyDescent="0.3">
      <c r="A42" s="162" t="s">
        <v>67</v>
      </c>
      <c r="B42" s="162" t="s">
        <v>842</v>
      </c>
      <c r="C42" s="166">
        <v>-72.52</v>
      </c>
      <c r="D42" s="166">
        <v>-73.010000000000005</v>
      </c>
      <c r="E42" s="166">
        <v>-59.369700000000002</v>
      </c>
      <c r="F42" s="166">
        <v>-59.773299999999999</v>
      </c>
      <c r="G42" s="166">
        <v>-475.9049</v>
      </c>
      <c r="H42" s="166">
        <v>-740.5779</v>
      </c>
      <c r="I42" s="166">
        <v>157.62139999999999</v>
      </c>
      <c r="J42" s="166">
        <v>159.33959999999999</v>
      </c>
      <c r="K42" s="166">
        <v>569.37540000000001</v>
      </c>
      <c r="L42" s="166">
        <v>454.149</v>
      </c>
      <c r="M42" s="166">
        <v>1340.4854</v>
      </c>
    </row>
    <row r="43" spans="1:13" ht="18" customHeight="1" x14ac:dyDescent="0.3">
      <c r="A43" s="162" t="s">
        <v>67</v>
      </c>
      <c r="B43" s="162" t="s">
        <v>843</v>
      </c>
      <c r="C43" s="166">
        <v>-69.38</v>
      </c>
      <c r="D43" s="166">
        <v>-69.989999999999995</v>
      </c>
      <c r="E43" s="166">
        <v>-53.430700000000002</v>
      </c>
      <c r="F43" s="166">
        <v>-53.246699999999997</v>
      </c>
      <c r="G43" s="166">
        <v>-480.16410000000002</v>
      </c>
      <c r="H43" s="166">
        <v>-726.2115</v>
      </c>
      <c r="I43" s="166">
        <v>162.19890000000001</v>
      </c>
      <c r="J43" s="166">
        <v>162.17599999999999</v>
      </c>
      <c r="K43" s="166">
        <v>577.4076</v>
      </c>
      <c r="L43" s="166">
        <v>459.7901</v>
      </c>
      <c r="M43" s="166">
        <v>1361.5726</v>
      </c>
    </row>
    <row r="44" spans="1:13" ht="18" customHeight="1" x14ac:dyDescent="0.3">
      <c r="A44" s="162" t="s">
        <v>67</v>
      </c>
      <c r="B44" s="162" t="s">
        <v>844</v>
      </c>
      <c r="C44" s="166">
        <v>-80.73</v>
      </c>
      <c r="D44" s="166">
        <v>-80.89</v>
      </c>
      <c r="E44" s="166">
        <v>-64.842200000000005</v>
      </c>
      <c r="F44" s="166">
        <v>-65.016199999999998</v>
      </c>
      <c r="G44" s="166">
        <v>-535.07860000000005</v>
      </c>
      <c r="H44" s="166">
        <v>-826.55700000000002</v>
      </c>
      <c r="I44" s="166">
        <v>165.5659</v>
      </c>
      <c r="J44" s="166">
        <v>165.15880000000001</v>
      </c>
      <c r="K44" s="166">
        <v>580.54139999999995</v>
      </c>
      <c r="L44" s="166">
        <v>465.91300000000001</v>
      </c>
      <c r="M44" s="166">
        <v>1377.1791000000001</v>
      </c>
    </row>
    <row r="45" spans="1:13" ht="18" customHeight="1" x14ac:dyDescent="0.3">
      <c r="A45" s="162" t="s">
        <v>67</v>
      </c>
      <c r="B45" s="162" t="s">
        <v>845</v>
      </c>
      <c r="C45" s="166">
        <v>-75.17</v>
      </c>
      <c r="D45" s="166">
        <v>-75.099999999999994</v>
      </c>
      <c r="E45" s="166">
        <v>-58.478099999999998</v>
      </c>
      <c r="F45" s="166">
        <v>-58.8536</v>
      </c>
      <c r="G45" s="166">
        <v>-533.43799999999999</v>
      </c>
      <c r="H45" s="166">
        <v>-801.03970000000004</v>
      </c>
      <c r="I45" s="166">
        <v>161.9384</v>
      </c>
      <c r="J45" s="166">
        <v>162.02199999999999</v>
      </c>
      <c r="K45" s="166">
        <v>573.1508</v>
      </c>
      <c r="L45" s="166">
        <v>450.49549999999999</v>
      </c>
      <c r="M45" s="166">
        <v>1347.6067</v>
      </c>
    </row>
    <row r="46" spans="1:13" ht="18" customHeight="1" x14ac:dyDescent="0.3">
      <c r="A46" s="162" t="s">
        <v>67</v>
      </c>
      <c r="B46" s="162" t="s">
        <v>846</v>
      </c>
      <c r="C46" s="166">
        <v>-73.58</v>
      </c>
      <c r="D46" s="166">
        <v>-74.040000000000006</v>
      </c>
      <c r="E46" s="166">
        <v>-63.392200000000003</v>
      </c>
      <c r="F46" s="166">
        <v>-63.244500000000002</v>
      </c>
      <c r="G46" s="166">
        <v>-486.8372</v>
      </c>
      <c r="H46" s="166">
        <v>-761.09389999999996</v>
      </c>
      <c r="I46" s="166">
        <v>156.31100000000001</v>
      </c>
      <c r="J46" s="166">
        <v>156.07239999999999</v>
      </c>
      <c r="K46" s="166">
        <v>538.2414</v>
      </c>
      <c r="L46" s="166">
        <v>426.37189999999998</v>
      </c>
      <c r="M46" s="166">
        <v>1276.9966999999999</v>
      </c>
    </row>
    <row r="47" spans="1:13" ht="18" customHeight="1" x14ac:dyDescent="0.3">
      <c r="A47" s="162" t="s">
        <v>67</v>
      </c>
      <c r="B47" s="162" t="s">
        <v>847</v>
      </c>
      <c r="C47" s="169">
        <v>-70.650000000000006</v>
      </c>
      <c r="D47" s="169">
        <v>-70.73</v>
      </c>
      <c r="E47" s="169">
        <v>-63.228999999999999</v>
      </c>
      <c r="F47" s="169">
        <v>-63.058</v>
      </c>
      <c r="G47" s="169">
        <v>-463.33620000000002</v>
      </c>
      <c r="H47" s="169">
        <v>-731.00319999999999</v>
      </c>
      <c r="I47" s="169">
        <v>166.33750000000001</v>
      </c>
      <c r="J47" s="169">
        <v>165.1173</v>
      </c>
      <c r="K47" s="169">
        <v>558.73329999999999</v>
      </c>
      <c r="L47" s="169">
        <v>448.2713</v>
      </c>
      <c r="M47" s="169">
        <v>1338.4594</v>
      </c>
    </row>
    <row r="48" spans="1:13" ht="18" customHeight="1" x14ac:dyDescent="0.3">
      <c r="A48" s="162" t="s">
        <v>67</v>
      </c>
      <c r="B48" s="162" t="s">
        <v>848</v>
      </c>
      <c r="C48" s="163">
        <v>-69.760000000000005</v>
      </c>
      <c r="D48" s="163">
        <v>-69.47</v>
      </c>
      <c r="E48" s="163">
        <v>-61.9255</v>
      </c>
      <c r="F48" s="163">
        <v>-62.045499999999997</v>
      </c>
      <c r="G48" s="163">
        <v>-454.0772</v>
      </c>
      <c r="H48" s="163">
        <v>-717.27819999999997</v>
      </c>
      <c r="I48" s="163">
        <v>166.2662</v>
      </c>
      <c r="J48" s="163">
        <v>166.45679999999999</v>
      </c>
      <c r="K48" s="163">
        <v>556.70330000000001</v>
      </c>
      <c r="L48" s="163">
        <v>438.99270000000001</v>
      </c>
      <c r="M48" s="163">
        <v>1328.4190000000001</v>
      </c>
    </row>
    <row r="49" spans="1:13" ht="18" customHeight="1" x14ac:dyDescent="0.3">
      <c r="A49" s="162" t="s">
        <v>67</v>
      </c>
      <c r="B49" s="162" t="s">
        <v>849</v>
      </c>
      <c r="C49" s="166">
        <v>-71.75</v>
      </c>
      <c r="D49" s="166">
        <v>-72.430000000000007</v>
      </c>
      <c r="E49" s="166">
        <v>-58.969299999999997</v>
      </c>
      <c r="F49" s="166">
        <v>-59.319600000000001</v>
      </c>
      <c r="G49" s="166">
        <v>-488.99149999999997</v>
      </c>
      <c r="H49" s="166">
        <v>-751.46040000000005</v>
      </c>
      <c r="I49" s="166">
        <v>168.857</v>
      </c>
      <c r="J49" s="166">
        <v>168.35990000000001</v>
      </c>
      <c r="K49" s="166">
        <v>556.85910000000001</v>
      </c>
      <c r="L49" s="166">
        <v>446.42899999999997</v>
      </c>
      <c r="M49" s="166">
        <v>1340.5050000000001</v>
      </c>
    </row>
    <row r="50" spans="1:13" ht="18" customHeight="1" x14ac:dyDescent="0.3">
      <c r="A50" s="162" t="s">
        <v>67</v>
      </c>
      <c r="B50" s="162" t="s">
        <v>850</v>
      </c>
      <c r="C50" s="166">
        <v>-70.12</v>
      </c>
      <c r="D50" s="166">
        <v>-70.39</v>
      </c>
      <c r="E50" s="166">
        <v>-63.616999999999997</v>
      </c>
      <c r="F50" s="166">
        <v>-63.216500000000003</v>
      </c>
      <c r="G50" s="166">
        <v>-489.23250000000002</v>
      </c>
      <c r="H50" s="166">
        <v>-756.57600000000002</v>
      </c>
      <c r="I50" s="166">
        <v>172.5016</v>
      </c>
      <c r="J50" s="166">
        <v>170.97489999999999</v>
      </c>
      <c r="K50" s="166">
        <v>554.45830000000001</v>
      </c>
      <c r="L50" s="166">
        <v>443.42140000000001</v>
      </c>
      <c r="M50" s="166">
        <v>1341.3561999999999</v>
      </c>
    </row>
    <row r="51" spans="1:13" ht="18" customHeight="1" x14ac:dyDescent="0.3">
      <c r="A51" s="162" t="s">
        <v>67</v>
      </c>
      <c r="B51" s="162" t="s">
        <v>851</v>
      </c>
      <c r="C51" s="166">
        <v>-71.540000000000006</v>
      </c>
      <c r="D51" s="166">
        <v>-71.510000000000005</v>
      </c>
      <c r="E51" s="166">
        <v>-55.121200000000002</v>
      </c>
      <c r="F51" s="166">
        <v>-54.868499999999997</v>
      </c>
      <c r="G51" s="166">
        <v>-496.56319999999999</v>
      </c>
      <c r="H51" s="166">
        <v>-749.60289999999998</v>
      </c>
      <c r="I51" s="166">
        <v>170.01339999999999</v>
      </c>
      <c r="J51" s="166">
        <v>170.09800000000001</v>
      </c>
      <c r="K51" s="166">
        <v>540.58130000000006</v>
      </c>
      <c r="L51" s="166">
        <v>427.97680000000003</v>
      </c>
      <c r="M51" s="166">
        <v>1308.6695</v>
      </c>
    </row>
    <row r="52" spans="1:13" ht="18" customHeight="1" x14ac:dyDescent="0.3">
      <c r="A52" s="162" t="s">
        <v>67</v>
      </c>
      <c r="B52" s="162" t="s">
        <v>852</v>
      </c>
      <c r="C52" s="166">
        <v>-65.489999999999995</v>
      </c>
      <c r="D52" s="166">
        <v>-65.64</v>
      </c>
      <c r="E52" s="166">
        <v>-56.375100000000003</v>
      </c>
      <c r="F52" s="166">
        <v>-56.570900000000002</v>
      </c>
      <c r="G52" s="166">
        <v>-457.25259999999997</v>
      </c>
      <c r="H52" s="166">
        <v>-701.32860000000005</v>
      </c>
      <c r="I52" s="166">
        <v>166.02600000000001</v>
      </c>
      <c r="J52" s="166">
        <v>165.92060000000001</v>
      </c>
      <c r="K52" s="166">
        <v>502.78550000000001</v>
      </c>
      <c r="L52" s="166">
        <v>405.60890000000001</v>
      </c>
      <c r="M52" s="166">
        <v>1240.3409999999999</v>
      </c>
    </row>
    <row r="53" spans="1:13" ht="18" customHeight="1" x14ac:dyDescent="0.3">
      <c r="A53" s="162" t="s">
        <v>67</v>
      </c>
      <c r="B53" s="162" t="s">
        <v>853</v>
      </c>
      <c r="C53" s="166">
        <v>-78.319999999999993</v>
      </c>
      <c r="D53" s="166">
        <v>-79.540000000000006</v>
      </c>
      <c r="E53" s="166">
        <v>-65.3583</v>
      </c>
      <c r="F53" s="166">
        <v>-65.320899999999995</v>
      </c>
      <c r="G53" s="166">
        <v>-500.38200000000001</v>
      </c>
      <c r="H53" s="166">
        <v>-788.9212</v>
      </c>
      <c r="I53" s="166">
        <v>153.83099999999999</v>
      </c>
      <c r="J53" s="166">
        <v>152.75059999999999</v>
      </c>
      <c r="K53" s="166">
        <v>457.98970000000003</v>
      </c>
      <c r="L53" s="166">
        <v>376.83859999999999</v>
      </c>
      <c r="M53" s="166">
        <v>1141.4099000000001</v>
      </c>
    </row>
    <row r="54" spans="1:13" ht="18" customHeight="1" x14ac:dyDescent="0.3">
      <c r="A54" s="162" t="s">
        <v>67</v>
      </c>
      <c r="B54" s="162" t="s">
        <v>854</v>
      </c>
      <c r="C54" s="166">
        <v>-78.66</v>
      </c>
      <c r="D54" s="166">
        <v>-78.25</v>
      </c>
      <c r="E54" s="166">
        <v>-64.204800000000006</v>
      </c>
      <c r="F54" s="166">
        <v>-63.783200000000001</v>
      </c>
      <c r="G54" s="166">
        <v>-498.75729999999999</v>
      </c>
      <c r="H54" s="166">
        <v>-783.65530000000001</v>
      </c>
      <c r="I54" s="166">
        <v>155.1465</v>
      </c>
      <c r="J54" s="166">
        <v>158.2088</v>
      </c>
      <c r="K54" s="166">
        <v>491.7183</v>
      </c>
      <c r="L54" s="166">
        <v>394.16559999999998</v>
      </c>
      <c r="M54" s="166">
        <v>1199.2392</v>
      </c>
    </row>
    <row r="55" spans="1:13" ht="18" customHeight="1" x14ac:dyDescent="0.3">
      <c r="A55" s="162" t="s">
        <v>855</v>
      </c>
      <c r="B55" s="162" t="s">
        <v>68</v>
      </c>
      <c r="C55" s="169">
        <v>-74.69</v>
      </c>
      <c r="D55" s="169">
        <v>-75.180000000000007</v>
      </c>
      <c r="E55" s="169">
        <v>-54.706499999999998</v>
      </c>
      <c r="F55" s="169">
        <v>-54.727899999999998</v>
      </c>
      <c r="G55" s="169">
        <v>-490.66649999999998</v>
      </c>
      <c r="H55" s="169">
        <v>-749.97090000000003</v>
      </c>
      <c r="I55" s="169">
        <v>155.1207</v>
      </c>
      <c r="J55" s="169">
        <v>156.78100000000001</v>
      </c>
      <c r="K55" s="169">
        <v>481.50479999999999</v>
      </c>
      <c r="L55" s="169">
        <v>396.37860000000001</v>
      </c>
      <c r="M55" s="169">
        <v>1189.7851000000001</v>
      </c>
    </row>
    <row r="56" spans="1:13" x14ac:dyDescent="0.3">
      <c r="A56" s="236" t="s">
        <v>867</v>
      </c>
      <c r="B56" s="236"/>
      <c r="C56" s="172">
        <v>-63.58</v>
      </c>
      <c r="D56" s="172">
        <v>-63.11</v>
      </c>
      <c r="E56" s="172">
        <v>-47.607799999999997</v>
      </c>
      <c r="F56" s="172">
        <v>-47.695399999999999</v>
      </c>
      <c r="G56" s="172">
        <v>-396.21109999999999</v>
      </c>
      <c r="H56" s="172"/>
      <c r="I56" s="172">
        <v>209.19980000000001</v>
      </c>
      <c r="J56" s="172">
        <v>207.1645</v>
      </c>
      <c r="K56" s="172">
        <v>580.54139999999995</v>
      </c>
      <c r="L56" s="172">
        <v>465.91300000000001</v>
      </c>
      <c r="M56" s="172"/>
    </row>
    <row r="57" spans="1:13" x14ac:dyDescent="0.3">
      <c r="A57" s="236" t="s">
        <v>868</v>
      </c>
      <c r="B57" s="236"/>
      <c r="C57" s="172">
        <v>-80.73</v>
      </c>
      <c r="D57" s="172">
        <v>-80.89</v>
      </c>
      <c r="E57" s="172">
        <v>-67.941999999999993</v>
      </c>
      <c r="F57" s="172">
        <v>-66.873099999999994</v>
      </c>
      <c r="G57" s="172">
        <v>-559.8913</v>
      </c>
      <c r="H57" s="172"/>
      <c r="I57" s="172">
        <v>90.790199999999999</v>
      </c>
      <c r="J57" s="172">
        <v>91.906599999999997</v>
      </c>
      <c r="K57" s="172">
        <v>134.5909</v>
      </c>
      <c r="L57" s="172">
        <v>-25.8659</v>
      </c>
      <c r="M57" s="172"/>
    </row>
    <row r="58" spans="1:13" x14ac:dyDescent="0.3">
      <c r="A58" s="236" t="s">
        <v>869</v>
      </c>
      <c r="B58" s="236"/>
      <c r="C58" s="172">
        <v>-71.649791666666673</v>
      </c>
      <c r="D58" s="172">
        <v>-71.772083333333327</v>
      </c>
      <c r="E58" s="172">
        <v>-58.011539583333331</v>
      </c>
      <c r="F58" s="172">
        <v>-57.790197916666664</v>
      </c>
      <c r="G58" s="172">
        <v>-487.3420375</v>
      </c>
      <c r="H58" s="172"/>
      <c r="I58" s="172">
        <v>147.80943541666664</v>
      </c>
      <c r="J58" s="172">
        <v>147.56695625</v>
      </c>
      <c r="K58" s="172">
        <v>385.70491458333333</v>
      </c>
      <c r="L58" s="172">
        <v>257.23505208333336</v>
      </c>
      <c r="M58" s="172"/>
    </row>
    <row r="59" spans="1:13" ht="27" customHeight="1" x14ac:dyDescent="0.3">
      <c r="A59" s="236" t="s">
        <v>3</v>
      </c>
      <c r="B59" s="236"/>
      <c r="C59" s="235" t="s">
        <v>2471</v>
      </c>
      <c r="D59" s="235"/>
      <c r="E59" s="235" t="s">
        <v>55</v>
      </c>
      <c r="F59" s="235"/>
      <c r="G59" s="235" t="s">
        <v>49</v>
      </c>
      <c r="H59" s="235" t="s">
        <v>965</v>
      </c>
      <c r="I59" s="235" t="s">
        <v>49</v>
      </c>
      <c r="J59" s="235"/>
      <c r="K59" s="235"/>
      <c r="L59" s="235" t="s">
        <v>196</v>
      </c>
      <c r="M59" s="235" t="s">
        <v>965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7" t="s">
        <v>2789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</row>
    <row r="5" spans="1:32" ht="19.95" hidden="1" customHeight="1" x14ac:dyDescent="0.3">
      <c r="A5" s="236" t="s">
        <v>1830</v>
      </c>
      <c r="B5" s="236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36" t="s">
        <v>1831</v>
      </c>
      <c r="B6" s="236"/>
      <c r="C6" s="176" t="s">
        <v>2790</v>
      </c>
      <c r="D6" s="176" t="s">
        <v>2791</v>
      </c>
      <c r="E6" s="176" t="s">
        <v>2792</v>
      </c>
      <c r="F6" s="176" t="s">
        <v>2793</v>
      </c>
      <c r="G6" s="176" t="s">
        <v>2794</v>
      </c>
      <c r="H6" s="176" t="s">
        <v>2795</v>
      </c>
      <c r="I6" s="176" t="s">
        <v>2796</v>
      </c>
      <c r="J6" s="176" t="s">
        <v>2797</v>
      </c>
      <c r="K6" s="176" t="s">
        <v>2798</v>
      </c>
      <c r="L6" s="176" t="s">
        <v>2799</v>
      </c>
      <c r="M6" s="176" t="s">
        <v>2800</v>
      </c>
      <c r="N6" s="176" t="s">
        <v>2801</v>
      </c>
      <c r="O6" s="11" t="s">
        <v>2802</v>
      </c>
      <c r="P6" s="11" t="s">
        <v>2803</v>
      </c>
      <c r="Q6" s="11" t="s">
        <v>2804</v>
      </c>
      <c r="R6" s="11" t="s">
        <v>2805</v>
      </c>
      <c r="S6" s="11" t="s">
        <v>2806</v>
      </c>
      <c r="T6" s="11" t="s">
        <v>2807</v>
      </c>
      <c r="U6" s="11" t="s">
        <v>2808</v>
      </c>
      <c r="V6" s="11" t="s">
        <v>2809</v>
      </c>
      <c r="W6" s="11" t="s">
        <v>2810</v>
      </c>
      <c r="X6" s="177" t="s">
        <v>2811</v>
      </c>
      <c r="Y6" s="177" t="s">
        <v>2812</v>
      </c>
      <c r="Z6" s="177" t="s">
        <v>2813</v>
      </c>
      <c r="AA6" s="177" t="s">
        <v>2814</v>
      </c>
      <c r="AB6" s="177" t="s">
        <v>2815</v>
      </c>
      <c r="AC6" s="177" t="s">
        <v>2816</v>
      </c>
      <c r="AD6" s="177" t="s">
        <v>2817</v>
      </c>
      <c r="AE6" s="177" t="s">
        <v>2818</v>
      </c>
      <c r="AF6" s="177" t="s">
        <v>2819</v>
      </c>
    </row>
    <row r="7" spans="1:32" ht="27" customHeight="1" x14ac:dyDescent="0.3">
      <c r="A7" s="236" t="s">
        <v>271</v>
      </c>
      <c r="B7" s="236"/>
      <c r="C7" s="240" t="s">
        <v>2820</v>
      </c>
      <c r="D7" s="240" t="s">
        <v>2821</v>
      </c>
      <c r="E7" s="240" t="s">
        <v>2822</v>
      </c>
      <c r="F7" s="240" t="s">
        <v>553</v>
      </c>
      <c r="G7" s="240" t="s">
        <v>2823</v>
      </c>
      <c r="H7" s="240" t="s">
        <v>556</v>
      </c>
      <c r="I7" s="240" t="s">
        <v>207</v>
      </c>
      <c r="J7" s="240" t="s">
        <v>561</v>
      </c>
      <c r="K7" s="240" t="s">
        <v>204</v>
      </c>
      <c r="L7" s="240" t="s">
        <v>582</v>
      </c>
      <c r="M7" s="240" t="s">
        <v>386</v>
      </c>
      <c r="N7" s="240" t="s">
        <v>2824</v>
      </c>
      <c r="O7" s="234" t="s">
        <v>523</v>
      </c>
      <c r="P7" s="234" t="s">
        <v>520</v>
      </c>
      <c r="Q7" s="234" t="s">
        <v>433</v>
      </c>
      <c r="R7" s="234" t="s">
        <v>2825</v>
      </c>
      <c r="S7" s="234" t="s">
        <v>735</v>
      </c>
      <c r="T7" s="234" t="s">
        <v>2826</v>
      </c>
      <c r="U7" s="234" t="s">
        <v>307</v>
      </c>
      <c r="V7" s="234" t="s">
        <v>2827</v>
      </c>
      <c r="W7" s="234" t="s">
        <v>2828</v>
      </c>
      <c r="X7" s="239" t="s">
        <v>2829</v>
      </c>
      <c r="Y7" s="239" t="s">
        <v>2830</v>
      </c>
      <c r="Z7" s="239" t="s">
        <v>2831</v>
      </c>
      <c r="AA7" s="239" t="s">
        <v>2832</v>
      </c>
      <c r="AB7" s="239" t="s">
        <v>2833</v>
      </c>
      <c r="AC7" s="239" t="s">
        <v>2834</v>
      </c>
      <c r="AD7" s="239" t="s">
        <v>307</v>
      </c>
      <c r="AE7" s="239" t="s">
        <v>2835</v>
      </c>
      <c r="AF7" s="239" t="s">
        <v>2827</v>
      </c>
    </row>
    <row r="8" spans="1:32" x14ac:dyDescent="0.3">
      <c r="A8" s="236" t="s">
        <v>2836</v>
      </c>
      <c r="B8" s="236"/>
      <c r="C8" s="176" t="s">
        <v>2837</v>
      </c>
      <c r="D8" s="176" t="s">
        <v>2837</v>
      </c>
      <c r="E8" s="176" t="s">
        <v>2837</v>
      </c>
      <c r="F8" s="176" t="s">
        <v>2837</v>
      </c>
      <c r="G8" s="176" t="s">
        <v>2837</v>
      </c>
      <c r="H8" s="176" t="s">
        <v>2837</v>
      </c>
      <c r="I8" s="176" t="s">
        <v>2837</v>
      </c>
      <c r="J8" s="176" t="s">
        <v>2837</v>
      </c>
      <c r="K8" s="176" t="s">
        <v>2837</v>
      </c>
      <c r="L8" s="176" t="s">
        <v>2837</v>
      </c>
      <c r="M8" s="176" t="s">
        <v>2837</v>
      </c>
      <c r="N8" s="176" t="s">
        <v>2837</v>
      </c>
      <c r="O8" s="11" t="s">
        <v>2838</v>
      </c>
      <c r="P8" s="11" t="s">
        <v>2838</v>
      </c>
      <c r="Q8" s="11" t="s">
        <v>2838</v>
      </c>
      <c r="R8" s="11" t="s">
        <v>2838</v>
      </c>
      <c r="S8" s="11" t="s">
        <v>2838</v>
      </c>
      <c r="T8" s="11" t="s">
        <v>2838</v>
      </c>
      <c r="U8" s="11" t="s">
        <v>2838</v>
      </c>
      <c r="V8" s="11" t="s">
        <v>2838</v>
      </c>
      <c r="W8" s="11" t="s">
        <v>2838</v>
      </c>
      <c r="X8" s="177" t="s">
        <v>2839</v>
      </c>
      <c r="Y8" s="177" t="s">
        <v>2839</v>
      </c>
      <c r="Z8" s="177" t="s">
        <v>2839</v>
      </c>
      <c r="AA8" s="177" t="s">
        <v>2839</v>
      </c>
      <c r="AB8" s="177" t="s">
        <v>2839</v>
      </c>
      <c r="AC8" s="177" t="s">
        <v>2839</v>
      </c>
      <c r="AD8" s="177" t="s">
        <v>2839</v>
      </c>
      <c r="AE8" s="177" t="s">
        <v>2839</v>
      </c>
      <c r="AF8" s="177" t="s">
        <v>2839</v>
      </c>
    </row>
    <row r="9" spans="1:32" ht="27" customHeight="1" x14ac:dyDescent="0.3">
      <c r="A9" s="158" t="s">
        <v>63</v>
      </c>
      <c r="B9" s="158" t="s">
        <v>590</v>
      </c>
      <c r="C9" s="176" t="s">
        <v>2840</v>
      </c>
      <c r="D9" s="176" t="s">
        <v>2840</v>
      </c>
      <c r="E9" s="176" t="s">
        <v>2840</v>
      </c>
      <c r="F9" s="176" t="s">
        <v>2840</v>
      </c>
      <c r="G9" s="176" t="s">
        <v>2840</v>
      </c>
      <c r="H9" s="176" t="s">
        <v>2840</v>
      </c>
      <c r="I9" s="176" t="s">
        <v>2840</v>
      </c>
      <c r="J9" s="176" t="s">
        <v>2840</v>
      </c>
      <c r="K9" s="176" t="s">
        <v>2840</v>
      </c>
      <c r="L9" s="176" t="s">
        <v>2840</v>
      </c>
      <c r="M9" s="176" t="s">
        <v>2840</v>
      </c>
      <c r="N9" s="176" t="s">
        <v>2840</v>
      </c>
      <c r="O9" s="11" t="s">
        <v>2840</v>
      </c>
      <c r="P9" s="11" t="s">
        <v>2840</v>
      </c>
      <c r="Q9" s="11" t="s">
        <v>2840</v>
      </c>
      <c r="R9" s="11" t="s">
        <v>2840</v>
      </c>
      <c r="S9" s="11" t="s">
        <v>2840</v>
      </c>
      <c r="T9" s="11" t="s">
        <v>2840</v>
      </c>
      <c r="U9" s="11" t="s">
        <v>2840</v>
      </c>
      <c r="V9" s="11" t="s">
        <v>2840</v>
      </c>
      <c r="W9" s="11" t="s">
        <v>2840</v>
      </c>
      <c r="X9" s="177" t="s">
        <v>2840</v>
      </c>
      <c r="Y9" s="177" t="s">
        <v>2840</v>
      </c>
      <c r="Z9" s="177" t="s">
        <v>2840</v>
      </c>
      <c r="AA9" s="177" t="s">
        <v>2840</v>
      </c>
      <c r="AB9" s="177" t="s">
        <v>2840</v>
      </c>
      <c r="AC9" s="177" t="s">
        <v>2840</v>
      </c>
      <c r="AD9" s="177" t="s">
        <v>2840</v>
      </c>
      <c r="AE9" s="177" t="s">
        <v>2840</v>
      </c>
      <c r="AF9" s="177" t="s">
        <v>2840</v>
      </c>
    </row>
    <row r="10" spans="1:32" ht="18" customHeight="1" x14ac:dyDescent="0.3">
      <c r="A10" s="162" t="s">
        <v>67</v>
      </c>
      <c r="B10" s="162" t="s">
        <v>808</v>
      </c>
      <c r="C10" s="163">
        <v>501.9599</v>
      </c>
      <c r="D10" s="163">
        <v>502.22519999999997</v>
      </c>
      <c r="E10" s="163">
        <v>499.5086</v>
      </c>
      <c r="F10" s="163">
        <v>507.45330000000001</v>
      </c>
      <c r="G10" s="163">
        <v>508.48910000000001</v>
      </c>
      <c r="H10" s="163">
        <v>506.52929999999998</v>
      </c>
      <c r="I10" s="164"/>
      <c r="J10" s="163">
        <v>499.36079999999998</v>
      </c>
      <c r="K10" s="163">
        <v>497.94619999999998</v>
      </c>
      <c r="L10" s="163">
        <v>486.84660000000002</v>
      </c>
      <c r="M10" s="163">
        <v>504.80509999999998</v>
      </c>
      <c r="N10" s="163">
        <v>491.95639999999997</v>
      </c>
      <c r="O10" s="163">
        <v>224.41579999999999</v>
      </c>
      <c r="P10" s="163">
        <v>226.90649999999999</v>
      </c>
      <c r="Q10" s="163">
        <v>227.71080000000001</v>
      </c>
      <c r="R10" s="163">
        <v>222.05260000000001</v>
      </c>
      <c r="S10" s="163">
        <v>219.53489999999999</v>
      </c>
      <c r="T10" s="163">
        <v>221.4246</v>
      </c>
      <c r="U10" s="163">
        <v>225.8</v>
      </c>
      <c r="V10" s="164"/>
      <c r="W10" s="163">
        <v>227</v>
      </c>
      <c r="X10" s="163">
        <v>142.7132</v>
      </c>
      <c r="Y10" s="163">
        <v>141.25020000000001</v>
      </c>
      <c r="Z10" s="163">
        <v>137.95939999999999</v>
      </c>
      <c r="AA10" s="163">
        <v>138.45529999999999</v>
      </c>
      <c r="AB10" s="163">
        <v>136.66139999999999</v>
      </c>
      <c r="AC10" s="164"/>
      <c r="AD10" s="163">
        <v>142.1026</v>
      </c>
      <c r="AE10" s="163">
        <v>128.7741</v>
      </c>
      <c r="AF10" s="163">
        <v>143.65819999999999</v>
      </c>
    </row>
    <row r="11" spans="1:32" ht="18" customHeight="1" x14ac:dyDescent="0.3">
      <c r="A11" s="162" t="s">
        <v>67</v>
      </c>
      <c r="B11" s="162" t="s">
        <v>809</v>
      </c>
      <c r="C11" s="166">
        <v>502.22219999999999</v>
      </c>
      <c r="D11" s="166">
        <v>502.75029999999998</v>
      </c>
      <c r="E11" s="168">
        <v>499.00970000000001</v>
      </c>
      <c r="F11" s="166">
        <v>508.64440000000002</v>
      </c>
      <c r="G11" s="166">
        <v>509.32319999999999</v>
      </c>
      <c r="H11" s="166">
        <v>507.85950000000003</v>
      </c>
      <c r="I11" s="167"/>
      <c r="J11" s="166">
        <v>498.68860000000001</v>
      </c>
      <c r="K11" s="166">
        <v>497.79500000000002</v>
      </c>
      <c r="L11" s="166">
        <v>485.3229</v>
      </c>
      <c r="M11" s="166">
        <v>504.77300000000002</v>
      </c>
      <c r="N11" s="166">
        <v>491.95979999999997</v>
      </c>
      <c r="O11" s="166">
        <v>224.97749999999999</v>
      </c>
      <c r="P11" s="166">
        <v>227.12639999999999</v>
      </c>
      <c r="Q11" s="166">
        <v>228.10059999999999</v>
      </c>
      <c r="R11" s="166">
        <v>222.62979999999999</v>
      </c>
      <c r="S11" s="166">
        <v>220.08860000000001</v>
      </c>
      <c r="T11" s="166">
        <v>221.30959999999999</v>
      </c>
      <c r="U11" s="166">
        <v>225.1</v>
      </c>
      <c r="V11" s="167"/>
      <c r="W11" s="166">
        <v>226.3</v>
      </c>
      <c r="X11" s="168">
        <v>142.73240000000001</v>
      </c>
      <c r="Y11" s="166">
        <v>140.75989999999999</v>
      </c>
      <c r="Z11" s="166">
        <v>137.99879999999999</v>
      </c>
      <c r="AA11" s="166">
        <v>138.45679999999999</v>
      </c>
      <c r="AB11" s="166">
        <v>135.97139999999999</v>
      </c>
      <c r="AC11" s="167"/>
      <c r="AD11" s="166">
        <v>141.64879999999999</v>
      </c>
      <c r="AE11" s="166">
        <v>129.0181</v>
      </c>
      <c r="AF11" s="166">
        <v>143.71950000000001</v>
      </c>
    </row>
    <row r="12" spans="1:32" ht="18" customHeight="1" x14ac:dyDescent="0.3">
      <c r="A12" s="162" t="s">
        <v>67</v>
      </c>
      <c r="B12" s="162" t="s">
        <v>810</v>
      </c>
      <c r="C12" s="166">
        <v>502.2747</v>
      </c>
      <c r="D12" s="166">
        <v>504.27330000000001</v>
      </c>
      <c r="E12" s="166">
        <v>498.51069999999999</v>
      </c>
      <c r="F12" s="166">
        <v>509.7287</v>
      </c>
      <c r="G12" s="166">
        <v>510.0172</v>
      </c>
      <c r="H12" s="166">
        <v>508.53179999999998</v>
      </c>
      <c r="I12" s="167"/>
      <c r="J12" s="166">
        <v>499.322</v>
      </c>
      <c r="K12" s="166">
        <v>497.88600000000002</v>
      </c>
      <c r="L12" s="166">
        <v>485.142</v>
      </c>
      <c r="M12" s="166">
        <v>504.17910000000001</v>
      </c>
      <c r="N12" s="166">
        <v>491.5453</v>
      </c>
      <c r="O12" s="166">
        <v>225.54</v>
      </c>
      <c r="P12" s="166">
        <v>227.89099999999999</v>
      </c>
      <c r="Q12" s="166">
        <v>228.48509999999999</v>
      </c>
      <c r="R12" s="166">
        <v>222.86250000000001</v>
      </c>
      <c r="S12" s="166">
        <v>220.5094</v>
      </c>
      <c r="T12" s="166">
        <v>221.48589999999999</v>
      </c>
      <c r="U12" s="166">
        <v>225.1</v>
      </c>
      <c r="V12" s="167"/>
      <c r="W12" s="166">
        <v>226.4</v>
      </c>
      <c r="X12" s="166">
        <v>142.7516</v>
      </c>
      <c r="Y12" s="166">
        <v>140.7937</v>
      </c>
      <c r="Z12" s="166">
        <v>137.97200000000001</v>
      </c>
      <c r="AA12" s="166">
        <v>138.8948</v>
      </c>
      <c r="AB12" s="166">
        <v>136.20599999999999</v>
      </c>
      <c r="AC12" s="167"/>
      <c r="AD12" s="166">
        <v>141.56100000000001</v>
      </c>
      <c r="AE12" s="166">
        <v>128.21199999999999</v>
      </c>
      <c r="AF12" s="166">
        <v>144.12790000000001</v>
      </c>
    </row>
    <row r="13" spans="1:32" ht="18" customHeight="1" x14ac:dyDescent="0.3">
      <c r="A13" s="162" t="s">
        <v>67</v>
      </c>
      <c r="B13" s="162" t="s">
        <v>811</v>
      </c>
      <c r="C13" s="166">
        <v>498.86489999999998</v>
      </c>
      <c r="D13" s="166">
        <v>508.00209999999998</v>
      </c>
      <c r="E13" s="166">
        <v>503.60509999999999</v>
      </c>
      <c r="F13" s="166">
        <v>512.64009999999996</v>
      </c>
      <c r="G13" s="166">
        <v>512.47919999999999</v>
      </c>
      <c r="H13" s="166">
        <v>508.68419999999998</v>
      </c>
      <c r="I13" s="167"/>
      <c r="J13" s="166">
        <v>500.34710000000001</v>
      </c>
      <c r="K13" s="166">
        <v>497.74799999999999</v>
      </c>
      <c r="L13" s="166">
        <v>485.81200000000001</v>
      </c>
      <c r="M13" s="166">
        <v>505.9162</v>
      </c>
      <c r="N13" s="166">
        <v>491.74169999999998</v>
      </c>
      <c r="O13" s="166">
        <v>225.10130000000001</v>
      </c>
      <c r="P13" s="166">
        <v>224.1678</v>
      </c>
      <c r="Q13" s="166">
        <v>228.19489999999999</v>
      </c>
      <c r="R13" s="166">
        <v>222.07400000000001</v>
      </c>
      <c r="S13" s="166">
        <v>220.16239999999999</v>
      </c>
      <c r="T13" s="166">
        <v>221.4889</v>
      </c>
      <c r="U13" s="166">
        <v>225.1</v>
      </c>
      <c r="V13" s="167"/>
      <c r="W13" s="166">
        <v>226.7</v>
      </c>
      <c r="X13" s="166">
        <v>142.78450000000001</v>
      </c>
      <c r="Y13" s="166">
        <v>141.00200000000001</v>
      </c>
      <c r="Z13" s="166">
        <v>138.11060000000001</v>
      </c>
      <c r="AA13" s="166">
        <v>138.56800000000001</v>
      </c>
      <c r="AB13" s="166">
        <v>136.04040000000001</v>
      </c>
      <c r="AC13" s="167"/>
      <c r="AD13" s="166">
        <v>141.64879999999999</v>
      </c>
      <c r="AE13" s="166">
        <v>128.14609999999999</v>
      </c>
      <c r="AF13" s="166">
        <v>144.10749999999999</v>
      </c>
    </row>
    <row r="14" spans="1:32" ht="18" customHeight="1" x14ac:dyDescent="0.3">
      <c r="A14" s="162" t="s">
        <v>67</v>
      </c>
      <c r="B14" s="162" t="s">
        <v>812</v>
      </c>
      <c r="C14" s="166">
        <v>502.6943</v>
      </c>
      <c r="D14" s="166">
        <v>509.89269999999999</v>
      </c>
      <c r="E14" s="166">
        <v>506.65120000000002</v>
      </c>
      <c r="F14" s="166">
        <v>513.2133</v>
      </c>
      <c r="G14" s="166">
        <v>514.29939999999999</v>
      </c>
      <c r="H14" s="166">
        <v>510.5025</v>
      </c>
      <c r="I14" s="167"/>
      <c r="J14" s="166">
        <v>501.38299999999998</v>
      </c>
      <c r="K14" s="166">
        <v>498.99700000000001</v>
      </c>
      <c r="L14" s="166">
        <v>485.70249999999999</v>
      </c>
      <c r="M14" s="166">
        <v>505.60559999999998</v>
      </c>
      <c r="N14" s="166">
        <v>492.34879999999998</v>
      </c>
      <c r="O14" s="166">
        <v>225.31780000000001</v>
      </c>
      <c r="P14" s="166">
        <v>224.87690000000001</v>
      </c>
      <c r="Q14" s="166">
        <v>228.42320000000001</v>
      </c>
      <c r="R14" s="166">
        <v>222.22229999999999</v>
      </c>
      <c r="S14" s="166">
        <v>220.37649999999999</v>
      </c>
      <c r="T14" s="166">
        <v>222.2355</v>
      </c>
      <c r="U14" s="166">
        <v>225.8</v>
      </c>
      <c r="V14" s="167"/>
      <c r="W14" s="166">
        <v>226.7</v>
      </c>
      <c r="X14" s="166">
        <v>142.92189999999999</v>
      </c>
      <c r="Y14" s="166">
        <v>140.73920000000001</v>
      </c>
      <c r="Z14" s="166">
        <v>138.1721</v>
      </c>
      <c r="AA14" s="166">
        <v>138.655</v>
      </c>
      <c r="AB14" s="166">
        <v>136.27500000000001</v>
      </c>
      <c r="AC14" s="167"/>
      <c r="AD14" s="166">
        <v>141.60489999999999</v>
      </c>
      <c r="AE14" s="166">
        <v>128.54259999999999</v>
      </c>
      <c r="AF14" s="166">
        <v>144.51599999999999</v>
      </c>
    </row>
    <row r="15" spans="1:32" ht="18" customHeight="1" x14ac:dyDescent="0.3">
      <c r="A15" s="162" t="s">
        <v>67</v>
      </c>
      <c r="B15" s="162" t="s">
        <v>813</v>
      </c>
      <c r="C15" s="166">
        <v>501.90750000000003</v>
      </c>
      <c r="D15" s="166">
        <v>509.26249999999999</v>
      </c>
      <c r="E15" s="166">
        <v>508.90949999999998</v>
      </c>
      <c r="F15" s="166">
        <v>513.76850000000002</v>
      </c>
      <c r="G15" s="166">
        <v>514.12350000000004</v>
      </c>
      <c r="H15" s="166">
        <v>511.08210000000003</v>
      </c>
      <c r="I15" s="167"/>
      <c r="J15" s="166">
        <v>501.7484</v>
      </c>
      <c r="K15" s="166">
        <v>497.495</v>
      </c>
      <c r="L15" s="166">
        <v>485.67469999999997</v>
      </c>
      <c r="M15" s="166">
        <v>504.34309999999999</v>
      </c>
      <c r="N15" s="166">
        <v>491.40190000000001</v>
      </c>
      <c r="O15" s="166">
        <v>225.35380000000001</v>
      </c>
      <c r="P15" s="166">
        <v>226.3065</v>
      </c>
      <c r="Q15" s="166">
        <v>228.0874</v>
      </c>
      <c r="R15" s="166">
        <v>222.0513</v>
      </c>
      <c r="S15" s="166">
        <v>220.8047</v>
      </c>
      <c r="T15" s="166">
        <v>221.482</v>
      </c>
      <c r="U15" s="166">
        <v>225.1</v>
      </c>
      <c r="V15" s="167"/>
      <c r="W15" s="166">
        <v>226.1</v>
      </c>
      <c r="X15" s="168">
        <v>142.90940000000001</v>
      </c>
      <c r="Y15" s="166">
        <v>140.07900000000001</v>
      </c>
      <c r="Z15" s="166">
        <v>138.10910000000001</v>
      </c>
      <c r="AA15" s="166">
        <v>138.5864</v>
      </c>
      <c r="AB15" s="166">
        <v>136.19220000000001</v>
      </c>
      <c r="AC15" s="167"/>
      <c r="AD15" s="166">
        <v>141.0487</v>
      </c>
      <c r="AE15" s="166">
        <v>128.32329999999999</v>
      </c>
      <c r="AF15" s="166">
        <v>144.10749999999999</v>
      </c>
    </row>
    <row r="16" spans="1:32" ht="18" customHeight="1" x14ac:dyDescent="0.3">
      <c r="A16" s="162" t="s">
        <v>67</v>
      </c>
      <c r="B16" s="162" t="s">
        <v>814</v>
      </c>
      <c r="C16" s="166">
        <v>500.49110000000002</v>
      </c>
      <c r="D16" s="166">
        <v>507.10930000000002</v>
      </c>
      <c r="E16" s="166">
        <v>506.23110000000003</v>
      </c>
      <c r="F16" s="166">
        <v>513.48329999999999</v>
      </c>
      <c r="G16" s="166">
        <v>513.54240000000004</v>
      </c>
      <c r="H16" s="166">
        <v>510.5127</v>
      </c>
      <c r="I16" s="167"/>
      <c r="J16" s="166">
        <v>501.8741</v>
      </c>
      <c r="K16" s="166">
        <v>497.93209999999999</v>
      </c>
      <c r="L16" s="166">
        <v>485.65199999999999</v>
      </c>
      <c r="M16" s="166">
        <v>505.3374</v>
      </c>
      <c r="N16" s="166">
        <v>491.46019999999999</v>
      </c>
      <c r="O16" s="166">
        <v>225.13159999999999</v>
      </c>
      <c r="P16" s="166">
        <v>225.72819999999999</v>
      </c>
      <c r="Q16" s="166">
        <v>228.3552</v>
      </c>
      <c r="R16" s="166">
        <v>222.20269999999999</v>
      </c>
      <c r="S16" s="166">
        <v>220.40610000000001</v>
      </c>
      <c r="T16" s="166">
        <v>221.69919999999999</v>
      </c>
      <c r="U16" s="166">
        <v>225.1</v>
      </c>
      <c r="V16" s="167"/>
      <c r="W16" s="166">
        <v>226.6</v>
      </c>
      <c r="X16" s="166">
        <v>142.89680000000001</v>
      </c>
      <c r="Y16" s="166">
        <v>140.82579999999999</v>
      </c>
      <c r="Z16" s="166">
        <v>137.94380000000001</v>
      </c>
      <c r="AA16" s="166">
        <v>138.51429999999999</v>
      </c>
      <c r="AB16" s="166">
        <v>135.95760000000001</v>
      </c>
      <c r="AC16" s="167"/>
      <c r="AD16" s="166">
        <v>141.5171</v>
      </c>
      <c r="AE16" s="166">
        <v>128.50720000000001</v>
      </c>
      <c r="AF16" s="166">
        <v>144.12790000000001</v>
      </c>
    </row>
    <row r="17" spans="1:32" ht="18" customHeight="1" x14ac:dyDescent="0.3">
      <c r="A17" s="162" t="s">
        <v>67</v>
      </c>
      <c r="B17" s="162" t="s">
        <v>815</v>
      </c>
      <c r="C17" s="169">
        <v>501.38290000000001</v>
      </c>
      <c r="D17" s="169">
        <v>506.8467</v>
      </c>
      <c r="E17" s="171">
        <v>506.36239999999998</v>
      </c>
      <c r="F17" s="169">
        <v>513.67340000000002</v>
      </c>
      <c r="G17" s="169">
        <v>513.21040000000005</v>
      </c>
      <c r="H17" s="169">
        <v>510.76369999999997</v>
      </c>
      <c r="I17" s="170"/>
      <c r="J17" s="169">
        <v>501.32909999999998</v>
      </c>
      <c r="K17" s="169">
        <v>497.59910000000002</v>
      </c>
      <c r="L17" s="169">
        <v>485.64510000000001</v>
      </c>
      <c r="M17" s="169">
        <v>504.68349999999998</v>
      </c>
      <c r="N17" s="169">
        <v>490.55450000000002</v>
      </c>
      <c r="O17" s="169">
        <v>225.34829999999999</v>
      </c>
      <c r="P17" s="169">
        <v>225.96690000000001</v>
      </c>
      <c r="Q17" s="169">
        <v>228.00829999999999</v>
      </c>
      <c r="R17" s="169">
        <v>222.5806</v>
      </c>
      <c r="S17" s="169">
        <v>220.65710000000001</v>
      </c>
      <c r="T17" s="169">
        <v>221.4169</v>
      </c>
      <c r="U17" s="169">
        <v>225.1</v>
      </c>
      <c r="V17" s="170"/>
      <c r="W17" s="169">
        <v>225.9</v>
      </c>
      <c r="X17" s="169">
        <v>143.00409999999999</v>
      </c>
      <c r="Y17" s="169">
        <v>139.90530000000001</v>
      </c>
      <c r="Z17" s="169">
        <v>137.88419999999999</v>
      </c>
      <c r="AA17" s="169">
        <v>138.47499999999999</v>
      </c>
      <c r="AB17" s="169">
        <v>136.2474</v>
      </c>
      <c r="AC17" s="170"/>
      <c r="AD17" s="169">
        <v>141.18049999999999</v>
      </c>
      <c r="AE17" s="169">
        <v>128.25700000000001</v>
      </c>
      <c r="AF17" s="169">
        <v>143.80119999999999</v>
      </c>
    </row>
    <row r="18" spans="1:32" ht="18" customHeight="1" x14ac:dyDescent="0.3">
      <c r="A18" s="162" t="s">
        <v>67</v>
      </c>
      <c r="B18" s="162" t="s">
        <v>816</v>
      </c>
      <c r="C18" s="163">
        <v>501.80259999999998</v>
      </c>
      <c r="D18" s="163">
        <v>509.10489999999999</v>
      </c>
      <c r="E18" s="163">
        <v>506.49369999999999</v>
      </c>
      <c r="F18" s="163">
        <v>514.44680000000005</v>
      </c>
      <c r="G18" s="163">
        <v>515.14139999999998</v>
      </c>
      <c r="H18" s="163">
        <v>511.85309999999998</v>
      </c>
      <c r="I18" s="164"/>
      <c r="J18" s="163">
        <v>504.0403</v>
      </c>
      <c r="K18" s="163">
        <v>499.36079999999998</v>
      </c>
      <c r="L18" s="163">
        <v>488.53739999999999</v>
      </c>
      <c r="M18" s="163">
        <v>506.35230000000001</v>
      </c>
      <c r="N18" s="163">
        <v>493.25150000000002</v>
      </c>
      <c r="O18" s="163">
        <v>225.62</v>
      </c>
      <c r="P18" s="163">
        <v>226.34039999999999</v>
      </c>
      <c r="Q18" s="163">
        <v>227.91159999999999</v>
      </c>
      <c r="R18" s="163">
        <v>222.67509999999999</v>
      </c>
      <c r="S18" s="163">
        <v>220.7826</v>
      </c>
      <c r="T18" s="163">
        <v>222.0153</v>
      </c>
      <c r="U18" s="163">
        <v>225.8</v>
      </c>
      <c r="V18" s="164"/>
      <c r="W18" s="163">
        <v>226.6</v>
      </c>
      <c r="X18" s="163">
        <v>142.8614</v>
      </c>
      <c r="Y18" s="163">
        <v>140.29640000000001</v>
      </c>
      <c r="Z18" s="163">
        <v>137.852</v>
      </c>
      <c r="AA18" s="163">
        <v>138.97110000000001</v>
      </c>
      <c r="AB18" s="163">
        <v>136.3854</v>
      </c>
      <c r="AC18" s="164"/>
      <c r="AD18" s="163">
        <v>141.5318</v>
      </c>
      <c r="AE18" s="163">
        <v>128.52279999999999</v>
      </c>
      <c r="AF18" s="163">
        <v>144.41380000000001</v>
      </c>
    </row>
    <row r="19" spans="1:32" ht="18" customHeight="1" x14ac:dyDescent="0.3">
      <c r="A19" s="162" t="s">
        <v>67</v>
      </c>
      <c r="B19" s="162" t="s">
        <v>817</v>
      </c>
      <c r="C19" s="166">
        <v>501.80259999999998</v>
      </c>
      <c r="D19" s="166">
        <v>508.84230000000002</v>
      </c>
      <c r="E19" s="166">
        <v>508.06920000000002</v>
      </c>
      <c r="F19" s="166">
        <v>514.48320000000001</v>
      </c>
      <c r="G19" s="166">
        <v>514.21450000000004</v>
      </c>
      <c r="H19" s="166">
        <v>510.24189999999999</v>
      </c>
      <c r="I19" s="167"/>
      <c r="J19" s="166">
        <v>503.29259999999999</v>
      </c>
      <c r="K19" s="166">
        <v>499.32810000000001</v>
      </c>
      <c r="L19" s="166">
        <v>487.02620000000002</v>
      </c>
      <c r="M19" s="166">
        <v>505.6986</v>
      </c>
      <c r="N19" s="166">
        <v>493.70729999999998</v>
      </c>
      <c r="O19" s="166">
        <v>225.58340000000001</v>
      </c>
      <c r="P19" s="166">
        <v>226.38050000000001</v>
      </c>
      <c r="Q19" s="166">
        <v>227.7927</v>
      </c>
      <c r="R19" s="166">
        <v>222.4051</v>
      </c>
      <c r="S19" s="166">
        <v>220.95240000000001</v>
      </c>
      <c r="T19" s="166">
        <v>221.95230000000001</v>
      </c>
      <c r="U19" s="166">
        <v>225.8</v>
      </c>
      <c r="V19" s="167"/>
      <c r="W19" s="166">
        <v>226.9</v>
      </c>
      <c r="X19" s="166">
        <v>143.65199999999999</v>
      </c>
      <c r="Y19" s="166">
        <v>141.25749999999999</v>
      </c>
      <c r="Z19" s="166">
        <v>138.0463</v>
      </c>
      <c r="AA19" s="166">
        <v>139.24770000000001</v>
      </c>
      <c r="AB19" s="166">
        <v>136.57859999999999</v>
      </c>
      <c r="AC19" s="167"/>
      <c r="AD19" s="166">
        <v>141.70740000000001</v>
      </c>
      <c r="AE19" s="166">
        <v>129.04390000000001</v>
      </c>
      <c r="AF19" s="166">
        <v>144.5976</v>
      </c>
    </row>
    <row r="20" spans="1:32" ht="18" customHeight="1" x14ac:dyDescent="0.3">
      <c r="A20" s="162" t="s">
        <v>67</v>
      </c>
      <c r="B20" s="162" t="s">
        <v>818</v>
      </c>
      <c r="C20" s="166">
        <v>501.06810000000002</v>
      </c>
      <c r="D20" s="166">
        <v>507.00420000000003</v>
      </c>
      <c r="E20" s="166">
        <v>502.50220000000002</v>
      </c>
      <c r="F20" s="166">
        <v>512.28880000000004</v>
      </c>
      <c r="G20" s="166">
        <v>512.85659999999996</v>
      </c>
      <c r="H20" s="166">
        <v>509.83440000000002</v>
      </c>
      <c r="I20" s="167"/>
      <c r="J20" s="166">
        <v>501.83229999999998</v>
      </c>
      <c r="K20" s="166">
        <v>499.6327</v>
      </c>
      <c r="L20" s="166">
        <v>487.52839999999998</v>
      </c>
      <c r="M20" s="166">
        <v>506.58150000000001</v>
      </c>
      <c r="N20" s="166">
        <v>493.35320000000002</v>
      </c>
      <c r="O20" s="166">
        <v>225.27080000000001</v>
      </c>
      <c r="P20" s="166">
        <v>225.19909999999999</v>
      </c>
      <c r="Q20" s="166">
        <v>227.38079999999999</v>
      </c>
      <c r="R20" s="166">
        <v>221.60740000000001</v>
      </c>
      <c r="S20" s="166">
        <v>219.88929999999999</v>
      </c>
      <c r="T20" s="166">
        <v>222.1952</v>
      </c>
      <c r="U20" s="166">
        <v>225.8</v>
      </c>
      <c r="V20" s="167"/>
      <c r="W20" s="166">
        <v>226.7</v>
      </c>
      <c r="X20" s="168">
        <v>143.2826</v>
      </c>
      <c r="Y20" s="166">
        <v>141.20089999999999</v>
      </c>
      <c r="Z20" s="166">
        <v>137.8133</v>
      </c>
      <c r="AA20" s="166">
        <v>139.3125</v>
      </c>
      <c r="AB20" s="166">
        <v>136.4958</v>
      </c>
      <c r="AC20" s="167"/>
      <c r="AD20" s="166">
        <v>141.9709</v>
      </c>
      <c r="AE20" s="166">
        <v>129.0891</v>
      </c>
      <c r="AF20" s="166">
        <v>144.904</v>
      </c>
    </row>
    <row r="21" spans="1:32" ht="18" customHeight="1" x14ac:dyDescent="0.3">
      <c r="A21" s="162" t="s">
        <v>67</v>
      </c>
      <c r="B21" s="162" t="s">
        <v>819</v>
      </c>
      <c r="C21" s="166">
        <v>499.65190000000001</v>
      </c>
      <c r="D21" s="166">
        <v>504.27330000000001</v>
      </c>
      <c r="E21" s="168">
        <v>1003.3238</v>
      </c>
      <c r="F21" s="166">
        <v>510.86250000000001</v>
      </c>
      <c r="G21" s="166">
        <v>510.62869999999998</v>
      </c>
      <c r="H21" s="166">
        <v>509.09930000000003</v>
      </c>
      <c r="I21" s="167"/>
      <c r="J21" s="166">
        <v>500.07440000000003</v>
      </c>
      <c r="K21" s="166">
        <v>498.17950000000002</v>
      </c>
      <c r="L21" s="166">
        <v>485.98160000000001</v>
      </c>
      <c r="M21" s="166">
        <v>504.84629999999999</v>
      </c>
      <c r="N21" s="166">
        <v>491.8845</v>
      </c>
      <c r="O21" s="166">
        <v>224.65280000000001</v>
      </c>
      <c r="P21" s="166">
        <v>223.97970000000001</v>
      </c>
      <c r="Q21" s="166">
        <v>226.35059999999999</v>
      </c>
      <c r="R21" s="166">
        <v>220.75700000000001</v>
      </c>
      <c r="S21" s="166">
        <v>219.05500000000001</v>
      </c>
      <c r="T21" s="166">
        <v>221.60849999999999</v>
      </c>
      <c r="U21" s="166">
        <v>225.1</v>
      </c>
      <c r="V21" s="167"/>
      <c r="W21" s="166">
        <v>226</v>
      </c>
      <c r="X21" s="166">
        <v>142.91319999999999</v>
      </c>
      <c r="Y21" s="166">
        <v>140.61779999999999</v>
      </c>
      <c r="Z21" s="166">
        <v>137.83760000000001</v>
      </c>
      <c r="AA21" s="166">
        <v>138.85499999999999</v>
      </c>
      <c r="AB21" s="166">
        <v>136.08179999999999</v>
      </c>
      <c r="AC21" s="167"/>
      <c r="AD21" s="166">
        <v>141.56100000000001</v>
      </c>
      <c r="AE21" s="166">
        <v>129.44149999999999</v>
      </c>
      <c r="AF21" s="166">
        <v>143.9033</v>
      </c>
    </row>
    <row r="22" spans="1:32" ht="18" customHeight="1" x14ac:dyDescent="0.3">
      <c r="A22" s="162" t="s">
        <v>67</v>
      </c>
      <c r="B22" s="162" t="s">
        <v>820</v>
      </c>
      <c r="C22" s="166">
        <v>499.65190000000001</v>
      </c>
      <c r="D22" s="166">
        <v>503.22300000000001</v>
      </c>
      <c r="E22" s="166">
        <v>500.82159999999999</v>
      </c>
      <c r="F22" s="166">
        <v>509.04390000000001</v>
      </c>
      <c r="G22" s="166">
        <v>509.3818</v>
      </c>
      <c r="H22" s="166">
        <v>507.71600000000001</v>
      </c>
      <c r="I22" s="167"/>
      <c r="J22" s="166">
        <v>499.17849999999999</v>
      </c>
      <c r="K22" s="166">
        <v>498.58749999999998</v>
      </c>
      <c r="L22" s="166">
        <v>486.21679999999998</v>
      </c>
      <c r="M22" s="166">
        <v>504.79390000000001</v>
      </c>
      <c r="N22" s="166">
        <v>491.80410000000001</v>
      </c>
      <c r="O22" s="166">
        <v>223.7628</v>
      </c>
      <c r="P22" s="166">
        <v>223.19370000000001</v>
      </c>
      <c r="Q22" s="166">
        <v>225.4922</v>
      </c>
      <c r="R22" s="166">
        <v>219.7542</v>
      </c>
      <c r="S22" s="166">
        <v>217.64490000000001</v>
      </c>
      <c r="T22" s="166">
        <v>221.7252</v>
      </c>
      <c r="U22" s="166">
        <v>225.1</v>
      </c>
      <c r="V22" s="167"/>
      <c r="W22" s="166">
        <v>225.3</v>
      </c>
      <c r="X22" s="166">
        <v>142.07419999999999</v>
      </c>
      <c r="Y22" s="166">
        <v>139.85</v>
      </c>
      <c r="Z22" s="166">
        <v>137.72790000000001</v>
      </c>
      <c r="AA22" s="166">
        <v>138.6191</v>
      </c>
      <c r="AB22" s="166">
        <v>135.94380000000001</v>
      </c>
      <c r="AC22" s="167"/>
      <c r="AD22" s="166">
        <v>141.18049999999999</v>
      </c>
      <c r="AE22" s="166">
        <v>129.6129</v>
      </c>
      <c r="AF22" s="166">
        <v>143.71950000000001</v>
      </c>
    </row>
    <row r="23" spans="1:32" ht="18" customHeight="1" x14ac:dyDescent="0.3">
      <c r="A23" s="162" t="s">
        <v>67</v>
      </c>
      <c r="B23" s="162" t="s">
        <v>821</v>
      </c>
      <c r="C23" s="166">
        <v>499.0224</v>
      </c>
      <c r="D23" s="166">
        <v>501.96260000000001</v>
      </c>
      <c r="E23" s="166">
        <v>501.18920000000003</v>
      </c>
      <c r="F23" s="166">
        <v>509.85320000000002</v>
      </c>
      <c r="G23" s="166">
        <v>510.20940000000002</v>
      </c>
      <c r="H23" s="166">
        <v>508.20319999999998</v>
      </c>
      <c r="I23" s="166">
        <v>512.46140000000003</v>
      </c>
      <c r="J23" s="166">
        <v>502.87889999999999</v>
      </c>
      <c r="K23" s="166">
        <v>501.55799999999999</v>
      </c>
      <c r="L23" s="166">
        <v>490.01229999999998</v>
      </c>
      <c r="M23" s="166">
        <v>508.10539999999997</v>
      </c>
      <c r="N23" s="166">
        <v>494.8202</v>
      </c>
      <c r="O23" s="166">
        <v>223.6551</v>
      </c>
      <c r="P23" s="166">
        <v>222.81809999999999</v>
      </c>
      <c r="Q23" s="166">
        <v>224.88419999999999</v>
      </c>
      <c r="R23" s="166">
        <v>220.0376</v>
      </c>
      <c r="S23" s="166">
        <v>218.22069999999999</v>
      </c>
      <c r="T23" s="166">
        <v>222.21350000000001</v>
      </c>
      <c r="U23" s="166">
        <v>226.4</v>
      </c>
      <c r="V23" s="167"/>
      <c r="W23" s="166">
        <v>226.7</v>
      </c>
      <c r="X23" s="166">
        <v>142.9444</v>
      </c>
      <c r="Y23" s="166">
        <v>141.25450000000001</v>
      </c>
      <c r="Z23" s="166">
        <v>138.14279999999999</v>
      </c>
      <c r="AA23" s="166">
        <v>139.08439999999999</v>
      </c>
      <c r="AB23" s="166">
        <v>136.1232</v>
      </c>
      <c r="AC23" s="167"/>
      <c r="AD23" s="166">
        <v>142.1026</v>
      </c>
      <c r="AE23" s="166">
        <v>129.64359999999999</v>
      </c>
      <c r="AF23" s="166">
        <v>144.10749999999999</v>
      </c>
    </row>
    <row r="24" spans="1:32" ht="18" customHeight="1" x14ac:dyDescent="0.3">
      <c r="A24" s="162" t="s">
        <v>67</v>
      </c>
      <c r="B24" s="162" t="s">
        <v>822</v>
      </c>
      <c r="C24" s="166">
        <v>501.22550000000001</v>
      </c>
      <c r="D24" s="166">
        <v>509.68270000000001</v>
      </c>
      <c r="E24" s="166">
        <v>514.05650000000003</v>
      </c>
      <c r="F24" s="166">
        <v>506.69760000000002</v>
      </c>
      <c r="G24" s="166">
        <v>507.96390000000002</v>
      </c>
      <c r="H24" s="166">
        <v>506.28100000000001</v>
      </c>
      <c r="I24" s="167"/>
      <c r="J24" s="166">
        <v>503.42720000000003</v>
      </c>
      <c r="K24" s="166">
        <v>500.56319999999999</v>
      </c>
      <c r="L24" s="166">
        <v>484.18369999999999</v>
      </c>
      <c r="M24" s="166">
        <v>506.46350000000001</v>
      </c>
      <c r="N24" s="166">
        <v>492.01920000000001</v>
      </c>
      <c r="O24" s="166">
        <v>223.88290000000001</v>
      </c>
      <c r="P24" s="166">
        <v>225.60329999999999</v>
      </c>
      <c r="Q24" s="166">
        <v>225.36359999999999</v>
      </c>
      <c r="R24" s="166">
        <v>220.49590000000001</v>
      </c>
      <c r="S24" s="166">
        <v>217.12809999999999</v>
      </c>
      <c r="T24" s="166">
        <v>221.6833</v>
      </c>
      <c r="U24" s="166">
        <v>225.1</v>
      </c>
      <c r="V24" s="167"/>
      <c r="W24" s="166">
        <v>225.2</v>
      </c>
      <c r="X24" s="166">
        <v>142.18440000000001</v>
      </c>
      <c r="Y24" s="166">
        <v>139.84229999999999</v>
      </c>
      <c r="Z24" s="166">
        <v>137.7227</v>
      </c>
      <c r="AA24" s="166">
        <v>138.81209999999999</v>
      </c>
      <c r="AB24" s="166">
        <v>135.76439999999999</v>
      </c>
      <c r="AC24" s="167"/>
      <c r="AD24" s="166">
        <v>141.16579999999999</v>
      </c>
      <c r="AE24" s="166">
        <v>129.36869999999999</v>
      </c>
      <c r="AF24" s="166">
        <v>143.3314</v>
      </c>
    </row>
    <row r="25" spans="1:32" ht="18" customHeight="1" x14ac:dyDescent="0.3">
      <c r="A25" s="162" t="s">
        <v>67</v>
      </c>
      <c r="B25" s="162" t="s">
        <v>823</v>
      </c>
      <c r="C25" s="169">
        <v>500.49110000000002</v>
      </c>
      <c r="D25" s="169">
        <v>508.6848</v>
      </c>
      <c r="E25" s="169">
        <v>508.43689999999998</v>
      </c>
      <c r="F25" s="169">
        <v>506.9246</v>
      </c>
      <c r="G25" s="169">
        <v>508.6404</v>
      </c>
      <c r="H25" s="169">
        <v>507.1397</v>
      </c>
      <c r="I25" s="170"/>
      <c r="J25" s="169">
        <v>504.35849999999999</v>
      </c>
      <c r="K25" s="169">
        <v>501.94319999999999</v>
      </c>
      <c r="L25" s="169">
        <v>486.03859999999997</v>
      </c>
      <c r="M25" s="169">
        <v>508.13200000000001</v>
      </c>
      <c r="N25" s="169">
        <v>494.0865</v>
      </c>
      <c r="O25" s="169">
        <v>223.2774</v>
      </c>
      <c r="P25" s="169">
        <v>224.7319</v>
      </c>
      <c r="Q25" s="169">
        <v>224.1968</v>
      </c>
      <c r="R25" s="169">
        <v>220.02780000000001</v>
      </c>
      <c r="S25" s="169">
        <v>216.0059</v>
      </c>
      <c r="T25" s="169">
        <v>222.04519999999999</v>
      </c>
      <c r="U25" s="169">
        <v>225.8</v>
      </c>
      <c r="V25" s="170"/>
      <c r="W25" s="169">
        <v>225.7</v>
      </c>
      <c r="X25" s="171">
        <v>141.77610000000001</v>
      </c>
      <c r="Y25" s="169">
        <v>140.31370000000001</v>
      </c>
      <c r="Z25" s="169">
        <v>137.92590000000001</v>
      </c>
      <c r="AA25" s="169">
        <v>139.21799999999999</v>
      </c>
      <c r="AB25" s="169">
        <v>136.2612</v>
      </c>
      <c r="AC25" s="170"/>
      <c r="AD25" s="169">
        <v>141.47319999999999</v>
      </c>
      <c r="AE25" s="169">
        <v>128.62100000000001</v>
      </c>
      <c r="AF25" s="169">
        <v>143.71950000000001</v>
      </c>
    </row>
    <row r="26" spans="1:32" ht="18" customHeight="1" x14ac:dyDescent="0.3">
      <c r="A26" s="162" t="s">
        <v>67</v>
      </c>
      <c r="B26" s="162" t="s">
        <v>824</v>
      </c>
      <c r="C26" s="163">
        <v>498.70760000000001</v>
      </c>
      <c r="D26" s="163">
        <v>502.59280000000001</v>
      </c>
      <c r="E26" s="163">
        <v>503.97269999999997</v>
      </c>
      <c r="F26" s="163">
        <v>500.68759999999997</v>
      </c>
      <c r="G26" s="163">
        <v>503.11399999999998</v>
      </c>
      <c r="H26" s="163">
        <v>502.7704</v>
      </c>
      <c r="I26" s="164"/>
      <c r="J26" s="163">
        <v>501.8417</v>
      </c>
      <c r="K26" s="163">
        <v>500.87819999999999</v>
      </c>
      <c r="L26" s="163">
        <v>483.81639999999999</v>
      </c>
      <c r="M26" s="163">
        <v>507.71519999999998</v>
      </c>
      <c r="N26" s="163">
        <v>490.9212</v>
      </c>
      <c r="O26" s="163">
        <v>222.4819</v>
      </c>
      <c r="P26" s="163">
        <v>221.65010000000001</v>
      </c>
      <c r="Q26" s="163">
        <v>223.15299999999999</v>
      </c>
      <c r="R26" s="163">
        <v>217.71860000000001</v>
      </c>
      <c r="S26" s="163">
        <v>214.3817</v>
      </c>
      <c r="T26" s="163">
        <v>221.9323</v>
      </c>
      <c r="U26" s="163">
        <v>225.1</v>
      </c>
      <c r="V26" s="164"/>
      <c r="W26" s="163">
        <v>224.7</v>
      </c>
      <c r="X26" s="163">
        <v>141.36779999999999</v>
      </c>
      <c r="Y26" s="163">
        <v>139.94909999999999</v>
      </c>
      <c r="Z26" s="163">
        <v>137.64840000000001</v>
      </c>
      <c r="AA26" s="163">
        <v>138.60069999999999</v>
      </c>
      <c r="AB26" s="163">
        <v>135.12960000000001</v>
      </c>
      <c r="AC26" s="164"/>
      <c r="AD26" s="163">
        <v>141.239</v>
      </c>
      <c r="AE26" s="163">
        <v>127.03</v>
      </c>
      <c r="AF26" s="163">
        <v>142.98429999999999</v>
      </c>
    </row>
    <row r="27" spans="1:32" ht="18" customHeight="1" x14ac:dyDescent="0.3">
      <c r="A27" s="162" t="s">
        <v>67</v>
      </c>
      <c r="B27" s="162" t="s">
        <v>825</v>
      </c>
      <c r="C27" s="166">
        <v>503.06150000000002</v>
      </c>
      <c r="D27" s="166">
        <v>507.3193</v>
      </c>
      <c r="E27" s="166">
        <v>504.65550000000002</v>
      </c>
      <c r="F27" s="166">
        <v>502.73110000000003</v>
      </c>
      <c r="G27" s="166">
        <v>503.59160000000003</v>
      </c>
      <c r="H27" s="166">
        <v>504.4151</v>
      </c>
      <c r="I27" s="167"/>
      <c r="J27" s="166">
        <v>500.74520000000001</v>
      </c>
      <c r="K27" s="166">
        <v>501.11869999999999</v>
      </c>
      <c r="L27" s="166">
        <v>483.20890000000003</v>
      </c>
      <c r="M27" s="166">
        <v>507.59480000000002</v>
      </c>
      <c r="N27" s="166">
        <v>490.83179999999999</v>
      </c>
      <c r="O27" s="166">
        <v>223.22569999999999</v>
      </c>
      <c r="P27" s="166">
        <v>224.614</v>
      </c>
      <c r="Q27" s="166">
        <v>224.53989999999999</v>
      </c>
      <c r="R27" s="166">
        <v>0</v>
      </c>
      <c r="S27" s="166">
        <v>214.73609999999999</v>
      </c>
      <c r="T27" s="166">
        <v>221.53190000000001</v>
      </c>
      <c r="U27" s="166">
        <v>224</v>
      </c>
      <c r="V27" s="167"/>
      <c r="W27" s="166">
        <v>224.1</v>
      </c>
      <c r="X27" s="168">
        <v>141.36779999999999</v>
      </c>
      <c r="Y27" s="166">
        <v>139.2807</v>
      </c>
      <c r="Z27" s="166">
        <v>137.26689999999999</v>
      </c>
      <c r="AA27" s="166">
        <v>138.03620000000001</v>
      </c>
      <c r="AB27" s="166">
        <v>134.3982</v>
      </c>
      <c r="AC27" s="167"/>
      <c r="AD27" s="166">
        <v>140.63890000000001</v>
      </c>
      <c r="AE27" s="166">
        <v>127.0745</v>
      </c>
      <c r="AF27" s="166">
        <v>142.14689999999999</v>
      </c>
    </row>
    <row r="28" spans="1:32" ht="18" customHeight="1" x14ac:dyDescent="0.3">
      <c r="A28" s="162" t="s">
        <v>67</v>
      </c>
      <c r="B28" s="162" t="s">
        <v>826</v>
      </c>
      <c r="C28" s="166">
        <v>507.41550000000001</v>
      </c>
      <c r="D28" s="166">
        <v>504.16829999999999</v>
      </c>
      <c r="E28" s="166">
        <v>499.61369999999999</v>
      </c>
      <c r="F28" s="166">
        <v>495.3904</v>
      </c>
      <c r="G28" s="166">
        <v>498.27289999999999</v>
      </c>
      <c r="H28" s="166">
        <v>499.8741</v>
      </c>
      <c r="I28" s="167"/>
      <c r="J28" s="166">
        <v>499.26960000000003</v>
      </c>
      <c r="K28" s="166">
        <v>503.04430000000002</v>
      </c>
      <c r="L28" s="166">
        <v>483.48360000000002</v>
      </c>
      <c r="M28" s="166">
        <v>509.39749999999998</v>
      </c>
      <c r="N28" s="166">
        <v>490.76530000000002</v>
      </c>
      <c r="O28" s="166">
        <v>222.7107</v>
      </c>
      <c r="P28" s="166">
        <v>223.2705</v>
      </c>
      <c r="Q28" s="166">
        <v>223.87620000000001</v>
      </c>
      <c r="R28" s="166">
        <v>0</v>
      </c>
      <c r="S28" s="166">
        <v>213.42930000000001</v>
      </c>
      <c r="T28" s="166">
        <v>221.36109999999999</v>
      </c>
      <c r="U28" s="166">
        <v>224</v>
      </c>
      <c r="V28" s="167"/>
      <c r="W28" s="166">
        <v>224.1</v>
      </c>
      <c r="X28" s="168">
        <v>141.33930000000001</v>
      </c>
      <c r="Y28" s="166">
        <v>139.2064</v>
      </c>
      <c r="Z28" s="166">
        <v>137.09739999999999</v>
      </c>
      <c r="AA28" s="166">
        <v>137.84379999999999</v>
      </c>
      <c r="AB28" s="166">
        <v>134.6052</v>
      </c>
      <c r="AC28" s="167"/>
      <c r="AD28" s="166">
        <v>140.69739999999999</v>
      </c>
      <c r="AE28" s="166">
        <v>126.5652</v>
      </c>
      <c r="AF28" s="166">
        <v>142.5145</v>
      </c>
    </row>
    <row r="29" spans="1:32" ht="18" customHeight="1" x14ac:dyDescent="0.3">
      <c r="A29" s="162" t="s">
        <v>67</v>
      </c>
      <c r="B29" s="162" t="s">
        <v>827</v>
      </c>
      <c r="C29" s="166">
        <v>506.99579999999997</v>
      </c>
      <c r="D29" s="166">
        <v>504.11579999999998</v>
      </c>
      <c r="E29" s="166">
        <v>505.8109</v>
      </c>
      <c r="F29" s="166">
        <v>495.87740000000002</v>
      </c>
      <c r="G29" s="166">
        <v>498.7835</v>
      </c>
      <c r="H29" s="166">
        <v>501.51560000000001</v>
      </c>
      <c r="I29" s="167"/>
      <c r="J29" s="166">
        <v>499.16820000000001</v>
      </c>
      <c r="K29" s="166">
        <v>502.83699999999999</v>
      </c>
      <c r="L29" s="166">
        <v>482.99630000000002</v>
      </c>
      <c r="M29" s="166">
        <v>509.68439999999998</v>
      </c>
      <c r="N29" s="166">
        <v>490.70679999999999</v>
      </c>
      <c r="O29" s="166">
        <v>222.41650000000001</v>
      </c>
      <c r="P29" s="166">
        <v>223.91909999999999</v>
      </c>
      <c r="Q29" s="166">
        <v>224.30160000000001</v>
      </c>
      <c r="R29" s="166">
        <v>0</v>
      </c>
      <c r="S29" s="166">
        <v>213.3776</v>
      </c>
      <c r="T29" s="166">
        <v>220.9804</v>
      </c>
      <c r="U29" s="166">
        <v>223.9</v>
      </c>
      <c r="V29" s="167"/>
      <c r="W29" s="166">
        <v>224.3</v>
      </c>
      <c r="X29" s="166">
        <v>141.3107</v>
      </c>
      <c r="Y29" s="166">
        <v>140.64359999999999</v>
      </c>
      <c r="Z29" s="166">
        <v>136.9871</v>
      </c>
      <c r="AA29" s="166">
        <v>137.7963</v>
      </c>
      <c r="AB29" s="166">
        <v>134.5086</v>
      </c>
      <c r="AC29" s="167"/>
      <c r="AD29" s="166">
        <v>142.249</v>
      </c>
      <c r="AE29" s="166">
        <v>126.667</v>
      </c>
      <c r="AF29" s="166">
        <v>141.73849999999999</v>
      </c>
    </row>
    <row r="30" spans="1:32" ht="18" customHeight="1" x14ac:dyDescent="0.3">
      <c r="A30" s="162" t="s">
        <v>67</v>
      </c>
      <c r="B30" s="162" t="s">
        <v>828</v>
      </c>
      <c r="C30" s="166">
        <v>505.57940000000002</v>
      </c>
      <c r="D30" s="166">
        <v>501.7</v>
      </c>
      <c r="E30" s="166">
        <v>498.51069999999999</v>
      </c>
      <c r="F30" s="166">
        <v>495.72359999999998</v>
      </c>
      <c r="G30" s="166">
        <v>498.23610000000002</v>
      </c>
      <c r="H30" s="166">
        <v>500.56760000000003</v>
      </c>
      <c r="I30" s="167"/>
      <c r="J30" s="166">
        <v>499.16629999999998</v>
      </c>
      <c r="K30" s="166">
        <v>502.4348</v>
      </c>
      <c r="L30" s="166">
        <v>484.55360000000002</v>
      </c>
      <c r="M30" s="166">
        <v>509.28410000000002</v>
      </c>
      <c r="N30" s="166">
        <v>491.64890000000003</v>
      </c>
      <c r="O30" s="166">
        <v>220.92179999999999</v>
      </c>
      <c r="P30" s="166">
        <v>224.4914</v>
      </c>
      <c r="Q30" s="166">
        <v>223.3511</v>
      </c>
      <c r="R30" s="166">
        <v>0</v>
      </c>
      <c r="S30" s="166">
        <v>212.76490000000001</v>
      </c>
      <c r="T30" s="166">
        <v>221.51140000000001</v>
      </c>
      <c r="U30" s="166">
        <v>224.9</v>
      </c>
      <c r="V30" s="167"/>
      <c r="W30" s="166">
        <v>225</v>
      </c>
      <c r="X30" s="166">
        <v>142.16050000000001</v>
      </c>
      <c r="Y30" s="166">
        <v>141.18940000000001</v>
      </c>
      <c r="Z30" s="166">
        <v>136.85</v>
      </c>
      <c r="AA30" s="166">
        <v>139.61510000000001</v>
      </c>
      <c r="AB30" s="166">
        <v>134.78460000000001</v>
      </c>
      <c r="AC30" s="167"/>
      <c r="AD30" s="166">
        <v>142.6003</v>
      </c>
      <c r="AE30" s="166">
        <v>126.5642</v>
      </c>
      <c r="AF30" s="166">
        <v>142.96379999999999</v>
      </c>
    </row>
    <row r="31" spans="1:32" ht="18" customHeight="1" x14ac:dyDescent="0.3">
      <c r="A31" s="162" t="s">
        <v>67</v>
      </c>
      <c r="B31" s="162" t="s">
        <v>829</v>
      </c>
      <c r="C31" s="166">
        <v>505.89420000000001</v>
      </c>
      <c r="D31" s="166">
        <v>502.54020000000003</v>
      </c>
      <c r="E31" s="166">
        <v>498.45830000000001</v>
      </c>
      <c r="F31" s="166">
        <v>496.29259999999999</v>
      </c>
      <c r="G31" s="166">
        <v>499.01639999999998</v>
      </c>
      <c r="H31" s="166">
        <v>501.72239999999999</v>
      </c>
      <c r="I31" s="167"/>
      <c r="J31" s="166">
        <v>499.834</v>
      </c>
      <c r="K31" s="166">
        <v>502.93830000000003</v>
      </c>
      <c r="L31" s="166">
        <v>484.82029999999997</v>
      </c>
      <c r="M31" s="166">
        <v>510.6662</v>
      </c>
      <c r="N31" s="166">
        <v>491.95710000000003</v>
      </c>
      <c r="O31" s="166">
        <v>220.58449999999999</v>
      </c>
      <c r="P31" s="166">
        <v>223.33199999999999</v>
      </c>
      <c r="Q31" s="166">
        <v>222.80080000000001</v>
      </c>
      <c r="R31" s="166">
        <v>0</v>
      </c>
      <c r="S31" s="166">
        <v>213.83539999999999</v>
      </c>
      <c r="T31" s="166">
        <v>221.7979</v>
      </c>
      <c r="U31" s="166">
        <v>224.5</v>
      </c>
      <c r="V31" s="167"/>
      <c r="W31" s="166">
        <v>224.9</v>
      </c>
      <c r="X31" s="166">
        <v>141.4093</v>
      </c>
      <c r="Y31" s="166">
        <v>140.82919999999999</v>
      </c>
      <c r="Z31" s="166">
        <v>136.71379999999999</v>
      </c>
      <c r="AA31" s="166">
        <v>139.2893</v>
      </c>
      <c r="AB31" s="166">
        <v>134.42580000000001</v>
      </c>
      <c r="AC31" s="167"/>
      <c r="AD31" s="166">
        <v>142.36609999999999</v>
      </c>
      <c r="AE31" s="166">
        <v>126.5211</v>
      </c>
      <c r="AF31" s="166">
        <v>142.8004</v>
      </c>
    </row>
    <row r="32" spans="1:32" ht="18" customHeight="1" x14ac:dyDescent="0.3">
      <c r="A32" s="162" t="s">
        <v>67</v>
      </c>
      <c r="B32" s="162" t="s">
        <v>830</v>
      </c>
      <c r="C32" s="166">
        <v>504.42540000000002</v>
      </c>
      <c r="D32" s="166">
        <v>499.65179999999998</v>
      </c>
      <c r="E32" s="166">
        <v>499.40359999999998</v>
      </c>
      <c r="F32" s="166">
        <v>495.12889999999999</v>
      </c>
      <c r="G32" s="166">
        <v>498.18889999999999</v>
      </c>
      <c r="H32" s="166">
        <v>500.79360000000003</v>
      </c>
      <c r="I32" s="167"/>
      <c r="J32" s="166">
        <v>498.5643</v>
      </c>
      <c r="K32" s="166">
        <v>502.66739999999999</v>
      </c>
      <c r="L32" s="166">
        <v>484.26229999999998</v>
      </c>
      <c r="M32" s="166">
        <v>510.05669999999998</v>
      </c>
      <c r="N32" s="166">
        <v>490.78710000000001</v>
      </c>
      <c r="O32" s="166">
        <v>220.58709999999999</v>
      </c>
      <c r="P32" s="166">
        <v>222.22569999999999</v>
      </c>
      <c r="Q32" s="166">
        <v>222.04750000000001</v>
      </c>
      <c r="R32" s="166">
        <v>0</v>
      </c>
      <c r="S32" s="166">
        <v>213.5917</v>
      </c>
      <c r="T32" s="166">
        <v>221.7439</v>
      </c>
      <c r="U32" s="166">
        <v>224.5</v>
      </c>
      <c r="V32" s="167"/>
      <c r="W32" s="166">
        <v>224.7</v>
      </c>
      <c r="X32" s="166">
        <v>141.52860000000001</v>
      </c>
      <c r="Y32" s="166">
        <v>140.5865</v>
      </c>
      <c r="Z32" s="166">
        <v>136.71799999999999</v>
      </c>
      <c r="AA32" s="166">
        <v>139.6311</v>
      </c>
      <c r="AB32" s="166">
        <v>134.5086</v>
      </c>
      <c r="AC32" s="167"/>
      <c r="AD32" s="166">
        <v>142.2783</v>
      </c>
      <c r="AE32" s="166">
        <v>126.1314</v>
      </c>
      <c r="AF32" s="166">
        <v>142.923</v>
      </c>
    </row>
    <row r="33" spans="1:32" ht="18" customHeight="1" x14ac:dyDescent="0.3">
      <c r="A33" s="162" t="s">
        <v>67</v>
      </c>
      <c r="B33" s="162" t="s">
        <v>831</v>
      </c>
      <c r="C33" s="169">
        <v>506.52370000000002</v>
      </c>
      <c r="D33" s="169">
        <v>500.12439999999998</v>
      </c>
      <c r="E33" s="169">
        <v>501.34679999999997</v>
      </c>
      <c r="F33" s="169">
        <v>495.78019999999998</v>
      </c>
      <c r="G33" s="169">
        <v>498.90300000000002</v>
      </c>
      <c r="H33" s="169">
        <v>501.71019999999999</v>
      </c>
      <c r="I33" s="170"/>
      <c r="J33" s="169">
        <v>499.20769999999999</v>
      </c>
      <c r="K33" s="169">
        <v>503.16340000000002</v>
      </c>
      <c r="L33" s="169">
        <v>483.91050000000001</v>
      </c>
      <c r="M33" s="169">
        <v>510.55009999999999</v>
      </c>
      <c r="N33" s="169">
        <v>491.00990000000002</v>
      </c>
      <c r="O33" s="169">
        <v>220.7021</v>
      </c>
      <c r="P33" s="169">
        <v>222.2439</v>
      </c>
      <c r="Q33" s="169">
        <v>222.42</v>
      </c>
      <c r="R33" s="169">
        <v>0</v>
      </c>
      <c r="S33" s="169">
        <v>213.71719999999999</v>
      </c>
      <c r="T33" s="169">
        <v>221.3749</v>
      </c>
      <c r="U33" s="169">
        <v>223.9</v>
      </c>
      <c r="V33" s="170"/>
      <c r="W33" s="169">
        <v>224.3</v>
      </c>
      <c r="X33" s="169">
        <v>140.6377</v>
      </c>
      <c r="Y33" s="169">
        <v>140.83340000000001</v>
      </c>
      <c r="Z33" s="169">
        <v>136.70750000000001</v>
      </c>
      <c r="AA33" s="169">
        <v>137.6609</v>
      </c>
      <c r="AB33" s="169">
        <v>134.43960000000001</v>
      </c>
      <c r="AC33" s="170"/>
      <c r="AD33" s="169">
        <v>142.2636</v>
      </c>
      <c r="AE33" s="169">
        <v>127.1322</v>
      </c>
      <c r="AF33" s="169">
        <v>142.12649999999999</v>
      </c>
    </row>
    <row r="34" spans="1:32" ht="18" customHeight="1" x14ac:dyDescent="0.3">
      <c r="A34" s="162" t="s">
        <v>67</v>
      </c>
      <c r="B34" s="162" t="s">
        <v>832</v>
      </c>
      <c r="C34" s="163">
        <v>507.363</v>
      </c>
      <c r="D34" s="163">
        <v>505.4812</v>
      </c>
      <c r="E34" s="163">
        <v>504.91809999999998</v>
      </c>
      <c r="F34" s="163">
        <v>498.17329999999998</v>
      </c>
      <c r="G34" s="163">
        <v>501.00060000000002</v>
      </c>
      <c r="H34" s="163">
        <v>503.5505</v>
      </c>
      <c r="I34" s="164"/>
      <c r="J34" s="163">
        <v>500.14569999999998</v>
      </c>
      <c r="K34" s="163">
        <v>503.15390000000002</v>
      </c>
      <c r="L34" s="163">
        <v>483.67309999999998</v>
      </c>
      <c r="M34" s="163">
        <v>510.69130000000001</v>
      </c>
      <c r="N34" s="163">
        <v>491.14</v>
      </c>
      <c r="O34" s="163">
        <v>222.18870000000001</v>
      </c>
      <c r="P34" s="163">
        <v>225.2054</v>
      </c>
      <c r="Q34" s="163">
        <v>223.66739999999999</v>
      </c>
      <c r="R34" s="163">
        <v>219.7088</v>
      </c>
      <c r="S34" s="163">
        <v>214.44810000000001</v>
      </c>
      <c r="T34" s="163">
        <v>221.3587</v>
      </c>
      <c r="U34" s="163">
        <v>224.2</v>
      </c>
      <c r="V34" s="164"/>
      <c r="W34" s="163">
        <v>224.2</v>
      </c>
      <c r="X34" s="163">
        <v>141.4486</v>
      </c>
      <c r="Y34" s="163">
        <v>140.52889999999999</v>
      </c>
      <c r="Z34" s="163">
        <v>136.94479999999999</v>
      </c>
      <c r="AA34" s="163">
        <v>137.8862</v>
      </c>
      <c r="AB34" s="163">
        <v>134.8536</v>
      </c>
      <c r="AC34" s="164"/>
      <c r="AD34" s="163">
        <v>142.1319</v>
      </c>
      <c r="AE34" s="163">
        <v>127.5909</v>
      </c>
      <c r="AF34" s="163">
        <v>142.535</v>
      </c>
    </row>
    <row r="35" spans="1:32" ht="18" customHeight="1" x14ac:dyDescent="0.3">
      <c r="A35" s="162" t="s">
        <v>67</v>
      </c>
      <c r="B35" s="162" t="s">
        <v>833</v>
      </c>
      <c r="C35" s="166">
        <v>508.46460000000002</v>
      </c>
      <c r="D35" s="166">
        <v>508.2122</v>
      </c>
      <c r="E35" s="166">
        <v>504.60289999999998</v>
      </c>
      <c r="F35" s="166">
        <v>500.27980000000002</v>
      </c>
      <c r="G35" s="166">
        <v>502.83190000000002</v>
      </c>
      <c r="H35" s="166">
        <v>504.47550000000001</v>
      </c>
      <c r="I35" s="167"/>
      <c r="J35" s="166">
        <v>502.75170000000003</v>
      </c>
      <c r="K35" s="166">
        <v>504.05720000000002</v>
      </c>
      <c r="L35" s="166">
        <v>484.91750000000002</v>
      </c>
      <c r="M35" s="166">
        <v>510.82900000000001</v>
      </c>
      <c r="N35" s="166">
        <v>491.35890000000001</v>
      </c>
      <c r="O35" s="166">
        <v>222.48240000000001</v>
      </c>
      <c r="P35" s="166">
        <v>226.64529999999999</v>
      </c>
      <c r="Q35" s="166">
        <v>225.00210000000001</v>
      </c>
      <c r="R35" s="166">
        <v>220.8663</v>
      </c>
      <c r="S35" s="166">
        <v>215.3562</v>
      </c>
      <c r="T35" s="166">
        <v>221.4325</v>
      </c>
      <c r="U35" s="166">
        <v>224.5</v>
      </c>
      <c r="V35" s="167"/>
      <c r="W35" s="166">
        <v>224.9</v>
      </c>
      <c r="X35" s="166">
        <v>141.4128</v>
      </c>
      <c r="Y35" s="166">
        <v>140.4091</v>
      </c>
      <c r="Z35" s="166">
        <v>137.32820000000001</v>
      </c>
      <c r="AA35" s="166">
        <v>138.5479</v>
      </c>
      <c r="AB35" s="166">
        <v>135.93</v>
      </c>
      <c r="AC35" s="167"/>
      <c r="AD35" s="166">
        <v>142.19040000000001</v>
      </c>
      <c r="AE35" s="166">
        <v>127.76430000000001</v>
      </c>
      <c r="AF35" s="166">
        <v>142.535</v>
      </c>
    </row>
    <row r="36" spans="1:32" ht="18" customHeight="1" x14ac:dyDescent="0.3">
      <c r="A36" s="162" t="s">
        <v>67</v>
      </c>
      <c r="B36" s="162" t="s">
        <v>834</v>
      </c>
      <c r="C36" s="166">
        <v>508.20229999999998</v>
      </c>
      <c r="D36" s="166">
        <v>508.26459999999997</v>
      </c>
      <c r="E36" s="166">
        <v>507.43900000000002</v>
      </c>
      <c r="F36" s="166">
        <v>500.71339999999998</v>
      </c>
      <c r="G36" s="166">
        <v>503.12130000000002</v>
      </c>
      <c r="H36" s="166">
        <v>505.06180000000001</v>
      </c>
      <c r="I36" s="167"/>
      <c r="J36" s="166">
        <v>503.13299999999998</v>
      </c>
      <c r="K36" s="166">
        <v>503.73759999999999</v>
      </c>
      <c r="L36" s="166">
        <v>485.79450000000003</v>
      </c>
      <c r="M36" s="166">
        <v>511.27949999999998</v>
      </c>
      <c r="N36" s="166">
        <v>491.83120000000002</v>
      </c>
      <c r="O36" s="166">
        <v>222.49289999999999</v>
      </c>
      <c r="P36" s="166">
        <v>226.64949999999999</v>
      </c>
      <c r="Q36" s="166">
        <v>224.90700000000001</v>
      </c>
      <c r="R36" s="166">
        <v>220.9228</v>
      </c>
      <c r="S36" s="166">
        <v>215.6737</v>
      </c>
      <c r="T36" s="166">
        <v>221.56319999999999</v>
      </c>
      <c r="U36" s="166">
        <v>225.1</v>
      </c>
      <c r="V36" s="167"/>
      <c r="W36" s="166">
        <v>224.9</v>
      </c>
      <c r="X36" s="168">
        <v>141.3639</v>
      </c>
      <c r="Y36" s="166">
        <v>140.42410000000001</v>
      </c>
      <c r="Z36" s="166">
        <v>137.19900000000001</v>
      </c>
      <c r="AA36" s="166">
        <v>138.19399999999999</v>
      </c>
      <c r="AB36" s="166">
        <v>135.76439999999999</v>
      </c>
      <c r="AC36" s="167"/>
      <c r="AD36" s="166">
        <v>142.2783</v>
      </c>
      <c r="AE36" s="166">
        <v>127.8151</v>
      </c>
      <c r="AF36" s="166">
        <v>142.14689999999999</v>
      </c>
    </row>
    <row r="37" spans="1:32" ht="18" customHeight="1" x14ac:dyDescent="0.3">
      <c r="A37" s="162" t="s">
        <v>67</v>
      </c>
      <c r="B37" s="162" t="s">
        <v>835</v>
      </c>
      <c r="C37" s="166">
        <v>507.5204</v>
      </c>
      <c r="D37" s="166">
        <v>506.74160000000001</v>
      </c>
      <c r="E37" s="166">
        <v>504.28789999999998</v>
      </c>
      <c r="F37" s="166">
        <v>499.91590000000002</v>
      </c>
      <c r="G37" s="166">
        <v>502.44709999999998</v>
      </c>
      <c r="H37" s="166">
        <v>504.7801</v>
      </c>
      <c r="I37" s="167"/>
      <c r="J37" s="166">
        <v>502.4246</v>
      </c>
      <c r="K37" s="166">
        <v>503.66320000000002</v>
      </c>
      <c r="L37" s="166">
        <v>483.51429999999999</v>
      </c>
      <c r="M37" s="166">
        <v>510.25310000000002</v>
      </c>
      <c r="N37" s="166">
        <v>490.78410000000002</v>
      </c>
      <c r="O37" s="166">
        <v>221.64590000000001</v>
      </c>
      <c r="P37" s="166">
        <v>225.90899999999999</v>
      </c>
      <c r="Q37" s="166">
        <v>225.5283</v>
      </c>
      <c r="R37" s="166">
        <v>220.44970000000001</v>
      </c>
      <c r="S37" s="166">
        <v>215.26759999999999</v>
      </c>
      <c r="T37" s="166">
        <v>221.6146</v>
      </c>
      <c r="U37" s="166">
        <v>223.9</v>
      </c>
      <c r="V37" s="167"/>
      <c r="W37" s="166">
        <v>223.8</v>
      </c>
      <c r="X37" s="166">
        <v>141.31489999999999</v>
      </c>
      <c r="Y37" s="166">
        <v>139.43860000000001</v>
      </c>
      <c r="Z37" s="166">
        <v>136.9734</v>
      </c>
      <c r="AA37" s="166">
        <v>137.98079999999999</v>
      </c>
      <c r="AB37" s="166">
        <v>135.4332</v>
      </c>
      <c r="AC37" s="167"/>
      <c r="AD37" s="166">
        <v>141.72200000000001</v>
      </c>
      <c r="AE37" s="166">
        <v>127.0518</v>
      </c>
      <c r="AF37" s="166">
        <v>142.14689999999999</v>
      </c>
    </row>
    <row r="38" spans="1:32" ht="18" customHeight="1" x14ac:dyDescent="0.3">
      <c r="A38" s="162" t="s">
        <v>67</v>
      </c>
      <c r="B38" s="162" t="s">
        <v>836</v>
      </c>
      <c r="C38" s="166">
        <v>507.15320000000003</v>
      </c>
      <c r="D38" s="166">
        <v>505.42869999999999</v>
      </c>
      <c r="E38" s="166">
        <v>504.65550000000002</v>
      </c>
      <c r="F38" s="166">
        <v>498.0677</v>
      </c>
      <c r="G38" s="166">
        <v>500.94069999999999</v>
      </c>
      <c r="H38" s="166">
        <v>503.4855</v>
      </c>
      <c r="I38" s="167"/>
      <c r="J38" s="166">
        <v>501.74259999999998</v>
      </c>
      <c r="K38" s="166">
        <v>503.41070000000002</v>
      </c>
      <c r="L38" s="166">
        <v>484.05880000000002</v>
      </c>
      <c r="M38" s="166">
        <v>510.26080000000002</v>
      </c>
      <c r="N38" s="166">
        <v>491.44439999999997</v>
      </c>
      <c r="O38" s="166">
        <v>223.25710000000001</v>
      </c>
      <c r="P38" s="166">
        <v>225.21209999999999</v>
      </c>
      <c r="Q38" s="166">
        <v>225.38800000000001</v>
      </c>
      <c r="R38" s="166">
        <v>219.23089999999999</v>
      </c>
      <c r="S38" s="166">
        <v>214.52940000000001</v>
      </c>
      <c r="T38" s="166">
        <v>221.309</v>
      </c>
      <c r="U38" s="166">
        <v>223.9</v>
      </c>
      <c r="V38" s="167"/>
      <c r="W38" s="166">
        <v>224</v>
      </c>
      <c r="X38" s="166">
        <v>141.34729999999999</v>
      </c>
      <c r="Y38" s="166">
        <v>139.8929</v>
      </c>
      <c r="Z38" s="166">
        <v>136.98830000000001</v>
      </c>
      <c r="AA38" s="166">
        <v>137.75970000000001</v>
      </c>
      <c r="AB38" s="166">
        <v>135.04679999999999</v>
      </c>
      <c r="AC38" s="167"/>
      <c r="AD38" s="166">
        <v>141.91229999999999</v>
      </c>
      <c r="AE38" s="166">
        <v>126.9752</v>
      </c>
      <c r="AF38" s="166">
        <v>142.12649999999999</v>
      </c>
    </row>
    <row r="39" spans="1:32" ht="18" customHeight="1" x14ac:dyDescent="0.3">
      <c r="A39" s="162" t="s">
        <v>67</v>
      </c>
      <c r="B39" s="162" t="s">
        <v>837</v>
      </c>
      <c r="C39" s="166">
        <v>507.25810000000001</v>
      </c>
      <c r="D39" s="166">
        <v>505.21870000000001</v>
      </c>
      <c r="E39" s="166">
        <v>504.5505</v>
      </c>
      <c r="F39" s="166">
        <v>497.04919999999998</v>
      </c>
      <c r="G39" s="166">
        <v>500.12599999999998</v>
      </c>
      <c r="H39" s="166">
        <v>502.59050000000002</v>
      </c>
      <c r="I39" s="167"/>
      <c r="J39" s="166">
        <v>501.30579999999998</v>
      </c>
      <c r="K39" s="166">
        <v>503.39479999999998</v>
      </c>
      <c r="L39" s="166">
        <v>484.02980000000002</v>
      </c>
      <c r="M39" s="166">
        <v>510.3313</v>
      </c>
      <c r="N39" s="166">
        <v>490.62130000000002</v>
      </c>
      <c r="O39" s="166">
        <v>223.58070000000001</v>
      </c>
      <c r="P39" s="166">
        <v>224.55449999999999</v>
      </c>
      <c r="Q39" s="166">
        <v>225.13290000000001</v>
      </c>
      <c r="R39" s="166">
        <v>219.0933</v>
      </c>
      <c r="S39" s="166">
        <v>214.2783</v>
      </c>
      <c r="T39" s="166">
        <v>221.4111</v>
      </c>
      <c r="U39" s="166">
        <v>223.9</v>
      </c>
      <c r="V39" s="167"/>
      <c r="W39" s="166">
        <v>223.9</v>
      </c>
      <c r="X39" s="166">
        <v>140.5421</v>
      </c>
      <c r="Y39" s="166">
        <v>139.69880000000001</v>
      </c>
      <c r="Z39" s="166">
        <v>136.92509999999999</v>
      </c>
      <c r="AA39" s="166">
        <v>137.94329999999999</v>
      </c>
      <c r="AB39" s="166">
        <v>134.90880000000001</v>
      </c>
      <c r="AC39" s="167"/>
      <c r="AD39" s="166">
        <v>141.72200000000001</v>
      </c>
      <c r="AE39" s="166">
        <v>127.0692</v>
      </c>
      <c r="AF39" s="166">
        <v>142.12649999999999</v>
      </c>
    </row>
    <row r="40" spans="1:32" ht="18" customHeight="1" x14ac:dyDescent="0.3">
      <c r="A40" s="162" t="s">
        <v>67</v>
      </c>
      <c r="B40" s="162" t="s">
        <v>838</v>
      </c>
      <c r="C40" s="166">
        <v>507.78269999999998</v>
      </c>
      <c r="D40" s="166">
        <v>504.43079999999998</v>
      </c>
      <c r="E40" s="166">
        <v>502.50220000000002</v>
      </c>
      <c r="F40" s="166">
        <v>494.7448</v>
      </c>
      <c r="G40" s="166">
        <v>497.8082</v>
      </c>
      <c r="H40" s="166">
        <v>501.07440000000003</v>
      </c>
      <c r="I40" s="167"/>
      <c r="J40" s="166">
        <v>498.64510000000001</v>
      </c>
      <c r="K40" s="166">
        <v>502.65280000000001</v>
      </c>
      <c r="L40" s="166">
        <v>482.68560000000002</v>
      </c>
      <c r="M40" s="166">
        <v>509.7937</v>
      </c>
      <c r="N40" s="166">
        <v>490.8349</v>
      </c>
      <c r="O40" s="166">
        <v>223.89449999999999</v>
      </c>
      <c r="P40" s="166">
        <v>225.3313</v>
      </c>
      <c r="Q40" s="166">
        <v>225.16630000000001</v>
      </c>
      <c r="R40" s="166">
        <v>218.23689999999999</v>
      </c>
      <c r="S40" s="166">
        <v>213.26689999999999</v>
      </c>
      <c r="T40" s="166">
        <v>221.06319999999999</v>
      </c>
      <c r="U40" s="166">
        <v>223.9</v>
      </c>
      <c r="V40" s="167"/>
      <c r="W40" s="166">
        <v>223.8</v>
      </c>
      <c r="X40" s="168">
        <v>140.17449999999999</v>
      </c>
      <c r="Y40" s="166">
        <v>139.73429999999999</v>
      </c>
      <c r="Z40" s="166">
        <v>136.9162</v>
      </c>
      <c r="AA40" s="166">
        <v>137.5214</v>
      </c>
      <c r="AB40" s="166">
        <v>134.88120000000001</v>
      </c>
      <c r="AC40" s="167"/>
      <c r="AD40" s="166">
        <v>141.63419999999999</v>
      </c>
      <c r="AE40" s="166">
        <v>126.9545</v>
      </c>
      <c r="AF40" s="166">
        <v>141.45249999999999</v>
      </c>
    </row>
    <row r="41" spans="1:32" ht="18" customHeight="1" x14ac:dyDescent="0.3">
      <c r="A41" s="162" t="s">
        <v>67</v>
      </c>
      <c r="B41" s="162" t="s">
        <v>839</v>
      </c>
      <c r="C41" s="169">
        <v>507.20569999999998</v>
      </c>
      <c r="D41" s="169">
        <v>504.3784</v>
      </c>
      <c r="E41" s="171">
        <v>502.476</v>
      </c>
      <c r="F41" s="169">
        <v>495.35539999999997</v>
      </c>
      <c r="G41" s="169">
        <v>498.66359999999997</v>
      </c>
      <c r="H41" s="169">
        <v>500.42619999999999</v>
      </c>
      <c r="I41" s="170"/>
      <c r="J41" s="169">
        <v>498.125</v>
      </c>
      <c r="K41" s="169">
        <v>502.4264</v>
      </c>
      <c r="L41" s="169">
        <v>482.05990000000003</v>
      </c>
      <c r="M41" s="169">
        <v>509.33839999999998</v>
      </c>
      <c r="N41" s="169">
        <v>489.36649999999997</v>
      </c>
      <c r="O41" s="169">
        <v>223.63919999999999</v>
      </c>
      <c r="P41" s="169">
        <v>224.9588</v>
      </c>
      <c r="Q41" s="169">
        <v>226.00290000000001</v>
      </c>
      <c r="R41" s="169">
        <v>218.29150000000001</v>
      </c>
      <c r="S41" s="169">
        <v>213.39240000000001</v>
      </c>
      <c r="T41" s="169">
        <v>221.29679999999999</v>
      </c>
      <c r="U41" s="169">
        <v>223.9</v>
      </c>
      <c r="V41" s="170"/>
      <c r="W41" s="169">
        <v>224.1</v>
      </c>
      <c r="X41" s="169">
        <v>139.80690000000001</v>
      </c>
      <c r="Y41" s="169">
        <v>139.50909999999999</v>
      </c>
      <c r="Z41" s="169">
        <v>136.5711</v>
      </c>
      <c r="AA41" s="169">
        <v>137.44489999999999</v>
      </c>
      <c r="AB41" s="169">
        <v>134.3982</v>
      </c>
      <c r="AC41" s="170"/>
      <c r="AD41" s="169">
        <v>141.45859999999999</v>
      </c>
      <c r="AE41" s="169">
        <v>127.0475</v>
      </c>
      <c r="AF41" s="169">
        <v>141.33000000000001</v>
      </c>
    </row>
    <row r="42" spans="1:32" ht="18" customHeight="1" x14ac:dyDescent="0.3">
      <c r="A42" s="162" t="s">
        <v>67</v>
      </c>
      <c r="B42" s="162" t="s">
        <v>840</v>
      </c>
      <c r="C42" s="163">
        <v>508.83179999999999</v>
      </c>
      <c r="D42" s="163">
        <v>505.79640000000001</v>
      </c>
      <c r="E42" s="163">
        <v>502.44970000000001</v>
      </c>
      <c r="F42" s="163">
        <v>496.75619999999998</v>
      </c>
      <c r="G42" s="163">
        <v>499.6388</v>
      </c>
      <c r="H42" s="163">
        <v>502.72739999999999</v>
      </c>
      <c r="I42" s="164"/>
      <c r="J42" s="163">
        <v>498.387</v>
      </c>
      <c r="K42" s="163">
        <v>499.61930000000001</v>
      </c>
      <c r="L42" s="163">
        <v>478.35129999999998</v>
      </c>
      <c r="M42" s="163">
        <v>506.51990000000001</v>
      </c>
      <c r="N42" s="163">
        <v>486.61130000000003</v>
      </c>
      <c r="O42" s="163">
        <v>223.5873</v>
      </c>
      <c r="P42" s="163">
        <v>225.67070000000001</v>
      </c>
      <c r="Q42" s="163">
        <v>226.12989999999999</v>
      </c>
      <c r="R42" s="163">
        <v>218.73220000000001</v>
      </c>
      <c r="S42" s="163">
        <v>214.9871</v>
      </c>
      <c r="T42" s="163">
        <v>220.24090000000001</v>
      </c>
      <c r="U42" s="163">
        <v>222.6</v>
      </c>
      <c r="V42" s="164"/>
      <c r="W42" s="163">
        <v>222.7</v>
      </c>
      <c r="X42" s="163">
        <v>139.86920000000001</v>
      </c>
      <c r="Y42" s="163">
        <v>139.03639999999999</v>
      </c>
      <c r="Z42" s="163">
        <v>136.3683</v>
      </c>
      <c r="AA42" s="163">
        <v>136.5779</v>
      </c>
      <c r="AB42" s="163">
        <v>133.65299999999999</v>
      </c>
      <c r="AC42" s="164"/>
      <c r="AD42" s="163">
        <v>140.9023</v>
      </c>
      <c r="AE42" s="163">
        <v>127.06019999999999</v>
      </c>
      <c r="AF42" s="163">
        <v>140.94200000000001</v>
      </c>
    </row>
    <row r="43" spans="1:32" ht="18" customHeight="1" x14ac:dyDescent="0.3">
      <c r="A43" s="162" t="s">
        <v>67</v>
      </c>
      <c r="B43" s="162" t="s">
        <v>841</v>
      </c>
      <c r="C43" s="166">
        <v>508.98910000000001</v>
      </c>
      <c r="D43" s="166">
        <v>509.26249999999999</v>
      </c>
      <c r="E43" s="166">
        <v>508.80450000000002</v>
      </c>
      <c r="F43" s="166">
        <v>499.77780000000001</v>
      </c>
      <c r="G43" s="166">
        <v>502.2079</v>
      </c>
      <c r="H43" s="166">
        <v>503.60759999999999</v>
      </c>
      <c r="I43" s="166">
        <v>506.91070000000002</v>
      </c>
      <c r="J43" s="166">
        <v>499.42970000000003</v>
      </c>
      <c r="K43" s="166">
        <v>496.66320000000002</v>
      </c>
      <c r="L43" s="166">
        <v>479.0247</v>
      </c>
      <c r="M43" s="166">
        <v>503.49889999999999</v>
      </c>
      <c r="N43" s="166">
        <v>488.78989999999999</v>
      </c>
      <c r="O43" s="166">
        <v>224.7028</v>
      </c>
      <c r="P43" s="166">
        <v>227.29239999999999</v>
      </c>
      <c r="Q43" s="166">
        <v>226.49969999999999</v>
      </c>
      <c r="R43" s="166">
        <v>220.26339999999999</v>
      </c>
      <c r="S43" s="166">
        <v>216.01329999999999</v>
      </c>
      <c r="T43" s="166">
        <v>220.53790000000001</v>
      </c>
      <c r="U43" s="166">
        <v>223.2</v>
      </c>
      <c r="V43" s="167"/>
      <c r="W43" s="166">
        <v>223.3</v>
      </c>
      <c r="X43" s="166">
        <v>141.3878</v>
      </c>
      <c r="Y43" s="166">
        <v>140.86109999999999</v>
      </c>
      <c r="Z43" s="166">
        <v>136.48240000000001</v>
      </c>
      <c r="AA43" s="166">
        <v>138.8289</v>
      </c>
      <c r="AB43" s="166">
        <v>134.45339999999999</v>
      </c>
      <c r="AC43" s="167"/>
      <c r="AD43" s="166">
        <v>142.96619999999999</v>
      </c>
      <c r="AE43" s="166">
        <v>127.4859</v>
      </c>
      <c r="AF43" s="166">
        <v>142.12649999999999</v>
      </c>
    </row>
    <row r="44" spans="1:32" ht="18" customHeight="1" x14ac:dyDescent="0.3">
      <c r="A44" s="162" t="s">
        <v>67</v>
      </c>
      <c r="B44" s="162" t="s">
        <v>842</v>
      </c>
      <c r="C44" s="166">
        <v>504.32049999999998</v>
      </c>
      <c r="D44" s="166">
        <v>509.68270000000001</v>
      </c>
      <c r="E44" s="166">
        <v>509.8023</v>
      </c>
      <c r="F44" s="166">
        <v>500.50369999999998</v>
      </c>
      <c r="G44" s="166">
        <v>503.37400000000002</v>
      </c>
      <c r="H44" s="166">
        <v>504.66570000000002</v>
      </c>
      <c r="I44" s="167"/>
      <c r="J44" s="166">
        <v>497.92169999999999</v>
      </c>
      <c r="K44" s="166">
        <v>497.26100000000002</v>
      </c>
      <c r="L44" s="166">
        <v>482.97329999999999</v>
      </c>
      <c r="M44" s="166">
        <v>503.22789999999998</v>
      </c>
      <c r="N44" s="166">
        <v>489.69200000000001</v>
      </c>
      <c r="O44" s="166">
        <v>225.8544</v>
      </c>
      <c r="P44" s="166">
        <v>227.09299999999999</v>
      </c>
      <c r="Q44" s="166">
        <v>226.17189999999999</v>
      </c>
      <c r="R44" s="166">
        <v>220.78540000000001</v>
      </c>
      <c r="S44" s="166">
        <v>216.3381</v>
      </c>
      <c r="T44" s="166">
        <v>220.99510000000001</v>
      </c>
      <c r="U44" s="166">
        <v>223.9</v>
      </c>
      <c r="V44" s="167"/>
      <c r="W44" s="166">
        <v>223.3</v>
      </c>
      <c r="X44" s="166">
        <v>140.55950000000001</v>
      </c>
      <c r="Y44" s="166">
        <v>139.8811</v>
      </c>
      <c r="Z44" s="166">
        <v>136.16560000000001</v>
      </c>
      <c r="AA44" s="166">
        <v>138.98400000000001</v>
      </c>
      <c r="AB44" s="166">
        <v>133.86000000000001</v>
      </c>
      <c r="AC44" s="167"/>
      <c r="AD44" s="166">
        <v>141.41460000000001</v>
      </c>
      <c r="AE44" s="166">
        <v>128.1833</v>
      </c>
      <c r="AF44" s="166">
        <v>141.73849999999999</v>
      </c>
    </row>
    <row r="45" spans="1:32" ht="18" customHeight="1" x14ac:dyDescent="0.3">
      <c r="A45" s="162" t="s">
        <v>67</v>
      </c>
      <c r="B45" s="162" t="s">
        <v>843</v>
      </c>
      <c r="C45" s="166">
        <v>505.4221</v>
      </c>
      <c r="D45" s="166">
        <v>510.99560000000002</v>
      </c>
      <c r="E45" s="166">
        <v>509.06709999999998</v>
      </c>
      <c r="F45" s="166">
        <v>503.35300000000001</v>
      </c>
      <c r="G45" s="166">
        <v>505.76769999999999</v>
      </c>
      <c r="H45" s="166">
        <v>505.39699999999999</v>
      </c>
      <c r="I45" s="167"/>
      <c r="J45" s="166">
        <v>499.63150000000002</v>
      </c>
      <c r="K45" s="166">
        <v>496.9307</v>
      </c>
      <c r="L45" s="166">
        <v>482.97519999999997</v>
      </c>
      <c r="M45" s="166">
        <v>503.77940000000001</v>
      </c>
      <c r="N45" s="166">
        <v>490.65230000000003</v>
      </c>
      <c r="O45" s="166">
        <v>226.61320000000001</v>
      </c>
      <c r="P45" s="166">
        <v>228.27260000000001</v>
      </c>
      <c r="Q45" s="166">
        <v>227.01240000000001</v>
      </c>
      <c r="R45" s="166">
        <v>222.72579999999999</v>
      </c>
      <c r="S45" s="166">
        <v>218.50129999999999</v>
      </c>
      <c r="T45" s="166">
        <v>220.8586</v>
      </c>
      <c r="U45" s="166">
        <v>223.9</v>
      </c>
      <c r="V45" s="167"/>
      <c r="W45" s="166">
        <v>224</v>
      </c>
      <c r="X45" s="166">
        <v>140.6294</v>
      </c>
      <c r="Y45" s="166">
        <v>140.46209999999999</v>
      </c>
      <c r="Z45" s="166">
        <v>137.5926</v>
      </c>
      <c r="AA45" s="166">
        <v>138.16929999999999</v>
      </c>
      <c r="AB45" s="166">
        <v>134.7294</v>
      </c>
      <c r="AC45" s="167"/>
      <c r="AD45" s="166">
        <v>141.3415</v>
      </c>
      <c r="AE45" s="166">
        <v>128.93119999999999</v>
      </c>
      <c r="AF45" s="166">
        <v>141.71799999999999</v>
      </c>
    </row>
    <row r="46" spans="1:32" ht="18" customHeight="1" x14ac:dyDescent="0.3">
      <c r="A46" s="162" t="s">
        <v>67</v>
      </c>
      <c r="B46" s="162" t="s">
        <v>844</v>
      </c>
      <c r="C46" s="166">
        <v>503.4812</v>
      </c>
      <c r="D46" s="166">
        <v>505.69130000000001</v>
      </c>
      <c r="E46" s="168">
        <v>506.4674</v>
      </c>
      <c r="F46" s="166">
        <v>501.66809999999998</v>
      </c>
      <c r="G46" s="166">
        <v>504.54379999999998</v>
      </c>
      <c r="H46" s="168">
        <v>504.21230000000003</v>
      </c>
      <c r="I46" s="167"/>
      <c r="J46" s="166">
        <v>497.08210000000003</v>
      </c>
      <c r="K46" s="166">
        <v>496.22609999999997</v>
      </c>
      <c r="L46" s="166">
        <v>482.15730000000002</v>
      </c>
      <c r="M46" s="166">
        <v>503.25139999999999</v>
      </c>
      <c r="N46" s="166">
        <v>489.54719999999998</v>
      </c>
      <c r="O46" s="166">
        <v>225.1523</v>
      </c>
      <c r="P46" s="166">
        <v>225.70650000000001</v>
      </c>
      <c r="Q46" s="166">
        <v>225.5643</v>
      </c>
      <c r="R46" s="166">
        <v>222.52350000000001</v>
      </c>
      <c r="S46" s="166">
        <v>218.97380000000001</v>
      </c>
      <c r="T46" s="166">
        <v>220.82380000000001</v>
      </c>
      <c r="U46" s="166">
        <v>223.9</v>
      </c>
      <c r="V46" s="167"/>
      <c r="W46" s="166">
        <v>223.7</v>
      </c>
      <c r="X46" s="168">
        <v>141.0093</v>
      </c>
      <c r="Y46" s="166">
        <v>139.62430000000001</v>
      </c>
      <c r="Z46" s="166">
        <v>137.69409999999999</v>
      </c>
      <c r="AA46" s="166">
        <v>138.08500000000001</v>
      </c>
      <c r="AB46" s="166">
        <v>134.42580000000001</v>
      </c>
      <c r="AC46" s="167"/>
      <c r="AD46" s="167"/>
      <c r="AE46" s="166">
        <v>129.02629999999999</v>
      </c>
      <c r="AF46" s="166">
        <v>141.71799999999999</v>
      </c>
    </row>
    <row r="47" spans="1:32" ht="18" customHeight="1" x14ac:dyDescent="0.3">
      <c r="A47" s="162" t="s">
        <v>67</v>
      </c>
      <c r="B47" s="162" t="s">
        <v>845</v>
      </c>
      <c r="C47" s="166">
        <v>503.32380000000001</v>
      </c>
      <c r="D47" s="166">
        <v>505.21870000000001</v>
      </c>
      <c r="E47" s="166">
        <v>503.86770000000001</v>
      </c>
      <c r="F47" s="166">
        <v>499.68099999999998</v>
      </c>
      <c r="G47" s="166">
        <v>502.28500000000003</v>
      </c>
      <c r="H47" s="166">
        <v>503.02749999999997</v>
      </c>
      <c r="I47" s="167"/>
      <c r="J47" s="166">
        <v>497.5333</v>
      </c>
      <c r="K47" s="166">
        <v>496.43770000000001</v>
      </c>
      <c r="L47" s="166">
        <v>482.79239999999999</v>
      </c>
      <c r="M47" s="166">
        <v>503.50170000000003</v>
      </c>
      <c r="N47" s="166">
        <v>490.4742</v>
      </c>
      <c r="O47" s="166">
        <v>224.7704</v>
      </c>
      <c r="P47" s="166">
        <v>225.71420000000001</v>
      </c>
      <c r="Q47" s="166">
        <v>225.4786</v>
      </c>
      <c r="R47" s="166">
        <v>221.3442</v>
      </c>
      <c r="S47" s="166">
        <v>218.40530000000001</v>
      </c>
      <c r="T47" s="166">
        <v>220.7038</v>
      </c>
      <c r="U47" s="166">
        <v>223.9</v>
      </c>
      <c r="V47" s="167"/>
      <c r="W47" s="166">
        <v>224.4</v>
      </c>
      <c r="X47" s="168">
        <v>140.91470000000001</v>
      </c>
      <c r="Y47" s="166">
        <v>140.3005</v>
      </c>
      <c r="Z47" s="166">
        <v>137.76130000000001</v>
      </c>
      <c r="AA47" s="166">
        <v>138.4051</v>
      </c>
      <c r="AB47" s="166">
        <v>134.81219999999999</v>
      </c>
      <c r="AC47" s="167"/>
      <c r="AD47" s="167"/>
      <c r="AE47" s="166">
        <v>129.52699999999999</v>
      </c>
      <c r="AF47" s="166">
        <v>141.73849999999999</v>
      </c>
    </row>
    <row r="48" spans="1:32" ht="18" customHeight="1" x14ac:dyDescent="0.3">
      <c r="A48" s="162" t="s">
        <v>67</v>
      </c>
      <c r="B48" s="162" t="s">
        <v>846</v>
      </c>
      <c r="C48" s="166">
        <v>503.79590000000002</v>
      </c>
      <c r="D48" s="166">
        <v>507.16180000000003</v>
      </c>
      <c r="E48" s="166">
        <v>505.75839999999999</v>
      </c>
      <c r="F48" s="166">
        <v>500.02730000000003</v>
      </c>
      <c r="G48" s="166">
        <v>502.7353</v>
      </c>
      <c r="H48" s="166">
        <v>502.2747</v>
      </c>
      <c r="I48" s="167"/>
      <c r="J48" s="166">
        <v>497.89640000000003</v>
      </c>
      <c r="K48" s="166">
        <v>496.92020000000002</v>
      </c>
      <c r="L48" s="166">
        <v>483.87860000000001</v>
      </c>
      <c r="M48" s="166">
        <v>505.73719999999997</v>
      </c>
      <c r="N48" s="166">
        <v>490.94229999999999</v>
      </c>
      <c r="O48" s="166">
        <v>224.75790000000001</v>
      </c>
      <c r="P48" s="166">
        <v>226.41489999999999</v>
      </c>
      <c r="Q48" s="166">
        <v>225.90549999999999</v>
      </c>
      <c r="R48" s="166">
        <v>221.5155</v>
      </c>
      <c r="S48" s="166">
        <v>217.5711</v>
      </c>
      <c r="T48" s="166">
        <v>221.12629999999999</v>
      </c>
      <c r="U48" s="166">
        <v>224.5</v>
      </c>
      <c r="V48" s="167"/>
      <c r="W48" s="166">
        <v>224.9</v>
      </c>
      <c r="X48" s="168">
        <v>141.1078</v>
      </c>
      <c r="Y48" s="166">
        <v>140.83770000000001</v>
      </c>
      <c r="Z48" s="166">
        <v>137.99520000000001</v>
      </c>
      <c r="AA48" s="166">
        <v>137.98670000000001</v>
      </c>
      <c r="AB48" s="166">
        <v>134.93639999999999</v>
      </c>
      <c r="AC48" s="167"/>
      <c r="AD48" s="167"/>
      <c r="AE48" s="166">
        <v>129.1842</v>
      </c>
      <c r="AF48" s="166">
        <v>142.12649999999999</v>
      </c>
    </row>
    <row r="49" spans="1:32" ht="18" customHeight="1" x14ac:dyDescent="0.3">
      <c r="A49" s="162" t="s">
        <v>67</v>
      </c>
      <c r="B49" s="162" t="s">
        <v>847</v>
      </c>
      <c r="C49" s="169">
        <v>504.37299999999999</v>
      </c>
      <c r="D49" s="169">
        <v>508.89479999999998</v>
      </c>
      <c r="E49" s="171">
        <v>507.12389999999999</v>
      </c>
      <c r="F49" s="169">
        <v>500.32049999999998</v>
      </c>
      <c r="G49" s="169">
        <v>502.76620000000003</v>
      </c>
      <c r="H49" s="171">
        <v>501.97579999999999</v>
      </c>
      <c r="I49" s="170"/>
      <c r="J49" s="169">
        <v>495.74450000000002</v>
      </c>
      <c r="K49" s="169">
        <v>496.31049999999999</v>
      </c>
      <c r="L49" s="169">
        <v>482.32909999999998</v>
      </c>
      <c r="M49" s="169">
        <v>503.29050000000001</v>
      </c>
      <c r="N49" s="169">
        <v>489.15589999999997</v>
      </c>
      <c r="O49" s="169">
        <v>224.797</v>
      </c>
      <c r="P49" s="169">
        <v>227.18680000000001</v>
      </c>
      <c r="Q49" s="169">
        <v>226.29169999999999</v>
      </c>
      <c r="R49" s="169">
        <v>221.69290000000001</v>
      </c>
      <c r="S49" s="169">
        <v>217.667</v>
      </c>
      <c r="T49" s="169">
        <v>220.7585</v>
      </c>
      <c r="U49" s="169">
        <v>223.9</v>
      </c>
      <c r="V49" s="170"/>
      <c r="W49" s="169">
        <v>224.3</v>
      </c>
      <c r="X49" s="171">
        <v>141.33170000000001</v>
      </c>
      <c r="Y49" s="169">
        <v>140.566</v>
      </c>
      <c r="Z49" s="169">
        <v>137.65770000000001</v>
      </c>
      <c r="AA49" s="169">
        <v>137.9485</v>
      </c>
      <c r="AB49" s="169">
        <v>134.7432</v>
      </c>
      <c r="AC49" s="170"/>
      <c r="AD49" s="170"/>
      <c r="AE49" s="169">
        <v>128.98330000000001</v>
      </c>
      <c r="AF49" s="169">
        <v>141.73849999999999</v>
      </c>
    </row>
    <row r="50" spans="1:32" ht="18" customHeight="1" x14ac:dyDescent="0.3">
      <c r="A50" s="162" t="s">
        <v>67</v>
      </c>
      <c r="B50" s="162" t="s">
        <v>848</v>
      </c>
      <c r="C50" s="163">
        <v>505.15980000000002</v>
      </c>
      <c r="D50" s="163">
        <v>510.1028</v>
      </c>
      <c r="E50" s="163">
        <v>508.48939999999999</v>
      </c>
      <c r="F50" s="163">
        <v>500.8082</v>
      </c>
      <c r="G50" s="163">
        <v>503.21460000000002</v>
      </c>
      <c r="H50" s="163">
        <v>501.67689999999999</v>
      </c>
      <c r="I50" s="164"/>
      <c r="J50" s="163">
        <v>496.04090000000002</v>
      </c>
      <c r="K50" s="163">
        <v>495.79160000000002</v>
      </c>
      <c r="L50" s="163">
        <v>482.18029999999999</v>
      </c>
      <c r="M50" s="163">
        <v>503.2312</v>
      </c>
      <c r="N50" s="163">
        <v>490.0625</v>
      </c>
      <c r="O50" s="163">
        <v>225.9221</v>
      </c>
      <c r="P50" s="163">
        <v>227.6464</v>
      </c>
      <c r="Q50" s="163">
        <v>226.42420000000001</v>
      </c>
      <c r="R50" s="163">
        <v>221.6497</v>
      </c>
      <c r="S50" s="163">
        <v>217.5932</v>
      </c>
      <c r="T50" s="163">
        <v>220.6944</v>
      </c>
      <c r="U50" s="163">
        <v>223.9</v>
      </c>
      <c r="V50" s="164"/>
      <c r="W50" s="163">
        <v>224.4</v>
      </c>
      <c r="X50" s="165">
        <v>141.41229999999999</v>
      </c>
      <c r="Y50" s="163">
        <v>140.4187</v>
      </c>
      <c r="Z50" s="163">
        <v>137.8631</v>
      </c>
      <c r="AA50" s="163">
        <v>137.94409999999999</v>
      </c>
      <c r="AB50" s="163">
        <v>135.00540000000001</v>
      </c>
      <c r="AC50" s="164"/>
      <c r="AD50" s="164"/>
      <c r="AE50" s="163">
        <v>128.28380000000001</v>
      </c>
      <c r="AF50" s="163">
        <v>142.12649999999999</v>
      </c>
    </row>
    <row r="51" spans="1:32" ht="18" customHeight="1" x14ac:dyDescent="0.3">
      <c r="A51" s="162" t="s">
        <v>67</v>
      </c>
      <c r="B51" s="162" t="s">
        <v>849</v>
      </c>
      <c r="C51" s="166">
        <v>504.89749999999998</v>
      </c>
      <c r="D51" s="166">
        <v>509.42</v>
      </c>
      <c r="E51" s="168">
        <v>509.06709999999998</v>
      </c>
      <c r="F51" s="166">
        <v>500.21850000000001</v>
      </c>
      <c r="G51" s="166">
        <v>502.36130000000003</v>
      </c>
      <c r="H51" s="166">
        <v>501.59249999999997</v>
      </c>
      <c r="I51" s="167"/>
      <c r="J51" s="166">
        <v>494.65410000000003</v>
      </c>
      <c r="K51" s="166">
        <v>495.5992</v>
      </c>
      <c r="L51" s="166">
        <v>482.14690000000002</v>
      </c>
      <c r="M51" s="166">
        <v>502.24529999999999</v>
      </c>
      <c r="N51" s="166">
        <v>488.00229999999999</v>
      </c>
      <c r="O51" s="166">
        <v>225.7364</v>
      </c>
      <c r="P51" s="166">
        <v>227.37880000000001</v>
      </c>
      <c r="Q51" s="166">
        <v>226.81450000000001</v>
      </c>
      <c r="R51" s="166">
        <v>221.47569999999999</v>
      </c>
      <c r="S51" s="166">
        <v>216.83279999999999</v>
      </c>
      <c r="T51" s="166">
        <v>220.89940000000001</v>
      </c>
      <c r="U51" s="166">
        <v>222.6</v>
      </c>
      <c r="V51" s="167"/>
      <c r="W51" s="166">
        <v>223.6</v>
      </c>
      <c r="X51" s="168">
        <v>141.27029999999999</v>
      </c>
      <c r="Y51" s="166">
        <v>139.08510000000001</v>
      </c>
      <c r="Z51" s="166">
        <v>138.0052</v>
      </c>
      <c r="AA51" s="166">
        <v>137.7756</v>
      </c>
      <c r="AB51" s="166">
        <v>135.28139999999999</v>
      </c>
      <c r="AC51" s="167"/>
      <c r="AD51" s="167"/>
      <c r="AE51" s="166">
        <v>128.38470000000001</v>
      </c>
      <c r="AF51" s="166">
        <v>142.12649999999999</v>
      </c>
    </row>
    <row r="52" spans="1:32" ht="18" customHeight="1" x14ac:dyDescent="0.3">
      <c r="A52" s="162" t="s">
        <v>67</v>
      </c>
      <c r="B52" s="162" t="s">
        <v>850</v>
      </c>
      <c r="C52" s="166">
        <v>505.4221</v>
      </c>
      <c r="D52" s="166">
        <v>506.00639999999999</v>
      </c>
      <c r="E52" s="166">
        <v>509.64479999999998</v>
      </c>
      <c r="F52" s="166">
        <v>499.59969999999998</v>
      </c>
      <c r="G52" s="166">
        <v>502.19920000000002</v>
      </c>
      <c r="H52" s="168">
        <v>501.50639999999999</v>
      </c>
      <c r="I52" s="166">
        <v>501.40190000000001</v>
      </c>
      <c r="J52" s="166">
        <v>494.31189999999998</v>
      </c>
      <c r="K52" s="166">
        <v>494.6198</v>
      </c>
      <c r="L52" s="166">
        <v>481.71510000000001</v>
      </c>
      <c r="M52" s="166">
        <v>501.82420000000002</v>
      </c>
      <c r="N52" s="166">
        <v>489.17419999999998</v>
      </c>
      <c r="O52" s="166">
        <v>224.92930000000001</v>
      </c>
      <c r="P52" s="166">
        <v>226.82650000000001</v>
      </c>
      <c r="Q52" s="166">
        <v>227.36199999999999</v>
      </c>
      <c r="R52" s="166">
        <v>221.2526</v>
      </c>
      <c r="S52" s="166">
        <v>216.6704</v>
      </c>
      <c r="T52" s="166">
        <v>220.6044</v>
      </c>
      <c r="U52" s="166">
        <v>223.8</v>
      </c>
      <c r="V52" s="167"/>
      <c r="W52" s="166">
        <v>223.9</v>
      </c>
      <c r="X52" s="166">
        <v>141.4606</v>
      </c>
      <c r="Y52" s="166">
        <v>139.50129999999999</v>
      </c>
      <c r="Z52" s="166">
        <v>138.0573</v>
      </c>
      <c r="AA52" s="166">
        <v>137.62119999999999</v>
      </c>
      <c r="AB52" s="166">
        <v>135.17099999999999</v>
      </c>
      <c r="AC52" s="167"/>
      <c r="AD52" s="167"/>
      <c r="AE52" s="166">
        <v>127.3745</v>
      </c>
      <c r="AF52" s="166">
        <v>142.5145</v>
      </c>
    </row>
    <row r="53" spans="1:32" ht="18" customHeight="1" x14ac:dyDescent="0.3">
      <c r="A53" s="162" t="s">
        <v>67</v>
      </c>
      <c r="B53" s="162" t="s">
        <v>851</v>
      </c>
      <c r="C53" s="166">
        <v>505.89420000000001</v>
      </c>
      <c r="D53" s="166">
        <v>508.31720000000001</v>
      </c>
      <c r="E53" s="166">
        <v>509.06709999999998</v>
      </c>
      <c r="F53" s="166">
        <v>499.91890000000001</v>
      </c>
      <c r="G53" s="166">
        <v>501.69479999999999</v>
      </c>
      <c r="H53" s="166">
        <v>501.4203</v>
      </c>
      <c r="I53" s="167"/>
      <c r="J53" s="166">
        <v>494.5822</v>
      </c>
      <c r="K53" s="166">
        <v>495.54730000000001</v>
      </c>
      <c r="L53" s="166">
        <v>482.6191</v>
      </c>
      <c r="M53" s="166">
        <v>503.31259999999997</v>
      </c>
      <c r="N53" s="166">
        <v>488.63119999999998</v>
      </c>
      <c r="O53" s="166">
        <v>225.3535</v>
      </c>
      <c r="P53" s="166">
        <v>227.5147</v>
      </c>
      <c r="Q53" s="166">
        <v>227.5275</v>
      </c>
      <c r="R53" s="166">
        <v>219.6165</v>
      </c>
      <c r="S53" s="166">
        <v>216.50059999999999</v>
      </c>
      <c r="T53" s="166">
        <v>220.71260000000001</v>
      </c>
      <c r="U53" s="166">
        <v>223.9</v>
      </c>
      <c r="V53" s="167"/>
      <c r="W53" s="166">
        <v>224.6</v>
      </c>
      <c r="X53" s="168">
        <v>141.4606</v>
      </c>
      <c r="Y53" s="166">
        <v>139.79560000000001</v>
      </c>
      <c r="Z53" s="166">
        <v>138.33029999999999</v>
      </c>
      <c r="AA53" s="166">
        <v>137.87360000000001</v>
      </c>
      <c r="AB53" s="166">
        <v>135.48840000000001</v>
      </c>
      <c r="AC53" s="167"/>
      <c r="AD53" s="167"/>
      <c r="AE53" s="166">
        <v>126.9759</v>
      </c>
      <c r="AF53" s="166">
        <v>142.5145</v>
      </c>
    </row>
    <row r="54" spans="1:32" ht="18" customHeight="1" x14ac:dyDescent="0.3">
      <c r="A54" s="162" t="s">
        <v>67</v>
      </c>
      <c r="B54" s="162" t="s">
        <v>852</v>
      </c>
      <c r="C54" s="166">
        <v>502.85169999999999</v>
      </c>
      <c r="D54" s="166">
        <v>500.22949999999997</v>
      </c>
      <c r="E54" s="166">
        <v>497.82799999999997</v>
      </c>
      <c r="F54" s="166">
        <v>502.57619999999997</v>
      </c>
      <c r="G54" s="166">
        <v>504.44080000000002</v>
      </c>
      <c r="H54" s="166">
        <v>503.65410000000003</v>
      </c>
      <c r="I54" s="167"/>
      <c r="J54" s="166">
        <v>496.8279</v>
      </c>
      <c r="K54" s="166">
        <v>497.22969999999998</v>
      </c>
      <c r="L54" s="166">
        <v>484.44349999999997</v>
      </c>
      <c r="M54" s="166">
        <v>504.97039999999998</v>
      </c>
      <c r="N54" s="166">
        <v>490.3073</v>
      </c>
      <c r="O54" s="166">
        <v>224.6986</v>
      </c>
      <c r="P54" s="166">
        <v>223.56110000000001</v>
      </c>
      <c r="Q54" s="166">
        <v>225.72890000000001</v>
      </c>
      <c r="R54" s="166">
        <v>219.38380000000001</v>
      </c>
      <c r="S54" s="166">
        <v>216.8623</v>
      </c>
      <c r="T54" s="166">
        <v>221.42179999999999</v>
      </c>
      <c r="U54" s="166">
        <v>224.5</v>
      </c>
      <c r="V54" s="167"/>
      <c r="W54" s="166">
        <v>225.4</v>
      </c>
      <c r="X54" s="168">
        <v>141.8777</v>
      </c>
      <c r="Y54" s="166">
        <v>140.10570000000001</v>
      </c>
      <c r="Z54" s="166">
        <v>138.81190000000001</v>
      </c>
      <c r="AA54" s="166">
        <v>138.45339999999999</v>
      </c>
      <c r="AB54" s="166">
        <v>136.50960000000001</v>
      </c>
      <c r="AC54" s="167"/>
      <c r="AD54" s="167"/>
      <c r="AE54" s="166">
        <v>127.46339999999999</v>
      </c>
      <c r="AF54" s="166">
        <v>142.923</v>
      </c>
    </row>
    <row r="55" spans="1:32" ht="18" customHeight="1" x14ac:dyDescent="0.3">
      <c r="A55" s="162" t="s">
        <v>67</v>
      </c>
      <c r="B55" s="162" t="s">
        <v>853</v>
      </c>
      <c r="C55" s="166">
        <v>501.59269999999998</v>
      </c>
      <c r="D55" s="166">
        <v>499.23160000000001</v>
      </c>
      <c r="E55" s="166">
        <v>496.93520000000001</v>
      </c>
      <c r="F55" s="166">
        <v>503.81139999999999</v>
      </c>
      <c r="G55" s="166">
        <v>505.81349999999998</v>
      </c>
      <c r="H55" s="166">
        <v>504.54149999999998</v>
      </c>
      <c r="I55" s="166">
        <v>507.25740000000002</v>
      </c>
      <c r="J55" s="166">
        <v>499.39589999999998</v>
      </c>
      <c r="K55" s="166">
        <v>499.20850000000002</v>
      </c>
      <c r="L55" s="166">
        <v>487.23239999999998</v>
      </c>
      <c r="M55" s="166">
        <v>506.39819999999997</v>
      </c>
      <c r="N55" s="166">
        <v>492.7783</v>
      </c>
      <c r="O55" s="166">
        <v>223.654</v>
      </c>
      <c r="P55" s="166">
        <v>223.5042</v>
      </c>
      <c r="Q55" s="166">
        <v>226.2901</v>
      </c>
      <c r="R55" s="166">
        <v>220.5068</v>
      </c>
      <c r="S55" s="166">
        <v>217.67439999999999</v>
      </c>
      <c r="T55" s="166">
        <v>221.9889</v>
      </c>
      <c r="U55" s="166">
        <v>225.2</v>
      </c>
      <c r="V55" s="167"/>
      <c r="W55" s="166">
        <v>226.6</v>
      </c>
      <c r="X55" s="166">
        <v>142.29480000000001</v>
      </c>
      <c r="Y55" s="166">
        <v>140.64619999999999</v>
      </c>
      <c r="Z55" s="166">
        <v>139.1909</v>
      </c>
      <c r="AA55" s="166">
        <v>138.97059999999999</v>
      </c>
      <c r="AB55" s="166">
        <v>137.46180000000001</v>
      </c>
      <c r="AC55" s="167"/>
      <c r="AD55" s="167"/>
      <c r="AE55" s="166">
        <v>127.7294</v>
      </c>
      <c r="AF55" s="166">
        <v>143.69909999999999</v>
      </c>
    </row>
    <row r="56" spans="1:32" ht="18" customHeight="1" x14ac:dyDescent="0.3">
      <c r="A56" s="162" t="s">
        <v>67</v>
      </c>
      <c r="B56" s="162" t="s">
        <v>854</v>
      </c>
      <c r="C56" s="166">
        <v>502.37959999999998</v>
      </c>
      <c r="D56" s="166">
        <v>500.28199999999998</v>
      </c>
      <c r="E56" s="166">
        <v>496.41</v>
      </c>
      <c r="F56" s="166">
        <v>506.64760000000001</v>
      </c>
      <c r="G56" s="166">
        <v>507.91789999999997</v>
      </c>
      <c r="H56" s="166">
        <v>506.9547</v>
      </c>
      <c r="I56" s="167"/>
      <c r="J56" s="166">
        <v>500.21559999999999</v>
      </c>
      <c r="K56" s="166">
        <v>498.9873</v>
      </c>
      <c r="L56" s="166">
        <v>484.76190000000003</v>
      </c>
      <c r="M56" s="166">
        <v>506.01170000000002</v>
      </c>
      <c r="N56" s="166">
        <v>492.38900000000001</v>
      </c>
      <c r="O56" s="166">
        <v>224.6242</v>
      </c>
      <c r="P56" s="166">
        <v>223.60560000000001</v>
      </c>
      <c r="Q56" s="166">
        <v>226.9221</v>
      </c>
      <c r="R56" s="166">
        <v>219.8098</v>
      </c>
      <c r="S56" s="166">
        <v>219.4315</v>
      </c>
      <c r="T56" s="166">
        <v>221.4442</v>
      </c>
      <c r="U56" s="166">
        <v>224.5</v>
      </c>
      <c r="V56" s="167"/>
      <c r="W56" s="166">
        <v>225.7</v>
      </c>
      <c r="X56" s="168">
        <v>141.7621</v>
      </c>
      <c r="Y56" s="166">
        <v>140.0864</v>
      </c>
      <c r="Z56" s="166">
        <v>138.9118</v>
      </c>
      <c r="AA56" s="166">
        <v>138.65700000000001</v>
      </c>
      <c r="AB56" s="166">
        <v>136.78559999999999</v>
      </c>
      <c r="AC56" s="167"/>
      <c r="AD56" s="167"/>
      <c r="AE56" s="166">
        <v>127.944</v>
      </c>
      <c r="AF56" s="166">
        <v>143.71950000000001</v>
      </c>
    </row>
    <row r="57" spans="1:32" ht="18" customHeight="1" x14ac:dyDescent="0.3">
      <c r="A57" s="162" t="s">
        <v>855</v>
      </c>
      <c r="B57" s="162" t="s">
        <v>68</v>
      </c>
      <c r="C57" s="169">
        <v>500.07150000000001</v>
      </c>
      <c r="D57" s="169">
        <v>506.58409999999998</v>
      </c>
      <c r="E57" s="169">
        <v>504.18279999999999</v>
      </c>
      <c r="F57" s="169">
        <v>511.03059999999999</v>
      </c>
      <c r="G57" s="169">
        <v>511.86529999999999</v>
      </c>
      <c r="H57" s="169">
        <v>509.02719999999999</v>
      </c>
      <c r="I57" s="170"/>
      <c r="J57" s="169">
        <v>501.40949999999998</v>
      </c>
      <c r="K57" s="169">
        <v>498.54840000000002</v>
      </c>
      <c r="L57" s="169">
        <v>486.3159</v>
      </c>
      <c r="M57" s="169">
        <v>506.4119</v>
      </c>
      <c r="N57" s="169">
        <v>492.0181</v>
      </c>
      <c r="O57" s="169">
        <v>223.41130000000001</v>
      </c>
      <c r="P57" s="169">
        <v>221.06379999999999</v>
      </c>
      <c r="Q57" s="169">
        <v>226.06209999999999</v>
      </c>
      <c r="R57" s="169">
        <v>220.4649</v>
      </c>
      <c r="S57" s="169">
        <v>220.05170000000001</v>
      </c>
      <c r="T57" s="169">
        <v>221.74619999999999</v>
      </c>
      <c r="U57" s="169">
        <v>225.1</v>
      </c>
      <c r="V57" s="170"/>
      <c r="W57" s="169">
        <v>226.1</v>
      </c>
      <c r="X57" s="169">
        <v>141.2294</v>
      </c>
      <c r="Y57" s="169">
        <v>140.46610000000001</v>
      </c>
      <c r="Z57" s="169">
        <v>139.05009999999999</v>
      </c>
      <c r="AA57" s="169">
        <v>138.33590000000001</v>
      </c>
      <c r="AB57" s="169">
        <v>137.0478</v>
      </c>
      <c r="AC57" s="170"/>
      <c r="AD57" s="170"/>
      <c r="AE57" s="169">
        <v>127.6965</v>
      </c>
      <c r="AF57" s="169">
        <v>142.20820000000001</v>
      </c>
    </row>
    <row r="58" spans="1:32" x14ac:dyDescent="0.3">
      <c r="A58" s="236" t="s">
        <v>867</v>
      </c>
      <c r="B58" s="236"/>
      <c r="C58" s="172">
        <v>508.98910000000001</v>
      </c>
      <c r="D58" s="172">
        <v>510.99560000000002</v>
      </c>
      <c r="E58" s="172">
        <v>1003.3238</v>
      </c>
      <c r="F58" s="172">
        <v>514.48320000000001</v>
      </c>
      <c r="G58" s="172">
        <v>515.14139999999998</v>
      </c>
      <c r="H58" s="172">
        <v>511.85309999999998</v>
      </c>
      <c r="I58" s="172">
        <v>512.46140000000003</v>
      </c>
      <c r="J58" s="172">
        <v>504.35849999999999</v>
      </c>
      <c r="K58" s="172">
        <v>504.05720000000002</v>
      </c>
      <c r="L58" s="172">
        <v>490.01229999999998</v>
      </c>
      <c r="M58" s="172">
        <v>511.27949999999998</v>
      </c>
      <c r="N58" s="172">
        <v>494.8202</v>
      </c>
      <c r="O58" s="172">
        <v>226.61320000000001</v>
      </c>
      <c r="P58" s="172">
        <v>228.27260000000001</v>
      </c>
      <c r="Q58" s="172">
        <v>228.48509999999999</v>
      </c>
      <c r="R58" s="172">
        <v>222.86250000000001</v>
      </c>
      <c r="S58" s="172">
        <v>220.95240000000001</v>
      </c>
      <c r="T58" s="172">
        <v>222.2355</v>
      </c>
      <c r="U58" s="172">
        <v>226.4</v>
      </c>
      <c r="V58" s="172">
        <v>0</v>
      </c>
      <c r="W58" s="172">
        <v>227</v>
      </c>
      <c r="X58" s="172">
        <v>143.65199999999999</v>
      </c>
      <c r="Y58" s="172">
        <v>141.25749999999999</v>
      </c>
      <c r="Z58" s="172">
        <v>139.1909</v>
      </c>
      <c r="AA58" s="172">
        <v>139.6311</v>
      </c>
      <c r="AB58" s="172">
        <v>137.46180000000001</v>
      </c>
      <c r="AC58" s="172">
        <v>0</v>
      </c>
      <c r="AD58" s="172">
        <v>142.96619999999999</v>
      </c>
      <c r="AE58" s="172">
        <v>129.64359999999999</v>
      </c>
      <c r="AF58" s="172">
        <v>144.904</v>
      </c>
    </row>
    <row r="59" spans="1:32" x14ac:dyDescent="0.3">
      <c r="A59" s="236" t="s">
        <v>868</v>
      </c>
      <c r="B59" s="236"/>
      <c r="C59" s="172">
        <v>498.70760000000001</v>
      </c>
      <c r="D59" s="172">
        <v>499.23160000000001</v>
      </c>
      <c r="E59" s="172">
        <v>496.41</v>
      </c>
      <c r="F59" s="172">
        <v>494.7448</v>
      </c>
      <c r="G59" s="172">
        <v>497.8082</v>
      </c>
      <c r="H59" s="172">
        <v>499.8741</v>
      </c>
      <c r="I59" s="172">
        <v>501.40190000000001</v>
      </c>
      <c r="J59" s="172">
        <v>494.31189999999998</v>
      </c>
      <c r="K59" s="172">
        <v>494.6198</v>
      </c>
      <c r="L59" s="172">
        <v>478.35129999999998</v>
      </c>
      <c r="M59" s="172">
        <v>501.82420000000002</v>
      </c>
      <c r="N59" s="172">
        <v>486.61130000000003</v>
      </c>
      <c r="O59" s="172">
        <v>220.58449999999999</v>
      </c>
      <c r="P59" s="172">
        <v>221.06379999999999</v>
      </c>
      <c r="Q59" s="172">
        <v>222.04750000000001</v>
      </c>
      <c r="R59" s="172">
        <v>0</v>
      </c>
      <c r="S59" s="172">
        <v>212.76490000000001</v>
      </c>
      <c r="T59" s="172">
        <v>220.24090000000001</v>
      </c>
      <c r="U59" s="172">
        <v>222.6</v>
      </c>
      <c r="V59" s="172">
        <v>0</v>
      </c>
      <c r="W59" s="172">
        <v>222.7</v>
      </c>
      <c r="X59" s="172">
        <v>139.80690000000001</v>
      </c>
      <c r="Y59" s="172">
        <v>139.03639999999999</v>
      </c>
      <c r="Z59" s="172">
        <v>136.16560000000001</v>
      </c>
      <c r="AA59" s="172">
        <v>136.5779</v>
      </c>
      <c r="AB59" s="172">
        <v>133.65299999999999</v>
      </c>
      <c r="AC59" s="172">
        <v>0</v>
      </c>
      <c r="AD59" s="172">
        <v>140.63890000000001</v>
      </c>
      <c r="AE59" s="172">
        <v>126.1314</v>
      </c>
      <c r="AF59" s="172">
        <v>140.94200000000001</v>
      </c>
    </row>
    <row r="60" spans="1:32" x14ac:dyDescent="0.3">
      <c r="A60" s="236" t="s">
        <v>869</v>
      </c>
      <c r="B60" s="236"/>
      <c r="C60" s="172">
        <v>503.89319166666667</v>
      </c>
      <c r="D60" s="172">
        <v>505.75804375000001</v>
      </c>
      <c r="E60" s="172">
        <v>514.70523125</v>
      </c>
      <c r="F60" s="172">
        <v>503.45449166666663</v>
      </c>
      <c r="G60" s="172">
        <v>505.25818750000002</v>
      </c>
      <c r="H60" s="172">
        <v>505.03978124999998</v>
      </c>
      <c r="I60" s="172">
        <v>507.00785000000002</v>
      </c>
      <c r="J60" s="172">
        <v>499.79730208333331</v>
      </c>
      <c r="K60" s="172">
        <v>499.5839708333333</v>
      </c>
      <c r="L60" s="172">
        <v>484.35427499999997</v>
      </c>
      <c r="M60" s="172">
        <v>506.57406250000003</v>
      </c>
      <c r="N60" s="172">
        <v>491.10692708333329</v>
      </c>
      <c r="O60" s="172">
        <v>224.00557708333329</v>
      </c>
      <c r="P60" s="172">
        <v>225.24753541666666</v>
      </c>
      <c r="Q60" s="172">
        <v>225.92100833333333</v>
      </c>
      <c r="R60" s="172">
        <v>188.63952916666665</v>
      </c>
      <c r="S60" s="172">
        <v>217.04872916666665</v>
      </c>
      <c r="T60" s="172">
        <v>221.3921</v>
      </c>
      <c r="U60" s="172">
        <v>224.55208333333331</v>
      </c>
      <c r="V60" s="172">
        <v>0</v>
      </c>
      <c r="W60" s="172">
        <v>225.02916666666664</v>
      </c>
      <c r="X60" s="172">
        <v>141.71900208333332</v>
      </c>
      <c r="Y60" s="172">
        <v>140.28784583333334</v>
      </c>
      <c r="Z60" s="172">
        <v>137.60398958333334</v>
      </c>
      <c r="AA60" s="172">
        <v>138.39778958333332</v>
      </c>
      <c r="AB60" s="172">
        <v>135.44929999999999</v>
      </c>
      <c r="AC60" s="172">
        <v>0</v>
      </c>
      <c r="AD60" s="172">
        <v>141.69479166666667</v>
      </c>
      <c r="AE60" s="172">
        <v>127.98565833333332</v>
      </c>
      <c r="AF60" s="172">
        <v>142.85703749999999</v>
      </c>
    </row>
    <row r="61" spans="1:32" x14ac:dyDescent="0.3">
      <c r="A61" s="236" t="s">
        <v>2466</v>
      </c>
      <c r="B61" s="236"/>
      <c r="C61" s="159" t="s">
        <v>188</v>
      </c>
      <c r="D61" s="159" t="s">
        <v>188</v>
      </c>
      <c r="E61" s="159" t="s">
        <v>188</v>
      </c>
      <c r="F61" s="159" t="s">
        <v>2467</v>
      </c>
      <c r="G61" s="159" t="s">
        <v>2467</v>
      </c>
      <c r="H61" s="159" t="s">
        <v>2467</v>
      </c>
      <c r="I61" s="159" t="s">
        <v>2468</v>
      </c>
      <c r="J61" s="159" t="s">
        <v>2468</v>
      </c>
      <c r="K61" s="159" t="s">
        <v>2468</v>
      </c>
      <c r="L61" s="159" t="s">
        <v>2468</v>
      </c>
      <c r="M61" s="159" t="s">
        <v>2468</v>
      </c>
      <c r="N61" s="159" t="s">
        <v>2468</v>
      </c>
      <c r="O61" s="159" t="s">
        <v>188</v>
      </c>
      <c r="P61" s="159" t="s">
        <v>188</v>
      </c>
      <c r="Q61" s="159" t="s">
        <v>188</v>
      </c>
      <c r="R61" s="159" t="s">
        <v>2467</v>
      </c>
      <c r="S61" s="159" t="s">
        <v>2467</v>
      </c>
      <c r="T61" s="159" t="s">
        <v>2468</v>
      </c>
      <c r="U61" s="159" t="s">
        <v>2468</v>
      </c>
      <c r="V61" s="159" t="s">
        <v>2468</v>
      </c>
      <c r="W61" s="159" t="s">
        <v>2468</v>
      </c>
      <c r="X61" s="159" t="s">
        <v>2468</v>
      </c>
      <c r="Y61" s="159" t="s">
        <v>2468</v>
      </c>
      <c r="Z61" s="159" t="s">
        <v>2468</v>
      </c>
      <c r="AA61" s="159" t="s">
        <v>2468</v>
      </c>
      <c r="AB61" s="159" t="s">
        <v>2468</v>
      </c>
      <c r="AC61" s="159" t="s">
        <v>2468</v>
      </c>
      <c r="AD61" s="159" t="s">
        <v>2468</v>
      </c>
      <c r="AE61" s="159" t="s">
        <v>2468</v>
      </c>
      <c r="AF61" s="159" t="s">
        <v>2468</v>
      </c>
    </row>
    <row r="62" spans="1:32" ht="27" customHeight="1" x14ac:dyDescent="0.3">
      <c r="A62" s="236" t="s">
        <v>3</v>
      </c>
      <c r="B62" s="236"/>
      <c r="C62" s="235" t="s">
        <v>49</v>
      </c>
      <c r="D62" s="235"/>
      <c r="E62" s="235"/>
      <c r="F62" s="235"/>
      <c r="G62" s="235"/>
      <c r="H62" s="235"/>
      <c r="I62" s="235" t="s">
        <v>196</v>
      </c>
      <c r="J62" s="235" t="s">
        <v>49</v>
      </c>
      <c r="K62" s="235" t="s">
        <v>196</v>
      </c>
      <c r="L62" s="235" t="s">
        <v>49</v>
      </c>
      <c r="M62" s="235" t="s">
        <v>377</v>
      </c>
      <c r="N62" s="235" t="s">
        <v>196</v>
      </c>
      <c r="O62" s="235" t="s">
        <v>55</v>
      </c>
      <c r="P62" s="235"/>
      <c r="Q62" s="235"/>
      <c r="R62" s="235"/>
      <c r="S62" s="235"/>
      <c r="T62" s="235" t="s">
        <v>49</v>
      </c>
      <c r="U62" s="235" t="s">
        <v>2480</v>
      </c>
      <c r="V62" s="235"/>
      <c r="W62" s="235"/>
      <c r="X62" s="235" t="s">
        <v>55</v>
      </c>
      <c r="Y62" s="235" t="s">
        <v>526</v>
      </c>
      <c r="Z62" s="235" t="s">
        <v>55</v>
      </c>
      <c r="AA62" s="235" t="s">
        <v>2481</v>
      </c>
      <c r="AB62" s="235" t="s">
        <v>602</v>
      </c>
      <c r="AC62" s="235" t="s">
        <v>55</v>
      </c>
      <c r="AD62" s="235" t="s">
        <v>93</v>
      </c>
      <c r="AE62" s="235" t="s">
        <v>55</v>
      </c>
      <c r="AF62" s="235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8" t="s">
        <v>2841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2484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2485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2842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2843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2844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2845</v>
      </c>
      <c r="D6" s="3" t="s">
        <v>2846</v>
      </c>
      <c r="E6" s="3" t="s">
        <v>7</v>
      </c>
      <c r="F6" s="3" t="s">
        <v>8</v>
      </c>
      <c r="G6" s="3" t="s">
        <v>2847</v>
      </c>
      <c r="H6" s="3" t="s">
        <v>2843</v>
      </c>
      <c r="I6" s="3" t="s">
        <v>2848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2849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6" t="s">
        <v>2850</v>
      </c>
      <c r="C6" s="206"/>
      <c r="D6" s="206"/>
      <c r="E6" s="206"/>
      <c r="F6" s="206"/>
      <c r="G6" s="206"/>
      <c r="H6" s="206"/>
      <c r="I6" s="206"/>
    </row>
    <row r="7" spans="1:9" ht="19.95" customHeight="1" x14ac:dyDescent="0.3">
      <c r="A7" s="1"/>
      <c r="B7" s="206" t="s">
        <v>2851</v>
      </c>
      <c r="C7" s="206" t="s">
        <v>2852</v>
      </c>
      <c r="D7" s="206"/>
      <c r="E7" s="206" t="s">
        <v>2853</v>
      </c>
      <c r="F7" s="206"/>
      <c r="G7" s="206" t="s">
        <v>2854</v>
      </c>
      <c r="H7" s="206"/>
      <c r="I7" s="206"/>
    </row>
    <row r="8" spans="1:9" ht="19.95" customHeight="1" x14ac:dyDescent="0.3">
      <c r="A8" s="1"/>
      <c r="B8" s="206"/>
      <c r="C8" s="3" t="s">
        <v>2855</v>
      </c>
      <c r="D8" s="3" t="s">
        <v>2856</v>
      </c>
      <c r="E8" s="3" t="s">
        <v>2855</v>
      </c>
      <c r="F8" s="3" t="s">
        <v>2856</v>
      </c>
      <c r="G8" s="3" t="s">
        <v>2855</v>
      </c>
      <c r="H8" s="3" t="s">
        <v>2856</v>
      </c>
      <c r="I8" s="3" t="s">
        <v>2857</v>
      </c>
    </row>
    <row r="9" spans="1:9" ht="26.4" x14ac:dyDescent="0.3">
      <c r="A9" s="1"/>
      <c r="B9" s="90" t="s">
        <v>2858</v>
      </c>
      <c r="C9" s="90" t="s">
        <v>2859</v>
      </c>
      <c r="D9" s="90" t="s">
        <v>2859</v>
      </c>
      <c r="E9" s="90" t="s">
        <v>2859</v>
      </c>
      <c r="F9" s="90" t="s">
        <v>2859</v>
      </c>
      <c r="G9" s="90" t="s">
        <v>2859</v>
      </c>
      <c r="H9" s="90" t="s">
        <v>2859</v>
      </c>
      <c r="I9" s="90" t="s">
        <v>2860</v>
      </c>
    </row>
    <row r="10" spans="1:9" ht="26.4" x14ac:dyDescent="0.3">
      <c r="A10" s="1"/>
      <c r="B10" s="90" t="s">
        <v>2861</v>
      </c>
      <c r="C10" s="90" t="s">
        <v>2859</v>
      </c>
      <c r="D10" s="90" t="s">
        <v>2859</v>
      </c>
      <c r="E10" s="90" t="s">
        <v>2859</v>
      </c>
      <c r="F10" s="90" t="s">
        <v>2859</v>
      </c>
      <c r="G10" s="90" t="s">
        <v>2859</v>
      </c>
      <c r="H10" s="90" t="s">
        <v>2859</v>
      </c>
      <c r="I10" s="90" t="s">
        <v>2860</v>
      </c>
    </row>
    <row r="11" spans="1:9" ht="39.6" x14ac:dyDescent="0.3">
      <c r="A11" s="1"/>
      <c r="B11" s="90" t="s">
        <v>2862</v>
      </c>
      <c r="C11" s="90" t="s">
        <v>2863</v>
      </c>
      <c r="D11" s="90" t="s">
        <v>2864</v>
      </c>
      <c r="E11" s="90" t="s">
        <v>2865</v>
      </c>
      <c r="F11" s="90" t="s">
        <v>2866</v>
      </c>
      <c r="G11" s="90" t="s">
        <v>965</v>
      </c>
      <c r="H11" s="90" t="s">
        <v>965</v>
      </c>
      <c r="I11" s="90" t="s">
        <v>965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6" t="s">
        <v>2867</v>
      </c>
      <c r="C14" s="206"/>
      <c r="D14" s="206"/>
      <c r="E14" s="206"/>
      <c r="F14" s="206"/>
      <c r="G14" s="206"/>
      <c r="H14" s="206"/>
      <c r="I14" s="206"/>
    </row>
    <row r="15" spans="1:9" ht="19.95" customHeight="1" x14ac:dyDescent="0.3">
      <c r="A15" s="1"/>
      <c r="B15" s="206" t="s">
        <v>2851</v>
      </c>
      <c r="C15" s="206" t="s">
        <v>2852</v>
      </c>
      <c r="D15" s="206"/>
      <c r="E15" s="206" t="s">
        <v>2853</v>
      </c>
      <c r="F15" s="206"/>
      <c r="G15" s="206" t="s">
        <v>2854</v>
      </c>
      <c r="H15" s="206"/>
      <c r="I15" s="206"/>
    </row>
    <row r="16" spans="1:9" ht="19.95" customHeight="1" x14ac:dyDescent="0.3">
      <c r="A16" s="1"/>
      <c r="B16" s="206"/>
      <c r="C16" s="3" t="s">
        <v>2855</v>
      </c>
      <c r="D16" s="3" t="s">
        <v>2856</v>
      </c>
      <c r="E16" s="3" t="s">
        <v>2855</v>
      </c>
      <c r="F16" s="3" t="s">
        <v>2856</v>
      </c>
      <c r="G16" s="3" t="s">
        <v>2855</v>
      </c>
      <c r="H16" s="3" t="s">
        <v>2856</v>
      </c>
      <c r="I16" s="3" t="s">
        <v>2857</v>
      </c>
    </row>
    <row r="17" spans="1:9" ht="26.4" x14ac:dyDescent="0.3">
      <c r="A17" s="1"/>
      <c r="B17" s="90" t="s">
        <v>2858</v>
      </c>
      <c r="C17" s="90" t="s">
        <v>2859</v>
      </c>
      <c r="D17" s="90" t="s">
        <v>2859</v>
      </c>
      <c r="E17" s="90" t="s">
        <v>2859</v>
      </c>
      <c r="F17" s="90" t="s">
        <v>2859</v>
      </c>
      <c r="G17" s="90" t="s">
        <v>2859</v>
      </c>
      <c r="H17" s="90" t="s">
        <v>2859</v>
      </c>
      <c r="I17" s="90" t="s">
        <v>2860</v>
      </c>
    </row>
    <row r="18" spans="1:9" ht="26.4" x14ac:dyDescent="0.3">
      <c r="A18" s="1"/>
      <c r="B18" s="90" t="s">
        <v>2861</v>
      </c>
      <c r="C18" s="90" t="s">
        <v>2859</v>
      </c>
      <c r="D18" s="90" t="s">
        <v>2859</v>
      </c>
      <c r="E18" s="90" t="s">
        <v>2859</v>
      </c>
      <c r="F18" s="90" t="s">
        <v>2859</v>
      </c>
      <c r="G18" s="90" t="s">
        <v>2859</v>
      </c>
      <c r="H18" s="90" t="s">
        <v>2859</v>
      </c>
      <c r="I18" s="90" t="s">
        <v>2860</v>
      </c>
    </row>
    <row r="19" spans="1:9" ht="26.4" x14ac:dyDescent="0.3">
      <c r="A19" s="1"/>
      <c r="B19" s="90" t="s">
        <v>2862</v>
      </c>
      <c r="C19" s="90" t="s">
        <v>2863</v>
      </c>
      <c r="D19" s="90" t="s">
        <v>2868</v>
      </c>
      <c r="E19" s="90" t="s">
        <v>2869</v>
      </c>
      <c r="F19" s="90" t="s">
        <v>2870</v>
      </c>
      <c r="G19" s="90" t="s">
        <v>965</v>
      </c>
      <c r="H19" s="90" t="s">
        <v>965</v>
      </c>
      <c r="I19" s="90" t="s">
        <v>965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6" t="s">
        <v>795</v>
      </c>
      <c r="C22" s="206"/>
      <c r="D22" s="206"/>
      <c r="E22" s="206"/>
      <c r="F22" s="206"/>
      <c r="G22" s="206"/>
      <c r="H22" s="206"/>
      <c r="I22" s="206"/>
    </row>
    <row r="23" spans="1:9" ht="19.95" customHeight="1" x14ac:dyDescent="0.3">
      <c r="A23" s="1"/>
      <c r="B23" s="206" t="s">
        <v>2851</v>
      </c>
      <c r="C23" s="206" t="s">
        <v>2852</v>
      </c>
      <c r="D23" s="206"/>
      <c r="E23" s="206" t="s">
        <v>2853</v>
      </c>
      <c r="F23" s="206"/>
      <c r="G23" s="206" t="s">
        <v>2854</v>
      </c>
      <c r="H23" s="206"/>
      <c r="I23" s="206"/>
    </row>
    <row r="24" spans="1:9" ht="19.95" customHeight="1" x14ac:dyDescent="0.3">
      <c r="A24" s="1"/>
      <c r="B24" s="206"/>
      <c r="C24" s="3" t="s">
        <v>2855</v>
      </c>
      <c r="D24" s="3" t="s">
        <v>2856</v>
      </c>
      <c r="E24" s="3" t="s">
        <v>2855</v>
      </c>
      <c r="F24" s="3" t="s">
        <v>2856</v>
      </c>
      <c r="G24" s="3" t="s">
        <v>2855</v>
      </c>
      <c r="H24" s="3" t="s">
        <v>2856</v>
      </c>
      <c r="I24" s="3" t="s">
        <v>2857</v>
      </c>
    </row>
    <row r="25" spans="1:9" ht="26.4" x14ac:dyDescent="0.3">
      <c r="A25" s="1"/>
      <c r="B25" s="90" t="s">
        <v>2858</v>
      </c>
      <c r="C25" s="90" t="s">
        <v>2859</v>
      </c>
      <c r="D25" s="90" t="s">
        <v>2859</v>
      </c>
      <c r="E25" s="90" t="s">
        <v>2859</v>
      </c>
      <c r="F25" s="90" t="s">
        <v>2859</v>
      </c>
      <c r="G25" s="90" t="s">
        <v>2859</v>
      </c>
      <c r="H25" s="90" t="s">
        <v>2859</v>
      </c>
      <c r="I25" s="90" t="s">
        <v>2860</v>
      </c>
    </row>
    <row r="26" spans="1:9" ht="26.4" x14ac:dyDescent="0.3">
      <c r="A26" s="1"/>
      <c r="B26" s="90" t="s">
        <v>2861</v>
      </c>
      <c r="C26" s="90" t="s">
        <v>2859</v>
      </c>
      <c r="D26" s="90" t="s">
        <v>2859</v>
      </c>
      <c r="E26" s="90" t="s">
        <v>2859</v>
      </c>
      <c r="F26" s="90" t="s">
        <v>2859</v>
      </c>
      <c r="G26" s="90" t="s">
        <v>2859</v>
      </c>
      <c r="H26" s="90" t="s">
        <v>2859</v>
      </c>
      <c r="I26" s="90" t="s">
        <v>2860</v>
      </c>
    </row>
    <row r="27" spans="1:9" x14ac:dyDescent="0.3">
      <c r="A27" s="1"/>
      <c r="B27" s="90" t="s">
        <v>2862</v>
      </c>
      <c r="C27" s="90" t="s">
        <v>2859</v>
      </c>
      <c r="D27" s="90" t="s">
        <v>2859</v>
      </c>
      <c r="E27" s="90" t="s">
        <v>2859</v>
      </c>
      <c r="F27" s="90" t="s">
        <v>2859</v>
      </c>
      <c r="G27" s="90" t="s">
        <v>965</v>
      </c>
      <c r="H27" s="90" t="s">
        <v>965</v>
      </c>
      <c r="I27" s="90" t="s">
        <v>965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6" t="s">
        <v>2871</v>
      </c>
      <c r="C30" s="206"/>
      <c r="D30" s="206"/>
      <c r="E30" s="206"/>
      <c r="F30" s="206"/>
      <c r="G30" s="206"/>
      <c r="H30" s="206"/>
      <c r="I30" s="206"/>
    </row>
    <row r="31" spans="1:9" ht="19.95" customHeight="1" x14ac:dyDescent="0.3">
      <c r="A31" s="1"/>
      <c r="B31" s="206" t="s">
        <v>2851</v>
      </c>
      <c r="C31" s="206" t="s">
        <v>2852</v>
      </c>
      <c r="D31" s="206"/>
      <c r="E31" s="206" t="s">
        <v>2853</v>
      </c>
      <c r="F31" s="206"/>
      <c r="G31" s="206" t="s">
        <v>2854</v>
      </c>
      <c r="H31" s="206"/>
      <c r="I31" s="206"/>
    </row>
    <row r="32" spans="1:9" ht="19.95" customHeight="1" x14ac:dyDescent="0.3">
      <c r="A32" s="1"/>
      <c r="B32" s="206"/>
      <c r="C32" s="3" t="s">
        <v>2855</v>
      </c>
      <c r="D32" s="3" t="s">
        <v>2856</v>
      </c>
      <c r="E32" s="3" t="s">
        <v>2855</v>
      </c>
      <c r="F32" s="3" t="s">
        <v>2856</v>
      </c>
      <c r="G32" s="3" t="s">
        <v>2855</v>
      </c>
      <c r="H32" s="3" t="s">
        <v>2856</v>
      </c>
      <c r="I32" s="3" t="s">
        <v>2857</v>
      </c>
    </row>
    <row r="33" spans="1:9" ht="26.4" x14ac:dyDescent="0.3">
      <c r="A33" s="1"/>
      <c r="B33" s="90" t="s">
        <v>2858</v>
      </c>
      <c r="C33" s="90" t="s">
        <v>2859</v>
      </c>
      <c r="D33" s="90" t="s">
        <v>2859</v>
      </c>
      <c r="E33" s="90" t="s">
        <v>2859</v>
      </c>
      <c r="F33" s="90" t="s">
        <v>2859</v>
      </c>
      <c r="G33" s="90" t="s">
        <v>2859</v>
      </c>
      <c r="H33" s="90" t="s">
        <v>2859</v>
      </c>
      <c r="I33" s="90" t="s">
        <v>2860</v>
      </c>
    </row>
    <row r="34" spans="1:9" ht="26.4" x14ac:dyDescent="0.3">
      <c r="A34" s="1"/>
      <c r="B34" s="90" t="s">
        <v>2861</v>
      </c>
      <c r="C34" s="90" t="s">
        <v>2859</v>
      </c>
      <c r="D34" s="90" t="s">
        <v>2859</v>
      </c>
      <c r="E34" s="90" t="s">
        <v>2859</v>
      </c>
      <c r="F34" s="90" t="s">
        <v>2859</v>
      </c>
      <c r="G34" s="90" t="s">
        <v>2859</v>
      </c>
      <c r="H34" s="90" t="s">
        <v>2859</v>
      </c>
      <c r="I34" s="90" t="s">
        <v>2860</v>
      </c>
    </row>
    <row r="35" spans="1:9" ht="26.4" x14ac:dyDescent="0.3">
      <c r="A35" s="1"/>
      <c r="B35" s="90" t="s">
        <v>2862</v>
      </c>
      <c r="C35" s="90" t="s">
        <v>2863</v>
      </c>
      <c r="D35" s="90" t="s">
        <v>2872</v>
      </c>
      <c r="E35" s="90" t="s">
        <v>2869</v>
      </c>
      <c r="F35" s="90" t="s">
        <v>2870</v>
      </c>
      <c r="G35" s="90" t="s">
        <v>965</v>
      </c>
      <c r="H35" s="90" t="s">
        <v>965</v>
      </c>
      <c r="I35" s="90" t="s">
        <v>965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6" t="s">
        <v>2827</v>
      </c>
      <c r="C38" s="206"/>
      <c r="D38" s="206"/>
      <c r="E38" s="206"/>
      <c r="F38" s="206"/>
      <c r="G38" s="206"/>
      <c r="H38" s="206"/>
      <c r="I38" s="206"/>
    </row>
    <row r="39" spans="1:9" ht="19.95" customHeight="1" x14ac:dyDescent="0.3">
      <c r="A39" s="1"/>
      <c r="B39" s="206" t="s">
        <v>2851</v>
      </c>
      <c r="C39" s="206" t="s">
        <v>2852</v>
      </c>
      <c r="D39" s="206"/>
      <c r="E39" s="206" t="s">
        <v>2853</v>
      </c>
      <c r="F39" s="206"/>
      <c r="G39" s="206" t="s">
        <v>2854</v>
      </c>
      <c r="H39" s="206"/>
      <c r="I39" s="206"/>
    </row>
    <row r="40" spans="1:9" ht="19.95" customHeight="1" x14ac:dyDescent="0.3">
      <c r="A40" s="1"/>
      <c r="B40" s="206"/>
      <c r="C40" s="3" t="s">
        <v>2855</v>
      </c>
      <c r="D40" s="3" t="s">
        <v>2856</v>
      </c>
      <c r="E40" s="3" t="s">
        <v>2855</v>
      </c>
      <c r="F40" s="3" t="s">
        <v>2856</v>
      </c>
      <c r="G40" s="3" t="s">
        <v>2855</v>
      </c>
      <c r="H40" s="3" t="s">
        <v>2856</v>
      </c>
      <c r="I40" s="3" t="s">
        <v>2857</v>
      </c>
    </row>
    <row r="41" spans="1:9" ht="26.4" x14ac:dyDescent="0.3">
      <c r="A41" s="1"/>
      <c r="B41" s="90" t="s">
        <v>2858</v>
      </c>
      <c r="C41" s="90" t="s">
        <v>2859</v>
      </c>
      <c r="D41" s="90" t="s">
        <v>2859</v>
      </c>
      <c r="E41" s="90" t="s">
        <v>2859</v>
      </c>
      <c r="F41" s="90" t="s">
        <v>2859</v>
      </c>
      <c r="G41" s="90" t="s">
        <v>2859</v>
      </c>
      <c r="H41" s="90" t="s">
        <v>2859</v>
      </c>
      <c r="I41" s="90" t="s">
        <v>2860</v>
      </c>
    </row>
    <row r="42" spans="1:9" ht="26.4" x14ac:dyDescent="0.3">
      <c r="A42" s="1"/>
      <c r="B42" s="90" t="s">
        <v>2861</v>
      </c>
      <c r="C42" s="90" t="s">
        <v>2859</v>
      </c>
      <c r="D42" s="90" t="s">
        <v>2859</v>
      </c>
      <c r="E42" s="90" t="s">
        <v>2859</v>
      </c>
      <c r="F42" s="90" t="s">
        <v>2859</v>
      </c>
      <c r="G42" s="90" t="s">
        <v>2859</v>
      </c>
      <c r="H42" s="90" t="s">
        <v>2859</v>
      </c>
      <c r="I42" s="90" t="s">
        <v>2860</v>
      </c>
    </row>
    <row r="43" spans="1:9" ht="39.6" x14ac:dyDescent="0.3">
      <c r="A43" s="1"/>
      <c r="B43" s="90" t="s">
        <v>2862</v>
      </c>
      <c r="C43" s="90" t="s">
        <v>2863</v>
      </c>
      <c r="D43" s="90" t="s">
        <v>2868</v>
      </c>
      <c r="E43" s="90" t="s">
        <v>2865</v>
      </c>
      <c r="F43" s="90" t="s">
        <v>2873</v>
      </c>
      <c r="G43" s="90" t="s">
        <v>965</v>
      </c>
      <c r="H43" s="90" t="s">
        <v>965</v>
      </c>
      <c r="I43" s="90" t="s">
        <v>965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6" t="s">
        <v>2874</v>
      </c>
      <c r="C46" s="206"/>
      <c r="D46" s="206"/>
      <c r="E46" s="206"/>
      <c r="F46" s="206"/>
      <c r="G46" s="206"/>
      <c r="H46" s="206"/>
      <c r="I46" s="206"/>
    </row>
    <row r="47" spans="1:9" ht="19.95" customHeight="1" x14ac:dyDescent="0.3">
      <c r="A47" s="1"/>
      <c r="B47" s="206" t="s">
        <v>2851</v>
      </c>
      <c r="C47" s="206" t="s">
        <v>2852</v>
      </c>
      <c r="D47" s="206"/>
      <c r="E47" s="206" t="s">
        <v>2853</v>
      </c>
      <c r="F47" s="206"/>
      <c r="G47" s="206" t="s">
        <v>2854</v>
      </c>
      <c r="H47" s="206"/>
      <c r="I47" s="206"/>
    </row>
    <row r="48" spans="1:9" ht="19.95" customHeight="1" x14ac:dyDescent="0.3">
      <c r="A48" s="1"/>
      <c r="B48" s="206"/>
      <c r="C48" s="3" t="s">
        <v>2855</v>
      </c>
      <c r="D48" s="3" t="s">
        <v>2856</v>
      </c>
      <c r="E48" s="3" t="s">
        <v>2855</v>
      </c>
      <c r="F48" s="3" t="s">
        <v>2856</v>
      </c>
      <c r="G48" s="3" t="s">
        <v>2855</v>
      </c>
      <c r="H48" s="3" t="s">
        <v>2856</v>
      </c>
      <c r="I48" s="3" t="s">
        <v>2857</v>
      </c>
    </row>
    <row r="49" spans="1:9" ht="26.4" x14ac:dyDescent="0.3">
      <c r="A49" s="1"/>
      <c r="B49" s="90" t="s">
        <v>2858</v>
      </c>
      <c r="C49" s="90" t="s">
        <v>2859</v>
      </c>
      <c r="D49" s="90" t="s">
        <v>2859</v>
      </c>
      <c r="E49" s="90" t="s">
        <v>2859</v>
      </c>
      <c r="F49" s="90" t="s">
        <v>2859</v>
      </c>
      <c r="G49" s="90" t="s">
        <v>2859</v>
      </c>
      <c r="H49" s="90" t="s">
        <v>2859</v>
      </c>
      <c r="I49" s="90" t="s">
        <v>2860</v>
      </c>
    </row>
    <row r="50" spans="1:9" ht="26.4" x14ac:dyDescent="0.3">
      <c r="A50" s="1"/>
      <c r="B50" s="90" t="s">
        <v>2861</v>
      </c>
      <c r="C50" s="90" t="s">
        <v>2859</v>
      </c>
      <c r="D50" s="90" t="s">
        <v>2859</v>
      </c>
      <c r="E50" s="90" t="s">
        <v>2859</v>
      </c>
      <c r="F50" s="90" t="s">
        <v>2859</v>
      </c>
      <c r="G50" s="90" t="s">
        <v>2859</v>
      </c>
      <c r="H50" s="90" t="s">
        <v>2859</v>
      </c>
      <c r="I50" s="90" t="s">
        <v>2860</v>
      </c>
    </row>
    <row r="51" spans="1:9" ht="39.6" x14ac:dyDescent="0.3">
      <c r="A51" s="1"/>
      <c r="B51" s="90" t="s">
        <v>2862</v>
      </c>
      <c r="C51" s="90" t="s">
        <v>2863</v>
      </c>
      <c r="D51" s="90" t="s">
        <v>2864</v>
      </c>
      <c r="E51" s="90" t="s">
        <v>2865</v>
      </c>
      <c r="F51" s="90" t="s">
        <v>2866</v>
      </c>
      <c r="G51" s="90" t="s">
        <v>965</v>
      </c>
      <c r="H51" s="90" t="s">
        <v>965</v>
      </c>
      <c r="I51" s="90" t="s">
        <v>965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6" t="s">
        <v>603</v>
      </c>
      <c r="C54" s="206"/>
      <c r="D54" s="206"/>
      <c r="E54" s="206"/>
      <c r="F54" s="206"/>
      <c r="G54" s="206"/>
      <c r="H54" s="206"/>
      <c r="I54" s="206"/>
    </row>
    <row r="55" spans="1:9" ht="19.95" customHeight="1" x14ac:dyDescent="0.3">
      <c r="A55" s="1"/>
      <c r="B55" s="206" t="s">
        <v>2851</v>
      </c>
      <c r="C55" s="206" t="s">
        <v>2852</v>
      </c>
      <c r="D55" s="206"/>
      <c r="E55" s="206" t="s">
        <v>2853</v>
      </c>
      <c r="F55" s="206"/>
      <c r="G55" s="206" t="s">
        <v>2854</v>
      </c>
      <c r="H55" s="206"/>
      <c r="I55" s="206"/>
    </row>
    <row r="56" spans="1:9" ht="19.95" customHeight="1" x14ac:dyDescent="0.3">
      <c r="A56" s="1"/>
      <c r="B56" s="206"/>
      <c r="C56" s="3" t="s">
        <v>2855</v>
      </c>
      <c r="D56" s="3" t="s">
        <v>2856</v>
      </c>
      <c r="E56" s="3" t="s">
        <v>2855</v>
      </c>
      <c r="F56" s="3" t="s">
        <v>2856</v>
      </c>
      <c r="G56" s="3" t="s">
        <v>2855</v>
      </c>
      <c r="H56" s="3" t="s">
        <v>2856</v>
      </c>
      <c r="I56" s="3" t="s">
        <v>2857</v>
      </c>
    </row>
    <row r="57" spans="1:9" ht="26.4" x14ac:dyDescent="0.3">
      <c r="A57" s="1"/>
      <c r="B57" s="90" t="s">
        <v>2858</v>
      </c>
      <c r="C57" s="90" t="s">
        <v>2859</v>
      </c>
      <c r="D57" s="90" t="s">
        <v>2859</v>
      </c>
      <c r="E57" s="90" t="s">
        <v>2859</v>
      </c>
      <c r="F57" s="90" t="s">
        <v>2859</v>
      </c>
      <c r="G57" s="90" t="s">
        <v>2859</v>
      </c>
      <c r="H57" s="90" t="s">
        <v>2859</v>
      </c>
      <c r="I57" s="90" t="s">
        <v>2860</v>
      </c>
    </row>
    <row r="58" spans="1:9" ht="26.4" x14ac:dyDescent="0.3">
      <c r="A58" s="1"/>
      <c r="B58" s="90" t="s">
        <v>2861</v>
      </c>
      <c r="C58" s="90" t="s">
        <v>2859</v>
      </c>
      <c r="D58" s="90" t="s">
        <v>2859</v>
      </c>
      <c r="E58" s="90" t="s">
        <v>2859</v>
      </c>
      <c r="F58" s="90" t="s">
        <v>2859</v>
      </c>
      <c r="G58" s="90" t="s">
        <v>2859</v>
      </c>
      <c r="H58" s="90" t="s">
        <v>2859</v>
      </c>
      <c r="I58" s="90" t="s">
        <v>2860</v>
      </c>
    </row>
    <row r="59" spans="1:9" ht="26.4" x14ac:dyDescent="0.3">
      <c r="A59" s="1"/>
      <c r="B59" s="90" t="s">
        <v>2862</v>
      </c>
      <c r="C59" s="90" t="s">
        <v>2863</v>
      </c>
      <c r="D59" s="90" t="s">
        <v>2875</v>
      </c>
      <c r="E59" s="90" t="s">
        <v>2869</v>
      </c>
      <c r="F59" s="90" t="s">
        <v>2876</v>
      </c>
      <c r="G59" s="90" t="s">
        <v>965</v>
      </c>
      <c r="H59" s="90" t="s">
        <v>965</v>
      </c>
      <c r="I59" s="90" t="s">
        <v>965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6" t="s">
        <v>2877</v>
      </c>
      <c r="C62" s="206"/>
      <c r="D62" s="206"/>
      <c r="E62" s="206"/>
      <c r="F62" s="206"/>
      <c r="G62" s="206"/>
      <c r="H62" s="206"/>
      <c r="I62" s="206"/>
    </row>
    <row r="63" spans="1:9" ht="19.95" customHeight="1" x14ac:dyDescent="0.3">
      <c r="A63" s="1"/>
      <c r="B63" s="206" t="s">
        <v>2851</v>
      </c>
      <c r="C63" s="206" t="s">
        <v>2852</v>
      </c>
      <c r="D63" s="206"/>
      <c r="E63" s="206" t="s">
        <v>2853</v>
      </c>
      <c r="F63" s="206"/>
      <c r="G63" s="206" t="s">
        <v>2854</v>
      </c>
      <c r="H63" s="206"/>
      <c r="I63" s="206"/>
    </row>
    <row r="64" spans="1:9" ht="19.95" customHeight="1" x14ac:dyDescent="0.3">
      <c r="A64" s="1"/>
      <c r="B64" s="206"/>
      <c r="C64" s="3" t="s">
        <v>2855</v>
      </c>
      <c r="D64" s="3" t="s">
        <v>2856</v>
      </c>
      <c r="E64" s="3" t="s">
        <v>2855</v>
      </c>
      <c r="F64" s="3" t="s">
        <v>2856</v>
      </c>
      <c r="G64" s="3" t="s">
        <v>2855</v>
      </c>
      <c r="H64" s="3" t="s">
        <v>2856</v>
      </c>
      <c r="I64" s="3" t="s">
        <v>2857</v>
      </c>
    </row>
    <row r="65" spans="1:9" ht="26.4" x14ac:dyDescent="0.3">
      <c r="A65" s="1"/>
      <c r="B65" s="90" t="s">
        <v>2858</v>
      </c>
      <c r="C65" s="90" t="s">
        <v>2859</v>
      </c>
      <c r="D65" s="90" t="s">
        <v>2859</v>
      </c>
      <c r="E65" s="90" t="s">
        <v>2859</v>
      </c>
      <c r="F65" s="90" t="s">
        <v>2859</v>
      </c>
      <c r="G65" s="90" t="s">
        <v>2859</v>
      </c>
      <c r="H65" s="90" t="s">
        <v>2859</v>
      </c>
      <c r="I65" s="90" t="s">
        <v>2860</v>
      </c>
    </row>
    <row r="66" spans="1:9" ht="26.4" x14ac:dyDescent="0.3">
      <c r="A66" s="1"/>
      <c r="B66" s="90" t="s">
        <v>2861</v>
      </c>
      <c r="C66" s="90" t="s">
        <v>2859</v>
      </c>
      <c r="D66" s="90" t="s">
        <v>2859</v>
      </c>
      <c r="E66" s="90" t="s">
        <v>2859</v>
      </c>
      <c r="F66" s="90" t="s">
        <v>2859</v>
      </c>
      <c r="G66" s="90" t="s">
        <v>2859</v>
      </c>
      <c r="H66" s="90" t="s">
        <v>2859</v>
      </c>
      <c r="I66" s="90" t="s">
        <v>2860</v>
      </c>
    </row>
    <row r="67" spans="1:9" ht="26.4" x14ac:dyDescent="0.3">
      <c r="A67" s="1"/>
      <c r="B67" s="90" t="s">
        <v>2862</v>
      </c>
      <c r="C67" s="90" t="s">
        <v>2863</v>
      </c>
      <c r="D67" s="90" t="s">
        <v>2868</v>
      </c>
      <c r="E67" s="90" t="s">
        <v>2869</v>
      </c>
      <c r="F67" s="90" t="s">
        <v>2870</v>
      </c>
      <c r="G67" s="90" t="s">
        <v>965</v>
      </c>
      <c r="H67" s="90" t="s">
        <v>965</v>
      </c>
      <c r="I67" s="90" t="s">
        <v>965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6" t="s">
        <v>2878</v>
      </c>
      <c r="C70" s="206"/>
      <c r="D70" s="206"/>
      <c r="E70" s="206"/>
      <c r="F70" s="206"/>
      <c r="G70" s="206"/>
      <c r="H70" s="206"/>
      <c r="I70" s="206"/>
    </row>
    <row r="71" spans="1:9" ht="19.95" customHeight="1" x14ac:dyDescent="0.3">
      <c r="A71" s="1"/>
      <c r="B71" s="206" t="s">
        <v>2851</v>
      </c>
      <c r="C71" s="206" t="s">
        <v>2852</v>
      </c>
      <c r="D71" s="206"/>
      <c r="E71" s="206" t="s">
        <v>2853</v>
      </c>
      <c r="F71" s="206"/>
      <c r="G71" s="206" t="s">
        <v>2854</v>
      </c>
      <c r="H71" s="206"/>
      <c r="I71" s="206"/>
    </row>
    <row r="72" spans="1:9" ht="19.95" customHeight="1" x14ac:dyDescent="0.3">
      <c r="A72" s="1"/>
      <c r="B72" s="206"/>
      <c r="C72" s="3" t="s">
        <v>2855</v>
      </c>
      <c r="D72" s="3" t="s">
        <v>2856</v>
      </c>
      <c r="E72" s="3" t="s">
        <v>2855</v>
      </c>
      <c r="F72" s="3" t="s">
        <v>2856</v>
      </c>
      <c r="G72" s="3" t="s">
        <v>2855</v>
      </c>
      <c r="H72" s="3" t="s">
        <v>2856</v>
      </c>
      <c r="I72" s="3" t="s">
        <v>2857</v>
      </c>
    </row>
    <row r="73" spans="1:9" ht="26.4" x14ac:dyDescent="0.3">
      <c r="A73" s="1"/>
      <c r="B73" s="90" t="s">
        <v>2858</v>
      </c>
      <c r="C73" s="90" t="s">
        <v>2859</v>
      </c>
      <c r="D73" s="90" t="s">
        <v>2859</v>
      </c>
      <c r="E73" s="90" t="s">
        <v>2859</v>
      </c>
      <c r="F73" s="90" t="s">
        <v>2859</v>
      </c>
      <c r="G73" s="90" t="s">
        <v>2859</v>
      </c>
      <c r="H73" s="90" t="s">
        <v>2859</v>
      </c>
      <c r="I73" s="90" t="s">
        <v>2860</v>
      </c>
    </row>
    <row r="74" spans="1:9" ht="26.4" x14ac:dyDescent="0.3">
      <c r="A74" s="1"/>
      <c r="B74" s="90" t="s">
        <v>2861</v>
      </c>
      <c r="C74" s="90" t="s">
        <v>2859</v>
      </c>
      <c r="D74" s="90" t="s">
        <v>2859</v>
      </c>
      <c r="E74" s="90" t="s">
        <v>2859</v>
      </c>
      <c r="F74" s="90" t="s">
        <v>2859</v>
      </c>
      <c r="G74" s="90" t="s">
        <v>2859</v>
      </c>
      <c r="H74" s="90" t="s">
        <v>2859</v>
      </c>
      <c r="I74" s="90" t="s">
        <v>2860</v>
      </c>
    </row>
    <row r="75" spans="1:9" ht="39.6" x14ac:dyDescent="0.3">
      <c r="A75" s="1"/>
      <c r="B75" s="90" t="s">
        <v>2862</v>
      </c>
      <c r="C75" s="90" t="s">
        <v>2863</v>
      </c>
      <c r="D75" s="90" t="s">
        <v>2879</v>
      </c>
      <c r="E75" s="90" t="s">
        <v>2865</v>
      </c>
      <c r="F75" s="90" t="s">
        <v>2866</v>
      </c>
      <c r="G75" s="90" t="s">
        <v>965</v>
      </c>
      <c r="H75" s="90" t="s">
        <v>965</v>
      </c>
      <c r="I75" s="90" t="s">
        <v>965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6" t="s">
        <v>691</v>
      </c>
      <c r="C78" s="206"/>
      <c r="D78" s="206"/>
      <c r="E78" s="206"/>
      <c r="F78" s="206"/>
      <c r="G78" s="206"/>
      <c r="H78" s="206"/>
      <c r="I78" s="206"/>
    </row>
    <row r="79" spans="1:9" ht="19.95" customHeight="1" x14ac:dyDescent="0.3">
      <c r="A79" s="1"/>
      <c r="B79" s="206" t="s">
        <v>2851</v>
      </c>
      <c r="C79" s="206" t="s">
        <v>2852</v>
      </c>
      <c r="D79" s="206"/>
      <c r="E79" s="206" t="s">
        <v>2853</v>
      </c>
      <c r="F79" s="206"/>
      <c r="G79" s="206" t="s">
        <v>2854</v>
      </c>
      <c r="H79" s="206"/>
      <c r="I79" s="206"/>
    </row>
    <row r="80" spans="1:9" ht="19.95" customHeight="1" x14ac:dyDescent="0.3">
      <c r="A80" s="1"/>
      <c r="B80" s="206"/>
      <c r="C80" s="3" t="s">
        <v>2855</v>
      </c>
      <c r="D80" s="3" t="s">
        <v>2856</v>
      </c>
      <c r="E80" s="3" t="s">
        <v>2855</v>
      </c>
      <c r="F80" s="3" t="s">
        <v>2856</v>
      </c>
      <c r="G80" s="3" t="s">
        <v>2855</v>
      </c>
      <c r="H80" s="3" t="s">
        <v>2856</v>
      </c>
      <c r="I80" s="3" t="s">
        <v>2857</v>
      </c>
    </row>
    <row r="81" spans="1:9" ht="26.4" x14ac:dyDescent="0.3">
      <c r="A81" s="1"/>
      <c r="B81" s="90" t="s">
        <v>2858</v>
      </c>
      <c r="C81" s="90" t="s">
        <v>2859</v>
      </c>
      <c r="D81" s="90" t="s">
        <v>2859</v>
      </c>
      <c r="E81" s="90" t="s">
        <v>2859</v>
      </c>
      <c r="F81" s="90" t="s">
        <v>2859</v>
      </c>
      <c r="G81" s="90" t="s">
        <v>2859</v>
      </c>
      <c r="H81" s="90" t="s">
        <v>2859</v>
      </c>
      <c r="I81" s="90" t="s">
        <v>2860</v>
      </c>
    </row>
    <row r="82" spans="1:9" ht="26.4" x14ac:dyDescent="0.3">
      <c r="A82" s="1"/>
      <c r="B82" s="90" t="s">
        <v>2861</v>
      </c>
      <c r="C82" s="90" t="s">
        <v>2859</v>
      </c>
      <c r="D82" s="90" t="s">
        <v>2859</v>
      </c>
      <c r="E82" s="90" t="s">
        <v>2859</v>
      </c>
      <c r="F82" s="90" t="s">
        <v>2859</v>
      </c>
      <c r="G82" s="90" t="s">
        <v>2859</v>
      </c>
      <c r="H82" s="90" t="s">
        <v>2859</v>
      </c>
      <c r="I82" s="90" t="s">
        <v>2860</v>
      </c>
    </row>
    <row r="83" spans="1:9" ht="26.4" x14ac:dyDescent="0.3">
      <c r="A83" s="1"/>
      <c r="B83" s="90" t="s">
        <v>2862</v>
      </c>
      <c r="C83" s="90" t="s">
        <v>2863</v>
      </c>
      <c r="D83" s="90" t="s">
        <v>2868</v>
      </c>
      <c r="E83" s="90" t="s">
        <v>2869</v>
      </c>
      <c r="F83" s="90" t="s">
        <v>2870</v>
      </c>
      <c r="G83" s="90" t="s">
        <v>965</v>
      </c>
      <c r="H83" s="90" t="s">
        <v>965</v>
      </c>
      <c r="I83" s="90" t="s">
        <v>965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2880</v>
      </c>
      <c r="C5" s="1"/>
      <c r="D5" s="1"/>
      <c r="E5" s="1"/>
      <c r="F5" s="1"/>
      <c r="G5" s="1"/>
    </row>
    <row r="6" spans="1:7" ht="30" customHeight="1" x14ac:dyDescent="0.3">
      <c r="A6" s="1"/>
      <c r="B6" s="206" t="s">
        <v>2850</v>
      </c>
      <c r="C6" s="206"/>
      <c r="D6" s="206"/>
      <c r="E6" s="206"/>
      <c r="F6" s="206"/>
      <c r="G6" s="206"/>
    </row>
    <row r="7" spans="1:7" x14ac:dyDescent="0.3">
      <c r="A7" s="1"/>
      <c r="B7" s="206" t="s">
        <v>2881</v>
      </c>
      <c r="C7" s="206" t="s">
        <v>2882</v>
      </c>
      <c r="D7" s="206" t="s">
        <v>2883</v>
      </c>
      <c r="E7" s="206" t="s">
        <v>2884</v>
      </c>
      <c r="F7" s="206" t="s">
        <v>2885</v>
      </c>
      <c r="G7" s="206"/>
    </row>
    <row r="8" spans="1:7" x14ac:dyDescent="0.3">
      <c r="A8" s="1"/>
      <c r="B8" s="206"/>
      <c r="C8" s="206"/>
      <c r="D8" s="206"/>
      <c r="E8" s="206"/>
      <c r="F8" s="206" t="s">
        <v>2856</v>
      </c>
      <c r="G8" s="206"/>
    </row>
    <row r="9" spans="1:7" x14ac:dyDescent="0.3">
      <c r="A9" s="1"/>
      <c r="B9" s="206"/>
      <c r="C9" s="206"/>
      <c r="D9" s="206"/>
      <c r="E9" s="206"/>
      <c r="F9" s="3" t="s">
        <v>2886</v>
      </c>
      <c r="G9" s="3" t="s">
        <v>2887</v>
      </c>
    </row>
    <row r="10" spans="1:7" x14ac:dyDescent="0.3">
      <c r="A10" s="1"/>
      <c r="B10" s="90" t="s">
        <v>2858</v>
      </c>
      <c r="C10" s="90" t="s">
        <v>2859</v>
      </c>
      <c r="D10" s="90" t="s">
        <v>2859</v>
      </c>
      <c r="E10" s="90">
        <v>0</v>
      </c>
      <c r="F10" s="90">
        <v>60.36</v>
      </c>
      <c r="G10" s="90">
        <v>59.64</v>
      </c>
    </row>
    <row r="11" spans="1:7" x14ac:dyDescent="0.3">
      <c r="A11" s="1"/>
      <c r="B11" s="90" t="s">
        <v>2888</v>
      </c>
      <c r="C11" s="90" t="s">
        <v>2859</v>
      </c>
      <c r="D11" s="90" t="s">
        <v>2859</v>
      </c>
      <c r="E11" s="90">
        <v>0</v>
      </c>
      <c r="F11" s="90">
        <v>61</v>
      </c>
      <c r="G11" s="90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6" t="s">
        <v>2867</v>
      </c>
      <c r="C14" s="206"/>
      <c r="D14" s="206"/>
      <c r="E14" s="206"/>
      <c r="F14" s="206"/>
      <c r="G14" s="206"/>
    </row>
    <row r="15" spans="1:7" x14ac:dyDescent="0.3">
      <c r="A15" s="1"/>
      <c r="B15" s="206" t="s">
        <v>2881</v>
      </c>
      <c r="C15" s="206" t="s">
        <v>2882</v>
      </c>
      <c r="D15" s="206" t="s">
        <v>2883</v>
      </c>
      <c r="E15" s="206" t="s">
        <v>2884</v>
      </c>
      <c r="F15" s="206" t="s">
        <v>2885</v>
      </c>
      <c r="G15" s="206"/>
    </row>
    <row r="16" spans="1:7" x14ac:dyDescent="0.3">
      <c r="A16" s="1"/>
      <c r="B16" s="206"/>
      <c r="C16" s="206"/>
      <c r="D16" s="206"/>
      <c r="E16" s="206"/>
      <c r="F16" s="206" t="s">
        <v>2856</v>
      </c>
      <c r="G16" s="206"/>
    </row>
    <row r="17" spans="1:7" x14ac:dyDescent="0.3">
      <c r="A17" s="1"/>
      <c r="B17" s="206"/>
      <c r="C17" s="206"/>
      <c r="D17" s="206"/>
      <c r="E17" s="206"/>
      <c r="F17" s="3" t="s">
        <v>2886</v>
      </c>
      <c r="G17" s="3" t="s">
        <v>2887</v>
      </c>
    </row>
    <row r="18" spans="1:7" x14ac:dyDescent="0.3">
      <c r="A18" s="1"/>
      <c r="B18" s="90" t="s">
        <v>2858</v>
      </c>
      <c r="C18" s="90" t="s">
        <v>2859</v>
      </c>
      <c r="D18" s="90" t="s">
        <v>2859</v>
      </c>
      <c r="E18" s="90">
        <v>0</v>
      </c>
      <c r="F18" s="90">
        <v>60.36</v>
      </c>
      <c r="G18" s="90">
        <v>59.64</v>
      </c>
    </row>
    <row r="19" spans="1:7" x14ac:dyDescent="0.3">
      <c r="A19" s="1"/>
      <c r="B19" s="90" t="s">
        <v>2888</v>
      </c>
      <c r="C19" s="90" t="s">
        <v>2859</v>
      </c>
      <c r="D19" s="90" t="s">
        <v>2859</v>
      </c>
      <c r="E19" s="90">
        <v>0</v>
      </c>
      <c r="F19" s="90">
        <v>61</v>
      </c>
      <c r="G19" s="90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6" t="s">
        <v>795</v>
      </c>
      <c r="C22" s="206"/>
      <c r="D22" s="206"/>
      <c r="E22" s="206"/>
      <c r="F22" s="206"/>
      <c r="G22" s="206"/>
    </row>
    <row r="23" spans="1:7" x14ac:dyDescent="0.3">
      <c r="A23" s="1"/>
      <c r="B23" s="206" t="s">
        <v>2881</v>
      </c>
      <c r="C23" s="206" t="s">
        <v>2882</v>
      </c>
      <c r="D23" s="206" t="s">
        <v>2883</v>
      </c>
      <c r="E23" s="206" t="s">
        <v>2884</v>
      </c>
      <c r="F23" s="206" t="s">
        <v>2885</v>
      </c>
      <c r="G23" s="206"/>
    </row>
    <row r="24" spans="1:7" x14ac:dyDescent="0.3">
      <c r="A24" s="1"/>
      <c r="B24" s="206"/>
      <c r="C24" s="206"/>
      <c r="D24" s="206"/>
      <c r="E24" s="206"/>
      <c r="F24" s="206" t="s">
        <v>2856</v>
      </c>
      <c r="G24" s="206"/>
    </row>
    <row r="25" spans="1:7" x14ac:dyDescent="0.3">
      <c r="A25" s="1"/>
      <c r="B25" s="206"/>
      <c r="C25" s="206"/>
      <c r="D25" s="206"/>
      <c r="E25" s="206"/>
      <c r="F25" s="3" t="s">
        <v>2886</v>
      </c>
      <c r="G25" s="3" t="s">
        <v>2887</v>
      </c>
    </row>
    <row r="26" spans="1:7" x14ac:dyDescent="0.3">
      <c r="A26" s="1"/>
      <c r="B26" s="90" t="s">
        <v>2858</v>
      </c>
      <c r="C26" s="90" t="s">
        <v>2859</v>
      </c>
      <c r="D26" s="90" t="s">
        <v>2859</v>
      </c>
      <c r="E26" s="90">
        <v>0</v>
      </c>
      <c r="F26" s="90">
        <v>60.36</v>
      </c>
      <c r="G26" s="90">
        <v>59.64</v>
      </c>
    </row>
    <row r="27" spans="1:7" x14ac:dyDescent="0.3">
      <c r="A27" s="1"/>
      <c r="B27" s="90" t="s">
        <v>2888</v>
      </c>
      <c r="C27" s="90" t="s">
        <v>2859</v>
      </c>
      <c r="D27" s="90" t="s">
        <v>2859</v>
      </c>
      <c r="E27" s="90">
        <v>0</v>
      </c>
      <c r="F27" s="90">
        <v>61</v>
      </c>
      <c r="G27" s="90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6" t="s">
        <v>2871</v>
      </c>
      <c r="C30" s="206"/>
      <c r="D30" s="206"/>
      <c r="E30" s="206"/>
      <c r="F30" s="206"/>
      <c r="G30" s="206"/>
    </row>
    <row r="31" spans="1:7" x14ac:dyDescent="0.3">
      <c r="A31" s="1"/>
      <c r="B31" s="206" t="s">
        <v>2881</v>
      </c>
      <c r="C31" s="206" t="s">
        <v>2882</v>
      </c>
      <c r="D31" s="206" t="s">
        <v>2883</v>
      </c>
      <c r="E31" s="206" t="s">
        <v>2884</v>
      </c>
      <c r="F31" s="206" t="s">
        <v>2885</v>
      </c>
      <c r="G31" s="206"/>
    </row>
    <row r="32" spans="1:7" x14ac:dyDescent="0.3">
      <c r="A32" s="1"/>
      <c r="B32" s="206"/>
      <c r="C32" s="206"/>
      <c r="D32" s="206"/>
      <c r="E32" s="206"/>
      <c r="F32" s="206" t="s">
        <v>2856</v>
      </c>
      <c r="G32" s="206"/>
    </row>
    <row r="33" spans="1:7" x14ac:dyDescent="0.3">
      <c r="A33" s="1"/>
      <c r="B33" s="206"/>
      <c r="C33" s="206"/>
      <c r="D33" s="206"/>
      <c r="E33" s="206"/>
      <c r="F33" s="3" t="s">
        <v>2886</v>
      </c>
      <c r="G33" s="3" t="s">
        <v>2887</v>
      </c>
    </row>
    <row r="34" spans="1:7" x14ac:dyDescent="0.3">
      <c r="A34" s="1"/>
      <c r="B34" s="90" t="s">
        <v>2858</v>
      </c>
      <c r="C34" s="90" t="s">
        <v>2859</v>
      </c>
      <c r="D34" s="90" t="s">
        <v>2859</v>
      </c>
      <c r="E34" s="90">
        <v>0</v>
      </c>
      <c r="F34" s="90">
        <v>60.36</v>
      </c>
      <c r="G34" s="90">
        <v>59.64</v>
      </c>
    </row>
    <row r="35" spans="1:7" x14ac:dyDescent="0.3">
      <c r="A35" s="1"/>
      <c r="B35" s="90" t="s">
        <v>2888</v>
      </c>
      <c r="C35" s="90" t="s">
        <v>2859</v>
      </c>
      <c r="D35" s="90" t="s">
        <v>2859</v>
      </c>
      <c r="E35" s="90">
        <v>0</v>
      </c>
      <c r="F35" s="90">
        <v>61</v>
      </c>
      <c r="G35" s="90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6" t="s">
        <v>2827</v>
      </c>
      <c r="C38" s="206"/>
      <c r="D38" s="206"/>
      <c r="E38" s="206"/>
      <c r="F38" s="206"/>
      <c r="G38" s="206"/>
    </row>
    <row r="39" spans="1:7" x14ac:dyDescent="0.3">
      <c r="A39" s="1"/>
      <c r="B39" s="206" t="s">
        <v>2881</v>
      </c>
      <c r="C39" s="206" t="s">
        <v>2882</v>
      </c>
      <c r="D39" s="206" t="s">
        <v>2883</v>
      </c>
      <c r="E39" s="206" t="s">
        <v>2884</v>
      </c>
      <c r="F39" s="206" t="s">
        <v>2885</v>
      </c>
      <c r="G39" s="206"/>
    </row>
    <row r="40" spans="1:7" x14ac:dyDescent="0.3">
      <c r="A40" s="1"/>
      <c r="B40" s="206"/>
      <c r="C40" s="206"/>
      <c r="D40" s="206"/>
      <c r="E40" s="206"/>
      <c r="F40" s="206" t="s">
        <v>2856</v>
      </c>
      <c r="G40" s="206"/>
    </row>
    <row r="41" spans="1:7" x14ac:dyDescent="0.3">
      <c r="A41" s="1"/>
      <c r="B41" s="206"/>
      <c r="C41" s="206"/>
      <c r="D41" s="206"/>
      <c r="E41" s="206"/>
      <c r="F41" s="3" t="s">
        <v>2886</v>
      </c>
      <c r="G41" s="3" t="s">
        <v>2887</v>
      </c>
    </row>
    <row r="42" spans="1:7" x14ac:dyDescent="0.3">
      <c r="A42" s="1"/>
      <c r="B42" s="90" t="s">
        <v>2858</v>
      </c>
      <c r="C42" s="90" t="s">
        <v>2859</v>
      </c>
      <c r="D42" s="90" t="s">
        <v>2859</v>
      </c>
      <c r="E42" s="90">
        <v>0</v>
      </c>
      <c r="F42" s="90">
        <v>60.36</v>
      </c>
      <c r="G42" s="90">
        <v>59.64</v>
      </c>
    </row>
    <row r="43" spans="1:7" x14ac:dyDescent="0.3">
      <c r="A43" s="1"/>
      <c r="B43" s="90" t="s">
        <v>2888</v>
      </c>
      <c r="C43" s="90" t="s">
        <v>2859</v>
      </c>
      <c r="D43" s="90" t="s">
        <v>2859</v>
      </c>
      <c r="E43" s="90">
        <v>0</v>
      </c>
      <c r="F43" s="90">
        <v>61</v>
      </c>
      <c r="G43" s="90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6" t="s">
        <v>2874</v>
      </c>
      <c r="C46" s="206"/>
      <c r="D46" s="206"/>
      <c r="E46" s="206"/>
      <c r="F46" s="206"/>
      <c r="G46" s="206"/>
    </row>
    <row r="47" spans="1:7" x14ac:dyDescent="0.3">
      <c r="A47" s="1"/>
      <c r="B47" s="206" t="s">
        <v>2881</v>
      </c>
      <c r="C47" s="206" t="s">
        <v>2882</v>
      </c>
      <c r="D47" s="206" t="s">
        <v>2883</v>
      </c>
      <c r="E47" s="206" t="s">
        <v>2884</v>
      </c>
      <c r="F47" s="206" t="s">
        <v>2885</v>
      </c>
      <c r="G47" s="206"/>
    </row>
    <row r="48" spans="1:7" x14ac:dyDescent="0.3">
      <c r="A48" s="1"/>
      <c r="B48" s="206"/>
      <c r="C48" s="206"/>
      <c r="D48" s="206"/>
      <c r="E48" s="206"/>
      <c r="F48" s="206" t="s">
        <v>2856</v>
      </c>
      <c r="G48" s="206"/>
    </row>
    <row r="49" spans="1:7" x14ac:dyDescent="0.3">
      <c r="A49" s="1"/>
      <c r="B49" s="206"/>
      <c r="C49" s="206"/>
      <c r="D49" s="206"/>
      <c r="E49" s="206"/>
      <c r="F49" s="3" t="s">
        <v>2886</v>
      </c>
      <c r="G49" s="3" t="s">
        <v>2887</v>
      </c>
    </row>
    <row r="50" spans="1:7" x14ac:dyDescent="0.3">
      <c r="A50" s="1"/>
      <c r="B50" s="90" t="s">
        <v>2858</v>
      </c>
      <c r="C50" s="90" t="s">
        <v>2859</v>
      </c>
      <c r="D50" s="90" t="s">
        <v>2859</v>
      </c>
      <c r="E50" s="90">
        <v>0</v>
      </c>
      <c r="F50" s="90">
        <v>60.36</v>
      </c>
      <c r="G50" s="90">
        <v>59.64</v>
      </c>
    </row>
    <row r="51" spans="1:7" x14ac:dyDescent="0.3">
      <c r="A51" s="1"/>
      <c r="B51" s="90" t="s">
        <v>2888</v>
      </c>
      <c r="C51" s="90" t="s">
        <v>2859</v>
      </c>
      <c r="D51" s="90" t="s">
        <v>2859</v>
      </c>
      <c r="E51" s="90">
        <v>0</v>
      </c>
      <c r="F51" s="90">
        <v>61</v>
      </c>
      <c r="G51" s="90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6" t="s">
        <v>603</v>
      </c>
      <c r="C54" s="206"/>
      <c r="D54" s="206"/>
      <c r="E54" s="206"/>
      <c r="F54" s="206"/>
      <c r="G54" s="206"/>
    </row>
    <row r="55" spans="1:7" x14ac:dyDescent="0.3">
      <c r="A55" s="1"/>
      <c r="B55" s="206" t="s">
        <v>2881</v>
      </c>
      <c r="C55" s="206" t="s">
        <v>2882</v>
      </c>
      <c r="D55" s="206" t="s">
        <v>2883</v>
      </c>
      <c r="E55" s="206" t="s">
        <v>2884</v>
      </c>
      <c r="F55" s="206" t="s">
        <v>2885</v>
      </c>
      <c r="G55" s="206"/>
    </row>
    <row r="56" spans="1:7" x14ac:dyDescent="0.3">
      <c r="A56" s="1"/>
      <c r="B56" s="206"/>
      <c r="C56" s="206"/>
      <c r="D56" s="206"/>
      <c r="E56" s="206"/>
      <c r="F56" s="206" t="s">
        <v>2856</v>
      </c>
      <c r="G56" s="206"/>
    </row>
    <row r="57" spans="1:7" x14ac:dyDescent="0.3">
      <c r="A57" s="1"/>
      <c r="B57" s="206"/>
      <c r="C57" s="206"/>
      <c r="D57" s="206"/>
      <c r="E57" s="206"/>
      <c r="F57" s="3" t="s">
        <v>2886</v>
      </c>
      <c r="G57" s="3" t="s">
        <v>2887</v>
      </c>
    </row>
    <row r="58" spans="1:7" x14ac:dyDescent="0.3">
      <c r="A58" s="1"/>
      <c r="B58" s="90" t="s">
        <v>2858</v>
      </c>
      <c r="C58" s="90" t="s">
        <v>2859</v>
      </c>
      <c r="D58" s="90" t="s">
        <v>2859</v>
      </c>
      <c r="E58" s="90">
        <v>0</v>
      </c>
      <c r="F58" s="90">
        <v>60.36</v>
      </c>
      <c r="G58" s="90">
        <v>59.64</v>
      </c>
    </row>
    <row r="59" spans="1:7" x14ac:dyDescent="0.3">
      <c r="A59" s="1"/>
      <c r="B59" s="90" t="s">
        <v>2888</v>
      </c>
      <c r="C59" s="90" t="s">
        <v>2859</v>
      </c>
      <c r="D59" s="90" t="s">
        <v>2859</v>
      </c>
      <c r="E59" s="90">
        <v>0</v>
      </c>
      <c r="F59" s="90">
        <v>61</v>
      </c>
      <c r="G59" s="90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6" t="s">
        <v>2877</v>
      </c>
      <c r="C62" s="206"/>
      <c r="D62" s="206"/>
      <c r="E62" s="206"/>
      <c r="F62" s="206"/>
      <c r="G62" s="206"/>
    </row>
    <row r="63" spans="1:7" x14ac:dyDescent="0.3">
      <c r="A63" s="1"/>
      <c r="B63" s="206" t="s">
        <v>2881</v>
      </c>
      <c r="C63" s="206" t="s">
        <v>2882</v>
      </c>
      <c r="D63" s="206" t="s">
        <v>2883</v>
      </c>
      <c r="E63" s="206" t="s">
        <v>2884</v>
      </c>
      <c r="F63" s="206" t="s">
        <v>2885</v>
      </c>
      <c r="G63" s="206"/>
    </row>
    <row r="64" spans="1:7" x14ac:dyDescent="0.3">
      <c r="A64" s="1"/>
      <c r="B64" s="206"/>
      <c r="C64" s="206"/>
      <c r="D64" s="206"/>
      <c r="E64" s="206"/>
      <c r="F64" s="206" t="s">
        <v>2856</v>
      </c>
      <c r="G64" s="206"/>
    </row>
    <row r="65" spans="1:7" x14ac:dyDescent="0.3">
      <c r="A65" s="1"/>
      <c r="B65" s="206"/>
      <c r="C65" s="206"/>
      <c r="D65" s="206"/>
      <c r="E65" s="206"/>
      <c r="F65" s="3" t="s">
        <v>2886</v>
      </c>
      <c r="G65" s="3" t="s">
        <v>2887</v>
      </c>
    </row>
    <row r="66" spans="1:7" x14ac:dyDescent="0.3">
      <c r="A66" s="1"/>
      <c r="B66" s="90" t="s">
        <v>2858</v>
      </c>
      <c r="C66" s="90" t="s">
        <v>2859</v>
      </c>
      <c r="D66" s="90" t="s">
        <v>2859</v>
      </c>
      <c r="E66" s="90">
        <v>0</v>
      </c>
      <c r="F66" s="90">
        <v>60.36</v>
      </c>
      <c r="G66" s="90">
        <v>59.64</v>
      </c>
    </row>
    <row r="67" spans="1:7" x14ac:dyDescent="0.3">
      <c r="A67" s="1"/>
      <c r="B67" s="90" t="s">
        <v>2888</v>
      </c>
      <c r="C67" s="90" t="s">
        <v>2859</v>
      </c>
      <c r="D67" s="90" t="s">
        <v>2859</v>
      </c>
      <c r="E67" s="90">
        <v>0</v>
      </c>
      <c r="F67" s="90">
        <v>61</v>
      </c>
      <c r="G67" s="90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6" t="s">
        <v>2878</v>
      </c>
      <c r="C70" s="206"/>
      <c r="D70" s="206"/>
      <c r="E70" s="206"/>
      <c r="F70" s="206"/>
      <c r="G70" s="206"/>
    </row>
    <row r="71" spans="1:7" x14ac:dyDescent="0.3">
      <c r="A71" s="1"/>
      <c r="B71" s="206" t="s">
        <v>2881</v>
      </c>
      <c r="C71" s="206" t="s">
        <v>2882</v>
      </c>
      <c r="D71" s="206" t="s">
        <v>2883</v>
      </c>
      <c r="E71" s="206" t="s">
        <v>2884</v>
      </c>
      <c r="F71" s="206" t="s">
        <v>2885</v>
      </c>
      <c r="G71" s="206"/>
    </row>
    <row r="72" spans="1:7" x14ac:dyDescent="0.3">
      <c r="A72" s="1"/>
      <c r="B72" s="206"/>
      <c r="C72" s="206"/>
      <c r="D72" s="206"/>
      <c r="E72" s="206"/>
      <c r="F72" s="206" t="s">
        <v>2856</v>
      </c>
      <c r="G72" s="206"/>
    </row>
    <row r="73" spans="1:7" x14ac:dyDescent="0.3">
      <c r="A73" s="1"/>
      <c r="B73" s="206"/>
      <c r="C73" s="206"/>
      <c r="D73" s="206"/>
      <c r="E73" s="206"/>
      <c r="F73" s="3" t="s">
        <v>2886</v>
      </c>
      <c r="G73" s="3" t="s">
        <v>2887</v>
      </c>
    </row>
    <row r="74" spans="1:7" x14ac:dyDescent="0.3">
      <c r="A74" s="1"/>
      <c r="B74" s="90" t="s">
        <v>2858</v>
      </c>
      <c r="C74" s="90" t="s">
        <v>2859</v>
      </c>
      <c r="D74" s="90" t="s">
        <v>2859</v>
      </c>
      <c r="E74" s="90">
        <v>0</v>
      </c>
      <c r="F74" s="90">
        <v>60.36</v>
      </c>
      <c r="G74" s="90">
        <v>59.64</v>
      </c>
    </row>
    <row r="75" spans="1:7" x14ac:dyDescent="0.3">
      <c r="A75" s="1"/>
      <c r="B75" s="90" t="s">
        <v>2888</v>
      </c>
      <c r="C75" s="90" t="s">
        <v>2859</v>
      </c>
      <c r="D75" s="90" t="s">
        <v>2859</v>
      </c>
      <c r="E75" s="90">
        <v>0</v>
      </c>
      <c r="F75" s="90">
        <v>61</v>
      </c>
      <c r="G75" s="90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6" t="s">
        <v>691</v>
      </c>
      <c r="C78" s="206"/>
      <c r="D78" s="206"/>
      <c r="E78" s="206"/>
      <c r="F78" s="206"/>
      <c r="G78" s="206"/>
    </row>
    <row r="79" spans="1:7" x14ac:dyDescent="0.3">
      <c r="A79" s="1"/>
      <c r="B79" s="206" t="s">
        <v>2881</v>
      </c>
      <c r="C79" s="206" t="s">
        <v>2882</v>
      </c>
      <c r="D79" s="206" t="s">
        <v>2883</v>
      </c>
      <c r="E79" s="206" t="s">
        <v>2884</v>
      </c>
      <c r="F79" s="206" t="s">
        <v>2885</v>
      </c>
      <c r="G79" s="206"/>
    </row>
    <row r="80" spans="1:7" x14ac:dyDescent="0.3">
      <c r="A80" s="1"/>
      <c r="B80" s="206"/>
      <c r="C80" s="206"/>
      <c r="D80" s="206"/>
      <c r="E80" s="206"/>
      <c r="F80" s="206" t="s">
        <v>2856</v>
      </c>
      <c r="G80" s="206"/>
    </row>
    <row r="81" spans="1:7" x14ac:dyDescent="0.3">
      <c r="A81" s="1"/>
      <c r="B81" s="206"/>
      <c r="C81" s="206"/>
      <c r="D81" s="206"/>
      <c r="E81" s="206"/>
      <c r="F81" s="3" t="s">
        <v>2886</v>
      </c>
      <c r="G81" s="3" t="s">
        <v>2887</v>
      </c>
    </row>
    <row r="82" spans="1:7" x14ac:dyDescent="0.3">
      <c r="A82" s="1"/>
      <c r="B82" s="90" t="s">
        <v>2858</v>
      </c>
      <c r="C82" s="90" t="s">
        <v>2859</v>
      </c>
      <c r="D82" s="90" t="s">
        <v>2859</v>
      </c>
      <c r="E82" s="90">
        <v>0</v>
      </c>
      <c r="F82" s="90">
        <v>60.36</v>
      </c>
      <c r="G82" s="90">
        <v>59.64</v>
      </c>
    </row>
    <row r="83" spans="1:7" x14ac:dyDescent="0.3">
      <c r="A83" s="1"/>
      <c r="B83" s="90" t="s">
        <v>2888</v>
      </c>
      <c r="C83" s="90" t="s">
        <v>2859</v>
      </c>
      <c r="D83" s="90" t="s">
        <v>2859</v>
      </c>
      <c r="E83" s="90">
        <v>0</v>
      </c>
      <c r="F83" s="90">
        <v>61</v>
      </c>
      <c r="G83" s="90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8" t="s">
        <v>0</v>
      </c>
      <c r="C3" s="199"/>
      <c r="D3" s="199"/>
      <c r="E3" s="199"/>
      <c r="F3" s="199"/>
      <c r="G3" s="201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2889</v>
      </c>
      <c r="C5" s="1"/>
      <c r="D5" s="1"/>
      <c r="E5" s="1"/>
      <c r="F5" s="1"/>
    </row>
    <row r="6" spans="1:7" ht="27" customHeight="1" x14ac:dyDescent="0.3">
      <c r="A6" s="1"/>
      <c r="B6" s="7" t="s">
        <v>63</v>
      </c>
      <c r="C6" s="7" t="s">
        <v>590</v>
      </c>
      <c r="D6" s="7" t="s">
        <v>2890</v>
      </c>
      <c r="E6" s="7" t="s">
        <v>2891</v>
      </c>
      <c r="F6" s="7" t="s">
        <v>2892</v>
      </c>
    </row>
    <row r="7" spans="1:7" x14ac:dyDescent="0.3">
      <c r="A7" s="1"/>
      <c r="B7" s="151" t="s">
        <v>67</v>
      </c>
      <c r="C7" s="151" t="s">
        <v>808</v>
      </c>
      <c r="D7" s="53">
        <v>6703.7</v>
      </c>
      <c r="E7" s="53">
        <v>6836.0916200000001</v>
      </c>
      <c r="F7" s="178">
        <v>1.9749037098915526E-2</v>
      </c>
    </row>
    <row r="8" spans="1:7" x14ac:dyDescent="0.3">
      <c r="A8" s="1"/>
      <c r="B8" s="151" t="s">
        <v>67</v>
      </c>
      <c r="C8" s="151" t="s">
        <v>809</v>
      </c>
      <c r="D8" s="53">
        <v>6556.9</v>
      </c>
      <c r="E8" s="53">
        <v>6753.1967100000002</v>
      </c>
      <c r="F8" s="178">
        <v>2.9937426222757708E-2</v>
      </c>
    </row>
    <row r="9" spans="1:7" x14ac:dyDescent="0.3">
      <c r="A9" s="1"/>
      <c r="B9" s="151" t="s">
        <v>67</v>
      </c>
      <c r="C9" s="151" t="s">
        <v>810</v>
      </c>
      <c r="D9" s="53">
        <v>6471.9</v>
      </c>
      <c r="E9" s="53">
        <v>6658.3008900000004</v>
      </c>
      <c r="F9" s="178">
        <v>2.8801571408705328E-2</v>
      </c>
    </row>
    <row r="10" spans="1:7" x14ac:dyDescent="0.3">
      <c r="A10" s="1"/>
      <c r="B10" s="151" t="s">
        <v>67</v>
      </c>
      <c r="C10" s="151" t="s">
        <v>811</v>
      </c>
      <c r="D10" s="53">
        <v>6508.1</v>
      </c>
      <c r="E10" s="53">
        <v>6555.9462199999998</v>
      </c>
      <c r="F10" s="178">
        <v>7.3517954548946701E-3</v>
      </c>
    </row>
    <row r="11" spans="1:7" x14ac:dyDescent="0.3">
      <c r="A11" s="1"/>
      <c r="B11" s="151" t="s">
        <v>67</v>
      </c>
      <c r="C11" s="151" t="s">
        <v>812</v>
      </c>
      <c r="D11" s="53">
        <v>6472.1</v>
      </c>
      <c r="E11" s="53">
        <v>6490.3754200000003</v>
      </c>
      <c r="F11" s="178">
        <v>2.8237233664498386E-3</v>
      </c>
    </row>
    <row r="12" spans="1:7" x14ac:dyDescent="0.3">
      <c r="A12" s="1"/>
      <c r="B12" s="151" t="s">
        <v>67</v>
      </c>
      <c r="C12" s="151" t="s">
        <v>813</v>
      </c>
      <c r="D12" s="53">
        <v>6424.8</v>
      </c>
      <c r="E12" s="53">
        <v>6465.93833</v>
      </c>
      <c r="F12" s="178">
        <v>6.4030522350890301E-3</v>
      </c>
    </row>
    <row r="13" spans="1:7" x14ac:dyDescent="0.3">
      <c r="A13" s="1"/>
      <c r="B13" s="151" t="s">
        <v>67</v>
      </c>
      <c r="C13" s="151" t="s">
        <v>814</v>
      </c>
      <c r="D13" s="53">
        <v>6416.7</v>
      </c>
      <c r="E13" s="53">
        <v>6448.9227300000002</v>
      </c>
      <c r="F13" s="178">
        <v>5.0216980691009392E-3</v>
      </c>
    </row>
    <row r="14" spans="1:7" x14ac:dyDescent="0.3">
      <c r="A14" s="1"/>
      <c r="B14" s="151" t="s">
        <v>67</v>
      </c>
      <c r="C14" s="151" t="s">
        <v>815</v>
      </c>
      <c r="D14" s="53">
        <v>6391.7</v>
      </c>
      <c r="E14" s="53">
        <v>6447.3055999999997</v>
      </c>
      <c r="F14" s="178">
        <v>8.6996573681493179E-3</v>
      </c>
    </row>
    <row r="15" spans="1:7" x14ac:dyDescent="0.3">
      <c r="A15" s="1"/>
      <c r="B15" s="151" t="s">
        <v>67</v>
      </c>
      <c r="C15" s="151" t="s">
        <v>816</v>
      </c>
      <c r="D15" s="53">
        <v>6348.5</v>
      </c>
      <c r="E15" s="53">
        <v>6480.3532999999998</v>
      </c>
      <c r="F15" s="178">
        <v>2.0769205324092304E-2</v>
      </c>
    </row>
    <row r="16" spans="1:7" x14ac:dyDescent="0.3">
      <c r="A16" s="1"/>
      <c r="B16" s="151" t="s">
        <v>67</v>
      </c>
      <c r="C16" s="151" t="s">
        <v>817</v>
      </c>
      <c r="D16" s="53">
        <v>6312.9</v>
      </c>
      <c r="E16" s="53">
        <v>6538.1119699999999</v>
      </c>
      <c r="F16" s="178">
        <v>3.5674883175719554E-2</v>
      </c>
    </row>
    <row r="17" spans="1:6" x14ac:dyDescent="0.3">
      <c r="A17" s="1"/>
      <c r="B17" s="151" t="s">
        <v>67</v>
      </c>
      <c r="C17" s="151" t="s">
        <v>818</v>
      </c>
      <c r="D17" s="53">
        <v>6478.9</v>
      </c>
      <c r="E17" s="53">
        <v>6598.8827199999996</v>
      </c>
      <c r="F17" s="178">
        <v>1.8518995508496814E-2</v>
      </c>
    </row>
    <row r="18" spans="1:6" x14ac:dyDescent="0.3">
      <c r="A18" s="1"/>
      <c r="B18" s="151" t="s">
        <v>67</v>
      </c>
      <c r="C18" s="151" t="s">
        <v>819</v>
      </c>
      <c r="D18" s="53">
        <v>6707.6</v>
      </c>
      <c r="E18" s="53">
        <v>6732.8316599999998</v>
      </c>
      <c r="F18" s="178">
        <v>3.7616524539328526E-3</v>
      </c>
    </row>
    <row r="19" spans="1:6" x14ac:dyDescent="0.3">
      <c r="A19" s="1"/>
      <c r="B19" s="151" t="s">
        <v>67</v>
      </c>
      <c r="C19" s="151" t="s">
        <v>820</v>
      </c>
      <c r="D19" s="53">
        <v>6850.5</v>
      </c>
      <c r="E19" s="53">
        <v>6856.4376400000001</v>
      </c>
      <c r="F19" s="178">
        <v>8.6674549302970597E-4</v>
      </c>
    </row>
    <row r="20" spans="1:6" x14ac:dyDescent="0.3">
      <c r="A20" s="1"/>
      <c r="B20" s="151" t="s">
        <v>67</v>
      </c>
      <c r="C20" s="151" t="s">
        <v>821</v>
      </c>
      <c r="D20" s="53">
        <v>6846</v>
      </c>
      <c r="E20" s="53">
        <v>6951.2451499999997</v>
      </c>
      <c r="F20" s="178">
        <v>1.5373232544551564E-2</v>
      </c>
    </row>
    <row r="21" spans="1:6" x14ac:dyDescent="0.3">
      <c r="A21" s="1"/>
      <c r="B21" s="151" t="s">
        <v>67</v>
      </c>
      <c r="C21" s="151" t="s">
        <v>822</v>
      </c>
      <c r="D21" s="53">
        <v>7078.7</v>
      </c>
      <c r="E21" s="53">
        <v>7077.30537</v>
      </c>
      <c r="F21" s="178">
        <v>-1.9701781400539647E-4</v>
      </c>
    </row>
    <row r="22" spans="1:6" x14ac:dyDescent="0.3">
      <c r="A22" s="1"/>
      <c r="B22" s="151" t="s">
        <v>67</v>
      </c>
      <c r="C22" s="151" t="s">
        <v>823</v>
      </c>
      <c r="D22" s="53">
        <v>7029.7</v>
      </c>
      <c r="E22" s="53">
        <v>7179.84112</v>
      </c>
      <c r="F22" s="178">
        <v>2.1358112010469863E-2</v>
      </c>
    </row>
    <row r="23" spans="1:6" x14ac:dyDescent="0.3">
      <c r="A23" s="1"/>
      <c r="B23" s="151" t="s">
        <v>67</v>
      </c>
      <c r="C23" s="151" t="s">
        <v>824</v>
      </c>
      <c r="D23" s="53">
        <v>7395.1</v>
      </c>
      <c r="E23" s="53">
        <v>7356.7221799999998</v>
      </c>
      <c r="F23" s="178">
        <v>-5.1896282673662298E-3</v>
      </c>
    </row>
    <row r="24" spans="1:6" x14ac:dyDescent="0.3">
      <c r="A24" s="1"/>
      <c r="B24" s="151" t="s">
        <v>67</v>
      </c>
      <c r="C24" s="151" t="s">
        <v>825</v>
      </c>
      <c r="D24" s="53">
        <v>7414.6</v>
      </c>
      <c r="E24" s="53">
        <v>7501.1177799999996</v>
      </c>
      <c r="F24" s="178">
        <v>1.166857011841502E-2</v>
      </c>
    </row>
    <row r="25" spans="1:6" x14ac:dyDescent="0.3">
      <c r="A25" s="1"/>
      <c r="B25" s="151" t="s">
        <v>67</v>
      </c>
      <c r="C25" s="151" t="s">
        <v>826</v>
      </c>
      <c r="D25" s="53">
        <v>7673.8</v>
      </c>
      <c r="E25" s="53">
        <v>7674.4230900000002</v>
      </c>
      <c r="F25" s="178">
        <v>8.1197060126664758E-5</v>
      </c>
    </row>
    <row r="26" spans="1:6" x14ac:dyDescent="0.3">
      <c r="A26" s="1"/>
      <c r="B26" s="151" t="s">
        <v>67</v>
      </c>
      <c r="C26" s="151" t="s">
        <v>827</v>
      </c>
      <c r="D26" s="53">
        <v>7679.4</v>
      </c>
      <c r="E26" s="53">
        <v>7770.5464199999997</v>
      </c>
      <c r="F26" s="178">
        <v>1.186895069927338E-2</v>
      </c>
    </row>
    <row r="27" spans="1:6" x14ac:dyDescent="0.3">
      <c r="A27" s="1"/>
      <c r="B27" s="151" t="s">
        <v>67</v>
      </c>
      <c r="C27" s="151" t="s">
        <v>828</v>
      </c>
      <c r="D27" s="53">
        <v>7771</v>
      </c>
      <c r="E27" s="53">
        <v>7868.1365699999997</v>
      </c>
      <c r="F27" s="178">
        <v>1.249988032428259E-2</v>
      </c>
    </row>
    <row r="28" spans="1:6" x14ac:dyDescent="0.3">
      <c r="A28" s="1"/>
      <c r="B28" s="151" t="s">
        <v>67</v>
      </c>
      <c r="C28" s="151" t="s">
        <v>829</v>
      </c>
      <c r="D28" s="53">
        <v>7811.9</v>
      </c>
      <c r="E28" s="53">
        <v>7952.44038</v>
      </c>
      <c r="F28" s="178">
        <v>1.7990550314264133E-2</v>
      </c>
    </row>
    <row r="29" spans="1:6" x14ac:dyDescent="0.3">
      <c r="A29" s="1"/>
      <c r="B29" s="151" t="s">
        <v>67</v>
      </c>
      <c r="C29" s="151" t="s">
        <v>830</v>
      </c>
      <c r="D29" s="53">
        <v>7850.2</v>
      </c>
      <c r="E29" s="53">
        <v>8015.11841</v>
      </c>
      <c r="F29" s="178">
        <v>2.1008179409441798E-2</v>
      </c>
    </row>
    <row r="30" spans="1:6" x14ac:dyDescent="0.3">
      <c r="A30" s="1"/>
      <c r="B30" s="151" t="s">
        <v>67</v>
      </c>
      <c r="C30" s="151" t="s">
        <v>831</v>
      </c>
      <c r="D30" s="53">
        <v>7945.6</v>
      </c>
      <c r="E30" s="53">
        <v>7987.7582199999997</v>
      </c>
      <c r="F30" s="178">
        <v>5.3058573298429314E-3</v>
      </c>
    </row>
    <row r="31" spans="1:6" x14ac:dyDescent="0.3">
      <c r="A31" s="1"/>
      <c r="B31" s="151" t="s">
        <v>67</v>
      </c>
      <c r="C31" s="151" t="s">
        <v>832</v>
      </c>
      <c r="D31" s="53">
        <v>7898.5</v>
      </c>
      <c r="E31" s="53">
        <v>7930.9171299999998</v>
      </c>
      <c r="F31" s="178">
        <v>4.1042134582515667E-3</v>
      </c>
    </row>
    <row r="32" spans="1:6" x14ac:dyDescent="0.3">
      <c r="A32" s="1"/>
      <c r="B32" s="151" t="s">
        <v>67</v>
      </c>
      <c r="C32" s="151" t="s">
        <v>833</v>
      </c>
      <c r="D32" s="53">
        <v>7772.4</v>
      </c>
      <c r="E32" s="53">
        <v>7896.3492500000002</v>
      </c>
      <c r="F32" s="178">
        <v>1.5947358602233546E-2</v>
      </c>
    </row>
    <row r="33" spans="1:6" x14ac:dyDescent="0.3">
      <c r="A33" s="1"/>
      <c r="B33" s="151" t="s">
        <v>67</v>
      </c>
      <c r="C33" s="151" t="s">
        <v>834</v>
      </c>
      <c r="D33" s="53">
        <v>7774.3</v>
      </c>
      <c r="E33" s="53">
        <v>7882.6943499999998</v>
      </c>
      <c r="F33" s="178">
        <v>1.3942650785279705E-2</v>
      </c>
    </row>
    <row r="34" spans="1:6" x14ac:dyDescent="0.3">
      <c r="A34" s="1"/>
      <c r="B34" s="151" t="s">
        <v>67</v>
      </c>
      <c r="C34" s="151" t="s">
        <v>835</v>
      </c>
      <c r="D34" s="53">
        <v>7842.1</v>
      </c>
      <c r="E34" s="53">
        <v>7912.7741500000002</v>
      </c>
      <c r="F34" s="178">
        <v>9.0121459813060269E-3</v>
      </c>
    </row>
    <row r="35" spans="1:6" x14ac:dyDescent="0.3">
      <c r="A35" s="1"/>
      <c r="B35" s="151" t="s">
        <v>67</v>
      </c>
      <c r="C35" s="151" t="s">
        <v>836</v>
      </c>
      <c r="D35" s="53">
        <v>7896.5</v>
      </c>
      <c r="E35" s="53">
        <v>7986.60286</v>
      </c>
      <c r="F35" s="178">
        <v>1.141048059266764E-2</v>
      </c>
    </row>
    <row r="36" spans="1:6" x14ac:dyDescent="0.3">
      <c r="A36" s="1"/>
      <c r="B36" s="151" t="s">
        <v>67</v>
      </c>
      <c r="C36" s="151" t="s">
        <v>837</v>
      </c>
      <c r="D36" s="53">
        <v>7977.6</v>
      </c>
      <c r="E36" s="53">
        <v>8003.78089</v>
      </c>
      <c r="F36" s="178">
        <v>3.2818002908142799E-3</v>
      </c>
    </row>
    <row r="37" spans="1:6" x14ac:dyDescent="0.3">
      <c r="A37" s="1"/>
      <c r="B37" s="151" t="s">
        <v>67</v>
      </c>
      <c r="C37" s="151" t="s">
        <v>838</v>
      </c>
      <c r="D37" s="53">
        <v>7996.8</v>
      </c>
      <c r="E37" s="53">
        <v>8026.4849899999999</v>
      </c>
      <c r="F37" s="178">
        <v>3.7121085934373747E-3</v>
      </c>
    </row>
    <row r="38" spans="1:6" x14ac:dyDescent="0.3">
      <c r="A38" s="1"/>
      <c r="B38" s="151" t="s">
        <v>67</v>
      </c>
      <c r="C38" s="151" t="s">
        <v>839</v>
      </c>
      <c r="D38" s="53">
        <v>7986.6</v>
      </c>
      <c r="E38" s="53">
        <v>8069.4241000000002</v>
      </c>
      <c r="F38" s="178">
        <v>1.0370382891342999E-2</v>
      </c>
    </row>
    <row r="39" spans="1:6" x14ac:dyDescent="0.3">
      <c r="A39" s="1"/>
      <c r="B39" s="151" t="s">
        <v>67</v>
      </c>
      <c r="C39" s="151" t="s">
        <v>840</v>
      </c>
      <c r="D39" s="53">
        <v>8000.1</v>
      </c>
      <c r="E39" s="53">
        <v>8067.3733899999997</v>
      </c>
      <c r="F39" s="178">
        <v>8.4090686366420416E-3</v>
      </c>
    </row>
    <row r="40" spans="1:6" x14ac:dyDescent="0.3">
      <c r="A40" s="1"/>
      <c r="B40" s="151" t="s">
        <v>67</v>
      </c>
      <c r="C40" s="151" t="s">
        <v>841</v>
      </c>
      <c r="D40" s="53">
        <v>7853</v>
      </c>
      <c r="E40" s="53">
        <v>8058.99755</v>
      </c>
      <c r="F40" s="178">
        <v>2.6231701260664715E-2</v>
      </c>
    </row>
    <row r="41" spans="1:6" x14ac:dyDescent="0.3">
      <c r="A41" s="1"/>
      <c r="B41" s="151" t="s">
        <v>67</v>
      </c>
      <c r="C41" s="151" t="s">
        <v>842</v>
      </c>
      <c r="D41" s="53">
        <v>7972</v>
      </c>
      <c r="E41" s="53">
        <v>8070.1565399999999</v>
      </c>
      <c r="F41" s="178">
        <v>1.231266181635725E-2</v>
      </c>
    </row>
    <row r="42" spans="1:6" x14ac:dyDescent="0.3">
      <c r="A42" s="1"/>
      <c r="B42" s="151" t="s">
        <v>67</v>
      </c>
      <c r="C42" s="151" t="s">
        <v>843</v>
      </c>
      <c r="D42" s="53">
        <v>7814.3</v>
      </c>
      <c r="E42" s="53">
        <v>8059.0071500000004</v>
      </c>
      <c r="F42" s="178">
        <v>3.1315300154844322E-2</v>
      </c>
    </row>
    <row r="43" spans="1:6" x14ac:dyDescent="0.3">
      <c r="A43" s="1"/>
      <c r="B43" s="151" t="s">
        <v>67</v>
      </c>
      <c r="C43" s="151" t="s">
        <v>844</v>
      </c>
      <c r="D43" s="53">
        <v>7905.1</v>
      </c>
      <c r="E43" s="53">
        <v>8093.5357299999996</v>
      </c>
      <c r="F43" s="178">
        <v>2.3837235455591962E-2</v>
      </c>
    </row>
    <row r="44" spans="1:6" x14ac:dyDescent="0.3">
      <c r="A44" s="1"/>
      <c r="B44" s="151" t="s">
        <v>67</v>
      </c>
      <c r="C44" s="151" t="s">
        <v>845</v>
      </c>
      <c r="D44" s="53">
        <v>7831.5</v>
      </c>
      <c r="E44" s="53">
        <v>8056.1652999999997</v>
      </c>
      <c r="F44" s="178">
        <v>2.8687390665900529E-2</v>
      </c>
    </row>
    <row r="45" spans="1:6" x14ac:dyDescent="0.3">
      <c r="A45" s="1"/>
      <c r="B45" s="151" t="s">
        <v>67</v>
      </c>
      <c r="C45" s="151" t="s">
        <v>846</v>
      </c>
      <c r="D45" s="53">
        <v>7793.6</v>
      </c>
      <c r="E45" s="53">
        <v>8018.4294499999996</v>
      </c>
      <c r="F45" s="178">
        <v>2.8847958581400122E-2</v>
      </c>
    </row>
    <row r="46" spans="1:6" x14ac:dyDescent="0.3">
      <c r="A46" s="1"/>
      <c r="B46" s="151" t="s">
        <v>67</v>
      </c>
      <c r="C46" s="151" t="s">
        <v>847</v>
      </c>
      <c r="D46" s="53">
        <v>7853.2</v>
      </c>
      <c r="E46" s="53">
        <v>7992.6141900000002</v>
      </c>
      <c r="F46" s="178">
        <v>1.7752532725513168E-2</v>
      </c>
    </row>
    <row r="47" spans="1:6" x14ac:dyDescent="0.3">
      <c r="A47" s="1"/>
      <c r="B47" s="151" t="s">
        <v>67</v>
      </c>
      <c r="C47" s="151" t="s">
        <v>848</v>
      </c>
      <c r="D47" s="53">
        <v>7840.2</v>
      </c>
      <c r="E47" s="53">
        <v>7966.5028899999998</v>
      </c>
      <c r="F47" s="178">
        <v>1.6109651539501543E-2</v>
      </c>
    </row>
    <row r="48" spans="1:6" x14ac:dyDescent="0.3">
      <c r="A48" s="1"/>
      <c r="B48" s="151" t="s">
        <v>67</v>
      </c>
      <c r="C48" s="151" t="s">
        <v>849</v>
      </c>
      <c r="D48" s="53">
        <v>7785.3</v>
      </c>
      <c r="E48" s="53">
        <v>7955.4200099999998</v>
      </c>
      <c r="F48" s="178">
        <v>2.1851439250895922E-2</v>
      </c>
    </row>
    <row r="49" spans="1:6" x14ac:dyDescent="0.3">
      <c r="A49" s="1"/>
      <c r="B49" s="151" t="s">
        <v>67</v>
      </c>
      <c r="C49" s="151" t="s">
        <v>850</v>
      </c>
      <c r="D49" s="53">
        <v>7774.6</v>
      </c>
      <c r="E49" s="53">
        <v>7881.42767</v>
      </c>
      <c r="F49" s="178">
        <v>1.3740600159493738E-2</v>
      </c>
    </row>
    <row r="50" spans="1:6" x14ac:dyDescent="0.3">
      <c r="A50" s="1"/>
      <c r="B50" s="151" t="s">
        <v>67</v>
      </c>
      <c r="C50" s="151" t="s">
        <v>851</v>
      </c>
      <c r="D50" s="53">
        <v>7735.7</v>
      </c>
      <c r="E50" s="53">
        <v>7755.4802300000001</v>
      </c>
      <c r="F50" s="178">
        <v>2.5570058301123367E-3</v>
      </c>
    </row>
    <row r="51" spans="1:6" x14ac:dyDescent="0.3">
      <c r="A51" s="1"/>
      <c r="B51" s="151" t="s">
        <v>67</v>
      </c>
      <c r="C51" s="151" t="s">
        <v>852</v>
      </c>
      <c r="D51" s="53">
        <v>7492</v>
      </c>
      <c r="E51" s="53">
        <v>7617.6048499999997</v>
      </c>
      <c r="F51" s="178">
        <v>1.6765196209289911E-2</v>
      </c>
    </row>
    <row r="52" spans="1:6" x14ac:dyDescent="0.3">
      <c r="A52" s="1"/>
      <c r="B52" s="151" t="s">
        <v>67</v>
      </c>
      <c r="C52" s="151" t="s">
        <v>853</v>
      </c>
      <c r="D52" s="53">
        <v>7232</v>
      </c>
      <c r="E52" s="53">
        <v>7358.1261999999997</v>
      </c>
      <c r="F52" s="178">
        <v>1.7440016592920354E-2</v>
      </c>
    </row>
    <row r="53" spans="1:6" x14ac:dyDescent="0.3">
      <c r="A53" s="1"/>
      <c r="B53" s="151" t="s">
        <v>67</v>
      </c>
      <c r="C53" s="151" t="s">
        <v>854</v>
      </c>
      <c r="D53" s="53">
        <v>7058.8</v>
      </c>
      <c r="E53" s="53">
        <v>7182.0987599999999</v>
      </c>
      <c r="F53" s="178">
        <v>1.7467382557941859E-2</v>
      </c>
    </row>
    <row r="54" spans="1:6" x14ac:dyDescent="0.3">
      <c r="A54" s="1"/>
      <c r="B54" s="151" t="s">
        <v>855</v>
      </c>
      <c r="C54" s="151" t="s">
        <v>68</v>
      </c>
      <c r="D54" s="53">
        <v>6867.5</v>
      </c>
      <c r="E54" s="53">
        <v>6991.8103899999996</v>
      </c>
      <c r="F54" s="178">
        <v>1.8101258099745176E-2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8" t="s">
        <v>0</v>
      </c>
      <c r="C3" s="199"/>
      <c r="D3" s="199"/>
      <c r="E3" s="199"/>
      <c r="F3" s="201"/>
      <c r="G3" s="201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2893</v>
      </c>
      <c r="C6" s="1"/>
      <c r="D6" s="1"/>
      <c r="E6" s="1"/>
    </row>
    <row r="7" spans="1:7" ht="33" customHeight="1" x14ac:dyDescent="0.3">
      <c r="A7" s="1"/>
      <c r="B7" s="3" t="s">
        <v>2894</v>
      </c>
      <c r="C7" s="3" t="s">
        <v>2895</v>
      </c>
      <c r="D7" s="3" t="s">
        <v>2896</v>
      </c>
      <c r="E7" s="3" t="s">
        <v>1010</v>
      </c>
    </row>
    <row r="8" spans="1:7" x14ac:dyDescent="0.3">
      <c r="A8" s="1"/>
      <c r="B8" s="151" t="s">
        <v>2897</v>
      </c>
      <c r="C8" s="53">
        <v>6706439.2310699997</v>
      </c>
      <c r="D8" s="53">
        <v>5781141.9041338004</v>
      </c>
      <c r="E8" s="179">
        <v>0.16005442216780166</v>
      </c>
    </row>
    <row r="9" spans="1:7" x14ac:dyDescent="0.3">
      <c r="A9" s="1"/>
      <c r="B9" s="151" t="s">
        <v>2898</v>
      </c>
      <c r="C9" s="53">
        <v>7020587.12567</v>
      </c>
      <c r="D9" s="53">
        <v>6686777.2721255999</v>
      </c>
      <c r="E9" s="179">
        <v>4.9920887141839579E-2</v>
      </c>
    </row>
    <row r="10" spans="1:7" x14ac:dyDescent="0.3">
      <c r="A10" s="1"/>
      <c r="B10" s="151" t="s">
        <v>2899</v>
      </c>
      <c r="C10" s="53">
        <v>8310454.4255299997</v>
      </c>
      <c r="D10" s="53">
        <v>8095668.3544825995</v>
      </c>
      <c r="E10" s="179">
        <v>2.6530986898502609E-2</v>
      </c>
    </row>
    <row r="11" spans="1:7" x14ac:dyDescent="0.3">
      <c r="A11" s="1"/>
      <c r="B11" s="151" t="s">
        <v>2900</v>
      </c>
      <c r="C11" s="53">
        <v>6890444.8956000004</v>
      </c>
      <c r="D11" s="53">
        <v>6855697.8426620001</v>
      </c>
      <c r="E11" s="179">
        <v>5.0683466126196803E-3</v>
      </c>
    </row>
    <row r="12" spans="1:7" x14ac:dyDescent="0.3">
      <c r="A12" s="1"/>
      <c r="B12" s="151" t="s">
        <v>2901</v>
      </c>
      <c r="C12" s="53">
        <v>6399178.8949199999</v>
      </c>
      <c r="D12" s="53">
        <v>7381241.6263284003</v>
      </c>
      <c r="E12" s="179">
        <v>-0.1330484464707736</v>
      </c>
    </row>
    <row r="13" spans="1:7" x14ac:dyDescent="0.3">
      <c r="A13" s="1"/>
      <c r="B13" s="151" t="s">
        <v>2902</v>
      </c>
      <c r="C13" s="53">
        <v>6100604.0474199997</v>
      </c>
      <c r="D13" s="53">
        <v>6659240.1857248005</v>
      </c>
      <c r="E13" s="179">
        <v>-8.3888870610543592E-2</v>
      </c>
    </row>
    <row r="14" spans="1:7" x14ac:dyDescent="0.3">
      <c r="A14" s="1"/>
      <c r="B14" s="151" t="s">
        <v>2903</v>
      </c>
      <c r="C14" s="53">
        <v>7842958.2228300003</v>
      </c>
      <c r="D14" s="53">
        <v>7291337.0716404999</v>
      </c>
      <c r="E14" s="179">
        <v>7.5654320431161895E-2</v>
      </c>
    </row>
    <row r="15" spans="1:7" x14ac:dyDescent="0.3">
      <c r="A15" s="1"/>
      <c r="B15" s="151" t="s">
        <v>2904</v>
      </c>
      <c r="C15" s="53">
        <v>7889515.43774</v>
      </c>
      <c r="D15" s="53">
        <v>7425952.1380858002</v>
      </c>
      <c r="E15" s="179">
        <v>6.2424762647836501E-2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168</v>
      </c>
      <c r="C6" s="3" t="s">
        <v>1268</v>
      </c>
      <c r="D6" s="3" t="s">
        <v>1269</v>
      </c>
      <c r="E6" s="3" t="s">
        <v>1270</v>
      </c>
      <c r="F6" s="3" t="s">
        <v>171</v>
      </c>
      <c r="G6" s="3" t="s">
        <v>172</v>
      </c>
      <c r="H6" s="3" t="s">
        <v>1271</v>
      </c>
      <c r="I6" s="3" t="s">
        <v>1272</v>
      </c>
      <c r="J6" s="3" t="s">
        <v>1273</v>
      </c>
      <c r="K6" s="3" t="s">
        <v>1274</v>
      </c>
      <c r="L6" s="3" t="s">
        <v>1275</v>
      </c>
      <c r="M6" s="3" t="s">
        <v>1276</v>
      </c>
      <c r="N6" s="3" t="s">
        <v>1277</v>
      </c>
      <c r="O6" s="3" t="s">
        <v>1278</v>
      </c>
      <c r="P6" s="3" t="s">
        <v>1279</v>
      </c>
    </row>
    <row r="7" spans="1:16" x14ac:dyDescent="0.3">
      <c r="A7" s="1"/>
      <c r="B7" s="6" t="s">
        <v>644</v>
      </c>
      <c r="C7" s="6" t="s">
        <v>1032</v>
      </c>
      <c r="D7" s="90" t="s">
        <v>73</v>
      </c>
      <c r="E7" s="6" t="s">
        <v>1280</v>
      </c>
      <c r="F7" s="90" t="s">
        <v>52</v>
      </c>
      <c r="G7" s="90" t="s">
        <v>53</v>
      </c>
      <c r="H7" s="90" t="s">
        <v>965</v>
      </c>
      <c r="I7" s="90" t="s">
        <v>965</v>
      </c>
      <c r="J7" s="180" t="s">
        <v>1281</v>
      </c>
      <c r="K7" s="90" t="s">
        <v>965</v>
      </c>
      <c r="L7" s="90" t="s">
        <v>965</v>
      </c>
      <c r="M7" s="90" t="s">
        <v>965</v>
      </c>
      <c r="N7" s="90" t="s">
        <v>965</v>
      </c>
      <c r="O7" s="6" t="s">
        <v>1282</v>
      </c>
      <c r="P7" s="6"/>
    </row>
    <row r="8" spans="1:16" ht="26.4" x14ac:dyDescent="0.3">
      <c r="A8" s="1"/>
      <c r="B8" s="6" t="s">
        <v>645</v>
      </c>
      <c r="C8" s="6" t="s">
        <v>1035</v>
      </c>
      <c r="D8" s="90" t="s">
        <v>73</v>
      </c>
      <c r="E8" s="6" t="s">
        <v>1283</v>
      </c>
      <c r="F8" s="90" t="s">
        <v>52</v>
      </c>
      <c r="G8" s="90" t="s">
        <v>53</v>
      </c>
      <c r="H8" s="90" t="s">
        <v>965</v>
      </c>
      <c r="I8" s="90" t="s">
        <v>965</v>
      </c>
      <c r="J8" s="180" t="s">
        <v>1281</v>
      </c>
      <c r="K8" s="90" t="s">
        <v>965</v>
      </c>
      <c r="L8" s="90" t="s">
        <v>965</v>
      </c>
      <c r="M8" s="90" t="s">
        <v>965</v>
      </c>
      <c r="N8" s="90" t="s">
        <v>965</v>
      </c>
      <c r="O8" s="6" t="s">
        <v>1282</v>
      </c>
      <c r="P8" s="6"/>
    </row>
    <row r="9" spans="1:16" x14ac:dyDescent="0.3">
      <c r="A9" s="1"/>
      <c r="B9" s="6" t="s">
        <v>642</v>
      </c>
      <c r="C9" s="6" t="s">
        <v>1038</v>
      </c>
      <c r="D9" s="90" t="s">
        <v>73</v>
      </c>
      <c r="E9" s="6" t="s">
        <v>1284</v>
      </c>
      <c r="F9" s="90" t="s">
        <v>52</v>
      </c>
      <c r="G9" s="90" t="s">
        <v>1285</v>
      </c>
      <c r="H9" s="90" t="s">
        <v>965</v>
      </c>
      <c r="I9" s="90" t="s">
        <v>965</v>
      </c>
      <c r="J9" s="180" t="s">
        <v>1281</v>
      </c>
      <c r="K9" s="90" t="s">
        <v>965</v>
      </c>
      <c r="L9" s="90" t="s">
        <v>965</v>
      </c>
      <c r="M9" s="90" t="s">
        <v>965</v>
      </c>
      <c r="N9" s="90" t="s">
        <v>965</v>
      </c>
      <c r="O9" s="6" t="s">
        <v>1282</v>
      </c>
      <c r="P9" s="6"/>
    </row>
    <row r="10" spans="1:16" x14ac:dyDescent="0.3">
      <c r="A10" s="1"/>
      <c r="B10" s="6" t="s">
        <v>642</v>
      </c>
      <c r="C10" s="6" t="s">
        <v>1038</v>
      </c>
      <c r="D10" s="90" t="s">
        <v>1286</v>
      </c>
      <c r="E10" s="6" t="s">
        <v>1287</v>
      </c>
      <c r="F10" s="90" t="s">
        <v>1285</v>
      </c>
      <c r="G10" s="90" t="s">
        <v>53</v>
      </c>
      <c r="H10" s="90" t="s">
        <v>965</v>
      </c>
      <c r="I10" s="90" t="s">
        <v>965</v>
      </c>
      <c r="J10" s="180" t="s">
        <v>1281</v>
      </c>
      <c r="K10" s="90" t="s">
        <v>965</v>
      </c>
      <c r="L10" s="90" t="s">
        <v>965</v>
      </c>
      <c r="M10" s="90" t="s">
        <v>965</v>
      </c>
      <c r="N10" s="90" t="s">
        <v>965</v>
      </c>
      <c r="O10" s="6" t="s">
        <v>1282</v>
      </c>
      <c r="P10" s="6"/>
    </row>
    <row r="11" spans="1:16" x14ac:dyDescent="0.3">
      <c r="A11" s="1"/>
      <c r="B11" s="6" t="s">
        <v>28</v>
      </c>
      <c r="C11" s="6" t="s">
        <v>1169</v>
      </c>
      <c r="D11" s="90" t="s">
        <v>73</v>
      </c>
      <c r="E11" s="6" t="s">
        <v>1288</v>
      </c>
      <c r="F11" s="90" t="s">
        <v>1289</v>
      </c>
      <c r="G11" s="90" t="s">
        <v>1290</v>
      </c>
      <c r="H11" s="90" t="s">
        <v>1291</v>
      </c>
      <c r="I11" s="90" t="s">
        <v>965</v>
      </c>
      <c r="J11" s="181" t="s">
        <v>1292</v>
      </c>
      <c r="K11" s="90" t="s">
        <v>965</v>
      </c>
      <c r="L11" s="90" t="s">
        <v>965</v>
      </c>
      <c r="M11" s="90" t="s">
        <v>965</v>
      </c>
      <c r="N11" s="90" t="s">
        <v>965</v>
      </c>
      <c r="O11" s="6" t="s">
        <v>1282</v>
      </c>
      <c r="P11" s="6"/>
    </row>
    <row r="12" spans="1:16" x14ac:dyDescent="0.3">
      <c r="A12" s="1"/>
      <c r="B12" s="6" t="s">
        <v>28</v>
      </c>
      <c r="C12" s="6" t="s">
        <v>1169</v>
      </c>
      <c r="D12" s="90" t="s">
        <v>1293</v>
      </c>
      <c r="E12" s="6" t="s">
        <v>1288</v>
      </c>
      <c r="F12" s="90" t="s">
        <v>1294</v>
      </c>
      <c r="G12" s="90" t="s">
        <v>1295</v>
      </c>
      <c r="H12" s="90" t="s">
        <v>1296</v>
      </c>
      <c r="I12" s="90" t="s">
        <v>965</v>
      </c>
      <c r="J12" s="182" t="s">
        <v>1297</v>
      </c>
      <c r="K12" s="90" t="s">
        <v>965</v>
      </c>
      <c r="L12" s="90" t="s">
        <v>965</v>
      </c>
      <c r="M12" s="90" t="s">
        <v>965</v>
      </c>
      <c r="N12" s="90" t="s">
        <v>965</v>
      </c>
      <c r="O12" s="6" t="s">
        <v>1298</v>
      </c>
      <c r="P12" s="6"/>
    </row>
    <row r="13" spans="1:16" x14ac:dyDescent="0.3">
      <c r="A13" s="1"/>
      <c r="B13" s="6" t="s">
        <v>28</v>
      </c>
      <c r="C13" s="6" t="s">
        <v>1169</v>
      </c>
      <c r="D13" s="90" t="s">
        <v>73</v>
      </c>
      <c r="E13" s="6" t="s">
        <v>1288</v>
      </c>
      <c r="F13" s="90" t="s">
        <v>1290</v>
      </c>
      <c r="G13" s="90" t="s">
        <v>1299</v>
      </c>
      <c r="H13" s="90" t="s">
        <v>965</v>
      </c>
      <c r="I13" s="90" t="s">
        <v>1300</v>
      </c>
      <c r="J13" s="183" t="s">
        <v>1301</v>
      </c>
      <c r="K13" s="90" t="s">
        <v>965</v>
      </c>
      <c r="L13" s="90" t="s">
        <v>965</v>
      </c>
      <c r="M13" s="90" t="s">
        <v>965</v>
      </c>
      <c r="N13" s="90" t="s">
        <v>965</v>
      </c>
      <c r="O13" s="6" t="s">
        <v>1282</v>
      </c>
      <c r="P13" s="6"/>
    </row>
    <row r="14" spans="1:16" x14ac:dyDescent="0.3">
      <c r="A14" s="1"/>
      <c r="B14" s="6" t="s">
        <v>80</v>
      </c>
      <c r="C14" s="6" t="s">
        <v>1171</v>
      </c>
      <c r="D14" s="90" t="s">
        <v>1172</v>
      </c>
      <c r="E14" s="6" t="s">
        <v>1302</v>
      </c>
      <c r="F14" s="90" t="s">
        <v>1303</v>
      </c>
      <c r="G14" s="90" t="s">
        <v>1304</v>
      </c>
      <c r="H14" s="90" t="s">
        <v>1305</v>
      </c>
      <c r="I14" s="90" t="s">
        <v>965</v>
      </c>
      <c r="J14" s="181" t="s">
        <v>1292</v>
      </c>
      <c r="K14" s="90" t="s">
        <v>965</v>
      </c>
      <c r="L14" s="90" t="s">
        <v>965</v>
      </c>
      <c r="M14" s="90" t="s">
        <v>965</v>
      </c>
      <c r="N14" s="90" t="s">
        <v>1306</v>
      </c>
      <c r="O14" s="6" t="s">
        <v>1282</v>
      </c>
      <c r="P14" s="6"/>
    </row>
    <row r="15" spans="1:16" x14ac:dyDescent="0.3">
      <c r="A15" s="1"/>
      <c r="B15" s="6" t="s">
        <v>80</v>
      </c>
      <c r="C15" s="6" t="s">
        <v>1171</v>
      </c>
      <c r="D15" s="90" t="s">
        <v>1173</v>
      </c>
      <c r="E15" s="6" t="s">
        <v>1307</v>
      </c>
      <c r="F15" s="90" t="s">
        <v>1308</v>
      </c>
      <c r="G15" s="90" t="s">
        <v>1304</v>
      </c>
      <c r="H15" s="90" t="s">
        <v>1305</v>
      </c>
      <c r="I15" s="90" t="s">
        <v>965</v>
      </c>
      <c r="J15" s="181" t="s">
        <v>1292</v>
      </c>
      <c r="K15" s="90" t="s">
        <v>965</v>
      </c>
      <c r="L15" s="90" t="s">
        <v>965</v>
      </c>
      <c r="M15" s="90" t="s">
        <v>965</v>
      </c>
      <c r="N15" s="90" t="s">
        <v>1306</v>
      </c>
      <c r="O15" s="6" t="s">
        <v>1282</v>
      </c>
      <c r="P15" s="6"/>
    </row>
    <row r="16" spans="1:16" x14ac:dyDescent="0.3">
      <c r="A16" s="1"/>
      <c r="B16" s="6" t="s">
        <v>80</v>
      </c>
      <c r="C16" s="6" t="s">
        <v>1171</v>
      </c>
      <c r="D16" s="90" t="s">
        <v>1172</v>
      </c>
      <c r="E16" s="6" t="s">
        <v>1302</v>
      </c>
      <c r="F16" s="90" t="s">
        <v>1304</v>
      </c>
      <c r="G16" s="90" t="s">
        <v>1309</v>
      </c>
      <c r="H16" s="90" t="s">
        <v>965</v>
      </c>
      <c r="I16" s="90" t="s">
        <v>1310</v>
      </c>
      <c r="J16" s="183" t="s">
        <v>1301</v>
      </c>
      <c r="K16" s="90" t="s">
        <v>965</v>
      </c>
      <c r="L16" s="90" t="s">
        <v>965</v>
      </c>
      <c r="M16" s="90" t="s">
        <v>965</v>
      </c>
      <c r="N16" s="90" t="s">
        <v>965</v>
      </c>
      <c r="O16" s="6" t="s">
        <v>1282</v>
      </c>
      <c r="P16" s="6"/>
    </row>
    <row r="17" spans="1:16" x14ac:dyDescent="0.3">
      <c r="A17" s="1"/>
      <c r="B17" s="6" t="s">
        <v>80</v>
      </c>
      <c r="C17" s="6" t="s">
        <v>1171</v>
      </c>
      <c r="D17" s="90" t="s">
        <v>1173</v>
      </c>
      <c r="E17" s="6" t="s">
        <v>1307</v>
      </c>
      <c r="F17" s="90" t="s">
        <v>1304</v>
      </c>
      <c r="G17" s="90" t="s">
        <v>1309</v>
      </c>
      <c r="H17" s="90" t="s">
        <v>965</v>
      </c>
      <c r="I17" s="90" t="s">
        <v>1310</v>
      </c>
      <c r="J17" s="183" t="s">
        <v>1301</v>
      </c>
      <c r="K17" s="90" t="s">
        <v>965</v>
      </c>
      <c r="L17" s="90" t="s">
        <v>965</v>
      </c>
      <c r="M17" s="90" t="s">
        <v>965</v>
      </c>
      <c r="N17" s="90" t="s">
        <v>965</v>
      </c>
      <c r="O17" s="6" t="s">
        <v>1282</v>
      </c>
      <c r="P17" s="6"/>
    </row>
    <row r="18" spans="1:16" x14ac:dyDescent="0.3">
      <c r="A18" s="1"/>
      <c r="B18" s="6" t="s">
        <v>86</v>
      </c>
      <c r="C18" s="6" t="s">
        <v>1174</v>
      </c>
      <c r="D18" s="90" t="s">
        <v>73</v>
      </c>
      <c r="E18" s="6" t="s">
        <v>1311</v>
      </c>
      <c r="F18" s="90" t="s">
        <v>1312</v>
      </c>
      <c r="G18" s="90" t="s">
        <v>1313</v>
      </c>
      <c r="H18" s="90" t="s">
        <v>1314</v>
      </c>
      <c r="I18" s="90" t="s">
        <v>1315</v>
      </c>
      <c r="J18" s="181" t="s">
        <v>1292</v>
      </c>
      <c r="K18" s="90" t="s">
        <v>965</v>
      </c>
      <c r="L18" s="90" t="s">
        <v>965</v>
      </c>
      <c r="M18" s="90" t="s">
        <v>965</v>
      </c>
      <c r="N18" s="90" t="s">
        <v>965</v>
      </c>
      <c r="O18" s="6" t="s">
        <v>1282</v>
      </c>
      <c r="P18" s="6"/>
    </row>
    <row r="19" spans="1:16" x14ac:dyDescent="0.3">
      <c r="A19" s="1"/>
      <c r="B19" s="6" t="s">
        <v>86</v>
      </c>
      <c r="C19" s="6" t="s">
        <v>1176</v>
      </c>
      <c r="D19" s="90" t="s">
        <v>73</v>
      </c>
      <c r="E19" s="6" t="s">
        <v>1316</v>
      </c>
      <c r="F19" s="90" t="s">
        <v>1317</v>
      </c>
      <c r="G19" s="90" t="s">
        <v>1318</v>
      </c>
      <c r="H19" s="90" t="s">
        <v>1319</v>
      </c>
      <c r="I19" s="90" t="s">
        <v>1320</v>
      </c>
      <c r="J19" s="181" t="s">
        <v>1292</v>
      </c>
      <c r="K19" s="90" t="s">
        <v>965</v>
      </c>
      <c r="L19" s="90" t="s">
        <v>965</v>
      </c>
      <c r="M19" s="90" t="s">
        <v>965</v>
      </c>
      <c r="N19" s="90" t="s">
        <v>1306</v>
      </c>
      <c r="O19" s="6" t="s">
        <v>1282</v>
      </c>
      <c r="P19" s="6"/>
    </row>
    <row r="20" spans="1:16" x14ac:dyDescent="0.3">
      <c r="A20" s="1"/>
      <c r="B20" s="6" t="s">
        <v>86</v>
      </c>
      <c r="C20" s="6" t="s">
        <v>1176</v>
      </c>
      <c r="D20" s="90" t="s">
        <v>73</v>
      </c>
      <c r="E20" s="6" t="s">
        <v>1316</v>
      </c>
      <c r="F20" s="90" t="s">
        <v>1321</v>
      </c>
      <c r="G20" s="90" t="s">
        <v>1322</v>
      </c>
      <c r="H20" s="90" t="s">
        <v>965</v>
      </c>
      <c r="I20" s="90" t="s">
        <v>965</v>
      </c>
      <c r="J20" s="181" t="s">
        <v>1292</v>
      </c>
      <c r="K20" s="90" t="s">
        <v>965</v>
      </c>
      <c r="L20" s="90" t="s">
        <v>965</v>
      </c>
      <c r="M20" s="90" t="s">
        <v>965</v>
      </c>
      <c r="N20" s="90" t="s">
        <v>1306</v>
      </c>
      <c r="O20" s="6" t="s">
        <v>1282</v>
      </c>
      <c r="P20" s="6"/>
    </row>
    <row r="21" spans="1:16" x14ac:dyDescent="0.3">
      <c r="A21" s="1"/>
      <c r="B21" s="6" t="s">
        <v>86</v>
      </c>
      <c r="C21" s="6" t="s">
        <v>1176</v>
      </c>
      <c r="D21" s="90" t="s">
        <v>73</v>
      </c>
      <c r="E21" s="6" t="s">
        <v>1316</v>
      </c>
      <c r="F21" s="90" t="s">
        <v>1322</v>
      </c>
      <c r="G21" s="90" t="s">
        <v>1323</v>
      </c>
      <c r="H21" s="90" t="s">
        <v>965</v>
      </c>
      <c r="I21" s="90" t="s">
        <v>1324</v>
      </c>
      <c r="J21" s="181" t="s">
        <v>1292</v>
      </c>
      <c r="K21" s="90" t="s">
        <v>965</v>
      </c>
      <c r="L21" s="90" t="s">
        <v>965</v>
      </c>
      <c r="M21" s="90" t="s">
        <v>965</v>
      </c>
      <c r="N21" s="90" t="s">
        <v>965</v>
      </c>
      <c r="O21" s="6" t="s">
        <v>1282</v>
      </c>
      <c r="P21" s="6" t="s">
        <v>1325</v>
      </c>
    </row>
    <row r="22" spans="1:16" x14ac:dyDescent="0.3">
      <c r="A22" s="1"/>
      <c r="B22" s="6" t="s">
        <v>86</v>
      </c>
      <c r="C22" s="6" t="s">
        <v>1177</v>
      </c>
      <c r="D22" s="90" t="s">
        <v>73</v>
      </c>
      <c r="E22" s="6" t="s">
        <v>1326</v>
      </c>
      <c r="F22" s="90" t="s">
        <v>1327</v>
      </c>
      <c r="G22" s="90" t="s">
        <v>1328</v>
      </c>
      <c r="H22" s="90" t="s">
        <v>1329</v>
      </c>
      <c r="I22" s="90" t="s">
        <v>1330</v>
      </c>
      <c r="J22" s="182" t="s">
        <v>1297</v>
      </c>
      <c r="K22" s="90" t="s">
        <v>965</v>
      </c>
      <c r="L22" s="90" t="s">
        <v>965</v>
      </c>
      <c r="M22" s="90" t="s">
        <v>965</v>
      </c>
      <c r="N22" s="90" t="s">
        <v>965</v>
      </c>
      <c r="O22" s="6" t="s">
        <v>1298</v>
      </c>
      <c r="P22" s="6"/>
    </row>
    <row r="23" spans="1:16" x14ac:dyDescent="0.3">
      <c r="A23" s="1"/>
      <c r="B23" s="6" t="s">
        <v>93</v>
      </c>
      <c r="C23" s="6" t="s">
        <v>99</v>
      </c>
      <c r="D23" s="90" t="s">
        <v>73</v>
      </c>
      <c r="E23" s="6" t="s">
        <v>1331</v>
      </c>
      <c r="F23" s="90" t="s">
        <v>52</v>
      </c>
      <c r="G23" s="90" t="s">
        <v>53</v>
      </c>
      <c r="H23" s="90" t="s">
        <v>965</v>
      </c>
      <c r="I23" s="90" t="s">
        <v>965</v>
      </c>
      <c r="J23" s="181" t="s">
        <v>1292</v>
      </c>
      <c r="K23" s="90" t="s">
        <v>965</v>
      </c>
      <c r="L23" s="90" t="s">
        <v>965</v>
      </c>
      <c r="M23" s="90" t="s">
        <v>965</v>
      </c>
      <c r="N23" s="90" t="s">
        <v>965</v>
      </c>
      <c r="O23" s="6" t="s">
        <v>1282</v>
      </c>
      <c r="P23" s="6"/>
    </row>
    <row r="24" spans="1:16" x14ac:dyDescent="0.3">
      <c r="A24" s="1"/>
      <c r="B24" s="6" t="s">
        <v>93</v>
      </c>
      <c r="C24" s="6" t="s">
        <v>102</v>
      </c>
      <c r="D24" s="90" t="s">
        <v>1187</v>
      </c>
      <c r="E24" s="6" t="s">
        <v>1332</v>
      </c>
      <c r="F24" s="90" t="s">
        <v>1333</v>
      </c>
      <c r="G24" s="90" t="s">
        <v>1334</v>
      </c>
      <c r="H24" s="90" t="s">
        <v>1335</v>
      </c>
      <c r="I24" s="90" t="s">
        <v>965</v>
      </c>
      <c r="J24" s="181" t="s">
        <v>1292</v>
      </c>
      <c r="K24" s="90" t="s">
        <v>965</v>
      </c>
      <c r="L24" s="90" t="s">
        <v>965</v>
      </c>
      <c r="M24" s="90" t="s">
        <v>965</v>
      </c>
      <c r="N24" s="90" t="s">
        <v>965</v>
      </c>
      <c r="O24" s="6" t="s">
        <v>1282</v>
      </c>
      <c r="P24" s="6"/>
    </row>
    <row r="25" spans="1:16" x14ac:dyDescent="0.3">
      <c r="A25" s="1"/>
      <c r="B25" s="6" t="s">
        <v>93</v>
      </c>
      <c r="C25" s="6" t="s">
        <v>102</v>
      </c>
      <c r="D25" s="90" t="s">
        <v>1187</v>
      </c>
      <c r="E25" s="6" t="s">
        <v>1332</v>
      </c>
      <c r="F25" s="90" t="s">
        <v>1334</v>
      </c>
      <c r="G25" s="90" t="s">
        <v>1336</v>
      </c>
      <c r="H25" s="90" t="s">
        <v>965</v>
      </c>
      <c r="I25" s="90" t="s">
        <v>1337</v>
      </c>
      <c r="J25" s="183" t="s">
        <v>1301</v>
      </c>
      <c r="K25" s="90" t="s">
        <v>965</v>
      </c>
      <c r="L25" s="90" t="s">
        <v>965</v>
      </c>
      <c r="M25" s="90" t="s">
        <v>965</v>
      </c>
      <c r="N25" s="90" t="s">
        <v>965</v>
      </c>
      <c r="O25" s="6" t="s">
        <v>1282</v>
      </c>
      <c r="P25" s="6"/>
    </row>
    <row r="26" spans="1:16" x14ac:dyDescent="0.3">
      <c r="A26" s="1"/>
      <c r="B26" s="6" t="s">
        <v>103</v>
      </c>
      <c r="C26" s="6" t="s">
        <v>104</v>
      </c>
      <c r="D26" s="90" t="s">
        <v>73</v>
      </c>
      <c r="E26" s="6" t="s">
        <v>1338</v>
      </c>
      <c r="F26" s="90" t="s">
        <v>52</v>
      </c>
      <c r="G26" s="90" t="s">
        <v>53</v>
      </c>
      <c r="H26" s="90" t="s">
        <v>965</v>
      </c>
      <c r="I26" s="90" t="s">
        <v>965</v>
      </c>
      <c r="J26" s="181" t="s">
        <v>1292</v>
      </c>
      <c r="K26" s="90" t="s">
        <v>965</v>
      </c>
      <c r="L26" s="90" t="s">
        <v>965</v>
      </c>
      <c r="M26" s="90" t="s">
        <v>965</v>
      </c>
      <c r="N26" s="90" t="s">
        <v>965</v>
      </c>
      <c r="O26" s="6" t="s">
        <v>1282</v>
      </c>
      <c r="P26" s="6"/>
    </row>
    <row r="27" spans="1:16" ht="26.4" x14ac:dyDescent="0.3">
      <c r="A27" s="1"/>
      <c r="B27" s="6" t="s">
        <v>643</v>
      </c>
      <c r="C27" s="6" t="s">
        <v>1198</v>
      </c>
      <c r="D27" s="90" t="s">
        <v>1199</v>
      </c>
      <c r="E27" s="6" t="s">
        <v>1339</v>
      </c>
      <c r="F27" s="90" t="s">
        <v>52</v>
      </c>
      <c r="G27" s="90" t="s">
        <v>53</v>
      </c>
      <c r="H27" s="90" t="s">
        <v>965</v>
      </c>
      <c r="I27" s="90" t="s">
        <v>965</v>
      </c>
      <c r="J27" s="180" t="s">
        <v>1281</v>
      </c>
      <c r="K27" s="90" t="s">
        <v>965</v>
      </c>
      <c r="L27" s="90" t="s">
        <v>965</v>
      </c>
      <c r="M27" s="90" t="s">
        <v>965</v>
      </c>
      <c r="N27" s="90" t="s">
        <v>965</v>
      </c>
      <c r="O27" s="6" t="s">
        <v>1282</v>
      </c>
      <c r="P27" s="6"/>
    </row>
    <row r="28" spans="1:16" x14ac:dyDescent="0.3">
      <c r="A28" s="1"/>
      <c r="B28" s="6" t="s">
        <v>106</v>
      </c>
      <c r="C28" s="6" t="s">
        <v>115</v>
      </c>
      <c r="D28" s="90" t="s">
        <v>73</v>
      </c>
      <c r="E28" s="6" t="s">
        <v>1340</v>
      </c>
      <c r="F28" s="90" t="s">
        <v>52</v>
      </c>
      <c r="G28" s="90" t="s">
        <v>1341</v>
      </c>
      <c r="H28" s="90" t="s">
        <v>965</v>
      </c>
      <c r="I28" s="90" t="s">
        <v>965</v>
      </c>
      <c r="J28" s="181" t="s">
        <v>1292</v>
      </c>
      <c r="K28" s="90" t="s">
        <v>965</v>
      </c>
      <c r="L28" s="90" t="s">
        <v>965</v>
      </c>
      <c r="M28" s="90" t="s">
        <v>965</v>
      </c>
      <c r="N28" s="90" t="s">
        <v>965</v>
      </c>
      <c r="O28" s="6" t="s">
        <v>1282</v>
      </c>
      <c r="P28" s="6"/>
    </row>
    <row r="29" spans="1:16" x14ac:dyDescent="0.3">
      <c r="A29" s="1"/>
      <c r="B29" s="6" t="s">
        <v>106</v>
      </c>
      <c r="C29" s="6" t="s">
        <v>115</v>
      </c>
      <c r="D29" s="90" t="s">
        <v>73</v>
      </c>
      <c r="E29" s="6" t="s">
        <v>1342</v>
      </c>
      <c r="F29" s="90" t="s">
        <v>1341</v>
      </c>
      <c r="G29" s="90" t="s">
        <v>1343</v>
      </c>
      <c r="H29" s="90" t="s">
        <v>965</v>
      </c>
      <c r="I29" s="90" t="s">
        <v>965</v>
      </c>
      <c r="J29" s="181" t="s">
        <v>1292</v>
      </c>
      <c r="K29" s="90" t="s">
        <v>965</v>
      </c>
      <c r="L29" s="90" t="s">
        <v>965</v>
      </c>
      <c r="M29" s="90" t="s">
        <v>965</v>
      </c>
      <c r="N29" s="90" t="s">
        <v>965</v>
      </c>
      <c r="O29" s="6" t="s">
        <v>1282</v>
      </c>
      <c r="P29" s="6"/>
    </row>
    <row r="30" spans="1:16" x14ac:dyDescent="0.3">
      <c r="A30" s="1"/>
      <c r="B30" s="6" t="s">
        <v>106</v>
      </c>
      <c r="C30" s="6" t="s">
        <v>115</v>
      </c>
      <c r="D30" s="90" t="s">
        <v>1194</v>
      </c>
      <c r="E30" s="6" t="s">
        <v>1344</v>
      </c>
      <c r="F30" s="90" t="s">
        <v>1341</v>
      </c>
      <c r="G30" s="90" t="s">
        <v>1345</v>
      </c>
      <c r="H30" s="90" t="s">
        <v>965</v>
      </c>
      <c r="I30" s="90" t="s">
        <v>965</v>
      </c>
      <c r="J30" s="183" t="s">
        <v>1301</v>
      </c>
      <c r="K30" s="90" t="s">
        <v>965</v>
      </c>
      <c r="L30" s="90" t="s">
        <v>965</v>
      </c>
      <c r="M30" s="90" t="s">
        <v>965</v>
      </c>
      <c r="N30" s="90" t="s">
        <v>965</v>
      </c>
      <c r="O30" s="6" t="s">
        <v>1282</v>
      </c>
      <c r="P30" s="6"/>
    </row>
    <row r="31" spans="1:16" x14ac:dyDescent="0.3">
      <c r="A31" s="1"/>
      <c r="B31" s="6" t="s">
        <v>106</v>
      </c>
      <c r="C31" s="6" t="s">
        <v>115</v>
      </c>
      <c r="D31" s="90" t="s">
        <v>73</v>
      </c>
      <c r="E31" s="6" t="s">
        <v>1342</v>
      </c>
      <c r="F31" s="90" t="s">
        <v>1343</v>
      </c>
      <c r="G31" s="90" t="s">
        <v>1346</v>
      </c>
      <c r="H31" s="90" t="s">
        <v>965</v>
      </c>
      <c r="I31" s="90" t="s">
        <v>965</v>
      </c>
      <c r="J31" s="183" t="s">
        <v>1301</v>
      </c>
      <c r="K31" s="90" t="s">
        <v>965</v>
      </c>
      <c r="L31" s="90" t="s">
        <v>965</v>
      </c>
      <c r="M31" s="90" t="s">
        <v>965</v>
      </c>
      <c r="N31" s="90" t="s">
        <v>965</v>
      </c>
      <c r="O31" s="6" t="s">
        <v>1282</v>
      </c>
      <c r="P31" s="6"/>
    </row>
    <row r="32" spans="1:16" x14ac:dyDescent="0.3">
      <c r="A32" s="1"/>
      <c r="B32" s="6" t="s">
        <v>106</v>
      </c>
      <c r="C32" s="6" t="s">
        <v>115</v>
      </c>
      <c r="D32" s="90" t="s">
        <v>73</v>
      </c>
      <c r="E32" s="6" t="s">
        <v>1342</v>
      </c>
      <c r="F32" s="90" t="s">
        <v>1346</v>
      </c>
      <c r="G32" s="90" t="s">
        <v>53</v>
      </c>
      <c r="H32" s="90" t="s">
        <v>965</v>
      </c>
      <c r="I32" s="90" t="s">
        <v>965</v>
      </c>
      <c r="J32" s="181" t="s">
        <v>1292</v>
      </c>
      <c r="K32" s="90" t="s">
        <v>965</v>
      </c>
      <c r="L32" s="90" t="s">
        <v>965</v>
      </c>
      <c r="M32" s="90" t="s">
        <v>965</v>
      </c>
      <c r="N32" s="90" t="s">
        <v>965</v>
      </c>
      <c r="O32" s="6" t="s">
        <v>1282</v>
      </c>
      <c r="P32" s="6" t="s">
        <v>1347</v>
      </c>
    </row>
    <row r="33" spans="1:16" x14ac:dyDescent="0.3">
      <c r="A33" s="1"/>
      <c r="B33" s="6" t="s">
        <v>106</v>
      </c>
      <c r="C33" s="6" t="s">
        <v>119</v>
      </c>
      <c r="D33" s="90" t="s">
        <v>73</v>
      </c>
      <c r="E33" s="6" t="s">
        <v>1348</v>
      </c>
      <c r="F33" s="90" t="s">
        <v>52</v>
      </c>
      <c r="G33" s="90" t="s">
        <v>53</v>
      </c>
      <c r="H33" s="90" t="s">
        <v>965</v>
      </c>
      <c r="I33" s="90" t="s">
        <v>965</v>
      </c>
      <c r="J33" s="181" t="s">
        <v>1292</v>
      </c>
      <c r="K33" s="90" t="s">
        <v>965</v>
      </c>
      <c r="L33" s="90" t="s">
        <v>965</v>
      </c>
      <c r="M33" s="90" t="s">
        <v>965</v>
      </c>
      <c r="N33" s="90" t="s">
        <v>965</v>
      </c>
      <c r="O33" s="6" t="s">
        <v>1282</v>
      </c>
      <c r="P33" s="6"/>
    </row>
    <row r="34" spans="1:16" x14ac:dyDescent="0.3">
      <c r="A34" s="1"/>
      <c r="B34" s="6" t="s">
        <v>130</v>
      </c>
      <c r="C34" s="6" t="s">
        <v>1214</v>
      </c>
      <c r="D34" s="90" t="s">
        <v>139</v>
      </c>
      <c r="E34" s="6" t="s">
        <v>1349</v>
      </c>
      <c r="F34" s="90" t="s">
        <v>52</v>
      </c>
      <c r="G34" s="90" t="s">
        <v>1350</v>
      </c>
      <c r="H34" s="90" t="s">
        <v>965</v>
      </c>
      <c r="I34" s="90" t="s">
        <v>1351</v>
      </c>
      <c r="J34" s="183" t="s">
        <v>1301</v>
      </c>
      <c r="K34" s="90" t="s">
        <v>965</v>
      </c>
      <c r="L34" s="90" t="s">
        <v>965</v>
      </c>
      <c r="M34" s="90" t="s">
        <v>965</v>
      </c>
      <c r="N34" s="90" t="s">
        <v>965</v>
      </c>
      <c r="O34" s="6" t="s">
        <v>1282</v>
      </c>
      <c r="P34" s="6"/>
    </row>
    <row r="35" spans="1:16" x14ac:dyDescent="0.3">
      <c r="A35" s="1"/>
      <c r="B35" s="6" t="s">
        <v>130</v>
      </c>
      <c r="C35" s="6" t="s">
        <v>142</v>
      </c>
      <c r="D35" s="90" t="s">
        <v>73</v>
      </c>
      <c r="E35" s="6" t="s">
        <v>1352</v>
      </c>
      <c r="F35" s="90" t="s">
        <v>1353</v>
      </c>
      <c r="G35" s="90" t="s">
        <v>1354</v>
      </c>
      <c r="H35" s="90" t="s">
        <v>1355</v>
      </c>
      <c r="I35" s="90" t="s">
        <v>965</v>
      </c>
      <c r="J35" s="183" t="s">
        <v>1301</v>
      </c>
      <c r="K35" s="90" t="s">
        <v>965</v>
      </c>
      <c r="L35" s="90" t="s">
        <v>965</v>
      </c>
      <c r="M35" s="90" t="s">
        <v>965</v>
      </c>
      <c r="N35" s="90" t="s">
        <v>965</v>
      </c>
      <c r="O35" s="6" t="s">
        <v>1282</v>
      </c>
      <c r="P35" s="6"/>
    </row>
    <row r="36" spans="1:16" x14ac:dyDescent="0.3">
      <c r="A36" s="1"/>
      <c r="B36" s="6" t="s">
        <v>130</v>
      </c>
      <c r="C36" s="6" t="s">
        <v>142</v>
      </c>
      <c r="D36" s="90" t="s">
        <v>73</v>
      </c>
      <c r="E36" s="6" t="s">
        <v>1352</v>
      </c>
      <c r="F36" s="90" t="s">
        <v>1354</v>
      </c>
      <c r="G36" s="90" t="s">
        <v>1356</v>
      </c>
      <c r="H36" s="90" t="s">
        <v>965</v>
      </c>
      <c r="I36" s="90" t="s">
        <v>965</v>
      </c>
      <c r="J36" s="181" t="s">
        <v>1292</v>
      </c>
      <c r="K36" s="90" t="s">
        <v>965</v>
      </c>
      <c r="L36" s="90" t="s">
        <v>965</v>
      </c>
      <c r="M36" s="90" t="s">
        <v>965</v>
      </c>
      <c r="N36" s="90" t="s">
        <v>965</v>
      </c>
      <c r="O36" s="6" t="s">
        <v>1282</v>
      </c>
      <c r="P36" s="6"/>
    </row>
    <row r="37" spans="1:16" x14ac:dyDescent="0.3">
      <c r="A37" s="1"/>
      <c r="B37" s="6" t="s">
        <v>130</v>
      </c>
      <c r="C37" s="6" t="s">
        <v>142</v>
      </c>
      <c r="D37" s="90" t="s">
        <v>73</v>
      </c>
      <c r="E37" s="6" t="s">
        <v>1352</v>
      </c>
      <c r="F37" s="90" t="s">
        <v>1356</v>
      </c>
      <c r="G37" s="90" t="s">
        <v>1357</v>
      </c>
      <c r="H37" s="90" t="s">
        <v>965</v>
      </c>
      <c r="I37" s="90" t="s">
        <v>965</v>
      </c>
      <c r="J37" s="183" t="s">
        <v>1301</v>
      </c>
      <c r="K37" s="90" t="s">
        <v>965</v>
      </c>
      <c r="L37" s="90" t="s">
        <v>965</v>
      </c>
      <c r="M37" s="90" t="s">
        <v>965</v>
      </c>
      <c r="N37" s="90" t="s">
        <v>965</v>
      </c>
      <c r="O37" s="6" t="s">
        <v>1282</v>
      </c>
      <c r="P37" s="6"/>
    </row>
    <row r="38" spans="1:16" x14ac:dyDescent="0.3">
      <c r="A38" s="1"/>
      <c r="B38" s="6" t="s">
        <v>130</v>
      </c>
      <c r="C38" s="6" t="s">
        <v>142</v>
      </c>
      <c r="D38" s="90" t="s">
        <v>73</v>
      </c>
      <c r="E38" s="6" t="s">
        <v>1352</v>
      </c>
      <c r="F38" s="90" t="s">
        <v>1357</v>
      </c>
      <c r="G38" s="90" t="s">
        <v>1358</v>
      </c>
      <c r="H38" s="90" t="s">
        <v>965</v>
      </c>
      <c r="I38" s="90" t="s">
        <v>965</v>
      </c>
      <c r="J38" s="181" t="s">
        <v>1292</v>
      </c>
      <c r="K38" s="90" t="s">
        <v>965</v>
      </c>
      <c r="L38" s="90" t="s">
        <v>965</v>
      </c>
      <c r="M38" s="90" t="s">
        <v>965</v>
      </c>
      <c r="N38" s="90" t="s">
        <v>965</v>
      </c>
      <c r="O38" s="6" t="s">
        <v>1282</v>
      </c>
      <c r="P38" s="6"/>
    </row>
    <row r="39" spans="1:16" x14ac:dyDescent="0.3">
      <c r="A39" s="1"/>
      <c r="B39" s="6" t="s">
        <v>130</v>
      </c>
      <c r="C39" s="6" t="s">
        <v>142</v>
      </c>
      <c r="D39" s="90" t="s">
        <v>73</v>
      </c>
      <c r="E39" s="6" t="s">
        <v>1352</v>
      </c>
      <c r="F39" s="90" t="s">
        <v>1358</v>
      </c>
      <c r="G39" s="90" t="s">
        <v>1359</v>
      </c>
      <c r="H39" s="90" t="s">
        <v>965</v>
      </c>
      <c r="I39" s="90" t="s">
        <v>965</v>
      </c>
      <c r="J39" s="183" t="s">
        <v>1301</v>
      </c>
      <c r="K39" s="90" t="s">
        <v>965</v>
      </c>
      <c r="L39" s="90" t="s">
        <v>965</v>
      </c>
      <c r="M39" s="90" t="s">
        <v>965</v>
      </c>
      <c r="N39" s="90" t="s">
        <v>965</v>
      </c>
      <c r="O39" s="6" t="s">
        <v>1282</v>
      </c>
      <c r="P39" s="6"/>
    </row>
    <row r="40" spans="1:16" x14ac:dyDescent="0.3">
      <c r="A40" s="1"/>
      <c r="B40" s="6" t="s">
        <v>130</v>
      </c>
      <c r="C40" s="6" t="s">
        <v>145</v>
      </c>
      <c r="D40" s="90" t="s">
        <v>73</v>
      </c>
      <c r="E40" s="6" t="s">
        <v>1360</v>
      </c>
      <c r="F40" s="90" t="s">
        <v>52</v>
      </c>
      <c r="G40" s="90" t="s">
        <v>1361</v>
      </c>
      <c r="H40" s="90" t="s">
        <v>965</v>
      </c>
      <c r="I40" s="90" t="s">
        <v>965</v>
      </c>
      <c r="J40" s="181" t="s">
        <v>1292</v>
      </c>
      <c r="K40" s="90" t="s">
        <v>965</v>
      </c>
      <c r="L40" s="90" t="s">
        <v>965</v>
      </c>
      <c r="M40" s="90" t="s">
        <v>965</v>
      </c>
      <c r="N40" s="90" t="s">
        <v>965</v>
      </c>
      <c r="O40" s="6" t="s">
        <v>1282</v>
      </c>
      <c r="P40" s="6"/>
    </row>
    <row r="41" spans="1:16" ht="26.4" x14ac:dyDescent="0.3">
      <c r="A41" s="1"/>
      <c r="B41" s="6" t="s">
        <v>130</v>
      </c>
      <c r="C41" s="6" t="s">
        <v>145</v>
      </c>
      <c r="D41" s="90" t="s">
        <v>73</v>
      </c>
      <c r="E41" s="6" t="s">
        <v>1362</v>
      </c>
      <c r="F41" s="90" t="s">
        <v>1361</v>
      </c>
      <c r="G41" s="90" t="s">
        <v>1363</v>
      </c>
      <c r="H41" s="90" t="s">
        <v>965</v>
      </c>
      <c r="I41" s="90" t="s">
        <v>965</v>
      </c>
      <c r="J41" s="181" t="s">
        <v>1292</v>
      </c>
      <c r="K41" s="90" t="s">
        <v>965</v>
      </c>
      <c r="L41" s="90" t="s">
        <v>965</v>
      </c>
      <c r="M41" s="90" t="s">
        <v>965</v>
      </c>
      <c r="N41" s="90" t="s">
        <v>965</v>
      </c>
      <c r="O41" s="6" t="s">
        <v>1282</v>
      </c>
      <c r="P41" s="6"/>
    </row>
    <row r="42" spans="1:16" ht="26.4" x14ac:dyDescent="0.3">
      <c r="A42" s="1"/>
      <c r="B42" s="6" t="s">
        <v>130</v>
      </c>
      <c r="C42" s="6" t="s">
        <v>145</v>
      </c>
      <c r="D42" s="90" t="s">
        <v>73</v>
      </c>
      <c r="E42" s="6" t="s">
        <v>1362</v>
      </c>
      <c r="F42" s="90" t="s">
        <v>1363</v>
      </c>
      <c r="G42" s="90" t="s">
        <v>1364</v>
      </c>
      <c r="H42" s="90" t="s">
        <v>965</v>
      </c>
      <c r="I42" s="90" t="s">
        <v>965</v>
      </c>
      <c r="J42" s="183" t="s">
        <v>1301</v>
      </c>
      <c r="K42" s="90" t="s">
        <v>965</v>
      </c>
      <c r="L42" s="90" t="s">
        <v>965</v>
      </c>
      <c r="M42" s="90" t="s">
        <v>965</v>
      </c>
      <c r="N42" s="90" t="s">
        <v>965</v>
      </c>
      <c r="O42" s="6" t="s">
        <v>1282</v>
      </c>
      <c r="P42" s="6"/>
    </row>
    <row r="43" spans="1:16" x14ac:dyDescent="0.3">
      <c r="A43" s="1"/>
      <c r="B43" s="6" t="s">
        <v>130</v>
      </c>
      <c r="C43" s="6" t="s">
        <v>145</v>
      </c>
      <c r="D43" s="90" t="s">
        <v>73</v>
      </c>
      <c r="E43" s="6" t="s">
        <v>1360</v>
      </c>
      <c r="F43" s="90" t="s">
        <v>1364</v>
      </c>
      <c r="G43" s="90" t="s">
        <v>53</v>
      </c>
      <c r="H43" s="90" t="s">
        <v>965</v>
      </c>
      <c r="I43" s="90" t="s">
        <v>965</v>
      </c>
      <c r="J43" s="181" t="s">
        <v>1292</v>
      </c>
      <c r="K43" s="90" t="s">
        <v>965</v>
      </c>
      <c r="L43" s="90" t="s">
        <v>965</v>
      </c>
      <c r="M43" s="90" t="s">
        <v>965</v>
      </c>
      <c r="N43" s="90" t="s">
        <v>965</v>
      </c>
      <c r="O43" s="6" t="s">
        <v>1282</v>
      </c>
      <c r="P43" s="6"/>
    </row>
    <row r="44" spans="1:16" x14ac:dyDescent="0.3">
      <c r="A44" s="1"/>
      <c r="B44" s="6" t="s">
        <v>402</v>
      </c>
      <c r="C44" s="6" t="s">
        <v>1221</v>
      </c>
      <c r="D44" s="90" t="s">
        <v>73</v>
      </c>
      <c r="E44" s="6" t="s">
        <v>1365</v>
      </c>
      <c r="F44" s="90" t="s">
        <v>52</v>
      </c>
      <c r="G44" s="90" t="s">
        <v>53</v>
      </c>
      <c r="H44" s="90" t="s">
        <v>965</v>
      </c>
      <c r="I44" s="90" t="s">
        <v>965</v>
      </c>
      <c r="J44" s="181" t="s">
        <v>1292</v>
      </c>
      <c r="K44" s="90" t="s">
        <v>965</v>
      </c>
      <c r="L44" s="90" t="s">
        <v>965</v>
      </c>
      <c r="M44" s="90" t="s">
        <v>965</v>
      </c>
      <c r="N44" s="90" t="s">
        <v>965</v>
      </c>
      <c r="O44" s="6" t="s">
        <v>1282</v>
      </c>
      <c r="P44" s="6"/>
    </row>
    <row r="45" spans="1:16" ht="26.4" x14ac:dyDescent="0.3">
      <c r="A45" s="1"/>
      <c r="B45" s="6" t="s">
        <v>604</v>
      </c>
      <c r="C45" s="6" t="s">
        <v>1222</v>
      </c>
      <c r="D45" s="90" t="s">
        <v>1223</v>
      </c>
      <c r="E45" s="6" t="s">
        <v>1366</v>
      </c>
      <c r="F45" s="90" t="s">
        <v>1367</v>
      </c>
      <c r="G45" s="90" t="s">
        <v>1368</v>
      </c>
      <c r="H45" s="90" t="s">
        <v>1369</v>
      </c>
      <c r="I45" s="90" t="s">
        <v>1370</v>
      </c>
      <c r="J45" s="184" t="s">
        <v>1371</v>
      </c>
      <c r="K45" s="90" t="s">
        <v>965</v>
      </c>
      <c r="L45" s="90" t="s">
        <v>965</v>
      </c>
      <c r="M45" s="90" t="s">
        <v>965</v>
      </c>
      <c r="N45" s="90" t="s">
        <v>1306</v>
      </c>
      <c r="O45" s="6" t="s">
        <v>1282</v>
      </c>
      <c r="P45" s="6" t="s">
        <v>1372</v>
      </c>
    </row>
    <row r="46" spans="1:16" x14ac:dyDescent="0.3">
      <c r="A46" s="1"/>
      <c r="B46" s="6" t="s">
        <v>159</v>
      </c>
      <c r="C46" s="6" t="s">
        <v>1229</v>
      </c>
      <c r="D46" s="90" t="s">
        <v>73</v>
      </c>
      <c r="E46" s="6" t="s">
        <v>1373</v>
      </c>
      <c r="F46" s="90" t="s">
        <v>52</v>
      </c>
      <c r="G46" s="90" t="s">
        <v>53</v>
      </c>
      <c r="H46" s="90" t="s">
        <v>965</v>
      </c>
      <c r="I46" s="90" t="s">
        <v>965</v>
      </c>
      <c r="J46" s="181" t="s">
        <v>1292</v>
      </c>
      <c r="K46" s="90" t="s">
        <v>965</v>
      </c>
      <c r="L46" s="90" t="s">
        <v>965</v>
      </c>
      <c r="M46" s="90" t="s">
        <v>965</v>
      </c>
      <c r="N46" s="90" t="s">
        <v>965</v>
      </c>
      <c r="O46" s="6" t="s">
        <v>1282</v>
      </c>
      <c r="P46" s="6"/>
    </row>
    <row r="47" spans="1:16" x14ac:dyDescent="0.3">
      <c r="A47" s="1"/>
      <c r="B47" s="6" t="s">
        <v>164</v>
      </c>
      <c r="C47" s="6" t="s">
        <v>1230</v>
      </c>
      <c r="D47" s="90" t="s">
        <v>1194</v>
      </c>
      <c r="E47" s="6" t="s">
        <v>1374</v>
      </c>
      <c r="F47" s="90" t="s">
        <v>1375</v>
      </c>
      <c r="G47" s="90" t="s">
        <v>1322</v>
      </c>
      <c r="H47" s="90" t="s">
        <v>965</v>
      </c>
      <c r="I47" s="90" t="s">
        <v>965</v>
      </c>
      <c r="J47" s="181" t="s">
        <v>1292</v>
      </c>
      <c r="K47" s="90" t="s">
        <v>965</v>
      </c>
      <c r="L47" s="90" t="s">
        <v>965</v>
      </c>
      <c r="M47" s="90" t="s">
        <v>965</v>
      </c>
      <c r="N47" s="90" t="s">
        <v>1306</v>
      </c>
      <c r="O47" s="6" t="s">
        <v>1282</v>
      </c>
      <c r="P47" s="6"/>
    </row>
    <row r="48" spans="1:16" x14ac:dyDescent="0.3">
      <c r="A48" s="1"/>
      <c r="B48" s="6" t="s">
        <v>164</v>
      </c>
      <c r="C48" s="6" t="s">
        <v>1230</v>
      </c>
      <c r="D48" s="90" t="s">
        <v>1194</v>
      </c>
      <c r="E48" s="6" t="s">
        <v>1374</v>
      </c>
      <c r="F48" s="90" t="s">
        <v>1322</v>
      </c>
      <c r="G48" s="90" t="s">
        <v>1376</v>
      </c>
      <c r="H48" s="90" t="s">
        <v>965</v>
      </c>
      <c r="I48" s="90" t="s">
        <v>965</v>
      </c>
      <c r="J48" s="183" t="s">
        <v>1301</v>
      </c>
      <c r="K48" s="90" t="s">
        <v>965</v>
      </c>
      <c r="L48" s="90" t="s">
        <v>965</v>
      </c>
      <c r="M48" s="90" t="s">
        <v>965</v>
      </c>
      <c r="N48" s="90" t="s">
        <v>965</v>
      </c>
      <c r="O48" s="6" t="s">
        <v>1282</v>
      </c>
      <c r="P48" s="6"/>
    </row>
    <row r="49" spans="1:16" x14ac:dyDescent="0.3">
      <c r="A49" s="1"/>
      <c r="B49" s="6" t="s">
        <v>164</v>
      </c>
      <c r="C49" s="6" t="s">
        <v>1230</v>
      </c>
      <c r="D49" s="90" t="s">
        <v>1194</v>
      </c>
      <c r="E49" s="6" t="s">
        <v>1374</v>
      </c>
      <c r="F49" s="90" t="s">
        <v>1376</v>
      </c>
      <c r="G49" s="90" t="s">
        <v>1377</v>
      </c>
      <c r="H49" s="90" t="s">
        <v>965</v>
      </c>
      <c r="I49" s="90" t="s">
        <v>965</v>
      </c>
      <c r="J49" s="181" t="s">
        <v>1292</v>
      </c>
      <c r="K49" s="90" t="s">
        <v>965</v>
      </c>
      <c r="L49" s="90" t="s">
        <v>965</v>
      </c>
      <c r="M49" s="90" t="s">
        <v>965</v>
      </c>
      <c r="N49" s="90" t="s">
        <v>965</v>
      </c>
      <c r="O49" s="6" t="s">
        <v>1282</v>
      </c>
      <c r="P49" s="6"/>
    </row>
    <row r="50" spans="1:16" x14ac:dyDescent="0.3">
      <c r="A50" s="1"/>
      <c r="B50" s="6" t="s">
        <v>164</v>
      </c>
      <c r="C50" s="6" t="s">
        <v>1230</v>
      </c>
      <c r="D50" s="90" t="s">
        <v>1194</v>
      </c>
      <c r="E50" s="6" t="s">
        <v>1374</v>
      </c>
      <c r="F50" s="90" t="s">
        <v>1377</v>
      </c>
      <c r="G50" s="90" t="s">
        <v>53</v>
      </c>
      <c r="H50" s="90" t="s">
        <v>965</v>
      </c>
      <c r="I50" s="90" t="s">
        <v>965</v>
      </c>
      <c r="J50" s="183" t="s">
        <v>1301</v>
      </c>
      <c r="K50" s="90" t="s">
        <v>965</v>
      </c>
      <c r="L50" s="90" t="s">
        <v>965</v>
      </c>
      <c r="M50" s="90" t="s">
        <v>965</v>
      </c>
      <c r="N50" s="90" t="s">
        <v>965</v>
      </c>
      <c r="O50" s="6" t="s">
        <v>1282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2906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2907</v>
      </c>
      <c r="D6" s="3" t="s">
        <v>2908</v>
      </c>
      <c r="E6" s="3" t="s">
        <v>7</v>
      </c>
      <c r="F6" s="3" t="s">
        <v>8</v>
      </c>
      <c r="G6" s="3" t="s">
        <v>2909</v>
      </c>
      <c r="H6" s="3" t="s">
        <v>1653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965</v>
      </c>
      <c r="C8" s="185" t="s">
        <v>965</v>
      </c>
      <c r="D8" s="185" t="s">
        <v>965</v>
      </c>
      <c r="E8" s="185" t="s">
        <v>965</v>
      </c>
      <c r="F8" s="185" t="s">
        <v>965</v>
      </c>
      <c r="G8" s="185" t="s">
        <v>2913</v>
      </c>
      <c r="H8" s="185" t="s">
        <v>965</v>
      </c>
      <c r="I8" s="185" t="s">
        <v>965</v>
      </c>
      <c r="J8" s="185" t="s">
        <v>2914</v>
      </c>
      <c r="K8" s="185" t="s">
        <v>965</v>
      </c>
      <c r="L8" s="185" t="s">
        <v>965</v>
      </c>
      <c r="M8" s="185" t="s">
        <v>2915</v>
      </c>
      <c r="N8" s="185" t="s">
        <v>965</v>
      </c>
      <c r="O8" s="185" t="s">
        <v>965</v>
      </c>
      <c r="P8" s="185" t="s">
        <v>2916</v>
      </c>
      <c r="Q8" s="185" t="s">
        <v>965</v>
      </c>
      <c r="R8" s="185" t="s">
        <v>965</v>
      </c>
      <c r="S8" s="185" t="s">
        <v>2917</v>
      </c>
      <c r="T8" s="185" t="s">
        <v>965</v>
      </c>
      <c r="U8" s="185" t="s">
        <v>965</v>
      </c>
      <c r="V8" s="185" t="s">
        <v>2918</v>
      </c>
      <c r="W8" s="185" t="s">
        <v>965</v>
      </c>
      <c r="X8" s="185" t="s">
        <v>965</v>
      </c>
      <c r="Y8" s="185" t="s">
        <v>2919</v>
      </c>
      <c r="Z8" s="185" t="s">
        <v>965</v>
      </c>
      <c r="AA8" s="185" t="s">
        <v>965</v>
      </c>
      <c r="AB8" s="185" t="s">
        <v>2920</v>
      </c>
      <c r="AC8" s="185" t="s">
        <v>965</v>
      </c>
      <c r="AD8" s="185" t="s">
        <v>965</v>
      </c>
      <c r="AE8" s="185" t="s">
        <v>2921</v>
      </c>
      <c r="AF8" s="185" t="s">
        <v>965</v>
      </c>
      <c r="AG8" s="185" t="s">
        <v>965</v>
      </c>
      <c r="AH8" s="185" t="s">
        <v>2922</v>
      </c>
      <c r="AI8" s="185" t="s">
        <v>965</v>
      </c>
      <c r="AJ8" s="185" t="s">
        <v>965</v>
      </c>
      <c r="AK8" s="185" t="s">
        <v>2923</v>
      </c>
      <c r="AL8" s="185" t="s">
        <v>965</v>
      </c>
      <c r="AM8" s="185" t="s">
        <v>965</v>
      </c>
      <c r="AN8" s="185" t="s">
        <v>2924</v>
      </c>
      <c r="AO8" s="185" t="s">
        <v>965</v>
      </c>
      <c r="AP8" s="185" t="s">
        <v>965</v>
      </c>
      <c r="AQ8" s="185" t="s">
        <v>2925</v>
      </c>
      <c r="AR8" s="185" t="s">
        <v>965</v>
      </c>
      <c r="AS8" s="185" t="s">
        <v>965</v>
      </c>
      <c r="AT8" s="185" t="s">
        <v>2926</v>
      </c>
      <c r="AU8" s="185" t="s">
        <v>965</v>
      </c>
      <c r="AV8" s="185" t="s">
        <v>965</v>
      </c>
      <c r="AW8" s="185" t="s">
        <v>2927</v>
      </c>
      <c r="AX8" s="185" t="s">
        <v>965</v>
      </c>
      <c r="AY8" s="185" t="s">
        <v>965</v>
      </c>
      <c r="AZ8" s="185" t="s">
        <v>2928</v>
      </c>
      <c r="BA8" s="185" t="s">
        <v>965</v>
      </c>
      <c r="BB8" s="185" t="s">
        <v>965</v>
      </c>
      <c r="BC8" s="185" t="s">
        <v>2929</v>
      </c>
      <c r="BD8" s="185" t="s">
        <v>965</v>
      </c>
      <c r="BE8" s="185" t="s">
        <v>965</v>
      </c>
      <c r="BF8" s="185" t="s">
        <v>2930</v>
      </c>
      <c r="BG8" s="185" t="s">
        <v>965</v>
      </c>
      <c r="BH8" s="185" t="s">
        <v>965</v>
      </c>
      <c r="BI8" s="185" t="s">
        <v>2931</v>
      </c>
      <c r="BJ8" s="185" t="s">
        <v>965</v>
      </c>
      <c r="BK8" s="185" t="s">
        <v>965</v>
      </c>
      <c r="BL8" s="185" t="s">
        <v>2932</v>
      </c>
      <c r="BM8" s="185" t="s">
        <v>965</v>
      </c>
      <c r="BN8" s="185" t="s">
        <v>965</v>
      </c>
      <c r="BO8" s="185" t="s">
        <v>2933</v>
      </c>
      <c r="BP8" s="185" t="s">
        <v>965</v>
      </c>
      <c r="BQ8" s="185" t="s">
        <v>965</v>
      </c>
      <c r="BR8" s="185" t="s">
        <v>2934</v>
      </c>
      <c r="BS8" s="185" t="s">
        <v>965</v>
      </c>
      <c r="BT8" s="185" t="s">
        <v>965</v>
      </c>
      <c r="BU8" s="185" t="s">
        <v>2935</v>
      </c>
      <c r="BV8" s="185" t="s">
        <v>965</v>
      </c>
      <c r="BW8" s="185" t="s">
        <v>965</v>
      </c>
      <c r="BX8" s="185" t="s">
        <v>2936</v>
      </c>
      <c r="BY8" s="185" t="s">
        <v>965</v>
      </c>
      <c r="BZ8" s="185" t="s">
        <v>965</v>
      </c>
      <c r="CA8" s="185" t="s">
        <v>2937</v>
      </c>
      <c r="CB8" s="185" t="s">
        <v>965</v>
      </c>
      <c r="CC8" s="185" t="s">
        <v>965</v>
      </c>
      <c r="CD8" s="185" t="s">
        <v>2938</v>
      </c>
      <c r="CE8" s="185" t="s">
        <v>965</v>
      </c>
      <c r="CF8" s="185" t="s">
        <v>965</v>
      </c>
      <c r="CG8" s="185" t="s">
        <v>2939</v>
      </c>
      <c r="CH8" s="185" t="s">
        <v>965</v>
      </c>
      <c r="CI8" s="185" t="s">
        <v>965</v>
      </c>
      <c r="CJ8" s="185" t="s">
        <v>2940</v>
      </c>
      <c r="CK8" s="185" t="s">
        <v>965</v>
      </c>
      <c r="CL8" s="185" t="s">
        <v>965</v>
      </c>
      <c r="CM8" s="185" t="s">
        <v>2941</v>
      </c>
      <c r="CN8" s="185" t="s">
        <v>965</v>
      </c>
      <c r="CO8" s="185" t="s">
        <v>965</v>
      </c>
      <c r="CP8" s="185" t="s">
        <v>2942</v>
      </c>
      <c r="CQ8" s="185" t="s">
        <v>965</v>
      </c>
      <c r="CR8" s="185" t="s">
        <v>965</v>
      </c>
      <c r="CS8" s="185" t="s">
        <v>2943</v>
      </c>
      <c r="CT8" s="185" t="s">
        <v>965</v>
      </c>
      <c r="CU8" s="185" t="s">
        <v>965</v>
      </c>
      <c r="CV8" s="185" t="s">
        <v>2944</v>
      </c>
      <c r="CW8" s="185" t="s">
        <v>965</v>
      </c>
      <c r="CX8" s="185" t="s">
        <v>965</v>
      </c>
      <c r="CY8" s="185" t="s">
        <v>2945</v>
      </c>
      <c r="CZ8" s="185" t="s">
        <v>965</v>
      </c>
      <c r="DA8" s="185" t="s">
        <v>965</v>
      </c>
      <c r="DB8" s="185" t="s">
        <v>2946</v>
      </c>
      <c r="DC8" s="185" t="s">
        <v>965</v>
      </c>
      <c r="DD8" s="185" t="s">
        <v>965</v>
      </c>
      <c r="DE8" s="185" t="s">
        <v>2947</v>
      </c>
      <c r="DF8" s="185" t="s">
        <v>965</v>
      </c>
      <c r="DG8" s="185" t="s">
        <v>965</v>
      </c>
      <c r="DH8" s="185" t="s">
        <v>2948</v>
      </c>
      <c r="DI8" s="185" t="s">
        <v>965</v>
      </c>
      <c r="DJ8" s="185" t="s">
        <v>965</v>
      </c>
      <c r="DK8" s="185" t="s">
        <v>2949</v>
      </c>
      <c r="DL8" s="185" t="s">
        <v>965</v>
      </c>
      <c r="DM8" s="185" t="s">
        <v>965</v>
      </c>
      <c r="DN8" s="185" t="s">
        <v>2950</v>
      </c>
      <c r="DO8" s="185" t="s">
        <v>965</v>
      </c>
      <c r="DP8" s="185" t="s">
        <v>965</v>
      </c>
      <c r="DQ8" s="185" t="s">
        <v>2951</v>
      </c>
      <c r="DR8" s="185" t="s">
        <v>965</v>
      </c>
      <c r="DS8" s="185" t="s">
        <v>965</v>
      </c>
      <c r="DT8" s="185" t="s">
        <v>2952</v>
      </c>
      <c r="DU8" s="185" t="s">
        <v>965</v>
      </c>
      <c r="DV8" s="185" t="s">
        <v>965</v>
      </c>
      <c r="DW8" s="185" t="s">
        <v>2953</v>
      </c>
      <c r="DX8" s="185" t="s">
        <v>965</v>
      </c>
      <c r="DY8" s="185" t="s">
        <v>965</v>
      </c>
      <c r="DZ8" s="185" t="s">
        <v>2954</v>
      </c>
      <c r="EA8" s="185" t="s">
        <v>965</v>
      </c>
      <c r="EB8" s="185" t="s">
        <v>965</v>
      </c>
      <c r="EC8" s="185" t="s">
        <v>2955</v>
      </c>
      <c r="ED8" s="185" t="s">
        <v>965</v>
      </c>
      <c r="EE8" s="185" t="s">
        <v>965</v>
      </c>
      <c r="EF8" s="185" t="s">
        <v>2956</v>
      </c>
      <c r="EG8" s="185" t="s">
        <v>965</v>
      </c>
      <c r="EH8" s="185" t="s">
        <v>965</v>
      </c>
      <c r="EI8" s="185" t="s">
        <v>2957</v>
      </c>
      <c r="EJ8" s="185" t="s">
        <v>965</v>
      </c>
      <c r="EK8" s="185" t="s">
        <v>965</v>
      </c>
      <c r="EL8" s="185" t="s">
        <v>2958</v>
      </c>
      <c r="EM8" s="185" t="s">
        <v>965</v>
      </c>
      <c r="EN8" s="185" t="s">
        <v>965</v>
      </c>
      <c r="EO8" s="185" t="s">
        <v>2959</v>
      </c>
      <c r="EP8" s="185" t="s">
        <v>965</v>
      </c>
      <c r="EQ8" s="185" t="s">
        <v>965</v>
      </c>
      <c r="ER8" s="185" t="s">
        <v>2960</v>
      </c>
      <c r="ES8" s="185" t="s">
        <v>965</v>
      </c>
      <c r="ET8" s="185" t="s">
        <v>965</v>
      </c>
    </row>
    <row r="9" spans="1:150" x14ac:dyDescent="0.3">
      <c r="A9" s="1"/>
      <c r="B9" s="185" t="s">
        <v>2961</v>
      </c>
      <c r="C9" s="185" t="s">
        <v>3</v>
      </c>
      <c r="D9" s="185" t="s">
        <v>73</v>
      </c>
      <c r="E9" s="185" t="s">
        <v>2962</v>
      </c>
      <c r="F9" s="185" t="s">
        <v>2963</v>
      </c>
      <c r="G9" s="185" t="s">
        <v>2964</v>
      </c>
      <c r="H9" s="185" t="s">
        <v>2965</v>
      </c>
      <c r="I9" s="185" t="s">
        <v>2966</v>
      </c>
      <c r="J9" s="185" t="s">
        <v>2964</v>
      </c>
      <c r="K9" s="185" t="s">
        <v>2965</v>
      </c>
      <c r="L9" s="185" t="s">
        <v>2966</v>
      </c>
      <c r="M9" s="185" t="s">
        <v>2964</v>
      </c>
      <c r="N9" s="185" t="s">
        <v>2965</v>
      </c>
      <c r="O9" s="185" t="s">
        <v>2966</v>
      </c>
      <c r="P9" s="185" t="s">
        <v>2964</v>
      </c>
      <c r="Q9" s="185" t="s">
        <v>2965</v>
      </c>
      <c r="R9" s="185" t="s">
        <v>2966</v>
      </c>
      <c r="S9" s="185" t="s">
        <v>2964</v>
      </c>
      <c r="T9" s="185" t="s">
        <v>2965</v>
      </c>
      <c r="U9" s="185" t="s">
        <v>2966</v>
      </c>
      <c r="V9" s="185" t="s">
        <v>2964</v>
      </c>
      <c r="W9" s="185" t="s">
        <v>2965</v>
      </c>
      <c r="X9" s="185" t="s">
        <v>2966</v>
      </c>
      <c r="Y9" s="185" t="s">
        <v>2964</v>
      </c>
      <c r="Z9" s="185" t="s">
        <v>2965</v>
      </c>
      <c r="AA9" s="185" t="s">
        <v>2966</v>
      </c>
      <c r="AB9" s="185" t="s">
        <v>2964</v>
      </c>
      <c r="AC9" s="185" t="s">
        <v>2965</v>
      </c>
      <c r="AD9" s="185" t="s">
        <v>2966</v>
      </c>
      <c r="AE9" s="185" t="s">
        <v>2964</v>
      </c>
      <c r="AF9" s="185" t="s">
        <v>2965</v>
      </c>
      <c r="AG9" s="185" t="s">
        <v>2966</v>
      </c>
      <c r="AH9" s="185" t="s">
        <v>2964</v>
      </c>
      <c r="AI9" s="185" t="s">
        <v>2965</v>
      </c>
      <c r="AJ9" s="185" t="s">
        <v>2966</v>
      </c>
      <c r="AK9" s="185" t="s">
        <v>2964</v>
      </c>
      <c r="AL9" s="185" t="s">
        <v>2965</v>
      </c>
      <c r="AM9" s="185" t="s">
        <v>2966</v>
      </c>
      <c r="AN9" s="185" t="s">
        <v>2964</v>
      </c>
      <c r="AO9" s="185" t="s">
        <v>2965</v>
      </c>
      <c r="AP9" s="185" t="s">
        <v>2966</v>
      </c>
      <c r="AQ9" s="185" t="s">
        <v>2964</v>
      </c>
      <c r="AR9" s="185" t="s">
        <v>2965</v>
      </c>
      <c r="AS9" s="185" t="s">
        <v>2966</v>
      </c>
      <c r="AT9" s="185" t="s">
        <v>2964</v>
      </c>
      <c r="AU9" s="185" t="s">
        <v>2965</v>
      </c>
      <c r="AV9" s="185" t="s">
        <v>2966</v>
      </c>
      <c r="AW9" s="185" t="s">
        <v>2964</v>
      </c>
      <c r="AX9" s="185" t="s">
        <v>2965</v>
      </c>
      <c r="AY9" s="185" t="s">
        <v>2966</v>
      </c>
      <c r="AZ9" s="185" t="s">
        <v>2964</v>
      </c>
      <c r="BA9" s="185" t="s">
        <v>2965</v>
      </c>
      <c r="BB9" s="185" t="s">
        <v>2966</v>
      </c>
      <c r="BC9" s="185" t="s">
        <v>2964</v>
      </c>
      <c r="BD9" s="185" t="s">
        <v>2965</v>
      </c>
      <c r="BE9" s="185" t="s">
        <v>2966</v>
      </c>
      <c r="BF9" s="185" t="s">
        <v>2964</v>
      </c>
      <c r="BG9" s="185" t="s">
        <v>2965</v>
      </c>
      <c r="BH9" s="185" t="s">
        <v>2966</v>
      </c>
      <c r="BI9" s="185" t="s">
        <v>2964</v>
      </c>
      <c r="BJ9" s="185" t="s">
        <v>2965</v>
      </c>
      <c r="BK9" s="185" t="s">
        <v>2966</v>
      </c>
      <c r="BL9" s="185" t="s">
        <v>2964</v>
      </c>
      <c r="BM9" s="185" t="s">
        <v>2965</v>
      </c>
      <c r="BN9" s="185" t="s">
        <v>2966</v>
      </c>
      <c r="BO9" s="185" t="s">
        <v>2964</v>
      </c>
      <c r="BP9" s="185" t="s">
        <v>2965</v>
      </c>
      <c r="BQ9" s="185" t="s">
        <v>2966</v>
      </c>
      <c r="BR9" s="185" t="s">
        <v>2964</v>
      </c>
      <c r="BS9" s="185" t="s">
        <v>2965</v>
      </c>
      <c r="BT9" s="185" t="s">
        <v>2966</v>
      </c>
      <c r="BU9" s="185" t="s">
        <v>2964</v>
      </c>
      <c r="BV9" s="185" t="s">
        <v>2965</v>
      </c>
      <c r="BW9" s="185" t="s">
        <v>2966</v>
      </c>
      <c r="BX9" s="185" t="s">
        <v>2964</v>
      </c>
      <c r="BY9" s="185" t="s">
        <v>2965</v>
      </c>
      <c r="BZ9" s="185" t="s">
        <v>2966</v>
      </c>
      <c r="CA9" s="185" t="s">
        <v>2964</v>
      </c>
      <c r="CB9" s="185" t="s">
        <v>2965</v>
      </c>
      <c r="CC9" s="185" t="s">
        <v>2966</v>
      </c>
      <c r="CD9" s="185" t="s">
        <v>2964</v>
      </c>
      <c r="CE9" s="185" t="s">
        <v>2965</v>
      </c>
      <c r="CF9" s="185" t="s">
        <v>2966</v>
      </c>
      <c r="CG9" s="185" t="s">
        <v>2964</v>
      </c>
      <c r="CH9" s="185" t="s">
        <v>2965</v>
      </c>
      <c r="CI9" s="185" t="s">
        <v>2966</v>
      </c>
      <c r="CJ9" s="185" t="s">
        <v>2964</v>
      </c>
      <c r="CK9" s="185" t="s">
        <v>2965</v>
      </c>
      <c r="CL9" s="185" t="s">
        <v>2966</v>
      </c>
      <c r="CM9" s="185" t="s">
        <v>2964</v>
      </c>
      <c r="CN9" s="185" t="s">
        <v>2965</v>
      </c>
      <c r="CO9" s="185" t="s">
        <v>2966</v>
      </c>
      <c r="CP9" s="185" t="s">
        <v>2964</v>
      </c>
      <c r="CQ9" s="185" t="s">
        <v>2965</v>
      </c>
      <c r="CR9" s="185" t="s">
        <v>2966</v>
      </c>
      <c r="CS9" s="185" t="s">
        <v>2964</v>
      </c>
      <c r="CT9" s="185" t="s">
        <v>2965</v>
      </c>
      <c r="CU9" s="185" t="s">
        <v>2966</v>
      </c>
      <c r="CV9" s="185" t="s">
        <v>2964</v>
      </c>
      <c r="CW9" s="185" t="s">
        <v>2965</v>
      </c>
      <c r="CX9" s="185" t="s">
        <v>2966</v>
      </c>
      <c r="CY9" s="185" t="s">
        <v>2964</v>
      </c>
      <c r="CZ9" s="185" t="s">
        <v>2965</v>
      </c>
      <c r="DA9" s="185" t="s">
        <v>2966</v>
      </c>
      <c r="DB9" s="185" t="s">
        <v>2964</v>
      </c>
      <c r="DC9" s="185" t="s">
        <v>2965</v>
      </c>
      <c r="DD9" s="185" t="s">
        <v>2966</v>
      </c>
      <c r="DE9" s="185" t="s">
        <v>2964</v>
      </c>
      <c r="DF9" s="185" t="s">
        <v>2965</v>
      </c>
      <c r="DG9" s="185" t="s">
        <v>2966</v>
      </c>
      <c r="DH9" s="185" t="s">
        <v>2964</v>
      </c>
      <c r="DI9" s="185" t="s">
        <v>2965</v>
      </c>
      <c r="DJ9" s="185" t="s">
        <v>2966</v>
      </c>
      <c r="DK9" s="185" t="s">
        <v>2964</v>
      </c>
      <c r="DL9" s="185" t="s">
        <v>2965</v>
      </c>
      <c r="DM9" s="185" t="s">
        <v>2966</v>
      </c>
      <c r="DN9" s="185" t="s">
        <v>2964</v>
      </c>
      <c r="DO9" s="185" t="s">
        <v>2965</v>
      </c>
      <c r="DP9" s="185" t="s">
        <v>2966</v>
      </c>
      <c r="DQ9" s="185" t="s">
        <v>2964</v>
      </c>
      <c r="DR9" s="185" t="s">
        <v>2965</v>
      </c>
      <c r="DS9" s="185" t="s">
        <v>2966</v>
      </c>
      <c r="DT9" s="185" t="s">
        <v>2964</v>
      </c>
      <c r="DU9" s="185" t="s">
        <v>2965</v>
      </c>
      <c r="DV9" s="185" t="s">
        <v>2966</v>
      </c>
      <c r="DW9" s="185" t="s">
        <v>2964</v>
      </c>
      <c r="DX9" s="185" t="s">
        <v>2965</v>
      </c>
      <c r="DY9" s="185" t="s">
        <v>2966</v>
      </c>
      <c r="DZ9" s="185" t="s">
        <v>2964</v>
      </c>
      <c r="EA9" s="185" t="s">
        <v>2965</v>
      </c>
      <c r="EB9" s="185" t="s">
        <v>2966</v>
      </c>
      <c r="EC9" s="185" t="s">
        <v>2964</v>
      </c>
      <c r="ED9" s="185" t="s">
        <v>2965</v>
      </c>
      <c r="EE9" s="185" t="s">
        <v>2966</v>
      </c>
      <c r="EF9" s="185" t="s">
        <v>2964</v>
      </c>
      <c r="EG9" s="185" t="s">
        <v>2965</v>
      </c>
      <c r="EH9" s="185" t="s">
        <v>2966</v>
      </c>
      <c r="EI9" s="185" t="s">
        <v>2964</v>
      </c>
      <c r="EJ9" s="185" t="s">
        <v>2965</v>
      </c>
      <c r="EK9" s="185" t="s">
        <v>2966</v>
      </c>
      <c r="EL9" s="185" t="s">
        <v>2964</v>
      </c>
      <c r="EM9" s="185" t="s">
        <v>2965</v>
      </c>
      <c r="EN9" s="185" t="s">
        <v>2966</v>
      </c>
      <c r="EO9" s="185" t="s">
        <v>2964</v>
      </c>
      <c r="EP9" s="185" t="s">
        <v>2965</v>
      </c>
      <c r="EQ9" s="185" t="s">
        <v>2966</v>
      </c>
      <c r="ER9" s="185" t="s">
        <v>2964</v>
      </c>
      <c r="ES9" s="185" t="s">
        <v>2965</v>
      </c>
      <c r="ET9" s="185" t="s">
        <v>2966</v>
      </c>
    </row>
    <row r="10" spans="1:150" x14ac:dyDescent="0.3">
      <c r="A10" s="1"/>
      <c r="B10" s="186" t="s">
        <v>2967</v>
      </c>
      <c r="C10" s="186" t="s">
        <v>106</v>
      </c>
      <c r="D10" s="186" t="s">
        <v>115</v>
      </c>
      <c r="E10" s="186" t="s">
        <v>2968</v>
      </c>
      <c r="F10" s="186" t="s">
        <v>2969</v>
      </c>
      <c r="G10" s="186" t="s">
        <v>2970</v>
      </c>
      <c r="H10" s="186" t="s">
        <v>2860</v>
      </c>
      <c r="I10" s="186" t="s">
        <v>2860</v>
      </c>
      <c r="J10" s="186" t="s">
        <v>2970</v>
      </c>
      <c r="K10" s="186" t="s">
        <v>2860</v>
      </c>
      <c r="L10" s="186" t="s">
        <v>2860</v>
      </c>
      <c r="M10" s="186" t="s">
        <v>2970</v>
      </c>
      <c r="N10" s="186" t="s">
        <v>2860</v>
      </c>
      <c r="O10" s="186" t="s">
        <v>2860</v>
      </c>
      <c r="P10" s="186" t="s">
        <v>2970</v>
      </c>
      <c r="Q10" s="186" t="s">
        <v>2860</v>
      </c>
      <c r="R10" s="186" t="s">
        <v>2860</v>
      </c>
      <c r="S10" s="186" t="s">
        <v>2970</v>
      </c>
      <c r="T10" s="186" t="s">
        <v>2860</v>
      </c>
      <c r="U10" s="186" t="s">
        <v>2860</v>
      </c>
      <c r="V10" s="186" t="s">
        <v>2970</v>
      </c>
      <c r="W10" s="186" t="s">
        <v>2860</v>
      </c>
      <c r="X10" s="186" t="s">
        <v>2860</v>
      </c>
      <c r="Y10" s="186" t="s">
        <v>2970</v>
      </c>
      <c r="Z10" s="186" t="s">
        <v>2860</v>
      </c>
      <c r="AA10" s="186" t="s">
        <v>2860</v>
      </c>
      <c r="AB10" s="186" t="s">
        <v>2970</v>
      </c>
      <c r="AC10" s="186" t="s">
        <v>2860</v>
      </c>
      <c r="AD10" s="186" t="s">
        <v>2860</v>
      </c>
      <c r="AE10" s="186" t="s">
        <v>2970</v>
      </c>
      <c r="AF10" s="186" t="s">
        <v>2860</v>
      </c>
      <c r="AG10" s="186" t="s">
        <v>2860</v>
      </c>
      <c r="AH10" s="186" t="s">
        <v>2970</v>
      </c>
      <c r="AI10" s="186" t="s">
        <v>2860</v>
      </c>
      <c r="AJ10" s="186" t="s">
        <v>2860</v>
      </c>
      <c r="AK10" s="186" t="s">
        <v>2970</v>
      </c>
      <c r="AL10" s="186" t="s">
        <v>2860</v>
      </c>
      <c r="AM10" s="186" t="s">
        <v>2860</v>
      </c>
      <c r="AN10" s="186" t="s">
        <v>2970</v>
      </c>
      <c r="AO10" s="186" t="s">
        <v>2860</v>
      </c>
      <c r="AP10" s="186" t="s">
        <v>2860</v>
      </c>
      <c r="AQ10" s="186" t="s">
        <v>2970</v>
      </c>
      <c r="AR10" s="186" t="s">
        <v>2860</v>
      </c>
      <c r="AS10" s="186" t="s">
        <v>2860</v>
      </c>
      <c r="AT10" s="186" t="s">
        <v>2970</v>
      </c>
      <c r="AU10" s="186" t="s">
        <v>2860</v>
      </c>
      <c r="AV10" s="186" t="s">
        <v>2860</v>
      </c>
      <c r="AW10" s="186" t="s">
        <v>2970</v>
      </c>
      <c r="AX10" s="186" t="s">
        <v>2860</v>
      </c>
      <c r="AY10" s="186" t="s">
        <v>2860</v>
      </c>
      <c r="AZ10" s="186" t="s">
        <v>2970</v>
      </c>
      <c r="BA10" s="186" t="s">
        <v>2860</v>
      </c>
      <c r="BB10" s="186" t="s">
        <v>2860</v>
      </c>
      <c r="BC10" s="186" t="s">
        <v>2970</v>
      </c>
      <c r="BD10" s="186" t="s">
        <v>2860</v>
      </c>
      <c r="BE10" s="186" t="s">
        <v>2860</v>
      </c>
      <c r="BF10" s="186" t="s">
        <v>2970</v>
      </c>
      <c r="BG10" s="186" t="s">
        <v>2860</v>
      </c>
      <c r="BH10" s="186" t="s">
        <v>2860</v>
      </c>
      <c r="BI10" s="186" t="s">
        <v>2970</v>
      </c>
      <c r="BJ10" s="186" t="s">
        <v>2860</v>
      </c>
      <c r="BK10" s="186" t="s">
        <v>2860</v>
      </c>
      <c r="BL10" s="186" t="s">
        <v>2970</v>
      </c>
      <c r="BM10" s="186" t="s">
        <v>2860</v>
      </c>
      <c r="BN10" s="186" t="s">
        <v>2860</v>
      </c>
      <c r="BO10" s="186" t="s">
        <v>2970</v>
      </c>
      <c r="BP10" s="186" t="s">
        <v>2860</v>
      </c>
      <c r="BQ10" s="186" t="s">
        <v>2860</v>
      </c>
      <c r="BR10" s="186" t="s">
        <v>2970</v>
      </c>
      <c r="BS10" s="186" t="s">
        <v>2860</v>
      </c>
      <c r="BT10" s="186" t="s">
        <v>2860</v>
      </c>
      <c r="BU10" s="186" t="s">
        <v>2970</v>
      </c>
      <c r="BV10" s="186" t="s">
        <v>2860</v>
      </c>
      <c r="BW10" s="186" t="s">
        <v>2860</v>
      </c>
      <c r="BX10" s="186" t="s">
        <v>2970</v>
      </c>
      <c r="BY10" s="186" t="s">
        <v>2860</v>
      </c>
      <c r="BZ10" s="186" t="s">
        <v>2860</v>
      </c>
      <c r="CA10" s="186" t="s">
        <v>2970</v>
      </c>
      <c r="CB10" s="186" t="s">
        <v>2860</v>
      </c>
      <c r="CC10" s="186" t="s">
        <v>2860</v>
      </c>
      <c r="CD10" s="186" t="s">
        <v>2970</v>
      </c>
      <c r="CE10" s="186" t="s">
        <v>2860</v>
      </c>
      <c r="CF10" s="186" t="s">
        <v>2860</v>
      </c>
      <c r="CG10" s="186" t="s">
        <v>2970</v>
      </c>
      <c r="CH10" s="186" t="s">
        <v>2860</v>
      </c>
      <c r="CI10" s="186" t="s">
        <v>2860</v>
      </c>
      <c r="CJ10" s="186" t="s">
        <v>2970</v>
      </c>
      <c r="CK10" s="186" t="s">
        <v>2860</v>
      </c>
      <c r="CL10" s="186" t="s">
        <v>2860</v>
      </c>
      <c r="CM10" s="186" t="s">
        <v>2970</v>
      </c>
      <c r="CN10" s="186" t="s">
        <v>2860</v>
      </c>
      <c r="CO10" s="186" t="s">
        <v>2860</v>
      </c>
      <c r="CP10" s="186" t="s">
        <v>2970</v>
      </c>
      <c r="CQ10" s="186" t="s">
        <v>2860</v>
      </c>
      <c r="CR10" s="186" t="s">
        <v>2860</v>
      </c>
      <c r="CS10" s="186" t="s">
        <v>2970</v>
      </c>
      <c r="CT10" s="186" t="s">
        <v>2860</v>
      </c>
      <c r="CU10" s="186" t="s">
        <v>2860</v>
      </c>
      <c r="CV10" s="186" t="s">
        <v>2970</v>
      </c>
      <c r="CW10" s="186" t="s">
        <v>2860</v>
      </c>
      <c r="CX10" s="186" t="s">
        <v>2860</v>
      </c>
      <c r="CY10" s="186" t="s">
        <v>2970</v>
      </c>
      <c r="CZ10" s="186" t="s">
        <v>2860</v>
      </c>
      <c r="DA10" s="186" t="s">
        <v>2860</v>
      </c>
      <c r="DB10" s="186" t="s">
        <v>2970</v>
      </c>
      <c r="DC10" s="186" t="s">
        <v>2860</v>
      </c>
      <c r="DD10" s="186" t="s">
        <v>2860</v>
      </c>
      <c r="DE10" s="186" t="s">
        <v>2970</v>
      </c>
      <c r="DF10" s="186" t="s">
        <v>2860</v>
      </c>
      <c r="DG10" s="186" t="s">
        <v>2860</v>
      </c>
      <c r="DH10" s="186" t="s">
        <v>2970</v>
      </c>
      <c r="DI10" s="186" t="s">
        <v>2860</v>
      </c>
      <c r="DJ10" s="186" t="s">
        <v>2860</v>
      </c>
      <c r="DK10" s="186" t="s">
        <v>2970</v>
      </c>
      <c r="DL10" s="186" t="s">
        <v>2860</v>
      </c>
      <c r="DM10" s="186" t="s">
        <v>2860</v>
      </c>
      <c r="DN10" s="186" t="s">
        <v>2970</v>
      </c>
      <c r="DO10" s="186" t="s">
        <v>2860</v>
      </c>
      <c r="DP10" s="186" t="s">
        <v>2860</v>
      </c>
      <c r="DQ10" s="186" t="s">
        <v>2970</v>
      </c>
      <c r="DR10" s="186" t="s">
        <v>2860</v>
      </c>
      <c r="DS10" s="186" t="s">
        <v>2860</v>
      </c>
      <c r="DT10" s="186" t="s">
        <v>2970</v>
      </c>
      <c r="DU10" s="186" t="s">
        <v>2860</v>
      </c>
      <c r="DV10" s="186" t="s">
        <v>2860</v>
      </c>
      <c r="DW10" s="186" t="s">
        <v>2970</v>
      </c>
      <c r="DX10" s="186" t="s">
        <v>2860</v>
      </c>
      <c r="DY10" s="186" t="s">
        <v>2860</v>
      </c>
      <c r="DZ10" s="186" t="s">
        <v>2970</v>
      </c>
      <c r="EA10" s="186" t="s">
        <v>2860</v>
      </c>
      <c r="EB10" s="186" t="s">
        <v>2860</v>
      </c>
      <c r="EC10" s="186" t="s">
        <v>2970</v>
      </c>
      <c r="ED10" s="186" t="s">
        <v>2860</v>
      </c>
      <c r="EE10" s="186" t="s">
        <v>2860</v>
      </c>
      <c r="EF10" s="186" t="s">
        <v>2970</v>
      </c>
      <c r="EG10" s="186" t="s">
        <v>2860</v>
      </c>
      <c r="EH10" s="186" t="s">
        <v>2860</v>
      </c>
      <c r="EI10" s="186" t="s">
        <v>2970</v>
      </c>
      <c r="EJ10" s="186" t="s">
        <v>2860</v>
      </c>
      <c r="EK10" s="186" t="s">
        <v>2860</v>
      </c>
      <c r="EL10" s="186" t="s">
        <v>2970</v>
      </c>
      <c r="EM10" s="186" t="s">
        <v>2860</v>
      </c>
      <c r="EN10" s="186" t="s">
        <v>2860</v>
      </c>
      <c r="EO10" s="186" t="s">
        <v>2970</v>
      </c>
      <c r="EP10" s="186" t="s">
        <v>2860</v>
      </c>
      <c r="EQ10" s="186" t="s">
        <v>2860</v>
      </c>
      <c r="ER10" s="186" t="s">
        <v>2970</v>
      </c>
      <c r="ES10" s="186" t="s">
        <v>2860</v>
      </c>
      <c r="ET10" s="186" t="s">
        <v>2860</v>
      </c>
    </row>
    <row r="11" spans="1:150" x14ac:dyDescent="0.3">
      <c r="A11" s="1"/>
      <c r="B11" s="187" t="s">
        <v>2971</v>
      </c>
      <c r="C11" s="187" t="s">
        <v>106</v>
      </c>
      <c r="D11" s="187" t="s">
        <v>115</v>
      </c>
      <c r="E11" s="187" t="s">
        <v>2972</v>
      </c>
      <c r="F11" s="187" t="s">
        <v>2973</v>
      </c>
      <c r="G11" s="188" t="s">
        <v>2970</v>
      </c>
      <c r="H11" s="188" t="s">
        <v>965</v>
      </c>
      <c r="I11" s="188" t="s">
        <v>965</v>
      </c>
      <c r="J11" s="188" t="s">
        <v>2970</v>
      </c>
      <c r="K11" s="188" t="s">
        <v>965</v>
      </c>
      <c r="L11" s="188" t="s">
        <v>965</v>
      </c>
      <c r="M11" s="188" t="s">
        <v>2970</v>
      </c>
      <c r="N11" s="188" t="s">
        <v>965</v>
      </c>
      <c r="O11" s="188" t="s">
        <v>965</v>
      </c>
      <c r="P11" s="188" t="s">
        <v>2970</v>
      </c>
      <c r="Q11" s="188" t="s">
        <v>965</v>
      </c>
      <c r="R11" s="188" t="s">
        <v>965</v>
      </c>
      <c r="S11" s="188" t="s">
        <v>2970</v>
      </c>
      <c r="T11" s="188" t="s">
        <v>965</v>
      </c>
      <c r="U11" s="188" t="s">
        <v>965</v>
      </c>
      <c r="V11" s="188" t="s">
        <v>2970</v>
      </c>
      <c r="W11" s="188" t="s">
        <v>965</v>
      </c>
      <c r="X11" s="188" t="s">
        <v>965</v>
      </c>
      <c r="Y11" s="188" t="s">
        <v>2970</v>
      </c>
      <c r="Z11" s="188" t="s">
        <v>965</v>
      </c>
      <c r="AA11" s="188" t="s">
        <v>965</v>
      </c>
      <c r="AB11" s="188" t="s">
        <v>2970</v>
      </c>
      <c r="AC11" s="188" t="s">
        <v>965</v>
      </c>
      <c r="AD11" s="188" t="s">
        <v>965</v>
      </c>
      <c r="AE11" s="188" t="s">
        <v>2970</v>
      </c>
      <c r="AF11" s="188" t="s">
        <v>965</v>
      </c>
      <c r="AG11" s="188" t="s">
        <v>965</v>
      </c>
      <c r="AH11" s="188" t="s">
        <v>2970</v>
      </c>
      <c r="AI11" s="188" t="s">
        <v>965</v>
      </c>
      <c r="AJ11" s="188" t="s">
        <v>965</v>
      </c>
      <c r="AK11" s="188" t="s">
        <v>2970</v>
      </c>
      <c r="AL11" s="188" t="s">
        <v>965</v>
      </c>
      <c r="AM11" s="188" t="s">
        <v>965</v>
      </c>
      <c r="AN11" s="188" t="s">
        <v>2970</v>
      </c>
      <c r="AO11" s="188" t="s">
        <v>965</v>
      </c>
      <c r="AP11" s="188" t="s">
        <v>965</v>
      </c>
      <c r="AQ11" s="188" t="s">
        <v>2970</v>
      </c>
      <c r="AR11" s="188" t="s">
        <v>965</v>
      </c>
      <c r="AS11" s="188" t="s">
        <v>965</v>
      </c>
      <c r="AT11" s="188" t="s">
        <v>2970</v>
      </c>
      <c r="AU11" s="188" t="s">
        <v>965</v>
      </c>
      <c r="AV11" s="188" t="s">
        <v>965</v>
      </c>
      <c r="AW11" s="188" t="s">
        <v>2970</v>
      </c>
      <c r="AX11" s="188" t="s">
        <v>965</v>
      </c>
      <c r="AY11" s="188" t="s">
        <v>965</v>
      </c>
      <c r="AZ11" s="188" t="s">
        <v>2970</v>
      </c>
      <c r="BA11" s="188" t="s">
        <v>965</v>
      </c>
      <c r="BB11" s="188" t="s">
        <v>965</v>
      </c>
      <c r="BC11" s="188" t="s">
        <v>2970</v>
      </c>
      <c r="BD11" s="188" t="s">
        <v>965</v>
      </c>
      <c r="BE11" s="188" t="s">
        <v>965</v>
      </c>
      <c r="BF11" s="188" t="s">
        <v>2970</v>
      </c>
      <c r="BG11" s="188" t="s">
        <v>965</v>
      </c>
      <c r="BH11" s="188" t="s">
        <v>965</v>
      </c>
      <c r="BI11" s="188" t="s">
        <v>2970</v>
      </c>
      <c r="BJ11" s="188" t="s">
        <v>965</v>
      </c>
      <c r="BK11" s="188" t="s">
        <v>965</v>
      </c>
      <c r="BL11" s="188" t="s">
        <v>2970</v>
      </c>
      <c r="BM11" s="188" t="s">
        <v>965</v>
      </c>
      <c r="BN11" s="188" t="s">
        <v>965</v>
      </c>
      <c r="BO11" s="188" t="s">
        <v>2970</v>
      </c>
      <c r="BP11" s="188" t="s">
        <v>965</v>
      </c>
      <c r="BQ11" s="188" t="s">
        <v>965</v>
      </c>
      <c r="BR11" s="188" t="s">
        <v>2970</v>
      </c>
      <c r="BS11" s="188" t="s">
        <v>965</v>
      </c>
      <c r="BT11" s="188" t="s">
        <v>965</v>
      </c>
      <c r="BU11" s="188" t="s">
        <v>2970</v>
      </c>
      <c r="BV11" s="188" t="s">
        <v>965</v>
      </c>
      <c r="BW11" s="188" t="s">
        <v>965</v>
      </c>
      <c r="BX11" s="188" t="s">
        <v>2970</v>
      </c>
      <c r="BY11" s="188" t="s">
        <v>965</v>
      </c>
      <c r="BZ11" s="188" t="s">
        <v>965</v>
      </c>
      <c r="CA11" s="188" t="s">
        <v>2970</v>
      </c>
      <c r="CB11" s="188" t="s">
        <v>965</v>
      </c>
      <c r="CC11" s="188" t="s">
        <v>965</v>
      </c>
      <c r="CD11" s="188" t="s">
        <v>2970</v>
      </c>
      <c r="CE11" s="188" t="s">
        <v>965</v>
      </c>
      <c r="CF11" s="188" t="s">
        <v>965</v>
      </c>
      <c r="CG11" s="188" t="s">
        <v>2970</v>
      </c>
      <c r="CH11" s="188" t="s">
        <v>965</v>
      </c>
      <c r="CI11" s="188" t="s">
        <v>965</v>
      </c>
      <c r="CJ11" s="188" t="s">
        <v>2970</v>
      </c>
      <c r="CK11" s="188" t="s">
        <v>965</v>
      </c>
      <c r="CL11" s="188" t="s">
        <v>965</v>
      </c>
      <c r="CM11" s="188" t="s">
        <v>2970</v>
      </c>
      <c r="CN11" s="188" t="s">
        <v>965</v>
      </c>
      <c r="CO11" s="188" t="s">
        <v>965</v>
      </c>
      <c r="CP11" s="188" t="s">
        <v>2970</v>
      </c>
      <c r="CQ11" s="188" t="s">
        <v>965</v>
      </c>
      <c r="CR11" s="188" t="s">
        <v>965</v>
      </c>
      <c r="CS11" s="188" t="s">
        <v>2970</v>
      </c>
      <c r="CT11" s="188" t="s">
        <v>965</v>
      </c>
      <c r="CU11" s="188" t="s">
        <v>965</v>
      </c>
      <c r="CV11" s="188" t="s">
        <v>2970</v>
      </c>
      <c r="CW11" s="188" t="s">
        <v>965</v>
      </c>
      <c r="CX11" s="188" t="s">
        <v>965</v>
      </c>
      <c r="CY11" s="188" t="s">
        <v>2970</v>
      </c>
      <c r="CZ11" s="188" t="s">
        <v>965</v>
      </c>
      <c r="DA11" s="188" t="s">
        <v>965</v>
      </c>
      <c r="DB11" s="188" t="s">
        <v>2970</v>
      </c>
      <c r="DC11" s="188" t="s">
        <v>965</v>
      </c>
      <c r="DD11" s="188" t="s">
        <v>965</v>
      </c>
      <c r="DE11" s="188" t="s">
        <v>2970</v>
      </c>
      <c r="DF11" s="188" t="s">
        <v>965</v>
      </c>
      <c r="DG11" s="188" t="s">
        <v>965</v>
      </c>
      <c r="DH11" s="188" t="s">
        <v>2970</v>
      </c>
      <c r="DI11" s="188" t="s">
        <v>965</v>
      </c>
      <c r="DJ11" s="188" t="s">
        <v>965</v>
      </c>
      <c r="DK11" s="188" t="s">
        <v>2970</v>
      </c>
      <c r="DL11" s="188" t="s">
        <v>965</v>
      </c>
      <c r="DM11" s="188" t="s">
        <v>965</v>
      </c>
      <c r="DN11" s="188" t="s">
        <v>2970</v>
      </c>
      <c r="DO11" s="188" t="s">
        <v>965</v>
      </c>
      <c r="DP11" s="188" t="s">
        <v>965</v>
      </c>
      <c r="DQ11" s="188" t="s">
        <v>2970</v>
      </c>
      <c r="DR11" s="188" t="s">
        <v>965</v>
      </c>
      <c r="DS11" s="188" t="s">
        <v>965</v>
      </c>
      <c r="DT11" s="188" t="s">
        <v>2970</v>
      </c>
      <c r="DU11" s="188" t="s">
        <v>965</v>
      </c>
      <c r="DV11" s="188" t="s">
        <v>965</v>
      </c>
      <c r="DW11" s="188" t="s">
        <v>2970</v>
      </c>
      <c r="DX11" s="188" t="s">
        <v>965</v>
      </c>
      <c r="DY11" s="188" t="s">
        <v>965</v>
      </c>
      <c r="DZ11" s="188" t="s">
        <v>2970</v>
      </c>
      <c r="EA11" s="188" t="s">
        <v>965</v>
      </c>
      <c r="EB11" s="188" t="s">
        <v>965</v>
      </c>
      <c r="EC11" s="188" t="s">
        <v>2970</v>
      </c>
      <c r="ED11" s="188" t="s">
        <v>965</v>
      </c>
      <c r="EE11" s="188" t="s">
        <v>965</v>
      </c>
      <c r="EF11" s="188" t="s">
        <v>2970</v>
      </c>
      <c r="EG11" s="188" t="s">
        <v>965</v>
      </c>
      <c r="EH11" s="188" t="s">
        <v>965</v>
      </c>
      <c r="EI11" s="188" t="s">
        <v>2970</v>
      </c>
      <c r="EJ11" s="188" t="s">
        <v>965</v>
      </c>
      <c r="EK11" s="188" t="s">
        <v>965</v>
      </c>
      <c r="EL11" s="188" t="s">
        <v>2970</v>
      </c>
      <c r="EM11" s="188" t="s">
        <v>965</v>
      </c>
      <c r="EN11" s="188" t="s">
        <v>965</v>
      </c>
      <c r="EO11" s="188" t="s">
        <v>2970</v>
      </c>
      <c r="EP11" s="188" t="s">
        <v>965</v>
      </c>
      <c r="EQ11" s="188" t="s">
        <v>965</v>
      </c>
      <c r="ER11" s="188" t="s">
        <v>2970</v>
      </c>
      <c r="ES11" s="188" t="s">
        <v>965</v>
      </c>
      <c r="ET11" s="188" t="s">
        <v>965</v>
      </c>
    </row>
    <row r="12" spans="1:150" x14ac:dyDescent="0.3">
      <c r="A12" s="1"/>
      <c r="B12" s="187" t="s">
        <v>2974</v>
      </c>
      <c r="C12" s="187" t="s">
        <v>106</v>
      </c>
      <c r="D12" s="187" t="s">
        <v>115</v>
      </c>
      <c r="E12" s="187" t="s">
        <v>2975</v>
      </c>
      <c r="F12" s="187" t="s">
        <v>2976</v>
      </c>
      <c r="G12" s="188" t="s">
        <v>2970</v>
      </c>
      <c r="H12" s="188" t="s">
        <v>965</v>
      </c>
      <c r="I12" s="188" t="s">
        <v>965</v>
      </c>
      <c r="J12" s="188" t="s">
        <v>2970</v>
      </c>
      <c r="K12" s="188" t="s">
        <v>965</v>
      </c>
      <c r="L12" s="188" t="s">
        <v>965</v>
      </c>
      <c r="M12" s="188" t="s">
        <v>2970</v>
      </c>
      <c r="N12" s="188" t="s">
        <v>965</v>
      </c>
      <c r="O12" s="188" t="s">
        <v>965</v>
      </c>
      <c r="P12" s="188" t="s">
        <v>2970</v>
      </c>
      <c r="Q12" s="188" t="s">
        <v>965</v>
      </c>
      <c r="R12" s="188" t="s">
        <v>965</v>
      </c>
      <c r="S12" s="188" t="s">
        <v>2970</v>
      </c>
      <c r="T12" s="188" t="s">
        <v>965</v>
      </c>
      <c r="U12" s="188" t="s">
        <v>965</v>
      </c>
      <c r="V12" s="188" t="s">
        <v>2970</v>
      </c>
      <c r="W12" s="188" t="s">
        <v>965</v>
      </c>
      <c r="X12" s="188" t="s">
        <v>965</v>
      </c>
      <c r="Y12" s="188" t="s">
        <v>2970</v>
      </c>
      <c r="Z12" s="188" t="s">
        <v>965</v>
      </c>
      <c r="AA12" s="188" t="s">
        <v>965</v>
      </c>
      <c r="AB12" s="188" t="s">
        <v>2970</v>
      </c>
      <c r="AC12" s="188" t="s">
        <v>965</v>
      </c>
      <c r="AD12" s="188" t="s">
        <v>965</v>
      </c>
      <c r="AE12" s="188" t="s">
        <v>2970</v>
      </c>
      <c r="AF12" s="188" t="s">
        <v>965</v>
      </c>
      <c r="AG12" s="188" t="s">
        <v>965</v>
      </c>
      <c r="AH12" s="188" t="s">
        <v>2970</v>
      </c>
      <c r="AI12" s="188" t="s">
        <v>965</v>
      </c>
      <c r="AJ12" s="188" t="s">
        <v>965</v>
      </c>
      <c r="AK12" s="188" t="s">
        <v>2970</v>
      </c>
      <c r="AL12" s="188" t="s">
        <v>965</v>
      </c>
      <c r="AM12" s="188" t="s">
        <v>965</v>
      </c>
      <c r="AN12" s="188" t="s">
        <v>2970</v>
      </c>
      <c r="AO12" s="188" t="s">
        <v>965</v>
      </c>
      <c r="AP12" s="188" t="s">
        <v>965</v>
      </c>
      <c r="AQ12" s="188" t="s">
        <v>2970</v>
      </c>
      <c r="AR12" s="188" t="s">
        <v>965</v>
      </c>
      <c r="AS12" s="188" t="s">
        <v>965</v>
      </c>
      <c r="AT12" s="188" t="s">
        <v>2970</v>
      </c>
      <c r="AU12" s="188" t="s">
        <v>965</v>
      </c>
      <c r="AV12" s="188" t="s">
        <v>965</v>
      </c>
      <c r="AW12" s="188" t="s">
        <v>2970</v>
      </c>
      <c r="AX12" s="188" t="s">
        <v>965</v>
      </c>
      <c r="AY12" s="188" t="s">
        <v>965</v>
      </c>
      <c r="AZ12" s="188" t="s">
        <v>2970</v>
      </c>
      <c r="BA12" s="188" t="s">
        <v>965</v>
      </c>
      <c r="BB12" s="188" t="s">
        <v>965</v>
      </c>
      <c r="BC12" s="188" t="s">
        <v>2970</v>
      </c>
      <c r="BD12" s="188" t="s">
        <v>965</v>
      </c>
      <c r="BE12" s="188" t="s">
        <v>965</v>
      </c>
      <c r="BF12" s="188" t="s">
        <v>2970</v>
      </c>
      <c r="BG12" s="188" t="s">
        <v>965</v>
      </c>
      <c r="BH12" s="188" t="s">
        <v>965</v>
      </c>
      <c r="BI12" s="188" t="s">
        <v>2970</v>
      </c>
      <c r="BJ12" s="188" t="s">
        <v>965</v>
      </c>
      <c r="BK12" s="188" t="s">
        <v>965</v>
      </c>
      <c r="BL12" s="188" t="s">
        <v>2970</v>
      </c>
      <c r="BM12" s="188" t="s">
        <v>965</v>
      </c>
      <c r="BN12" s="188" t="s">
        <v>965</v>
      </c>
      <c r="BO12" s="188" t="s">
        <v>2970</v>
      </c>
      <c r="BP12" s="188" t="s">
        <v>965</v>
      </c>
      <c r="BQ12" s="188" t="s">
        <v>965</v>
      </c>
      <c r="BR12" s="188" t="s">
        <v>2970</v>
      </c>
      <c r="BS12" s="188" t="s">
        <v>965</v>
      </c>
      <c r="BT12" s="188" t="s">
        <v>965</v>
      </c>
      <c r="BU12" s="188" t="s">
        <v>2970</v>
      </c>
      <c r="BV12" s="188" t="s">
        <v>965</v>
      </c>
      <c r="BW12" s="188" t="s">
        <v>965</v>
      </c>
      <c r="BX12" s="188" t="s">
        <v>2970</v>
      </c>
      <c r="BY12" s="188" t="s">
        <v>965</v>
      </c>
      <c r="BZ12" s="188" t="s">
        <v>965</v>
      </c>
      <c r="CA12" s="188" t="s">
        <v>2970</v>
      </c>
      <c r="CB12" s="188" t="s">
        <v>965</v>
      </c>
      <c r="CC12" s="188" t="s">
        <v>965</v>
      </c>
      <c r="CD12" s="188" t="s">
        <v>2970</v>
      </c>
      <c r="CE12" s="188" t="s">
        <v>965</v>
      </c>
      <c r="CF12" s="188" t="s">
        <v>965</v>
      </c>
      <c r="CG12" s="188" t="s">
        <v>2970</v>
      </c>
      <c r="CH12" s="188" t="s">
        <v>965</v>
      </c>
      <c r="CI12" s="188" t="s">
        <v>965</v>
      </c>
      <c r="CJ12" s="188" t="s">
        <v>2970</v>
      </c>
      <c r="CK12" s="188" t="s">
        <v>965</v>
      </c>
      <c r="CL12" s="188" t="s">
        <v>965</v>
      </c>
      <c r="CM12" s="188" t="s">
        <v>2970</v>
      </c>
      <c r="CN12" s="188" t="s">
        <v>965</v>
      </c>
      <c r="CO12" s="188" t="s">
        <v>965</v>
      </c>
      <c r="CP12" s="188" t="s">
        <v>2970</v>
      </c>
      <c r="CQ12" s="188" t="s">
        <v>965</v>
      </c>
      <c r="CR12" s="188" t="s">
        <v>965</v>
      </c>
      <c r="CS12" s="188" t="s">
        <v>2970</v>
      </c>
      <c r="CT12" s="188" t="s">
        <v>965</v>
      </c>
      <c r="CU12" s="188" t="s">
        <v>965</v>
      </c>
      <c r="CV12" s="188" t="s">
        <v>2970</v>
      </c>
      <c r="CW12" s="188" t="s">
        <v>965</v>
      </c>
      <c r="CX12" s="188" t="s">
        <v>965</v>
      </c>
      <c r="CY12" s="188" t="s">
        <v>2970</v>
      </c>
      <c r="CZ12" s="188" t="s">
        <v>965</v>
      </c>
      <c r="DA12" s="188" t="s">
        <v>965</v>
      </c>
      <c r="DB12" s="188" t="s">
        <v>2970</v>
      </c>
      <c r="DC12" s="188" t="s">
        <v>965</v>
      </c>
      <c r="DD12" s="188" t="s">
        <v>965</v>
      </c>
      <c r="DE12" s="188" t="s">
        <v>2970</v>
      </c>
      <c r="DF12" s="188" t="s">
        <v>965</v>
      </c>
      <c r="DG12" s="188" t="s">
        <v>965</v>
      </c>
      <c r="DH12" s="188" t="s">
        <v>2970</v>
      </c>
      <c r="DI12" s="188" t="s">
        <v>965</v>
      </c>
      <c r="DJ12" s="188" t="s">
        <v>965</v>
      </c>
      <c r="DK12" s="188" t="s">
        <v>2970</v>
      </c>
      <c r="DL12" s="188" t="s">
        <v>965</v>
      </c>
      <c r="DM12" s="188" t="s">
        <v>965</v>
      </c>
      <c r="DN12" s="188" t="s">
        <v>2970</v>
      </c>
      <c r="DO12" s="188" t="s">
        <v>965</v>
      </c>
      <c r="DP12" s="188" t="s">
        <v>965</v>
      </c>
      <c r="DQ12" s="188" t="s">
        <v>2970</v>
      </c>
      <c r="DR12" s="188" t="s">
        <v>965</v>
      </c>
      <c r="DS12" s="188" t="s">
        <v>965</v>
      </c>
      <c r="DT12" s="188" t="s">
        <v>2970</v>
      </c>
      <c r="DU12" s="188" t="s">
        <v>965</v>
      </c>
      <c r="DV12" s="188" t="s">
        <v>965</v>
      </c>
      <c r="DW12" s="188" t="s">
        <v>2970</v>
      </c>
      <c r="DX12" s="188" t="s">
        <v>965</v>
      </c>
      <c r="DY12" s="188" t="s">
        <v>965</v>
      </c>
      <c r="DZ12" s="188" t="s">
        <v>2970</v>
      </c>
      <c r="EA12" s="188" t="s">
        <v>965</v>
      </c>
      <c r="EB12" s="188" t="s">
        <v>965</v>
      </c>
      <c r="EC12" s="188" t="s">
        <v>2970</v>
      </c>
      <c r="ED12" s="188" t="s">
        <v>965</v>
      </c>
      <c r="EE12" s="188" t="s">
        <v>965</v>
      </c>
      <c r="EF12" s="188" t="s">
        <v>2970</v>
      </c>
      <c r="EG12" s="188" t="s">
        <v>965</v>
      </c>
      <c r="EH12" s="188" t="s">
        <v>965</v>
      </c>
      <c r="EI12" s="188" t="s">
        <v>2970</v>
      </c>
      <c r="EJ12" s="188" t="s">
        <v>965</v>
      </c>
      <c r="EK12" s="188" t="s">
        <v>965</v>
      </c>
      <c r="EL12" s="188" t="s">
        <v>2970</v>
      </c>
      <c r="EM12" s="188" t="s">
        <v>965</v>
      </c>
      <c r="EN12" s="188" t="s">
        <v>965</v>
      </c>
      <c r="EO12" s="188" t="s">
        <v>2970</v>
      </c>
      <c r="EP12" s="188" t="s">
        <v>965</v>
      </c>
      <c r="EQ12" s="188" t="s">
        <v>965</v>
      </c>
      <c r="ER12" s="188" t="s">
        <v>2970</v>
      </c>
      <c r="ES12" s="188" t="s">
        <v>965</v>
      </c>
      <c r="ET12" s="188" t="s">
        <v>965</v>
      </c>
    </row>
    <row r="13" spans="1:150" x14ac:dyDescent="0.3">
      <c r="A13" s="1"/>
      <c r="B13" s="187" t="s">
        <v>2977</v>
      </c>
      <c r="C13" s="187" t="s">
        <v>106</v>
      </c>
      <c r="D13" s="187" t="s">
        <v>115</v>
      </c>
      <c r="E13" s="187" t="s">
        <v>2978</v>
      </c>
      <c r="F13" s="187" t="s">
        <v>2979</v>
      </c>
      <c r="G13" s="188" t="s">
        <v>2970</v>
      </c>
      <c r="H13" s="188" t="s">
        <v>965</v>
      </c>
      <c r="I13" s="188" t="s">
        <v>965</v>
      </c>
      <c r="J13" s="188" t="s">
        <v>2970</v>
      </c>
      <c r="K13" s="188" t="s">
        <v>965</v>
      </c>
      <c r="L13" s="188" t="s">
        <v>965</v>
      </c>
      <c r="M13" s="188" t="s">
        <v>2970</v>
      </c>
      <c r="N13" s="188" t="s">
        <v>965</v>
      </c>
      <c r="O13" s="188" t="s">
        <v>965</v>
      </c>
      <c r="P13" s="188" t="s">
        <v>2970</v>
      </c>
      <c r="Q13" s="188" t="s">
        <v>965</v>
      </c>
      <c r="R13" s="188" t="s">
        <v>965</v>
      </c>
      <c r="S13" s="188" t="s">
        <v>2970</v>
      </c>
      <c r="T13" s="188" t="s">
        <v>965</v>
      </c>
      <c r="U13" s="188" t="s">
        <v>965</v>
      </c>
      <c r="V13" s="188" t="s">
        <v>2970</v>
      </c>
      <c r="W13" s="188" t="s">
        <v>965</v>
      </c>
      <c r="X13" s="188" t="s">
        <v>965</v>
      </c>
      <c r="Y13" s="188" t="s">
        <v>2970</v>
      </c>
      <c r="Z13" s="188" t="s">
        <v>965</v>
      </c>
      <c r="AA13" s="188" t="s">
        <v>965</v>
      </c>
      <c r="AB13" s="188" t="s">
        <v>2970</v>
      </c>
      <c r="AC13" s="188" t="s">
        <v>965</v>
      </c>
      <c r="AD13" s="188" t="s">
        <v>965</v>
      </c>
      <c r="AE13" s="188" t="s">
        <v>2970</v>
      </c>
      <c r="AF13" s="188" t="s">
        <v>965</v>
      </c>
      <c r="AG13" s="188" t="s">
        <v>965</v>
      </c>
      <c r="AH13" s="188" t="s">
        <v>2970</v>
      </c>
      <c r="AI13" s="188" t="s">
        <v>965</v>
      </c>
      <c r="AJ13" s="188" t="s">
        <v>965</v>
      </c>
      <c r="AK13" s="188" t="s">
        <v>2970</v>
      </c>
      <c r="AL13" s="188" t="s">
        <v>965</v>
      </c>
      <c r="AM13" s="188" t="s">
        <v>965</v>
      </c>
      <c r="AN13" s="188" t="s">
        <v>2970</v>
      </c>
      <c r="AO13" s="188" t="s">
        <v>965</v>
      </c>
      <c r="AP13" s="188" t="s">
        <v>965</v>
      </c>
      <c r="AQ13" s="188" t="s">
        <v>2970</v>
      </c>
      <c r="AR13" s="188" t="s">
        <v>965</v>
      </c>
      <c r="AS13" s="188" t="s">
        <v>965</v>
      </c>
      <c r="AT13" s="188" t="s">
        <v>2970</v>
      </c>
      <c r="AU13" s="188" t="s">
        <v>965</v>
      </c>
      <c r="AV13" s="188" t="s">
        <v>965</v>
      </c>
      <c r="AW13" s="188" t="s">
        <v>2970</v>
      </c>
      <c r="AX13" s="188" t="s">
        <v>965</v>
      </c>
      <c r="AY13" s="188" t="s">
        <v>965</v>
      </c>
      <c r="AZ13" s="188" t="s">
        <v>2970</v>
      </c>
      <c r="BA13" s="188" t="s">
        <v>965</v>
      </c>
      <c r="BB13" s="188" t="s">
        <v>965</v>
      </c>
      <c r="BC13" s="188" t="s">
        <v>2970</v>
      </c>
      <c r="BD13" s="188" t="s">
        <v>965</v>
      </c>
      <c r="BE13" s="188" t="s">
        <v>965</v>
      </c>
      <c r="BF13" s="188" t="s">
        <v>2970</v>
      </c>
      <c r="BG13" s="188" t="s">
        <v>965</v>
      </c>
      <c r="BH13" s="188" t="s">
        <v>965</v>
      </c>
      <c r="BI13" s="188" t="s">
        <v>2970</v>
      </c>
      <c r="BJ13" s="188" t="s">
        <v>965</v>
      </c>
      <c r="BK13" s="188" t="s">
        <v>965</v>
      </c>
      <c r="BL13" s="188" t="s">
        <v>2970</v>
      </c>
      <c r="BM13" s="188" t="s">
        <v>965</v>
      </c>
      <c r="BN13" s="188" t="s">
        <v>965</v>
      </c>
      <c r="BO13" s="188" t="s">
        <v>2970</v>
      </c>
      <c r="BP13" s="188" t="s">
        <v>965</v>
      </c>
      <c r="BQ13" s="188" t="s">
        <v>965</v>
      </c>
      <c r="BR13" s="188" t="s">
        <v>2970</v>
      </c>
      <c r="BS13" s="188" t="s">
        <v>965</v>
      </c>
      <c r="BT13" s="188" t="s">
        <v>965</v>
      </c>
      <c r="BU13" s="188" t="s">
        <v>2970</v>
      </c>
      <c r="BV13" s="188" t="s">
        <v>965</v>
      </c>
      <c r="BW13" s="188" t="s">
        <v>965</v>
      </c>
      <c r="BX13" s="188" t="s">
        <v>2970</v>
      </c>
      <c r="BY13" s="188" t="s">
        <v>965</v>
      </c>
      <c r="BZ13" s="188" t="s">
        <v>965</v>
      </c>
      <c r="CA13" s="188" t="s">
        <v>2970</v>
      </c>
      <c r="CB13" s="188" t="s">
        <v>965</v>
      </c>
      <c r="CC13" s="188" t="s">
        <v>965</v>
      </c>
      <c r="CD13" s="188" t="s">
        <v>2970</v>
      </c>
      <c r="CE13" s="188" t="s">
        <v>965</v>
      </c>
      <c r="CF13" s="188" t="s">
        <v>965</v>
      </c>
      <c r="CG13" s="188" t="s">
        <v>2970</v>
      </c>
      <c r="CH13" s="188" t="s">
        <v>965</v>
      </c>
      <c r="CI13" s="188" t="s">
        <v>965</v>
      </c>
      <c r="CJ13" s="188" t="s">
        <v>2970</v>
      </c>
      <c r="CK13" s="188" t="s">
        <v>965</v>
      </c>
      <c r="CL13" s="188" t="s">
        <v>965</v>
      </c>
      <c r="CM13" s="188" t="s">
        <v>2970</v>
      </c>
      <c r="CN13" s="188" t="s">
        <v>965</v>
      </c>
      <c r="CO13" s="188" t="s">
        <v>965</v>
      </c>
      <c r="CP13" s="188" t="s">
        <v>2970</v>
      </c>
      <c r="CQ13" s="188" t="s">
        <v>965</v>
      </c>
      <c r="CR13" s="188" t="s">
        <v>965</v>
      </c>
      <c r="CS13" s="188" t="s">
        <v>2970</v>
      </c>
      <c r="CT13" s="188" t="s">
        <v>965</v>
      </c>
      <c r="CU13" s="188" t="s">
        <v>965</v>
      </c>
      <c r="CV13" s="188" t="s">
        <v>2970</v>
      </c>
      <c r="CW13" s="188" t="s">
        <v>965</v>
      </c>
      <c r="CX13" s="188" t="s">
        <v>965</v>
      </c>
      <c r="CY13" s="188" t="s">
        <v>2970</v>
      </c>
      <c r="CZ13" s="188" t="s">
        <v>965</v>
      </c>
      <c r="DA13" s="188" t="s">
        <v>965</v>
      </c>
      <c r="DB13" s="188" t="s">
        <v>2970</v>
      </c>
      <c r="DC13" s="188" t="s">
        <v>965</v>
      </c>
      <c r="DD13" s="188" t="s">
        <v>965</v>
      </c>
      <c r="DE13" s="188" t="s">
        <v>2970</v>
      </c>
      <c r="DF13" s="188" t="s">
        <v>965</v>
      </c>
      <c r="DG13" s="188" t="s">
        <v>965</v>
      </c>
      <c r="DH13" s="188" t="s">
        <v>2970</v>
      </c>
      <c r="DI13" s="188" t="s">
        <v>965</v>
      </c>
      <c r="DJ13" s="188" t="s">
        <v>965</v>
      </c>
      <c r="DK13" s="188" t="s">
        <v>2970</v>
      </c>
      <c r="DL13" s="188" t="s">
        <v>965</v>
      </c>
      <c r="DM13" s="188" t="s">
        <v>965</v>
      </c>
      <c r="DN13" s="188" t="s">
        <v>2970</v>
      </c>
      <c r="DO13" s="188" t="s">
        <v>965</v>
      </c>
      <c r="DP13" s="188" t="s">
        <v>965</v>
      </c>
      <c r="DQ13" s="188" t="s">
        <v>2970</v>
      </c>
      <c r="DR13" s="188" t="s">
        <v>965</v>
      </c>
      <c r="DS13" s="188" t="s">
        <v>965</v>
      </c>
      <c r="DT13" s="188" t="s">
        <v>2970</v>
      </c>
      <c r="DU13" s="188" t="s">
        <v>965</v>
      </c>
      <c r="DV13" s="188" t="s">
        <v>965</v>
      </c>
      <c r="DW13" s="188" t="s">
        <v>2970</v>
      </c>
      <c r="DX13" s="188" t="s">
        <v>965</v>
      </c>
      <c r="DY13" s="188" t="s">
        <v>965</v>
      </c>
      <c r="DZ13" s="188" t="s">
        <v>2970</v>
      </c>
      <c r="EA13" s="188" t="s">
        <v>965</v>
      </c>
      <c r="EB13" s="188" t="s">
        <v>965</v>
      </c>
      <c r="EC13" s="188" t="s">
        <v>2970</v>
      </c>
      <c r="ED13" s="188" t="s">
        <v>965</v>
      </c>
      <c r="EE13" s="188" t="s">
        <v>965</v>
      </c>
      <c r="EF13" s="188" t="s">
        <v>2970</v>
      </c>
      <c r="EG13" s="188" t="s">
        <v>965</v>
      </c>
      <c r="EH13" s="188" t="s">
        <v>965</v>
      </c>
      <c r="EI13" s="188" t="s">
        <v>2970</v>
      </c>
      <c r="EJ13" s="188" t="s">
        <v>965</v>
      </c>
      <c r="EK13" s="188" t="s">
        <v>965</v>
      </c>
      <c r="EL13" s="188" t="s">
        <v>2970</v>
      </c>
      <c r="EM13" s="188" t="s">
        <v>965</v>
      </c>
      <c r="EN13" s="188" t="s">
        <v>965</v>
      </c>
      <c r="EO13" s="188" t="s">
        <v>2970</v>
      </c>
      <c r="EP13" s="188" t="s">
        <v>965</v>
      </c>
      <c r="EQ13" s="188" t="s">
        <v>965</v>
      </c>
      <c r="ER13" s="188" t="s">
        <v>2970</v>
      </c>
      <c r="ES13" s="188" t="s">
        <v>965</v>
      </c>
      <c r="ET13" s="188" t="s">
        <v>965</v>
      </c>
    </row>
    <row r="14" spans="1:150" x14ac:dyDescent="0.3">
      <c r="A14" s="1"/>
      <c r="B14" s="187" t="s">
        <v>2980</v>
      </c>
      <c r="C14" s="187" t="s">
        <v>106</v>
      </c>
      <c r="D14" s="187" t="s">
        <v>115</v>
      </c>
      <c r="E14" s="187" t="s">
        <v>2981</v>
      </c>
      <c r="F14" s="187" t="s">
        <v>2982</v>
      </c>
      <c r="G14" s="188" t="s">
        <v>2970</v>
      </c>
      <c r="H14" s="188" t="s">
        <v>2860</v>
      </c>
      <c r="I14" s="188" t="s">
        <v>2860</v>
      </c>
      <c r="J14" s="188" t="s">
        <v>2970</v>
      </c>
      <c r="K14" s="188" t="s">
        <v>2860</v>
      </c>
      <c r="L14" s="188" t="s">
        <v>2860</v>
      </c>
      <c r="M14" s="188" t="s">
        <v>2970</v>
      </c>
      <c r="N14" s="188" t="s">
        <v>2860</v>
      </c>
      <c r="O14" s="188" t="s">
        <v>2860</v>
      </c>
      <c r="P14" s="188" t="s">
        <v>2970</v>
      </c>
      <c r="Q14" s="188" t="s">
        <v>2860</v>
      </c>
      <c r="R14" s="188" t="s">
        <v>2860</v>
      </c>
      <c r="S14" s="188" t="s">
        <v>2970</v>
      </c>
      <c r="T14" s="188" t="s">
        <v>2860</v>
      </c>
      <c r="U14" s="188" t="s">
        <v>2860</v>
      </c>
      <c r="V14" s="188" t="s">
        <v>2970</v>
      </c>
      <c r="W14" s="188" t="s">
        <v>2860</v>
      </c>
      <c r="X14" s="188" t="s">
        <v>2860</v>
      </c>
      <c r="Y14" s="188" t="s">
        <v>2970</v>
      </c>
      <c r="Z14" s="188" t="s">
        <v>2860</v>
      </c>
      <c r="AA14" s="188" t="s">
        <v>2860</v>
      </c>
      <c r="AB14" s="188" t="s">
        <v>2970</v>
      </c>
      <c r="AC14" s="188" t="s">
        <v>2860</v>
      </c>
      <c r="AD14" s="188" t="s">
        <v>2860</v>
      </c>
      <c r="AE14" s="188" t="s">
        <v>2970</v>
      </c>
      <c r="AF14" s="188" t="s">
        <v>2860</v>
      </c>
      <c r="AG14" s="188" t="s">
        <v>2860</v>
      </c>
      <c r="AH14" s="188" t="s">
        <v>2970</v>
      </c>
      <c r="AI14" s="188" t="s">
        <v>2860</v>
      </c>
      <c r="AJ14" s="188" t="s">
        <v>2860</v>
      </c>
      <c r="AK14" s="188" t="s">
        <v>2970</v>
      </c>
      <c r="AL14" s="188" t="s">
        <v>2860</v>
      </c>
      <c r="AM14" s="188" t="s">
        <v>2860</v>
      </c>
      <c r="AN14" s="188" t="s">
        <v>2970</v>
      </c>
      <c r="AO14" s="188" t="s">
        <v>2860</v>
      </c>
      <c r="AP14" s="188" t="s">
        <v>2860</v>
      </c>
      <c r="AQ14" s="188" t="s">
        <v>2970</v>
      </c>
      <c r="AR14" s="188" t="s">
        <v>2860</v>
      </c>
      <c r="AS14" s="188" t="s">
        <v>2860</v>
      </c>
      <c r="AT14" s="188" t="s">
        <v>2970</v>
      </c>
      <c r="AU14" s="188" t="s">
        <v>2860</v>
      </c>
      <c r="AV14" s="188" t="s">
        <v>2860</v>
      </c>
      <c r="AW14" s="188" t="s">
        <v>2970</v>
      </c>
      <c r="AX14" s="188" t="s">
        <v>2860</v>
      </c>
      <c r="AY14" s="188" t="s">
        <v>2860</v>
      </c>
      <c r="AZ14" s="188" t="s">
        <v>2970</v>
      </c>
      <c r="BA14" s="188" t="s">
        <v>2860</v>
      </c>
      <c r="BB14" s="188" t="s">
        <v>2860</v>
      </c>
      <c r="BC14" s="188" t="s">
        <v>2970</v>
      </c>
      <c r="BD14" s="188" t="s">
        <v>2860</v>
      </c>
      <c r="BE14" s="188" t="s">
        <v>2860</v>
      </c>
      <c r="BF14" s="188" t="s">
        <v>2970</v>
      </c>
      <c r="BG14" s="188" t="s">
        <v>2860</v>
      </c>
      <c r="BH14" s="188" t="s">
        <v>2860</v>
      </c>
      <c r="BI14" s="188" t="s">
        <v>2970</v>
      </c>
      <c r="BJ14" s="188" t="s">
        <v>2860</v>
      </c>
      <c r="BK14" s="188" t="s">
        <v>2860</v>
      </c>
      <c r="BL14" s="188" t="s">
        <v>2970</v>
      </c>
      <c r="BM14" s="188" t="s">
        <v>2860</v>
      </c>
      <c r="BN14" s="188" t="s">
        <v>2860</v>
      </c>
      <c r="BO14" s="188" t="s">
        <v>2970</v>
      </c>
      <c r="BP14" s="188" t="s">
        <v>2860</v>
      </c>
      <c r="BQ14" s="188" t="s">
        <v>2860</v>
      </c>
      <c r="BR14" s="188" t="s">
        <v>2970</v>
      </c>
      <c r="BS14" s="188" t="s">
        <v>2860</v>
      </c>
      <c r="BT14" s="188" t="s">
        <v>2860</v>
      </c>
      <c r="BU14" s="188" t="s">
        <v>2970</v>
      </c>
      <c r="BV14" s="188" t="s">
        <v>2860</v>
      </c>
      <c r="BW14" s="188" t="s">
        <v>2860</v>
      </c>
      <c r="BX14" s="188" t="s">
        <v>2970</v>
      </c>
      <c r="BY14" s="188" t="s">
        <v>2860</v>
      </c>
      <c r="BZ14" s="188" t="s">
        <v>2860</v>
      </c>
      <c r="CA14" s="188" t="s">
        <v>2970</v>
      </c>
      <c r="CB14" s="188" t="s">
        <v>2860</v>
      </c>
      <c r="CC14" s="188" t="s">
        <v>2860</v>
      </c>
      <c r="CD14" s="188" t="s">
        <v>2970</v>
      </c>
      <c r="CE14" s="188" t="s">
        <v>2860</v>
      </c>
      <c r="CF14" s="188" t="s">
        <v>2860</v>
      </c>
      <c r="CG14" s="188" t="s">
        <v>2970</v>
      </c>
      <c r="CH14" s="188" t="s">
        <v>2860</v>
      </c>
      <c r="CI14" s="188" t="s">
        <v>2860</v>
      </c>
      <c r="CJ14" s="188" t="s">
        <v>2970</v>
      </c>
      <c r="CK14" s="188" t="s">
        <v>2860</v>
      </c>
      <c r="CL14" s="188" t="s">
        <v>2860</v>
      </c>
      <c r="CM14" s="188" t="s">
        <v>2970</v>
      </c>
      <c r="CN14" s="188" t="s">
        <v>2860</v>
      </c>
      <c r="CO14" s="188" t="s">
        <v>2860</v>
      </c>
      <c r="CP14" s="188" t="s">
        <v>2970</v>
      </c>
      <c r="CQ14" s="188" t="s">
        <v>2860</v>
      </c>
      <c r="CR14" s="188" t="s">
        <v>2860</v>
      </c>
      <c r="CS14" s="188" t="s">
        <v>2970</v>
      </c>
      <c r="CT14" s="188" t="s">
        <v>2860</v>
      </c>
      <c r="CU14" s="188" t="s">
        <v>2860</v>
      </c>
      <c r="CV14" s="188" t="s">
        <v>2970</v>
      </c>
      <c r="CW14" s="188" t="s">
        <v>2860</v>
      </c>
      <c r="CX14" s="188" t="s">
        <v>2860</v>
      </c>
      <c r="CY14" s="188" t="s">
        <v>2970</v>
      </c>
      <c r="CZ14" s="188" t="s">
        <v>2860</v>
      </c>
      <c r="DA14" s="188" t="s">
        <v>2860</v>
      </c>
      <c r="DB14" s="188" t="s">
        <v>2970</v>
      </c>
      <c r="DC14" s="188" t="s">
        <v>2860</v>
      </c>
      <c r="DD14" s="188" t="s">
        <v>2860</v>
      </c>
      <c r="DE14" s="188" t="s">
        <v>2970</v>
      </c>
      <c r="DF14" s="188" t="s">
        <v>2860</v>
      </c>
      <c r="DG14" s="188" t="s">
        <v>2860</v>
      </c>
      <c r="DH14" s="188" t="s">
        <v>2970</v>
      </c>
      <c r="DI14" s="188" t="s">
        <v>2860</v>
      </c>
      <c r="DJ14" s="188" t="s">
        <v>2860</v>
      </c>
      <c r="DK14" s="188" t="s">
        <v>2970</v>
      </c>
      <c r="DL14" s="188" t="s">
        <v>2860</v>
      </c>
      <c r="DM14" s="188" t="s">
        <v>2860</v>
      </c>
      <c r="DN14" s="188" t="s">
        <v>2970</v>
      </c>
      <c r="DO14" s="188" t="s">
        <v>2860</v>
      </c>
      <c r="DP14" s="188" t="s">
        <v>2860</v>
      </c>
      <c r="DQ14" s="188" t="s">
        <v>2970</v>
      </c>
      <c r="DR14" s="188" t="s">
        <v>2860</v>
      </c>
      <c r="DS14" s="188" t="s">
        <v>2860</v>
      </c>
      <c r="DT14" s="188" t="s">
        <v>2970</v>
      </c>
      <c r="DU14" s="188" t="s">
        <v>2860</v>
      </c>
      <c r="DV14" s="188" t="s">
        <v>2860</v>
      </c>
      <c r="DW14" s="188" t="s">
        <v>2970</v>
      </c>
      <c r="DX14" s="188" t="s">
        <v>2860</v>
      </c>
      <c r="DY14" s="188" t="s">
        <v>2860</v>
      </c>
      <c r="DZ14" s="188" t="s">
        <v>2970</v>
      </c>
      <c r="EA14" s="188" t="s">
        <v>2860</v>
      </c>
      <c r="EB14" s="188" t="s">
        <v>2860</v>
      </c>
      <c r="EC14" s="188" t="s">
        <v>2970</v>
      </c>
      <c r="ED14" s="188" t="s">
        <v>2860</v>
      </c>
      <c r="EE14" s="188" t="s">
        <v>2860</v>
      </c>
      <c r="EF14" s="188" t="s">
        <v>2970</v>
      </c>
      <c r="EG14" s="188" t="s">
        <v>2860</v>
      </c>
      <c r="EH14" s="188" t="s">
        <v>2860</v>
      </c>
      <c r="EI14" s="188" t="s">
        <v>2970</v>
      </c>
      <c r="EJ14" s="188" t="s">
        <v>2860</v>
      </c>
      <c r="EK14" s="188" t="s">
        <v>2860</v>
      </c>
      <c r="EL14" s="188" t="s">
        <v>2970</v>
      </c>
      <c r="EM14" s="188" t="s">
        <v>2860</v>
      </c>
      <c r="EN14" s="188" t="s">
        <v>2860</v>
      </c>
      <c r="EO14" s="188" t="s">
        <v>2970</v>
      </c>
      <c r="EP14" s="188" t="s">
        <v>2860</v>
      </c>
      <c r="EQ14" s="188" t="s">
        <v>2860</v>
      </c>
      <c r="ER14" s="188" t="s">
        <v>2970</v>
      </c>
      <c r="ES14" s="188" t="s">
        <v>2860</v>
      </c>
      <c r="ET14" s="188" t="s">
        <v>2860</v>
      </c>
    </row>
    <row r="15" spans="1:150" x14ac:dyDescent="0.3">
      <c r="A15" s="1"/>
      <c r="B15" s="186" t="s">
        <v>2983</v>
      </c>
      <c r="C15" s="186" t="s">
        <v>106</v>
      </c>
      <c r="D15" s="186" t="s">
        <v>119</v>
      </c>
      <c r="E15" s="186" t="s">
        <v>2984</v>
      </c>
      <c r="F15" s="186" t="s">
        <v>2985</v>
      </c>
      <c r="G15" s="186" t="s">
        <v>2970</v>
      </c>
      <c r="H15" s="186" t="s">
        <v>2860</v>
      </c>
      <c r="I15" s="186" t="s">
        <v>2860</v>
      </c>
      <c r="J15" s="186" t="s">
        <v>2970</v>
      </c>
      <c r="K15" s="186" t="s">
        <v>2860</v>
      </c>
      <c r="L15" s="186" t="s">
        <v>2860</v>
      </c>
      <c r="M15" s="186" t="s">
        <v>2970</v>
      </c>
      <c r="N15" s="186" t="s">
        <v>2860</v>
      </c>
      <c r="O15" s="186" t="s">
        <v>2860</v>
      </c>
      <c r="P15" s="186" t="s">
        <v>2970</v>
      </c>
      <c r="Q15" s="186" t="s">
        <v>2860</v>
      </c>
      <c r="R15" s="186" t="s">
        <v>2860</v>
      </c>
      <c r="S15" s="186" t="s">
        <v>2970</v>
      </c>
      <c r="T15" s="186" t="s">
        <v>2860</v>
      </c>
      <c r="U15" s="186" t="s">
        <v>2860</v>
      </c>
      <c r="V15" s="186" t="s">
        <v>2970</v>
      </c>
      <c r="W15" s="186" t="s">
        <v>2860</v>
      </c>
      <c r="X15" s="186" t="s">
        <v>2860</v>
      </c>
      <c r="Y15" s="186" t="s">
        <v>2970</v>
      </c>
      <c r="Z15" s="186" t="s">
        <v>2860</v>
      </c>
      <c r="AA15" s="186" t="s">
        <v>2860</v>
      </c>
      <c r="AB15" s="186" t="s">
        <v>2970</v>
      </c>
      <c r="AC15" s="186" t="s">
        <v>2860</v>
      </c>
      <c r="AD15" s="186" t="s">
        <v>2860</v>
      </c>
      <c r="AE15" s="186" t="s">
        <v>2970</v>
      </c>
      <c r="AF15" s="186" t="s">
        <v>2860</v>
      </c>
      <c r="AG15" s="186" t="s">
        <v>2860</v>
      </c>
      <c r="AH15" s="186" t="s">
        <v>2970</v>
      </c>
      <c r="AI15" s="186" t="s">
        <v>2860</v>
      </c>
      <c r="AJ15" s="186" t="s">
        <v>2860</v>
      </c>
      <c r="AK15" s="186" t="s">
        <v>2970</v>
      </c>
      <c r="AL15" s="186" t="s">
        <v>2860</v>
      </c>
      <c r="AM15" s="186" t="s">
        <v>2860</v>
      </c>
      <c r="AN15" s="186" t="s">
        <v>2970</v>
      </c>
      <c r="AO15" s="186" t="s">
        <v>2860</v>
      </c>
      <c r="AP15" s="186" t="s">
        <v>2860</v>
      </c>
      <c r="AQ15" s="186" t="s">
        <v>2970</v>
      </c>
      <c r="AR15" s="186" t="s">
        <v>2860</v>
      </c>
      <c r="AS15" s="186" t="s">
        <v>2860</v>
      </c>
      <c r="AT15" s="186" t="s">
        <v>2970</v>
      </c>
      <c r="AU15" s="186" t="s">
        <v>2860</v>
      </c>
      <c r="AV15" s="186" t="s">
        <v>2860</v>
      </c>
      <c r="AW15" s="186" t="s">
        <v>2970</v>
      </c>
      <c r="AX15" s="186" t="s">
        <v>2860</v>
      </c>
      <c r="AY15" s="186" t="s">
        <v>2860</v>
      </c>
      <c r="AZ15" s="186" t="s">
        <v>2970</v>
      </c>
      <c r="BA15" s="186" t="s">
        <v>2860</v>
      </c>
      <c r="BB15" s="186" t="s">
        <v>2860</v>
      </c>
      <c r="BC15" s="186" t="s">
        <v>2970</v>
      </c>
      <c r="BD15" s="186" t="s">
        <v>2860</v>
      </c>
      <c r="BE15" s="186" t="s">
        <v>2860</v>
      </c>
      <c r="BF15" s="186" t="s">
        <v>2970</v>
      </c>
      <c r="BG15" s="186" t="s">
        <v>2860</v>
      </c>
      <c r="BH15" s="186" t="s">
        <v>2860</v>
      </c>
      <c r="BI15" s="186" t="s">
        <v>2970</v>
      </c>
      <c r="BJ15" s="186" t="s">
        <v>2860</v>
      </c>
      <c r="BK15" s="186" t="s">
        <v>2860</v>
      </c>
      <c r="BL15" s="186" t="s">
        <v>2970</v>
      </c>
      <c r="BM15" s="186" t="s">
        <v>2860</v>
      </c>
      <c r="BN15" s="186" t="s">
        <v>2860</v>
      </c>
      <c r="BO15" s="186" t="s">
        <v>2970</v>
      </c>
      <c r="BP15" s="186" t="s">
        <v>2860</v>
      </c>
      <c r="BQ15" s="186" t="s">
        <v>2860</v>
      </c>
      <c r="BR15" s="186" t="s">
        <v>2970</v>
      </c>
      <c r="BS15" s="186" t="s">
        <v>2860</v>
      </c>
      <c r="BT15" s="186" t="s">
        <v>2860</v>
      </c>
      <c r="BU15" s="186" t="s">
        <v>2970</v>
      </c>
      <c r="BV15" s="186" t="s">
        <v>2860</v>
      </c>
      <c r="BW15" s="186" t="s">
        <v>2860</v>
      </c>
      <c r="BX15" s="186" t="s">
        <v>2970</v>
      </c>
      <c r="BY15" s="186" t="s">
        <v>2860</v>
      </c>
      <c r="BZ15" s="186" t="s">
        <v>2860</v>
      </c>
      <c r="CA15" s="186" t="s">
        <v>2970</v>
      </c>
      <c r="CB15" s="186" t="s">
        <v>2860</v>
      </c>
      <c r="CC15" s="186" t="s">
        <v>2860</v>
      </c>
      <c r="CD15" s="186" t="s">
        <v>2970</v>
      </c>
      <c r="CE15" s="186" t="s">
        <v>2860</v>
      </c>
      <c r="CF15" s="186" t="s">
        <v>2860</v>
      </c>
      <c r="CG15" s="186" t="s">
        <v>2970</v>
      </c>
      <c r="CH15" s="186" t="s">
        <v>2860</v>
      </c>
      <c r="CI15" s="186" t="s">
        <v>2860</v>
      </c>
      <c r="CJ15" s="186" t="s">
        <v>2970</v>
      </c>
      <c r="CK15" s="186" t="s">
        <v>2860</v>
      </c>
      <c r="CL15" s="186" t="s">
        <v>2860</v>
      </c>
      <c r="CM15" s="186" t="s">
        <v>2970</v>
      </c>
      <c r="CN15" s="186" t="s">
        <v>2860</v>
      </c>
      <c r="CO15" s="186" t="s">
        <v>2860</v>
      </c>
      <c r="CP15" s="186" t="s">
        <v>2970</v>
      </c>
      <c r="CQ15" s="186" t="s">
        <v>2860</v>
      </c>
      <c r="CR15" s="186" t="s">
        <v>2860</v>
      </c>
      <c r="CS15" s="186" t="s">
        <v>2970</v>
      </c>
      <c r="CT15" s="186" t="s">
        <v>2860</v>
      </c>
      <c r="CU15" s="186" t="s">
        <v>2860</v>
      </c>
      <c r="CV15" s="186" t="s">
        <v>2970</v>
      </c>
      <c r="CW15" s="186" t="s">
        <v>2860</v>
      </c>
      <c r="CX15" s="186" t="s">
        <v>2860</v>
      </c>
      <c r="CY15" s="186" t="s">
        <v>2970</v>
      </c>
      <c r="CZ15" s="186" t="s">
        <v>2860</v>
      </c>
      <c r="DA15" s="186" t="s">
        <v>2860</v>
      </c>
      <c r="DB15" s="186" t="s">
        <v>2970</v>
      </c>
      <c r="DC15" s="186" t="s">
        <v>2860</v>
      </c>
      <c r="DD15" s="186" t="s">
        <v>2860</v>
      </c>
      <c r="DE15" s="186" t="s">
        <v>2970</v>
      </c>
      <c r="DF15" s="186" t="s">
        <v>2860</v>
      </c>
      <c r="DG15" s="186" t="s">
        <v>2860</v>
      </c>
      <c r="DH15" s="186" t="s">
        <v>2970</v>
      </c>
      <c r="DI15" s="186" t="s">
        <v>2860</v>
      </c>
      <c r="DJ15" s="186" t="s">
        <v>2860</v>
      </c>
      <c r="DK15" s="186" t="s">
        <v>2970</v>
      </c>
      <c r="DL15" s="186" t="s">
        <v>2860</v>
      </c>
      <c r="DM15" s="186" t="s">
        <v>2860</v>
      </c>
      <c r="DN15" s="186" t="s">
        <v>2970</v>
      </c>
      <c r="DO15" s="186" t="s">
        <v>2860</v>
      </c>
      <c r="DP15" s="186" t="s">
        <v>2860</v>
      </c>
      <c r="DQ15" s="186" t="s">
        <v>2970</v>
      </c>
      <c r="DR15" s="186" t="s">
        <v>2860</v>
      </c>
      <c r="DS15" s="186" t="s">
        <v>2860</v>
      </c>
      <c r="DT15" s="186" t="s">
        <v>2970</v>
      </c>
      <c r="DU15" s="186" t="s">
        <v>2860</v>
      </c>
      <c r="DV15" s="186" t="s">
        <v>2860</v>
      </c>
      <c r="DW15" s="186" t="s">
        <v>2970</v>
      </c>
      <c r="DX15" s="186" t="s">
        <v>2860</v>
      </c>
      <c r="DY15" s="186" t="s">
        <v>2860</v>
      </c>
      <c r="DZ15" s="186" t="s">
        <v>2970</v>
      </c>
      <c r="EA15" s="186" t="s">
        <v>2860</v>
      </c>
      <c r="EB15" s="186" t="s">
        <v>2860</v>
      </c>
      <c r="EC15" s="186" t="s">
        <v>2970</v>
      </c>
      <c r="ED15" s="186" t="s">
        <v>2860</v>
      </c>
      <c r="EE15" s="186" t="s">
        <v>2860</v>
      </c>
      <c r="EF15" s="186" t="s">
        <v>2970</v>
      </c>
      <c r="EG15" s="186" t="s">
        <v>2860</v>
      </c>
      <c r="EH15" s="186" t="s">
        <v>2860</v>
      </c>
      <c r="EI15" s="186" t="s">
        <v>2970</v>
      </c>
      <c r="EJ15" s="186" t="s">
        <v>2860</v>
      </c>
      <c r="EK15" s="186" t="s">
        <v>2860</v>
      </c>
      <c r="EL15" s="186" t="s">
        <v>2970</v>
      </c>
      <c r="EM15" s="186" t="s">
        <v>2860</v>
      </c>
      <c r="EN15" s="186" t="s">
        <v>2860</v>
      </c>
      <c r="EO15" s="186" t="s">
        <v>2970</v>
      </c>
      <c r="EP15" s="186" t="s">
        <v>2860</v>
      </c>
      <c r="EQ15" s="186" t="s">
        <v>2860</v>
      </c>
      <c r="ER15" s="186" t="s">
        <v>2970</v>
      </c>
      <c r="ES15" s="186" t="s">
        <v>2860</v>
      </c>
      <c r="ET15" s="186" t="s">
        <v>2860</v>
      </c>
    </row>
    <row r="16" spans="1:150" x14ac:dyDescent="0.3">
      <c r="A16" s="1"/>
      <c r="B16" s="187" t="s">
        <v>2986</v>
      </c>
      <c r="C16" s="187" t="s">
        <v>106</v>
      </c>
      <c r="D16" s="187" t="s">
        <v>119</v>
      </c>
      <c r="E16" s="187" t="s">
        <v>2987</v>
      </c>
      <c r="F16" s="187" t="s">
        <v>2988</v>
      </c>
      <c r="G16" s="188" t="s">
        <v>2970</v>
      </c>
      <c r="H16" s="188" t="s">
        <v>2860</v>
      </c>
      <c r="I16" s="188" t="s">
        <v>2860</v>
      </c>
      <c r="J16" s="188" t="s">
        <v>2970</v>
      </c>
      <c r="K16" s="188" t="s">
        <v>2860</v>
      </c>
      <c r="L16" s="188" t="s">
        <v>2860</v>
      </c>
      <c r="M16" s="188" t="s">
        <v>2970</v>
      </c>
      <c r="N16" s="188" t="s">
        <v>2860</v>
      </c>
      <c r="O16" s="188" t="s">
        <v>2860</v>
      </c>
      <c r="P16" s="188" t="s">
        <v>2970</v>
      </c>
      <c r="Q16" s="188" t="s">
        <v>2860</v>
      </c>
      <c r="R16" s="188" t="s">
        <v>2860</v>
      </c>
      <c r="S16" s="188" t="s">
        <v>2970</v>
      </c>
      <c r="T16" s="188" t="s">
        <v>2860</v>
      </c>
      <c r="U16" s="188" t="s">
        <v>2860</v>
      </c>
      <c r="V16" s="188" t="s">
        <v>2970</v>
      </c>
      <c r="W16" s="188" t="s">
        <v>2860</v>
      </c>
      <c r="X16" s="188" t="s">
        <v>2860</v>
      </c>
      <c r="Y16" s="188" t="s">
        <v>2970</v>
      </c>
      <c r="Z16" s="188" t="s">
        <v>2860</v>
      </c>
      <c r="AA16" s="188" t="s">
        <v>2860</v>
      </c>
      <c r="AB16" s="188" t="s">
        <v>2970</v>
      </c>
      <c r="AC16" s="188" t="s">
        <v>2860</v>
      </c>
      <c r="AD16" s="188" t="s">
        <v>2860</v>
      </c>
      <c r="AE16" s="188" t="s">
        <v>2970</v>
      </c>
      <c r="AF16" s="188" t="s">
        <v>2860</v>
      </c>
      <c r="AG16" s="188" t="s">
        <v>2860</v>
      </c>
      <c r="AH16" s="188" t="s">
        <v>2970</v>
      </c>
      <c r="AI16" s="188" t="s">
        <v>2860</v>
      </c>
      <c r="AJ16" s="188" t="s">
        <v>2860</v>
      </c>
      <c r="AK16" s="188" t="s">
        <v>2970</v>
      </c>
      <c r="AL16" s="188" t="s">
        <v>2860</v>
      </c>
      <c r="AM16" s="188" t="s">
        <v>2860</v>
      </c>
      <c r="AN16" s="188" t="s">
        <v>2970</v>
      </c>
      <c r="AO16" s="188" t="s">
        <v>2860</v>
      </c>
      <c r="AP16" s="188" t="s">
        <v>2860</v>
      </c>
      <c r="AQ16" s="188" t="s">
        <v>2970</v>
      </c>
      <c r="AR16" s="188" t="s">
        <v>2860</v>
      </c>
      <c r="AS16" s="188" t="s">
        <v>2860</v>
      </c>
      <c r="AT16" s="188" t="s">
        <v>2970</v>
      </c>
      <c r="AU16" s="188" t="s">
        <v>2860</v>
      </c>
      <c r="AV16" s="188" t="s">
        <v>2860</v>
      </c>
      <c r="AW16" s="188" t="s">
        <v>2970</v>
      </c>
      <c r="AX16" s="188" t="s">
        <v>2860</v>
      </c>
      <c r="AY16" s="188" t="s">
        <v>2860</v>
      </c>
      <c r="AZ16" s="188" t="s">
        <v>2970</v>
      </c>
      <c r="BA16" s="188" t="s">
        <v>2860</v>
      </c>
      <c r="BB16" s="188" t="s">
        <v>2860</v>
      </c>
      <c r="BC16" s="188" t="s">
        <v>2970</v>
      </c>
      <c r="BD16" s="188" t="s">
        <v>2860</v>
      </c>
      <c r="BE16" s="188" t="s">
        <v>2860</v>
      </c>
      <c r="BF16" s="188" t="s">
        <v>2970</v>
      </c>
      <c r="BG16" s="188" t="s">
        <v>2860</v>
      </c>
      <c r="BH16" s="188" t="s">
        <v>2860</v>
      </c>
      <c r="BI16" s="188" t="s">
        <v>2970</v>
      </c>
      <c r="BJ16" s="188" t="s">
        <v>2860</v>
      </c>
      <c r="BK16" s="188" t="s">
        <v>2860</v>
      </c>
      <c r="BL16" s="188" t="s">
        <v>2970</v>
      </c>
      <c r="BM16" s="188" t="s">
        <v>2860</v>
      </c>
      <c r="BN16" s="188" t="s">
        <v>2860</v>
      </c>
      <c r="BO16" s="188" t="s">
        <v>2970</v>
      </c>
      <c r="BP16" s="188" t="s">
        <v>2860</v>
      </c>
      <c r="BQ16" s="188" t="s">
        <v>2860</v>
      </c>
      <c r="BR16" s="188" t="s">
        <v>2970</v>
      </c>
      <c r="BS16" s="188" t="s">
        <v>2860</v>
      </c>
      <c r="BT16" s="188" t="s">
        <v>2860</v>
      </c>
      <c r="BU16" s="188" t="s">
        <v>2970</v>
      </c>
      <c r="BV16" s="188" t="s">
        <v>2860</v>
      </c>
      <c r="BW16" s="188" t="s">
        <v>2860</v>
      </c>
      <c r="BX16" s="188" t="s">
        <v>2970</v>
      </c>
      <c r="BY16" s="188" t="s">
        <v>2860</v>
      </c>
      <c r="BZ16" s="188" t="s">
        <v>2860</v>
      </c>
      <c r="CA16" s="188" t="s">
        <v>2970</v>
      </c>
      <c r="CB16" s="188" t="s">
        <v>2860</v>
      </c>
      <c r="CC16" s="188" t="s">
        <v>2860</v>
      </c>
      <c r="CD16" s="188" t="s">
        <v>2970</v>
      </c>
      <c r="CE16" s="188" t="s">
        <v>2860</v>
      </c>
      <c r="CF16" s="188" t="s">
        <v>2860</v>
      </c>
      <c r="CG16" s="188" t="s">
        <v>2970</v>
      </c>
      <c r="CH16" s="188" t="s">
        <v>2860</v>
      </c>
      <c r="CI16" s="188" t="s">
        <v>2860</v>
      </c>
      <c r="CJ16" s="188" t="s">
        <v>2970</v>
      </c>
      <c r="CK16" s="188" t="s">
        <v>2860</v>
      </c>
      <c r="CL16" s="188" t="s">
        <v>2860</v>
      </c>
      <c r="CM16" s="188" t="s">
        <v>2970</v>
      </c>
      <c r="CN16" s="188" t="s">
        <v>2860</v>
      </c>
      <c r="CO16" s="188" t="s">
        <v>2860</v>
      </c>
      <c r="CP16" s="188" t="s">
        <v>2970</v>
      </c>
      <c r="CQ16" s="188" t="s">
        <v>2860</v>
      </c>
      <c r="CR16" s="188" t="s">
        <v>2860</v>
      </c>
      <c r="CS16" s="188" t="s">
        <v>2970</v>
      </c>
      <c r="CT16" s="188" t="s">
        <v>2860</v>
      </c>
      <c r="CU16" s="188" t="s">
        <v>2860</v>
      </c>
      <c r="CV16" s="188" t="s">
        <v>2970</v>
      </c>
      <c r="CW16" s="188" t="s">
        <v>2860</v>
      </c>
      <c r="CX16" s="188" t="s">
        <v>2860</v>
      </c>
      <c r="CY16" s="188" t="s">
        <v>2970</v>
      </c>
      <c r="CZ16" s="188" t="s">
        <v>2860</v>
      </c>
      <c r="DA16" s="188" t="s">
        <v>2860</v>
      </c>
      <c r="DB16" s="188" t="s">
        <v>2970</v>
      </c>
      <c r="DC16" s="188" t="s">
        <v>2860</v>
      </c>
      <c r="DD16" s="188" t="s">
        <v>2860</v>
      </c>
      <c r="DE16" s="188" t="s">
        <v>2970</v>
      </c>
      <c r="DF16" s="188" t="s">
        <v>2860</v>
      </c>
      <c r="DG16" s="188" t="s">
        <v>2860</v>
      </c>
      <c r="DH16" s="188" t="s">
        <v>2970</v>
      </c>
      <c r="DI16" s="188" t="s">
        <v>2860</v>
      </c>
      <c r="DJ16" s="188" t="s">
        <v>2860</v>
      </c>
      <c r="DK16" s="188" t="s">
        <v>2970</v>
      </c>
      <c r="DL16" s="188" t="s">
        <v>2860</v>
      </c>
      <c r="DM16" s="188" t="s">
        <v>2860</v>
      </c>
      <c r="DN16" s="188" t="s">
        <v>2970</v>
      </c>
      <c r="DO16" s="188" t="s">
        <v>2860</v>
      </c>
      <c r="DP16" s="188" t="s">
        <v>2860</v>
      </c>
      <c r="DQ16" s="188" t="s">
        <v>2970</v>
      </c>
      <c r="DR16" s="188" t="s">
        <v>2860</v>
      </c>
      <c r="DS16" s="188" t="s">
        <v>2860</v>
      </c>
      <c r="DT16" s="188" t="s">
        <v>2970</v>
      </c>
      <c r="DU16" s="188" t="s">
        <v>2860</v>
      </c>
      <c r="DV16" s="188" t="s">
        <v>2860</v>
      </c>
      <c r="DW16" s="188" t="s">
        <v>2970</v>
      </c>
      <c r="DX16" s="188" t="s">
        <v>2860</v>
      </c>
      <c r="DY16" s="188" t="s">
        <v>2860</v>
      </c>
      <c r="DZ16" s="188" t="s">
        <v>2970</v>
      </c>
      <c r="EA16" s="188" t="s">
        <v>2860</v>
      </c>
      <c r="EB16" s="188" t="s">
        <v>2860</v>
      </c>
      <c r="EC16" s="188" t="s">
        <v>2970</v>
      </c>
      <c r="ED16" s="188" t="s">
        <v>2860</v>
      </c>
      <c r="EE16" s="188" t="s">
        <v>2860</v>
      </c>
      <c r="EF16" s="188" t="s">
        <v>2970</v>
      </c>
      <c r="EG16" s="188" t="s">
        <v>2860</v>
      </c>
      <c r="EH16" s="188" t="s">
        <v>2860</v>
      </c>
      <c r="EI16" s="188" t="s">
        <v>2970</v>
      </c>
      <c r="EJ16" s="188" t="s">
        <v>2860</v>
      </c>
      <c r="EK16" s="188" t="s">
        <v>2860</v>
      </c>
      <c r="EL16" s="188" t="s">
        <v>2970</v>
      </c>
      <c r="EM16" s="188" t="s">
        <v>2860</v>
      </c>
      <c r="EN16" s="188" t="s">
        <v>2860</v>
      </c>
      <c r="EO16" s="188" t="s">
        <v>2970</v>
      </c>
      <c r="EP16" s="188" t="s">
        <v>2860</v>
      </c>
      <c r="EQ16" s="188" t="s">
        <v>2860</v>
      </c>
      <c r="ER16" s="188" t="s">
        <v>2970</v>
      </c>
      <c r="ES16" s="188" t="s">
        <v>2860</v>
      </c>
      <c r="ET16" s="188" t="s">
        <v>2860</v>
      </c>
    </row>
    <row r="17" spans="1:150" x14ac:dyDescent="0.3">
      <c r="A17" s="1"/>
      <c r="B17" s="187" t="s">
        <v>2989</v>
      </c>
      <c r="C17" s="187" t="s">
        <v>106</v>
      </c>
      <c r="D17" s="187" t="s">
        <v>119</v>
      </c>
      <c r="E17" s="187" t="s">
        <v>2990</v>
      </c>
      <c r="F17" s="187" t="s">
        <v>2991</v>
      </c>
      <c r="G17" s="188" t="s">
        <v>2970</v>
      </c>
      <c r="H17" s="188" t="s">
        <v>965</v>
      </c>
      <c r="I17" s="188" t="s">
        <v>965</v>
      </c>
      <c r="J17" s="188" t="s">
        <v>2970</v>
      </c>
      <c r="K17" s="188" t="s">
        <v>965</v>
      </c>
      <c r="L17" s="188" t="s">
        <v>965</v>
      </c>
      <c r="M17" s="188" t="s">
        <v>2970</v>
      </c>
      <c r="N17" s="188" t="s">
        <v>965</v>
      </c>
      <c r="O17" s="188" t="s">
        <v>965</v>
      </c>
      <c r="P17" s="188" t="s">
        <v>2970</v>
      </c>
      <c r="Q17" s="188" t="s">
        <v>965</v>
      </c>
      <c r="R17" s="188" t="s">
        <v>965</v>
      </c>
      <c r="S17" s="188" t="s">
        <v>2970</v>
      </c>
      <c r="T17" s="188" t="s">
        <v>965</v>
      </c>
      <c r="U17" s="188" t="s">
        <v>965</v>
      </c>
      <c r="V17" s="188" t="s">
        <v>2970</v>
      </c>
      <c r="W17" s="188" t="s">
        <v>965</v>
      </c>
      <c r="X17" s="188" t="s">
        <v>965</v>
      </c>
      <c r="Y17" s="188" t="s">
        <v>2970</v>
      </c>
      <c r="Z17" s="188" t="s">
        <v>965</v>
      </c>
      <c r="AA17" s="188" t="s">
        <v>965</v>
      </c>
      <c r="AB17" s="188" t="s">
        <v>2970</v>
      </c>
      <c r="AC17" s="188" t="s">
        <v>965</v>
      </c>
      <c r="AD17" s="188" t="s">
        <v>965</v>
      </c>
      <c r="AE17" s="188" t="s">
        <v>2970</v>
      </c>
      <c r="AF17" s="188" t="s">
        <v>965</v>
      </c>
      <c r="AG17" s="188" t="s">
        <v>965</v>
      </c>
      <c r="AH17" s="188" t="s">
        <v>2970</v>
      </c>
      <c r="AI17" s="188" t="s">
        <v>965</v>
      </c>
      <c r="AJ17" s="188" t="s">
        <v>965</v>
      </c>
      <c r="AK17" s="188" t="s">
        <v>2970</v>
      </c>
      <c r="AL17" s="188" t="s">
        <v>965</v>
      </c>
      <c r="AM17" s="188" t="s">
        <v>965</v>
      </c>
      <c r="AN17" s="188" t="s">
        <v>2970</v>
      </c>
      <c r="AO17" s="188" t="s">
        <v>965</v>
      </c>
      <c r="AP17" s="188" t="s">
        <v>965</v>
      </c>
      <c r="AQ17" s="188" t="s">
        <v>2970</v>
      </c>
      <c r="AR17" s="188" t="s">
        <v>965</v>
      </c>
      <c r="AS17" s="188" t="s">
        <v>965</v>
      </c>
      <c r="AT17" s="188" t="s">
        <v>2970</v>
      </c>
      <c r="AU17" s="188" t="s">
        <v>965</v>
      </c>
      <c r="AV17" s="188" t="s">
        <v>965</v>
      </c>
      <c r="AW17" s="188" t="s">
        <v>2970</v>
      </c>
      <c r="AX17" s="188" t="s">
        <v>965</v>
      </c>
      <c r="AY17" s="188" t="s">
        <v>965</v>
      </c>
      <c r="AZ17" s="188" t="s">
        <v>2970</v>
      </c>
      <c r="BA17" s="188" t="s">
        <v>965</v>
      </c>
      <c r="BB17" s="188" t="s">
        <v>965</v>
      </c>
      <c r="BC17" s="188" t="s">
        <v>2970</v>
      </c>
      <c r="BD17" s="188" t="s">
        <v>965</v>
      </c>
      <c r="BE17" s="188" t="s">
        <v>965</v>
      </c>
      <c r="BF17" s="188" t="s">
        <v>2970</v>
      </c>
      <c r="BG17" s="188" t="s">
        <v>965</v>
      </c>
      <c r="BH17" s="188" t="s">
        <v>965</v>
      </c>
      <c r="BI17" s="188" t="s">
        <v>2970</v>
      </c>
      <c r="BJ17" s="188" t="s">
        <v>965</v>
      </c>
      <c r="BK17" s="188" t="s">
        <v>965</v>
      </c>
      <c r="BL17" s="188" t="s">
        <v>2970</v>
      </c>
      <c r="BM17" s="188" t="s">
        <v>965</v>
      </c>
      <c r="BN17" s="188" t="s">
        <v>965</v>
      </c>
      <c r="BO17" s="188" t="s">
        <v>2970</v>
      </c>
      <c r="BP17" s="188" t="s">
        <v>965</v>
      </c>
      <c r="BQ17" s="188" t="s">
        <v>965</v>
      </c>
      <c r="BR17" s="188" t="s">
        <v>2970</v>
      </c>
      <c r="BS17" s="188" t="s">
        <v>965</v>
      </c>
      <c r="BT17" s="188" t="s">
        <v>965</v>
      </c>
      <c r="BU17" s="188" t="s">
        <v>2970</v>
      </c>
      <c r="BV17" s="188" t="s">
        <v>965</v>
      </c>
      <c r="BW17" s="188" t="s">
        <v>965</v>
      </c>
      <c r="BX17" s="188" t="s">
        <v>2970</v>
      </c>
      <c r="BY17" s="188" t="s">
        <v>965</v>
      </c>
      <c r="BZ17" s="188" t="s">
        <v>965</v>
      </c>
      <c r="CA17" s="188" t="s">
        <v>2970</v>
      </c>
      <c r="CB17" s="188" t="s">
        <v>965</v>
      </c>
      <c r="CC17" s="188" t="s">
        <v>965</v>
      </c>
      <c r="CD17" s="188" t="s">
        <v>2970</v>
      </c>
      <c r="CE17" s="188" t="s">
        <v>965</v>
      </c>
      <c r="CF17" s="188" t="s">
        <v>965</v>
      </c>
      <c r="CG17" s="188" t="s">
        <v>2970</v>
      </c>
      <c r="CH17" s="188" t="s">
        <v>965</v>
      </c>
      <c r="CI17" s="188" t="s">
        <v>965</v>
      </c>
      <c r="CJ17" s="188" t="s">
        <v>2970</v>
      </c>
      <c r="CK17" s="188" t="s">
        <v>965</v>
      </c>
      <c r="CL17" s="188" t="s">
        <v>965</v>
      </c>
      <c r="CM17" s="188" t="s">
        <v>2970</v>
      </c>
      <c r="CN17" s="188" t="s">
        <v>965</v>
      </c>
      <c r="CO17" s="188" t="s">
        <v>965</v>
      </c>
      <c r="CP17" s="188" t="s">
        <v>2970</v>
      </c>
      <c r="CQ17" s="188" t="s">
        <v>965</v>
      </c>
      <c r="CR17" s="188" t="s">
        <v>965</v>
      </c>
      <c r="CS17" s="188" t="s">
        <v>2970</v>
      </c>
      <c r="CT17" s="188" t="s">
        <v>965</v>
      </c>
      <c r="CU17" s="188" t="s">
        <v>965</v>
      </c>
      <c r="CV17" s="188" t="s">
        <v>2970</v>
      </c>
      <c r="CW17" s="188" t="s">
        <v>965</v>
      </c>
      <c r="CX17" s="188" t="s">
        <v>965</v>
      </c>
      <c r="CY17" s="188" t="s">
        <v>2970</v>
      </c>
      <c r="CZ17" s="188" t="s">
        <v>965</v>
      </c>
      <c r="DA17" s="188" t="s">
        <v>965</v>
      </c>
      <c r="DB17" s="188" t="s">
        <v>2970</v>
      </c>
      <c r="DC17" s="188" t="s">
        <v>965</v>
      </c>
      <c r="DD17" s="188" t="s">
        <v>965</v>
      </c>
      <c r="DE17" s="188" t="s">
        <v>2970</v>
      </c>
      <c r="DF17" s="188" t="s">
        <v>965</v>
      </c>
      <c r="DG17" s="188" t="s">
        <v>965</v>
      </c>
      <c r="DH17" s="188" t="s">
        <v>2970</v>
      </c>
      <c r="DI17" s="188" t="s">
        <v>965</v>
      </c>
      <c r="DJ17" s="188" t="s">
        <v>965</v>
      </c>
      <c r="DK17" s="188" t="s">
        <v>2970</v>
      </c>
      <c r="DL17" s="188" t="s">
        <v>965</v>
      </c>
      <c r="DM17" s="188" t="s">
        <v>965</v>
      </c>
      <c r="DN17" s="188" t="s">
        <v>2970</v>
      </c>
      <c r="DO17" s="188" t="s">
        <v>965</v>
      </c>
      <c r="DP17" s="188" t="s">
        <v>965</v>
      </c>
      <c r="DQ17" s="188" t="s">
        <v>2970</v>
      </c>
      <c r="DR17" s="188" t="s">
        <v>965</v>
      </c>
      <c r="DS17" s="188" t="s">
        <v>965</v>
      </c>
      <c r="DT17" s="188" t="s">
        <v>2970</v>
      </c>
      <c r="DU17" s="188" t="s">
        <v>965</v>
      </c>
      <c r="DV17" s="188" t="s">
        <v>965</v>
      </c>
      <c r="DW17" s="188" t="s">
        <v>2970</v>
      </c>
      <c r="DX17" s="188" t="s">
        <v>965</v>
      </c>
      <c r="DY17" s="188" t="s">
        <v>965</v>
      </c>
      <c r="DZ17" s="188" t="s">
        <v>2970</v>
      </c>
      <c r="EA17" s="188" t="s">
        <v>965</v>
      </c>
      <c r="EB17" s="188" t="s">
        <v>965</v>
      </c>
      <c r="EC17" s="188" t="s">
        <v>2970</v>
      </c>
      <c r="ED17" s="188" t="s">
        <v>965</v>
      </c>
      <c r="EE17" s="188" t="s">
        <v>965</v>
      </c>
      <c r="EF17" s="188" t="s">
        <v>2970</v>
      </c>
      <c r="EG17" s="188" t="s">
        <v>965</v>
      </c>
      <c r="EH17" s="188" t="s">
        <v>965</v>
      </c>
      <c r="EI17" s="188" t="s">
        <v>2970</v>
      </c>
      <c r="EJ17" s="188" t="s">
        <v>965</v>
      </c>
      <c r="EK17" s="188" t="s">
        <v>965</v>
      </c>
      <c r="EL17" s="188" t="s">
        <v>2970</v>
      </c>
      <c r="EM17" s="188" t="s">
        <v>965</v>
      </c>
      <c r="EN17" s="188" t="s">
        <v>965</v>
      </c>
      <c r="EO17" s="188" t="s">
        <v>2970</v>
      </c>
      <c r="EP17" s="188" t="s">
        <v>965</v>
      </c>
      <c r="EQ17" s="188" t="s">
        <v>965</v>
      </c>
      <c r="ER17" s="188" t="s">
        <v>2970</v>
      </c>
      <c r="ES17" s="188" t="s">
        <v>965</v>
      </c>
      <c r="ET17" s="188" t="s">
        <v>965</v>
      </c>
    </row>
    <row r="18" spans="1:150" x14ac:dyDescent="0.3">
      <c r="A18" s="1"/>
      <c r="B18" s="186" t="s">
        <v>2992</v>
      </c>
      <c r="C18" s="186" t="s">
        <v>151</v>
      </c>
      <c r="D18" s="186" t="s">
        <v>1020</v>
      </c>
      <c r="E18" s="186" t="s">
        <v>2993</v>
      </c>
      <c r="F18" s="186" t="s">
        <v>2994</v>
      </c>
      <c r="G18" s="186" t="s">
        <v>2970</v>
      </c>
      <c r="H18" s="186" t="s">
        <v>2860</v>
      </c>
      <c r="I18" s="186" t="s">
        <v>2860</v>
      </c>
      <c r="J18" s="186" t="s">
        <v>2970</v>
      </c>
      <c r="K18" s="186" t="s">
        <v>2860</v>
      </c>
      <c r="L18" s="186" t="s">
        <v>2860</v>
      </c>
      <c r="M18" s="186" t="s">
        <v>2970</v>
      </c>
      <c r="N18" s="186" t="s">
        <v>2860</v>
      </c>
      <c r="O18" s="186" t="s">
        <v>2860</v>
      </c>
      <c r="P18" s="186" t="s">
        <v>2970</v>
      </c>
      <c r="Q18" s="186" t="s">
        <v>2860</v>
      </c>
      <c r="R18" s="186" t="s">
        <v>2860</v>
      </c>
      <c r="S18" s="186" t="s">
        <v>2970</v>
      </c>
      <c r="T18" s="186" t="s">
        <v>2860</v>
      </c>
      <c r="U18" s="186" t="s">
        <v>2860</v>
      </c>
      <c r="V18" s="186" t="s">
        <v>2970</v>
      </c>
      <c r="W18" s="186" t="s">
        <v>2860</v>
      </c>
      <c r="X18" s="186" t="s">
        <v>2860</v>
      </c>
      <c r="Y18" s="186" t="s">
        <v>2970</v>
      </c>
      <c r="Z18" s="186" t="s">
        <v>2860</v>
      </c>
      <c r="AA18" s="186" t="s">
        <v>2860</v>
      </c>
      <c r="AB18" s="186" t="s">
        <v>2970</v>
      </c>
      <c r="AC18" s="186" t="s">
        <v>2860</v>
      </c>
      <c r="AD18" s="186" t="s">
        <v>2860</v>
      </c>
      <c r="AE18" s="186" t="s">
        <v>2970</v>
      </c>
      <c r="AF18" s="186" t="s">
        <v>2860</v>
      </c>
      <c r="AG18" s="186" t="s">
        <v>2860</v>
      </c>
      <c r="AH18" s="186" t="s">
        <v>2970</v>
      </c>
      <c r="AI18" s="186" t="s">
        <v>2860</v>
      </c>
      <c r="AJ18" s="186" t="s">
        <v>2860</v>
      </c>
      <c r="AK18" s="186" t="s">
        <v>2970</v>
      </c>
      <c r="AL18" s="186" t="s">
        <v>2860</v>
      </c>
      <c r="AM18" s="186" t="s">
        <v>2860</v>
      </c>
      <c r="AN18" s="186" t="s">
        <v>2970</v>
      </c>
      <c r="AO18" s="186" t="s">
        <v>2860</v>
      </c>
      <c r="AP18" s="186" t="s">
        <v>2860</v>
      </c>
      <c r="AQ18" s="186" t="s">
        <v>2970</v>
      </c>
      <c r="AR18" s="186" t="s">
        <v>2860</v>
      </c>
      <c r="AS18" s="186" t="s">
        <v>2860</v>
      </c>
      <c r="AT18" s="186" t="s">
        <v>2970</v>
      </c>
      <c r="AU18" s="186" t="s">
        <v>2860</v>
      </c>
      <c r="AV18" s="186" t="s">
        <v>2860</v>
      </c>
      <c r="AW18" s="186" t="s">
        <v>2970</v>
      </c>
      <c r="AX18" s="186" t="s">
        <v>2860</v>
      </c>
      <c r="AY18" s="186" t="s">
        <v>2860</v>
      </c>
      <c r="AZ18" s="186" t="s">
        <v>2970</v>
      </c>
      <c r="BA18" s="186" t="s">
        <v>2860</v>
      </c>
      <c r="BB18" s="186" t="s">
        <v>2860</v>
      </c>
      <c r="BC18" s="186" t="s">
        <v>2970</v>
      </c>
      <c r="BD18" s="186" t="s">
        <v>2860</v>
      </c>
      <c r="BE18" s="186" t="s">
        <v>2860</v>
      </c>
      <c r="BF18" s="186" t="s">
        <v>2970</v>
      </c>
      <c r="BG18" s="186" t="s">
        <v>2860</v>
      </c>
      <c r="BH18" s="186" t="s">
        <v>2860</v>
      </c>
      <c r="BI18" s="186" t="s">
        <v>2970</v>
      </c>
      <c r="BJ18" s="186" t="s">
        <v>2860</v>
      </c>
      <c r="BK18" s="186" t="s">
        <v>2860</v>
      </c>
      <c r="BL18" s="186" t="s">
        <v>2970</v>
      </c>
      <c r="BM18" s="186" t="s">
        <v>2860</v>
      </c>
      <c r="BN18" s="186" t="s">
        <v>2860</v>
      </c>
      <c r="BO18" s="186" t="s">
        <v>2970</v>
      </c>
      <c r="BP18" s="186" t="s">
        <v>2860</v>
      </c>
      <c r="BQ18" s="186" t="s">
        <v>2860</v>
      </c>
      <c r="BR18" s="186" t="s">
        <v>2970</v>
      </c>
      <c r="BS18" s="186" t="s">
        <v>2860</v>
      </c>
      <c r="BT18" s="186" t="s">
        <v>2860</v>
      </c>
      <c r="BU18" s="186" t="s">
        <v>2970</v>
      </c>
      <c r="BV18" s="186" t="s">
        <v>2860</v>
      </c>
      <c r="BW18" s="186" t="s">
        <v>2860</v>
      </c>
      <c r="BX18" s="186" t="s">
        <v>2970</v>
      </c>
      <c r="BY18" s="186" t="s">
        <v>2860</v>
      </c>
      <c r="BZ18" s="186" t="s">
        <v>2860</v>
      </c>
      <c r="CA18" s="186" t="s">
        <v>2970</v>
      </c>
      <c r="CB18" s="186" t="s">
        <v>2860</v>
      </c>
      <c r="CC18" s="186" t="s">
        <v>2860</v>
      </c>
      <c r="CD18" s="186" t="s">
        <v>2970</v>
      </c>
      <c r="CE18" s="186" t="s">
        <v>2860</v>
      </c>
      <c r="CF18" s="186" t="s">
        <v>2860</v>
      </c>
      <c r="CG18" s="186" t="s">
        <v>2970</v>
      </c>
      <c r="CH18" s="186" t="s">
        <v>2860</v>
      </c>
      <c r="CI18" s="186" t="s">
        <v>2860</v>
      </c>
      <c r="CJ18" s="186" t="s">
        <v>2970</v>
      </c>
      <c r="CK18" s="186" t="s">
        <v>2860</v>
      </c>
      <c r="CL18" s="186" t="s">
        <v>2860</v>
      </c>
      <c r="CM18" s="186" t="s">
        <v>2970</v>
      </c>
      <c r="CN18" s="186" t="s">
        <v>2860</v>
      </c>
      <c r="CO18" s="186" t="s">
        <v>2860</v>
      </c>
      <c r="CP18" s="186" t="s">
        <v>2970</v>
      </c>
      <c r="CQ18" s="186" t="s">
        <v>2860</v>
      </c>
      <c r="CR18" s="186" t="s">
        <v>2860</v>
      </c>
      <c r="CS18" s="186" t="s">
        <v>2970</v>
      </c>
      <c r="CT18" s="186" t="s">
        <v>2860</v>
      </c>
      <c r="CU18" s="186" t="s">
        <v>2860</v>
      </c>
      <c r="CV18" s="186" t="s">
        <v>2970</v>
      </c>
      <c r="CW18" s="186" t="s">
        <v>2860</v>
      </c>
      <c r="CX18" s="186" t="s">
        <v>2860</v>
      </c>
      <c r="CY18" s="186" t="s">
        <v>2970</v>
      </c>
      <c r="CZ18" s="186" t="s">
        <v>2860</v>
      </c>
      <c r="DA18" s="186" t="s">
        <v>2860</v>
      </c>
      <c r="DB18" s="186" t="s">
        <v>2970</v>
      </c>
      <c r="DC18" s="186" t="s">
        <v>2860</v>
      </c>
      <c r="DD18" s="186" t="s">
        <v>2860</v>
      </c>
      <c r="DE18" s="186" t="s">
        <v>2970</v>
      </c>
      <c r="DF18" s="186" t="s">
        <v>2860</v>
      </c>
      <c r="DG18" s="186" t="s">
        <v>2860</v>
      </c>
      <c r="DH18" s="186" t="s">
        <v>2970</v>
      </c>
      <c r="DI18" s="186" t="s">
        <v>2860</v>
      </c>
      <c r="DJ18" s="186" t="s">
        <v>2860</v>
      </c>
      <c r="DK18" s="186" t="s">
        <v>2970</v>
      </c>
      <c r="DL18" s="186" t="s">
        <v>2860</v>
      </c>
      <c r="DM18" s="186" t="s">
        <v>2860</v>
      </c>
      <c r="DN18" s="186" t="s">
        <v>2970</v>
      </c>
      <c r="DO18" s="186" t="s">
        <v>2860</v>
      </c>
      <c r="DP18" s="186" t="s">
        <v>2860</v>
      </c>
      <c r="DQ18" s="186" t="s">
        <v>2970</v>
      </c>
      <c r="DR18" s="186" t="s">
        <v>2860</v>
      </c>
      <c r="DS18" s="186" t="s">
        <v>2860</v>
      </c>
      <c r="DT18" s="186" t="s">
        <v>2970</v>
      </c>
      <c r="DU18" s="186" t="s">
        <v>2860</v>
      </c>
      <c r="DV18" s="186" t="s">
        <v>2860</v>
      </c>
      <c r="DW18" s="186" t="s">
        <v>2970</v>
      </c>
      <c r="DX18" s="186" t="s">
        <v>2860</v>
      </c>
      <c r="DY18" s="186" t="s">
        <v>2860</v>
      </c>
      <c r="DZ18" s="186" t="s">
        <v>2970</v>
      </c>
      <c r="EA18" s="186" t="s">
        <v>2860</v>
      </c>
      <c r="EB18" s="186" t="s">
        <v>2860</v>
      </c>
      <c r="EC18" s="186" t="s">
        <v>2970</v>
      </c>
      <c r="ED18" s="186" t="s">
        <v>2860</v>
      </c>
      <c r="EE18" s="186" t="s">
        <v>2860</v>
      </c>
      <c r="EF18" s="186" t="s">
        <v>2970</v>
      </c>
      <c r="EG18" s="186" t="s">
        <v>2860</v>
      </c>
      <c r="EH18" s="186" t="s">
        <v>2860</v>
      </c>
      <c r="EI18" s="186" t="s">
        <v>2970</v>
      </c>
      <c r="EJ18" s="186" t="s">
        <v>2860</v>
      </c>
      <c r="EK18" s="186" t="s">
        <v>2860</v>
      </c>
      <c r="EL18" s="186" t="s">
        <v>2970</v>
      </c>
      <c r="EM18" s="186" t="s">
        <v>2860</v>
      </c>
      <c r="EN18" s="186" t="s">
        <v>2860</v>
      </c>
      <c r="EO18" s="186" t="s">
        <v>2970</v>
      </c>
      <c r="EP18" s="186" t="s">
        <v>2860</v>
      </c>
      <c r="EQ18" s="186" t="s">
        <v>2860</v>
      </c>
      <c r="ER18" s="186" t="s">
        <v>2970</v>
      </c>
      <c r="ES18" s="186" t="s">
        <v>2860</v>
      </c>
      <c r="ET18" s="186" t="s">
        <v>2860</v>
      </c>
    </row>
    <row r="19" spans="1:150" x14ac:dyDescent="0.3">
      <c r="A19" s="1"/>
      <c r="B19" s="187" t="s">
        <v>2995</v>
      </c>
      <c r="C19" s="187" t="s">
        <v>151</v>
      </c>
      <c r="D19" s="187" t="s">
        <v>1020</v>
      </c>
      <c r="E19" s="187" t="s">
        <v>2996</v>
      </c>
      <c r="F19" s="187" t="s">
        <v>2997</v>
      </c>
      <c r="G19" s="188" t="s">
        <v>2970</v>
      </c>
      <c r="H19" s="188" t="s">
        <v>2860</v>
      </c>
      <c r="I19" s="188" t="s">
        <v>2860</v>
      </c>
      <c r="J19" s="188" t="s">
        <v>2970</v>
      </c>
      <c r="K19" s="188" t="s">
        <v>2860</v>
      </c>
      <c r="L19" s="188" t="s">
        <v>2860</v>
      </c>
      <c r="M19" s="188" t="s">
        <v>2970</v>
      </c>
      <c r="N19" s="188" t="s">
        <v>2860</v>
      </c>
      <c r="O19" s="188" t="s">
        <v>2860</v>
      </c>
      <c r="P19" s="188" t="s">
        <v>2970</v>
      </c>
      <c r="Q19" s="188" t="s">
        <v>2860</v>
      </c>
      <c r="R19" s="188" t="s">
        <v>2860</v>
      </c>
      <c r="S19" s="188" t="s">
        <v>2970</v>
      </c>
      <c r="T19" s="188" t="s">
        <v>2860</v>
      </c>
      <c r="U19" s="188" t="s">
        <v>2860</v>
      </c>
      <c r="V19" s="188" t="s">
        <v>2970</v>
      </c>
      <c r="W19" s="188" t="s">
        <v>2860</v>
      </c>
      <c r="X19" s="188" t="s">
        <v>2860</v>
      </c>
      <c r="Y19" s="188" t="s">
        <v>2970</v>
      </c>
      <c r="Z19" s="188" t="s">
        <v>2860</v>
      </c>
      <c r="AA19" s="188" t="s">
        <v>2860</v>
      </c>
      <c r="AB19" s="188" t="s">
        <v>2970</v>
      </c>
      <c r="AC19" s="188" t="s">
        <v>2860</v>
      </c>
      <c r="AD19" s="188" t="s">
        <v>2860</v>
      </c>
      <c r="AE19" s="188" t="s">
        <v>2970</v>
      </c>
      <c r="AF19" s="188" t="s">
        <v>2860</v>
      </c>
      <c r="AG19" s="188" t="s">
        <v>2860</v>
      </c>
      <c r="AH19" s="188" t="s">
        <v>2970</v>
      </c>
      <c r="AI19" s="188" t="s">
        <v>2860</v>
      </c>
      <c r="AJ19" s="188" t="s">
        <v>2860</v>
      </c>
      <c r="AK19" s="188" t="s">
        <v>2970</v>
      </c>
      <c r="AL19" s="188" t="s">
        <v>2860</v>
      </c>
      <c r="AM19" s="188" t="s">
        <v>2860</v>
      </c>
      <c r="AN19" s="188" t="s">
        <v>2970</v>
      </c>
      <c r="AO19" s="188" t="s">
        <v>2860</v>
      </c>
      <c r="AP19" s="188" t="s">
        <v>2860</v>
      </c>
      <c r="AQ19" s="188" t="s">
        <v>2970</v>
      </c>
      <c r="AR19" s="188" t="s">
        <v>2860</v>
      </c>
      <c r="AS19" s="188" t="s">
        <v>2860</v>
      </c>
      <c r="AT19" s="188" t="s">
        <v>2970</v>
      </c>
      <c r="AU19" s="188" t="s">
        <v>2860</v>
      </c>
      <c r="AV19" s="188" t="s">
        <v>2860</v>
      </c>
      <c r="AW19" s="188" t="s">
        <v>2970</v>
      </c>
      <c r="AX19" s="188" t="s">
        <v>2860</v>
      </c>
      <c r="AY19" s="188" t="s">
        <v>2860</v>
      </c>
      <c r="AZ19" s="188" t="s">
        <v>2970</v>
      </c>
      <c r="BA19" s="188" t="s">
        <v>2860</v>
      </c>
      <c r="BB19" s="188" t="s">
        <v>2860</v>
      </c>
      <c r="BC19" s="188" t="s">
        <v>2970</v>
      </c>
      <c r="BD19" s="188" t="s">
        <v>2860</v>
      </c>
      <c r="BE19" s="188" t="s">
        <v>2860</v>
      </c>
      <c r="BF19" s="188" t="s">
        <v>2970</v>
      </c>
      <c r="BG19" s="188" t="s">
        <v>2860</v>
      </c>
      <c r="BH19" s="188" t="s">
        <v>2860</v>
      </c>
      <c r="BI19" s="188" t="s">
        <v>2970</v>
      </c>
      <c r="BJ19" s="188" t="s">
        <v>2860</v>
      </c>
      <c r="BK19" s="188" t="s">
        <v>2860</v>
      </c>
      <c r="BL19" s="188" t="s">
        <v>2970</v>
      </c>
      <c r="BM19" s="188" t="s">
        <v>2860</v>
      </c>
      <c r="BN19" s="188" t="s">
        <v>2860</v>
      </c>
      <c r="BO19" s="188" t="s">
        <v>2970</v>
      </c>
      <c r="BP19" s="188" t="s">
        <v>2860</v>
      </c>
      <c r="BQ19" s="188" t="s">
        <v>2860</v>
      </c>
      <c r="BR19" s="188" t="s">
        <v>2970</v>
      </c>
      <c r="BS19" s="188" t="s">
        <v>2860</v>
      </c>
      <c r="BT19" s="188" t="s">
        <v>2860</v>
      </c>
      <c r="BU19" s="188" t="s">
        <v>2970</v>
      </c>
      <c r="BV19" s="188" t="s">
        <v>2860</v>
      </c>
      <c r="BW19" s="188" t="s">
        <v>2860</v>
      </c>
      <c r="BX19" s="188" t="s">
        <v>2970</v>
      </c>
      <c r="BY19" s="188" t="s">
        <v>2860</v>
      </c>
      <c r="BZ19" s="188" t="s">
        <v>2860</v>
      </c>
      <c r="CA19" s="188" t="s">
        <v>2970</v>
      </c>
      <c r="CB19" s="188" t="s">
        <v>2860</v>
      </c>
      <c r="CC19" s="188" t="s">
        <v>2860</v>
      </c>
      <c r="CD19" s="188" t="s">
        <v>2970</v>
      </c>
      <c r="CE19" s="188" t="s">
        <v>2860</v>
      </c>
      <c r="CF19" s="188" t="s">
        <v>2860</v>
      </c>
      <c r="CG19" s="188" t="s">
        <v>2970</v>
      </c>
      <c r="CH19" s="188" t="s">
        <v>2860</v>
      </c>
      <c r="CI19" s="188" t="s">
        <v>2860</v>
      </c>
      <c r="CJ19" s="188" t="s">
        <v>2970</v>
      </c>
      <c r="CK19" s="188" t="s">
        <v>2860</v>
      </c>
      <c r="CL19" s="188" t="s">
        <v>2860</v>
      </c>
      <c r="CM19" s="188" t="s">
        <v>2970</v>
      </c>
      <c r="CN19" s="188" t="s">
        <v>2860</v>
      </c>
      <c r="CO19" s="188" t="s">
        <v>2860</v>
      </c>
      <c r="CP19" s="188" t="s">
        <v>2970</v>
      </c>
      <c r="CQ19" s="188" t="s">
        <v>2860</v>
      </c>
      <c r="CR19" s="188" t="s">
        <v>2860</v>
      </c>
      <c r="CS19" s="188" t="s">
        <v>2970</v>
      </c>
      <c r="CT19" s="188" t="s">
        <v>2860</v>
      </c>
      <c r="CU19" s="188" t="s">
        <v>2860</v>
      </c>
      <c r="CV19" s="188" t="s">
        <v>2970</v>
      </c>
      <c r="CW19" s="188" t="s">
        <v>2860</v>
      </c>
      <c r="CX19" s="188" t="s">
        <v>2860</v>
      </c>
      <c r="CY19" s="188" t="s">
        <v>2970</v>
      </c>
      <c r="CZ19" s="188" t="s">
        <v>2860</v>
      </c>
      <c r="DA19" s="188" t="s">
        <v>2860</v>
      </c>
      <c r="DB19" s="188" t="s">
        <v>2970</v>
      </c>
      <c r="DC19" s="188" t="s">
        <v>2860</v>
      </c>
      <c r="DD19" s="188" t="s">
        <v>2860</v>
      </c>
      <c r="DE19" s="188" t="s">
        <v>2970</v>
      </c>
      <c r="DF19" s="188" t="s">
        <v>2860</v>
      </c>
      <c r="DG19" s="188" t="s">
        <v>2860</v>
      </c>
      <c r="DH19" s="188" t="s">
        <v>2970</v>
      </c>
      <c r="DI19" s="188" t="s">
        <v>2860</v>
      </c>
      <c r="DJ19" s="188" t="s">
        <v>2860</v>
      </c>
      <c r="DK19" s="188" t="s">
        <v>2970</v>
      </c>
      <c r="DL19" s="188" t="s">
        <v>2860</v>
      </c>
      <c r="DM19" s="188" t="s">
        <v>2860</v>
      </c>
      <c r="DN19" s="188" t="s">
        <v>2970</v>
      </c>
      <c r="DO19" s="188" t="s">
        <v>2860</v>
      </c>
      <c r="DP19" s="188" t="s">
        <v>2860</v>
      </c>
      <c r="DQ19" s="188" t="s">
        <v>2970</v>
      </c>
      <c r="DR19" s="188" t="s">
        <v>2860</v>
      </c>
      <c r="DS19" s="188" t="s">
        <v>2860</v>
      </c>
      <c r="DT19" s="188" t="s">
        <v>2970</v>
      </c>
      <c r="DU19" s="188" t="s">
        <v>2860</v>
      </c>
      <c r="DV19" s="188" t="s">
        <v>2860</v>
      </c>
      <c r="DW19" s="188" t="s">
        <v>2970</v>
      </c>
      <c r="DX19" s="188" t="s">
        <v>2860</v>
      </c>
      <c r="DY19" s="188" t="s">
        <v>2860</v>
      </c>
      <c r="DZ19" s="188" t="s">
        <v>2970</v>
      </c>
      <c r="EA19" s="188" t="s">
        <v>2860</v>
      </c>
      <c r="EB19" s="188" t="s">
        <v>2860</v>
      </c>
      <c r="EC19" s="188" t="s">
        <v>2970</v>
      </c>
      <c r="ED19" s="188" t="s">
        <v>2860</v>
      </c>
      <c r="EE19" s="188" t="s">
        <v>2860</v>
      </c>
      <c r="EF19" s="188" t="s">
        <v>2970</v>
      </c>
      <c r="EG19" s="188" t="s">
        <v>2860</v>
      </c>
      <c r="EH19" s="188" t="s">
        <v>2860</v>
      </c>
      <c r="EI19" s="188" t="s">
        <v>2970</v>
      </c>
      <c r="EJ19" s="188" t="s">
        <v>2860</v>
      </c>
      <c r="EK19" s="188" t="s">
        <v>2860</v>
      </c>
      <c r="EL19" s="188" t="s">
        <v>2970</v>
      </c>
      <c r="EM19" s="188" t="s">
        <v>2860</v>
      </c>
      <c r="EN19" s="188" t="s">
        <v>2860</v>
      </c>
      <c r="EO19" s="188" t="s">
        <v>2970</v>
      </c>
      <c r="EP19" s="188" t="s">
        <v>2860</v>
      </c>
      <c r="EQ19" s="188" t="s">
        <v>2860</v>
      </c>
      <c r="ER19" s="188" t="s">
        <v>2970</v>
      </c>
      <c r="ES19" s="188" t="s">
        <v>2860</v>
      </c>
      <c r="ET19" s="188" t="s">
        <v>2860</v>
      </c>
    </row>
    <row r="20" spans="1:150" x14ac:dyDescent="0.3">
      <c r="A20" s="1"/>
      <c r="B20" s="187" t="s">
        <v>2998</v>
      </c>
      <c r="C20" s="187" t="s">
        <v>151</v>
      </c>
      <c r="D20" s="187" t="s">
        <v>1020</v>
      </c>
      <c r="E20" s="187" t="s">
        <v>2999</v>
      </c>
      <c r="F20" s="187" t="s">
        <v>3000</v>
      </c>
      <c r="G20" s="188" t="s">
        <v>2970</v>
      </c>
      <c r="H20" s="188" t="s">
        <v>2860</v>
      </c>
      <c r="I20" s="188" t="s">
        <v>2860</v>
      </c>
      <c r="J20" s="188" t="s">
        <v>2970</v>
      </c>
      <c r="K20" s="188" t="s">
        <v>2860</v>
      </c>
      <c r="L20" s="188" t="s">
        <v>2860</v>
      </c>
      <c r="M20" s="188" t="s">
        <v>2970</v>
      </c>
      <c r="N20" s="188" t="s">
        <v>2860</v>
      </c>
      <c r="O20" s="188" t="s">
        <v>2860</v>
      </c>
      <c r="P20" s="188" t="s">
        <v>2970</v>
      </c>
      <c r="Q20" s="188" t="s">
        <v>2860</v>
      </c>
      <c r="R20" s="188" t="s">
        <v>2860</v>
      </c>
      <c r="S20" s="188" t="s">
        <v>2970</v>
      </c>
      <c r="T20" s="188" t="s">
        <v>2860</v>
      </c>
      <c r="U20" s="188" t="s">
        <v>2860</v>
      </c>
      <c r="V20" s="188" t="s">
        <v>2970</v>
      </c>
      <c r="W20" s="188" t="s">
        <v>2860</v>
      </c>
      <c r="X20" s="188" t="s">
        <v>2860</v>
      </c>
      <c r="Y20" s="188" t="s">
        <v>2970</v>
      </c>
      <c r="Z20" s="188" t="s">
        <v>2860</v>
      </c>
      <c r="AA20" s="188" t="s">
        <v>2860</v>
      </c>
      <c r="AB20" s="188" t="s">
        <v>2970</v>
      </c>
      <c r="AC20" s="188" t="s">
        <v>2860</v>
      </c>
      <c r="AD20" s="188" t="s">
        <v>2860</v>
      </c>
      <c r="AE20" s="188" t="s">
        <v>2970</v>
      </c>
      <c r="AF20" s="188" t="s">
        <v>2860</v>
      </c>
      <c r="AG20" s="188" t="s">
        <v>2860</v>
      </c>
      <c r="AH20" s="188" t="s">
        <v>2970</v>
      </c>
      <c r="AI20" s="188" t="s">
        <v>2860</v>
      </c>
      <c r="AJ20" s="188" t="s">
        <v>2860</v>
      </c>
      <c r="AK20" s="188" t="s">
        <v>2970</v>
      </c>
      <c r="AL20" s="188" t="s">
        <v>2860</v>
      </c>
      <c r="AM20" s="188" t="s">
        <v>2860</v>
      </c>
      <c r="AN20" s="188" t="s">
        <v>2970</v>
      </c>
      <c r="AO20" s="188" t="s">
        <v>2860</v>
      </c>
      <c r="AP20" s="188" t="s">
        <v>2860</v>
      </c>
      <c r="AQ20" s="188" t="s">
        <v>2970</v>
      </c>
      <c r="AR20" s="188" t="s">
        <v>2860</v>
      </c>
      <c r="AS20" s="188" t="s">
        <v>2860</v>
      </c>
      <c r="AT20" s="188" t="s">
        <v>2970</v>
      </c>
      <c r="AU20" s="188" t="s">
        <v>2860</v>
      </c>
      <c r="AV20" s="188" t="s">
        <v>2860</v>
      </c>
      <c r="AW20" s="188" t="s">
        <v>2970</v>
      </c>
      <c r="AX20" s="188" t="s">
        <v>2860</v>
      </c>
      <c r="AY20" s="188" t="s">
        <v>2860</v>
      </c>
      <c r="AZ20" s="188" t="s">
        <v>2970</v>
      </c>
      <c r="BA20" s="188" t="s">
        <v>2860</v>
      </c>
      <c r="BB20" s="188" t="s">
        <v>2860</v>
      </c>
      <c r="BC20" s="188" t="s">
        <v>2970</v>
      </c>
      <c r="BD20" s="188" t="s">
        <v>2860</v>
      </c>
      <c r="BE20" s="188" t="s">
        <v>2860</v>
      </c>
      <c r="BF20" s="188" t="s">
        <v>2970</v>
      </c>
      <c r="BG20" s="188" t="s">
        <v>2860</v>
      </c>
      <c r="BH20" s="188" t="s">
        <v>2860</v>
      </c>
      <c r="BI20" s="188" t="s">
        <v>2970</v>
      </c>
      <c r="BJ20" s="188" t="s">
        <v>2860</v>
      </c>
      <c r="BK20" s="188" t="s">
        <v>2860</v>
      </c>
      <c r="BL20" s="188" t="s">
        <v>2970</v>
      </c>
      <c r="BM20" s="188" t="s">
        <v>2860</v>
      </c>
      <c r="BN20" s="188" t="s">
        <v>2860</v>
      </c>
      <c r="BO20" s="188" t="s">
        <v>2970</v>
      </c>
      <c r="BP20" s="188" t="s">
        <v>2860</v>
      </c>
      <c r="BQ20" s="188" t="s">
        <v>2860</v>
      </c>
      <c r="BR20" s="188" t="s">
        <v>2970</v>
      </c>
      <c r="BS20" s="188" t="s">
        <v>2860</v>
      </c>
      <c r="BT20" s="188" t="s">
        <v>2860</v>
      </c>
      <c r="BU20" s="188" t="s">
        <v>2970</v>
      </c>
      <c r="BV20" s="188" t="s">
        <v>2860</v>
      </c>
      <c r="BW20" s="188" t="s">
        <v>2860</v>
      </c>
      <c r="BX20" s="188" t="s">
        <v>2970</v>
      </c>
      <c r="BY20" s="188" t="s">
        <v>2860</v>
      </c>
      <c r="BZ20" s="188" t="s">
        <v>2860</v>
      </c>
      <c r="CA20" s="188" t="s">
        <v>2970</v>
      </c>
      <c r="CB20" s="188" t="s">
        <v>2860</v>
      </c>
      <c r="CC20" s="188" t="s">
        <v>2860</v>
      </c>
      <c r="CD20" s="188" t="s">
        <v>2970</v>
      </c>
      <c r="CE20" s="188" t="s">
        <v>2860</v>
      </c>
      <c r="CF20" s="188" t="s">
        <v>2860</v>
      </c>
      <c r="CG20" s="188" t="s">
        <v>2970</v>
      </c>
      <c r="CH20" s="188" t="s">
        <v>2860</v>
      </c>
      <c r="CI20" s="188" t="s">
        <v>2860</v>
      </c>
      <c r="CJ20" s="188" t="s">
        <v>2970</v>
      </c>
      <c r="CK20" s="188" t="s">
        <v>2860</v>
      </c>
      <c r="CL20" s="188" t="s">
        <v>2860</v>
      </c>
      <c r="CM20" s="188" t="s">
        <v>2970</v>
      </c>
      <c r="CN20" s="188" t="s">
        <v>2860</v>
      </c>
      <c r="CO20" s="188" t="s">
        <v>2860</v>
      </c>
      <c r="CP20" s="188" t="s">
        <v>2970</v>
      </c>
      <c r="CQ20" s="188" t="s">
        <v>2860</v>
      </c>
      <c r="CR20" s="188" t="s">
        <v>2860</v>
      </c>
      <c r="CS20" s="188" t="s">
        <v>2970</v>
      </c>
      <c r="CT20" s="188" t="s">
        <v>2860</v>
      </c>
      <c r="CU20" s="188" t="s">
        <v>2860</v>
      </c>
      <c r="CV20" s="188" t="s">
        <v>2970</v>
      </c>
      <c r="CW20" s="188" t="s">
        <v>2860</v>
      </c>
      <c r="CX20" s="188" t="s">
        <v>2860</v>
      </c>
      <c r="CY20" s="188" t="s">
        <v>2970</v>
      </c>
      <c r="CZ20" s="188" t="s">
        <v>2860</v>
      </c>
      <c r="DA20" s="188" t="s">
        <v>2860</v>
      </c>
      <c r="DB20" s="188" t="s">
        <v>2970</v>
      </c>
      <c r="DC20" s="188" t="s">
        <v>2860</v>
      </c>
      <c r="DD20" s="188" t="s">
        <v>2860</v>
      </c>
      <c r="DE20" s="188" t="s">
        <v>2970</v>
      </c>
      <c r="DF20" s="188" t="s">
        <v>2860</v>
      </c>
      <c r="DG20" s="188" t="s">
        <v>2860</v>
      </c>
      <c r="DH20" s="188" t="s">
        <v>2970</v>
      </c>
      <c r="DI20" s="188" t="s">
        <v>2860</v>
      </c>
      <c r="DJ20" s="188" t="s">
        <v>2860</v>
      </c>
      <c r="DK20" s="188" t="s">
        <v>2970</v>
      </c>
      <c r="DL20" s="188" t="s">
        <v>2860</v>
      </c>
      <c r="DM20" s="188" t="s">
        <v>2860</v>
      </c>
      <c r="DN20" s="188" t="s">
        <v>2970</v>
      </c>
      <c r="DO20" s="188" t="s">
        <v>2860</v>
      </c>
      <c r="DP20" s="188" t="s">
        <v>2860</v>
      </c>
      <c r="DQ20" s="188" t="s">
        <v>2970</v>
      </c>
      <c r="DR20" s="188" t="s">
        <v>2860</v>
      </c>
      <c r="DS20" s="188" t="s">
        <v>2860</v>
      </c>
      <c r="DT20" s="188" t="s">
        <v>2970</v>
      </c>
      <c r="DU20" s="188" t="s">
        <v>2860</v>
      </c>
      <c r="DV20" s="188" t="s">
        <v>2860</v>
      </c>
      <c r="DW20" s="188" t="s">
        <v>2970</v>
      </c>
      <c r="DX20" s="188" t="s">
        <v>2860</v>
      </c>
      <c r="DY20" s="188" t="s">
        <v>2860</v>
      </c>
      <c r="DZ20" s="188" t="s">
        <v>2970</v>
      </c>
      <c r="EA20" s="188" t="s">
        <v>2860</v>
      </c>
      <c r="EB20" s="188" t="s">
        <v>2860</v>
      </c>
      <c r="EC20" s="188" t="s">
        <v>2970</v>
      </c>
      <c r="ED20" s="188" t="s">
        <v>2860</v>
      </c>
      <c r="EE20" s="188" t="s">
        <v>2860</v>
      </c>
      <c r="EF20" s="188" t="s">
        <v>2970</v>
      </c>
      <c r="EG20" s="188" t="s">
        <v>2860</v>
      </c>
      <c r="EH20" s="188" t="s">
        <v>2860</v>
      </c>
      <c r="EI20" s="188" t="s">
        <v>2970</v>
      </c>
      <c r="EJ20" s="188" t="s">
        <v>2860</v>
      </c>
      <c r="EK20" s="188" t="s">
        <v>2860</v>
      </c>
      <c r="EL20" s="188" t="s">
        <v>2970</v>
      </c>
      <c r="EM20" s="188" t="s">
        <v>2860</v>
      </c>
      <c r="EN20" s="188" t="s">
        <v>2860</v>
      </c>
      <c r="EO20" s="188" t="s">
        <v>2970</v>
      </c>
      <c r="EP20" s="188" t="s">
        <v>2860</v>
      </c>
      <c r="EQ20" s="188" t="s">
        <v>2860</v>
      </c>
      <c r="ER20" s="188" t="s">
        <v>2970</v>
      </c>
      <c r="ES20" s="188" t="s">
        <v>2860</v>
      </c>
      <c r="ET20" s="188" t="s">
        <v>2860</v>
      </c>
    </row>
    <row r="21" spans="1:150" x14ac:dyDescent="0.3">
      <c r="A21" s="1"/>
      <c r="B21" s="187" t="s">
        <v>3001</v>
      </c>
      <c r="C21" s="187" t="s">
        <v>151</v>
      </c>
      <c r="D21" s="187" t="s">
        <v>1020</v>
      </c>
      <c r="E21" s="187" t="s">
        <v>3002</v>
      </c>
      <c r="F21" s="187" t="s">
        <v>3003</v>
      </c>
      <c r="G21" s="188" t="s">
        <v>2970</v>
      </c>
      <c r="H21" s="188" t="s">
        <v>2860</v>
      </c>
      <c r="I21" s="188" t="s">
        <v>2860</v>
      </c>
      <c r="J21" s="188" t="s">
        <v>2970</v>
      </c>
      <c r="K21" s="188" t="s">
        <v>2860</v>
      </c>
      <c r="L21" s="188" t="s">
        <v>2860</v>
      </c>
      <c r="M21" s="188" t="s">
        <v>2970</v>
      </c>
      <c r="N21" s="188" t="s">
        <v>2860</v>
      </c>
      <c r="O21" s="188" t="s">
        <v>2860</v>
      </c>
      <c r="P21" s="188" t="s">
        <v>2970</v>
      </c>
      <c r="Q21" s="188" t="s">
        <v>2860</v>
      </c>
      <c r="R21" s="188" t="s">
        <v>2860</v>
      </c>
      <c r="S21" s="188" t="s">
        <v>2970</v>
      </c>
      <c r="T21" s="188" t="s">
        <v>2860</v>
      </c>
      <c r="U21" s="188" t="s">
        <v>2860</v>
      </c>
      <c r="V21" s="188" t="s">
        <v>2970</v>
      </c>
      <c r="W21" s="188" t="s">
        <v>2860</v>
      </c>
      <c r="X21" s="188" t="s">
        <v>2860</v>
      </c>
      <c r="Y21" s="188" t="s">
        <v>2970</v>
      </c>
      <c r="Z21" s="188" t="s">
        <v>2860</v>
      </c>
      <c r="AA21" s="188" t="s">
        <v>2860</v>
      </c>
      <c r="AB21" s="188" t="s">
        <v>2970</v>
      </c>
      <c r="AC21" s="188" t="s">
        <v>2860</v>
      </c>
      <c r="AD21" s="188" t="s">
        <v>2860</v>
      </c>
      <c r="AE21" s="188" t="s">
        <v>2970</v>
      </c>
      <c r="AF21" s="188" t="s">
        <v>2860</v>
      </c>
      <c r="AG21" s="188" t="s">
        <v>2860</v>
      </c>
      <c r="AH21" s="188" t="s">
        <v>2970</v>
      </c>
      <c r="AI21" s="188" t="s">
        <v>2860</v>
      </c>
      <c r="AJ21" s="188" t="s">
        <v>2860</v>
      </c>
      <c r="AK21" s="188" t="s">
        <v>2970</v>
      </c>
      <c r="AL21" s="188" t="s">
        <v>2860</v>
      </c>
      <c r="AM21" s="188" t="s">
        <v>2860</v>
      </c>
      <c r="AN21" s="188" t="s">
        <v>2970</v>
      </c>
      <c r="AO21" s="188" t="s">
        <v>2860</v>
      </c>
      <c r="AP21" s="188" t="s">
        <v>2860</v>
      </c>
      <c r="AQ21" s="188" t="s">
        <v>2970</v>
      </c>
      <c r="AR21" s="188" t="s">
        <v>2860</v>
      </c>
      <c r="AS21" s="188" t="s">
        <v>2860</v>
      </c>
      <c r="AT21" s="188" t="s">
        <v>2970</v>
      </c>
      <c r="AU21" s="188" t="s">
        <v>2860</v>
      </c>
      <c r="AV21" s="188" t="s">
        <v>2860</v>
      </c>
      <c r="AW21" s="188" t="s">
        <v>2970</v>
      </c>
      <c r="AX21" s="188" t="s">
        <v>2860</v>
      </c>
      <c r="AY21" s="188" t="s">
        <v>2860</v>
      </c>
      <c r="AZ21" s="188" t="s">
        <v>2970</v>
      </c>
      <c r="BA21" s="188" t="s">
        <v>2860</v>
      </c>
      <c r="BB21" s="188" t="s">
        <v>2860</v>
      </c>
      <c r="BC21" s="188" t="s">
        <v>2970</v>
      </c>
      <c r="BD21" s="188" t="s">
        <v>2860</v>
      </c>
      <c r="BE21" s="188" t="s">
        <v>2860</v>
      </c>
      <c r="BF21" s="188" t="s">
        <v>2970</v>
      </c>
      <c r="BG21" s="188" t="s">
        <v>2860</v>
      </c>
      <c r="BH21" s="188" t="s">
        <v>2860</v>
      </c>
      <c r="BI21" s="188" t="s">
        <v>2970</v>
      </c>
      <c r="BJ21" s="188" t="s">
        <v>2860</v>
      </c>
      <c r="BK21" s="188" t="s">
        <v>2860</v>
      </c>
      <c r="BL21" s="188" t="s">
        <v>2970</v>
      </c>
      <c r="BM21" s="188" t="s">
        <v>2860</v>
      </c>
      <c r="BN21" s="188" t="s">
        <v>2860</v>
      </c>
      <c r="BO21" s="188" t="s">
        <v>2970</v>
      </c>
      <c r="BP21" s="188" t="s">
        <v>2860</v>
      </c>
      <c r="BQ21" s="188" t="s">
        <v>2860</v>
      </c>
      <c r="BR21" s="188" t="s">
        <v>2970</v>
      </c>
      <c r="BS21" s="188" t="s">
        <v>2860</v>
      </c>
      <c r="BT21" s="188" t="s">
        <v>2860</v>
      </c>
      <c r="BU21" s="188" t="s">
        <v>2970</v>
      </c>
      <c r="BV21" s="188" t="s">
        <v>2860</v>
      </c>
      <c r="BW21" s="188" t="s">
        <v>2860</v>
      </c>
      <c r="BX21" s="188" t="s">
        <v>2970</v>
      </c>
      <c r="BY21" s="188" t="s">
        <v>2860</v>
      </c>
      <c r="BZ21" s="188" t="s">
        <v>2860</v>
      </c>
      <c r="CA21" s="188" t="s">
        <v>2970</v>
      </c>
      <c r="CB21" s="188" t="s">
        <v>2860</v>
      </c>
      <c r="CC21" s="188" t="s">
        <v>2860</v>
      </c>
      <c r="CD21" s="188" t="s">
        <v>2970</v>
      </c>
      <c r="CE21" s="188" t="s">
        <v>2860</v>
      </c>
      <c r="CF21" s="188" t="s">
        <v>2860</v>
      </c>
      <c r="CG21" s="188" t="s">
        <v>2970</v>
      </c>
      <c r="CH21" s="188" t="s">
        <v>2860</v>
      </c>
      <c r="CI21" s="188" t="s">
        <v>2860</v>
      </c>
      <c r="CJ21" s="188" t="s">
        <v>2970</v>
      </c>
      <c r="CK21" s="188" t="s">
        <v>2860</v>
      </c>
      <c r="CL21" s="188" t="s">
        <v>2860</v>
      </c>
      <c r="CM21" s="188" t="s">
        <v>2970</v>
      </c>
      <c r="CN21" s="188" t="s">
        <v>2860</v>
      </c>
      <c r="CO21" s="188" t="s">
        <v>2860</v>
      </c>
      <c r="CP21" s="188" t="s">
        <v>2970</v>
      </c>
      <c r="CQ21" s="188" t="s">
        <v>2860</v>
      </c>
      <c r="CR21" s="188" t="s">
        <v>2860</v>
      </c>
      <c r="CS21" s="188" t="s">
        <v>2970</v>
      </c>
      <c r="CT21" s="188" t="s">
        <v>2860</v>
      </c>
      <c r="CU21" s="188" t="s">
        <v>2860</v>
      </c>
      <c r="CV21" s="188" t="s">
        <v>2970</v>
      </c>
      <c r="CW21" s="188" t="s">
        <v>2860</v>
      </c>
      <c r="CX21" s="188" t="s">
        <v>2860</v>
      </c>
      <c r="CY21" s="188" t="s">
        <v>2970</v>
      </c>
      <c r="CZ21" s="188" t="s">
        <v>2860</v>
      </c>
      <c r="DA21" s="188" t="s">
        <v>2860</v>
      </c>
      <c r="DB21" s="188" t="s">
        <v>2970</v>
      </c>
      <c r="DC21" s="188" t="s">
        <v>2860</v>
      </c>
      <c r="DD21" s="188" t="s">
        <v>2860</v>
      </c>
      <c r="DE21" s="188" t="s">
        <v>2970</v>
      </c>
      <c r="DF21" s="188" t="s">
        <v>2860</v>
      </c>
      <c r="DG21" s="188" t="s">
        <v>2860</v>
      </c>
      <c r="DH21" s="188" t="s">
        <v>2970</v>
      </c>
      <c r="DI21" s="188" t="s">
        <v>2860</v>
      </c>
      <c r="DJ21" s="188" t="s">
        <v>2860</v>
      </c>
      <c r="DK21" s="188" t="s">
        <v>2970</v>
      </c>
      <c r="DL21" s="188" t="s">
        <v>2860</v>
      </c>
      <c r="DM21" s="188" t="s">
        <v>2860</v>
      </c>
      <c r="DN21" s="188" t="s">
        <v>2970</v>
      </c>
      <c r="DO21" s="188" t="s">
        <v>2860</v>
      </c>
      <c r="DP21" s="188" t="s">
        <v>2860</v>
      </c>
      <c r="DQ21" s="188" t="s">
        <v>2970</v>
      </c>
      <c r="DR21" s="188" t="s">
        <v>2860</v>
      </c>
      <c r="DS21" s="188" t="s">
        <v>2860</v>
      </c>
      <c r="DT21" s="188" t="s">
        <v>2970</v>
      </c>
      <c r="DU21" s="188" t="s">
        <v>2860</v>
      </c>
      <c r="DV21" s="188" t="s">
        <v>2860</v>
      </c>
      <c r="DW21" s="188" t="s">
        <v>2970</v>
      </c>
      <c r="DX21" s="188" t="s">
        <v>2860</v>
      </c>
      <c r="DY21" s="188" t="s">
        <v>2860</v>
      </c>
      <c r="DZ21" s="188" t="s">
        <v>2970</v>
      </c>
      <c r="EA21" s="188" t="s">
        <v>2860</v>
      </c>
      <c r="EB21" s="188" t="s">
        <v>2860</v>
      </c>
      <c r="EC21" s="188" t="s">
        <v>2970</v>
      </c>
      <c r="ED21" s="188" t="s">
        <v>2860</v>
      </c>
      <c r="EE21" s="188" t="s">
        <v>2860</v>
      </c>
      <c r="EF21" s="188" t="s">
        <v>2970</v>
      </c>
      <c r="EG21" s="188" t="s">
        <v>2860</v>
      </c>
      <c r="EH21" s="188" t="s">
        <v>2860</v>
      </c>
      <c r="EI21" s="188" t="s">
        <v>2970</v>
      </c>
      <c r="EJ21" s="188" t="s">
        <v>2860</v>
      </c>
      <c r="EK21" s="188" t="s">
        <v>2860</v>
      </c>
      <c r="EL21" s="188" t="s">
        <v>2970</v>
      </c>
      <c r="EM21" s="188" t="s">
        <v>2860</v>
      </c>
      <c r="EN21" s="188" t="s">
        <v>2860</v>
      </c>
      <c r="EO21" s="188" t="s">
        <v>2970</v>
      </c>
      <c r="EP21" s="188" t="s">
        <v>2860</v>
      </c>
      <c r="EQ21" s="188" t="s">
        <v>2860</v>
      </c>
      <c r="ER21" s="188" t="s">
        <v>2970</v>
      </c>
      <c r="ES21" s="188" t="s">
        <v>2860</v>
      </c>
      <c r="ET21" s="188" t="s">
        <v>2860</v>
      </c>
    </row>
    <row r="22" spans="1:150" x14ac:dyDescent="0.3">
      <c r="A22" s="1"/>
      <c r="B22" s="187" t="s">
        <v>3004</v>
      </c>
      <c r="C22" s="187" t="s">
        <v>151</v>
      </c>
      <c r="D22" s="187" t="s">
        <v>1020</v>
      </c>
      <c r="E22" s="187" t="s">
        <v>3005</v>
      </c>
      <c r="F22" s="187" t="s">
        <v>3006</v>
      </c>
      <c r="G22" s="188" t="s">
        <v>2970</v>
      </c>
      <c r="H22" s="188" t="s">
        <v>2860</v>
      </c>
      <c r="I22" s="188" t="s">
        <v>2860</v>
      </c>
      <c r="J22" s="188" t="s">
        <v>2970</v>
      </c>
      <c r="K22" s="188" t="s">
        <v>2860</v>
      </c>
      <c r="L22" s="188" t="s">
        <v>2860</v>
      </c>
      <c r="M22" s="188" t="s">
        <v>2970</v>
      </c>
      <c r="N22" s="188" t="s">
        <v>2860</v>
      </c>
      <c r="O22" s="188" t="s">
        <v>2860</v>
      </c>
      <c r="P22" s="188" t="s">
        <v>2970</v>
      </c>
      <c r="Q22" s="188" t="s">
        <v>2860</v>
      </c>
      <c r="R22" s="188" t="s">
        <v>2860</v>
      </c>
      <c r="S22" s="188" t="s">
        <v>2970</v>
      </c>
      <c r="T22" s="188" t="s">
        <v>2860</v>
      </c>
      <c r="U22" s="188" t="s">
        <v>2860</v>
      </c>
      <c r="V22" s="188" t="s">
        <v>2970</v>
      </c>
      <c r="W22" s="188" t="s">
        <v>2860</v>
      </c>
      <c r="X22" s="188" t="s">
        <v>2860</v>
      </c>
      <c r="Y22" s="188" t="s">
        <v>2970</v>
      </c>
      <c r="Z22" s="188" t="s">
        <v>2860</v>
      </c>
      <c r="AA22" s="188" t="s">
        <v>2860</v>
      </c>
      <c r="AB22" s="188" t="s">
        <v>2970</v>
      </c>
      <c r="AC22" s="188" t="s">
        <v>2860</v>
      </c>
      <c r="AD22" s="188" t="s">
        <v>2860</v>
      </c>
      <c r="AE22" s="188" t="s">
        <v>2970</v>
      </c>
      <c r="AF22" s="188" t="s">
        <v>2860</v>
      </c>
      <c r="AG22" s="188" t="s">
        <v>2860</v>
      </c>
      <c r="AH22" s="188" t="s">
        <v>2970</v>
      </c>
      <c r="AI22" s="188" t="s">
        <v>2860</v>
      </c>
      <c r="AJ22" s="188" t="s">
        <v>2860</v>
      </c>
      <c r="AK22" s="188" t="s">
        <v>2970</v>
      </c>
      <c r="AL22" s="188" t="s">
        <v>2860</v>
      </c>
      <c r="AM22" s="188" t="s">
        <v>2860</v>
      </c>
      <c r="AN22" s="188" t="s">
        <v>2970</v>
      </c>
      <c r="AO22" s="188" t="s">
        <v>2860</v>
      </c>
      <c r="AP22" s="188" t="s">
        <v>2860</v>
      </c>
      <c r="AQ22" s="188" t="s">
        <v>2970</v>
      </c>
      <c r="AR22" s="188" t="s">
        <v>2860</v>
      </c>
      <c r="AS22" s="188" t="s">
        <v>2860</v>
      </c>
      <c r="AT22" s="188" t="s">
        <v>2970</v>
      </c>
      <c r="AU22" s="188" t="s">
        <v>2860</v>
      </c>
      <c r="AV22" s="188" t="s">
        <v>2860</v>
      </c>
      <c r="AW22" s="188" t="s">
        <v>2970</v>
      </c>
      <c r="AX22" s="188" t="s">
        <v>2860</v>
      </c>
      <c r="AY22" s="188" t="s">
        <v>2860</v>
      </c>
      <c r="AZ22" s="188" t="s">
        <v>2970</v>
      </c>
      <c r="BA22" s="188" t="s">
        <v>2860</v>
      </c>
      <c r="BB22" s="188" t="s">
        <v>2860</v>
      </c>
      <c r="BC22" s="188" t="s">
        <v>2970</v>
      </c>
      <c r="BD22" s="188" t="s">
        <v>2860</v>
      </c>
      <c r="BE22" s="188" t="s">
        <v>2860</v>
      </c>
      <c r="BF22" s="188" t="s">
        <v>2970</v>
      </c>
      <c r="BG22" s="188" t="s">
        <v>2860</v>
      </c>
      <c r="BH22" s="188" t="s">
        <v>2860</v>
      </c>
      <c r="BI22" s="188" t="s">
        <v>2970</v>
      </c>
      <c r="BJ22" s="188" t="s">
        <v>2860</v>
      </c>
      <c r="BK22" s="188" t="s">
        <v>2860</v>
      </c>
      <c r="BL22" s="188" t="s">
        <v>2970</v>
      </c>
      <c r="BM22" s="188" t="s">
        <v>2860</v>
      </c>
      <c r="BN22" s="188" t="s">
        <v>2860</v>
      </c>
      <c r="BO22" s="188" t="s">
        <v>2970</v>
      </c>
      <c r="BP22" s="188" t="s">
        <v>2860</v>
      </c>
      <c r="BQ22" s="188" t="s">
        <v>2860</v>
      </c>
      <c r="BR22" s="188" t="s">
        <v>2970</v>
      </c>
      <c r="BS22" s="188" t="s">
        <v>2860</v>
      </c>
      <c r="BT22" s="188" t="s">
        <v>2860</v>
      </c>
      <c r="BU22" s="188" t="s">
        <v>2970</v>
      </c>
      <c r="BV22" s="188" t="s">
        <v>2860</v>
      </c>
      <c r="BW22" s="188" t="s">
        <v>2860</v>
      </c>
      <c r="BX22" s="188" t="s">
        <v>2970</v>
      </c>
      <c r="BY22" s="188" t="s">
        <v>2860</v>
      </c>
      <c r="BZ22" s="188" t="s">
        <v>2860</v>
      </c>
      <c r="CA22" s="188" t="s">
        <v>2970</v>
      </c>
      <c r="CB22" s="188" t="s">
        <v>2860</v>
      </c>
      <c r="CC22" s="188" t="s">
        <v>2860</v>
      </c>
      <c r="CD22" s="188" t="s">
        <v>2970</v>
      </c>
      <c r="CE22" s="188" t="s">
        <v>2860</v>
      </c>
      <c r="CF22" s="188" t="s">
        <v>2860</v>
      </c>
      <c r="CG22" s="188" t="s">
        <v>2970</v>
      </c>
      <c r="CH22" s="188" t="s">
        <v>2860</v>
      </c>
      <c r="CI22" s="188" t="s">
        <v>2860</v>
      </c>
      <c r="CJ22" s="188" t="s">
        <v>2970</v>
      </c>
      <c r="CK22" s="188" t="s">
        <v>2860</v>
      </c>
      <c r="CL22" s="188" t="s">
        <v>2860</v>
      </c>
      <c r="CM22" s="188" t="s">
        <v>2970</v>
      </c>
      <c r="CN22" s="188" t="s">
        <v>2860</v>
      </c>
      <c r="CO22" s="188" t="s">
        <v>2860</v>
      </c>
      <c r="CP22" s="188" t="s">
        <v>2970</v>
      </c>
      <c r="CQ22" s="188" t="s">
        <v>2860</v>
      </c>
      <c r="CR22" s="188" t="s">
        <v>2860</v>
      </c>
      <c r="CS22" s="188" t="s">
        <v>2970</v>
      </c>
      <c r="CT22" s="188" t="s">
        <v>2860</v>
      </c>
      <c r="CU22" s="188" t="s">
        <v>2860</v>
      </c>
      <c r="CV22" s="188" t="s">
        <v>2970</v>
      </c>
      <c r="CW22" s="188" t="s">
        <v>2860</v>
      </c>
      <c r="CX22" s="188" t="s">
        <v>2860</v>
      </c>
      <c r="CY22" s="188" t="s">
        <v>2970</v>
      </c>
      <c r="CZ22" s="188" t="s">
        <v>2860</v>
      </c>
      <c r="DA22" s="188" t="s">
        <v>2860</v>
      </c>
      <c r="DB22" s="188" t="s">
        <v>2970</v>
      </c>
      <c r="DC22" s="188" t="s">
        <v>2860</v>
      </c>
      <c r="DD22" s="188" t="s">
        <v>2860</v>
      </c>
      <c r="DE22" s="188" t="s">
        <v>2970</v>
      </c>
      <c r="DF22" s="188" t="s">
        <v>2860</v>
      </c>
      <c r="DG22" s="188" t="s">
        <v>2860</v>
      </c>
      <c r="DH22" s="188" t="s">
        <v>2970</v>
      </c>
      <c r="DI22" s="188" t="s">
        <v>2860</v>
      </c>
      <c r="DJ22" s="188" t="s">
        <v>2860</v>
      </c>
      <c r="DK22" s="188" t="s">
        <v>2970</v>
      </c>
      <c r="DL22" s="188" t="s">
        <v>2860</v>
      </c>
      <c r="DM22" s="188" t="s">
        <v>2860</v>
      </c>
      <c r="DN22" s="188" t="s">
        <v>2970</v>
      </c>
      <c r="DO22" s="188" t="s">
        <v>2860</v>
      </c>
      <c r="DP22" s="188" t="s">
        <v>2860</v>
      </c>
      <c r="DQ22" s="188" t="s">
        <v>2970</v>
      </c>
      <c r="DR22" s="188" t="s">
        <v>2860</v>
      </c>
      <c r="DS22" s="188" t="s">
        <v>2860</v>
      </c>
      <c r="DT22" s="188" t="s">
        <v>2970</v>
      </c>
      <c r="DU22" s="188" t="s">
        <v>2860</v>
      </c>
      <c r="DV22" s="188" t="s">
        <v>2860</v>
      </c>
      <c r="DW22" s="188" t="s">
        <v>2970</v>
      </c>
      <c r="DX22" s="188" t="s">
        <v>2860</v>
      </c>
      <c r="DY22" s="188" t="s">
        <v>2860</v>
      </c>
      <c r="DZ22" s="188" t="s">
        <v>2970</v>
      </c>
      <c r="EA22" s="188" t="s">
        <v>2860</v>
      </c>
      <c r="EB22" s="188" t="s">
        <v>2860</v>
      </c>
      <c r="EC22" s="188" t="s">
        <v>2970</v>
      </c>
      <c r="ED22" s="188" t="s">
        <v>2860</v>
      </c>
      <c r="EE22" s="188" t="s">
        <v>2860</v>
      </c>
      <c r="EF22" s="188" t="s">
        <v>2970</v>
      </c>
      <c r="EG22" s="188" t="s">
        <v>2860</v>
      </c>
      <c r="EH22" s="188" t="s">
        <v>2860</v>
      </c>
      <c r="EI22" s="188" t="s">
        <v>2970</v>
      </c>
      <c r="EJ22" s="188" t="s">
        <v>2860</v>
      </c>
      <c r="EK22" s="188" t="s">
        <v>2860</v>
      </c>
      <c r="EL22" s="188" t="s">
        <v>2970</v>
      </c>
      <c r="EM22" s="188" t="s">
        <v>2860</v>
      </c>
      <c r="EN22" s="188" t="s">
        <v>2860</v>
      </c>
      <c r="EO22" s="188" t="s">
        <v>2970</v>
      </c>
      <c r="EP22" s="188" t="s">
        <v>2860</v>
      </c>
      <c r="EQ22" s="188" t="s">
        <v>2860</v>
      </c>
      <c r="ER22" s="188" t="s">
        <v>2970</v>
      </c>
      <c r="ES22" s="188" t="s">
        <v>2860</v>
      </c>
      <c r="ET22" s="188" t="s">
        <v>2860</v>
      </c>
    </row>
    <row r="23" spans="1:150" x14ac:dyDescent="0.3">
      <c r="A23" s="1"/>
      <c r="B23" s="187" t="s">
        <v>3007</v>
      </c>
      <c r="C23" s="187" t="s">
        <v>151</v>
      </c>
      <c r="D23" s="187" t="s">
        <v>1020</v>
      </c>
      <c r="E23" s="187" t="s">
        <v>3008</v>
      </c>
      <c r="F23" s="187" t="s">
        <v>3009</v>
      </c>
      <c r="G23" s="188" t="s">
        <v>2970</v>
      </c>
      <c r="H23" s="188" t="s">
        <v>2860</v>
      </c>
      <c r="I23" s="188" t="s">
        <v>2860</v>
      </c>
      <c r="J23" s="188" t="s">
        <v>2970</v>
      </c>
      <c r="K23" s="188" t="s">
        <v>2860</v>
      </c>
      <c r="L23" s="188" t="s">
        <v>2860</v>
      </c>
      <c r="M23" s="188" t="s">
        <v>2970</v>
      </c>
      <c r="N23" s="188" t="s">
        <v>2860</v>
      </c>
      <c r="O23" s="188" t="s">
        <v>2860</v>
      </c>
      <c r="P23" s="188" t="s">
        <v>2970</v>
      </c>
      <c r="Q23" s="188" t="s">
        <v>2860</v>
      </c>
      <c r="R23" s="188" t="s">
        <v>2860</v>
      </c>
      <c r="S23" s="188" t="s">
        <v>2970</v>
      </c>
      <c r="T23" s="188" t="s">
        <v>2860</v>
      </c>
      <c r="U23" s="188" t="s">
        <v>2860</v>
      </c>
      <c r="V23" s="188" t="s">
        <v>2970</v>
      </c>
      <c r="W23" s="188" t="s">
        <v>2860</v>
      </c>
      <c r="X23" s="188" t="s">
        <v>2860</v>
      </c>
      <c r="Y23" s="188" t="s">
        <v>2970</v>
      </c>
      <c r="Z23" s="188" t="s">
        <v>2860</v>
      </c>
      <c r="AA23" s="188" t="s">
        <v>2860</v>
      </c>
      <c r="AB23" s="188" t="s">
        <v>2970</v>
      </c>
      <c r="AC23" s="188" t="s">
        <v>2860</v>
      </c>
      <c r="AD23" s="188" t="s">
        <v>2860</v>
      </c>
      <c r="AE23" s="188" t="s">
        <v>2970</v>
      </c>
      <c r="AF23" s="188" t="s">
        <v>2860</v>
      </c>
      <c r="AG23" s="188" t="s">
        <v>2860</v>
      </c>
      <c r="AH23" s="188" t="s">
        <v>2970</v>
      </c>
      <c r="AI23" s="188" t="s">
        <v>2860</v>
      </c>
      <c r="AJ23" s="188" t="s">
        <v>2860</v>
      </c>
      <c r="AK23" s="188" t="s">
        <v>2970</v>
      </c>
      <c r="AL23" s="188" t="s">
        <v>2860</v>
      </c>
      <c r="AM23" s="188" t="s">
        <v>2860</v>
      </c>
      <c r="AN23" s="188" t="s">
        <v>2970</v>
      </c>
      <c r="AO23" s="188" t="s">
        <v>2860</v>
      </c>
      <c r="AP23" s="188" t="s">
        <v>2860</v>
      </c>
      <c r="AQ23" s="188" t="s">
        <v>2970</v>
      </c>
      <c r="AR23" s="188" t="s">
        <v>2860</v>
      </c>
      <c r="AS23" s="188" t="s">
        <v>2860</v>
      </c>
      <c r="AT23" s="188" t="s">
        <v>2970</v>
      </c>
      <c r="AU23" s="188" t="s">
        <v>2860</v>
      </c>
      <c r="AV23" s="188" t="s">
        <v>2860</v>
      </c>
      <c r="AW23" s="188" t="s">
        <v>2970</v>
      </c>
      <c r="AX23" s="188" t="s">
        <v>2860</v>
      </c>
      <c r="AY23" s="188" t="s">
        <v>2860</v>
      </c>
      <c r="AZ23" s="188" t="s">
        <v>2970</v>
      </c>
      <c r="BA23" s="188" t="s">
        <v>2860</v>
      </c>
      <c r="BB23" s="188" t="s">
        <v>2860</v>
      </c>
      <c r="BC23" s="188" t="s">
        <v>2970</v>
      </c>
      <c r="BD23" s="188" t="s">
        <v>2860</v>
      </c>
      <c r="BE23" s="188" t="s">
        <v>2860</v>
      </c>
      <c r="BF23" s="188" t="s">
        <v>2970</v>
      </c>
      <c r="BG23" s="188" t="s">
        <v>2860</v>
      </c>
      <c r="BH23" s="188" t="s">
        <v>2860</v>
      </c>
      <c r="BI23" s="188" t="s">
        <v>2970</v>
      </c>
      <c r="BJ23" s="188" t="s">
        <v>2860</v>
      </c>
      <c r="BK23" s="188" t="s">
        <v>2860</v>
      </c>
      <c r="BL23" s="188" t="s">
        <v>2970</v>
      </c>
      <c r="BM23" s="188" t="s">
        <v>2860</v>
      </c>
      <c r="BN23" s="188" t="s">
        <v>2860</v>
      </c>
      <c r="BO23" s="188" t="s">
        <v>2970</v>
      </c>
      <c r="BP23" s="188" t="s">
        <v>2860</v>
      </c>
      <c r="BQ23" s="188" t="s">
        <v>2860</v>
      </c>
      <c r="BR23" s="188" t="s">
        <v>2970</v>
      </c>
      <c r="BS23" s="188" t="s">
        <v>2860</v>
      </c>
      <c r="BT23" s="188" t="s">
        <v>2860</v>
      </c>
      <c r="BU23" s="188" t="s">
        <v>2970</v>
      </c>
      <c r="BV23" s="188" t="s">
        <v>2860</v>
      </c>
      <c r="BW23" s="188" t="s">
        <v>2860</v>
      </c>
      <c r="BX23" s="188" t="s">
        <v>2970</v>
      </c>
      <c r="BY23" s="188" t="s">
        <v>2860</v>
      </c>
      <c r="BZ23" s="188" t="s">
        <v>2860</v>
      </c>
      <c r="CA23" s="188" t="s">
        <v>2970</v>
      </c>
      <c r="CB23" s="188" t="s">
        <v>2860</v>
      </c>
      <c r="CC23" s="188" t="s">
        <v>2860</v>
      </c>
      <c r="CD23" s="188" t="s">
        <v>2970</v>
      </c>
      <c r="CE23" s="188" t="s">
        <v>2860</v>
      </c>
      <c r="CF23" s="188" t="s">
        <v>2860</v>
      </c>
      <c r="CG23" s="188" t="s">
        <v>2970</v>
      </c>
      <c r="CH23" s="188" t="s">
        <v>2860</v>
      </c>
      <c r="CI23" s="188" t="s">
        <v>2860</v>
      </c>
      <c r="CJ23" s="188" t="s">
        <v>2970</v>
      </c>
      <c r="CK23" s="188" t="s">
        <v>2860</v>
      </c>
      <c r="CL23" s="188" t="s">
        <v>2860</v>
      </c>
      <c r="CM23" s="188" t="s">
        <v>2970</v>
      </c>
      <c r="CN23" s="188" t="s">
        <v>2860</v>
      </c>
      <c r="CO23" s="188" t="s">
        <v>2860</v>
      </c>
      <c r="CP23" s="188" t="s">
        <v>2970</v>
      </c>
      <c r="CQ23" s="188" t="s">
        <v>2860</v>
      </c>
      <c r="CR23" s="188" t="s">
        <v>2860</v>
      </c>
      <c r="CS23" s="188" t="s">
        <v>2970</v>
      </c>
      <c r="CT23" s="188" t="s">
        <v>2860</v>
      </c>
      <c r="CU23" s="188" t="s">
        <v>2860</v>
      </c>
      <c r="CV23" s="188" t="s">
        <v>2970</v>
      </c>
      <c r="CW23" s="188" t="s">
        <v>2860</v>
      </c>
      <c r="CX23" s="188" t="s">
        <v>2860</v>
      </c>
      <c r="CY23" s="188" t="s">
        <v>2970</v>
      </c>
      <c r="CZ23" s="188" t="s">
        <v>2860</v>
      </c>
      <c r="DA23" s="188" t="s">
        <v>2860</v>
      </c>
      <c r="DB23" s="188" t="s">
        <v>2970</v>
      </c>
      <c r="DC23" s="188" t="s">
        <v>2860</v>
      </c>
      <c r="DD23" s="188" t="s">
        <v>2860</v>
      </c>
      <c r="DE23" s="188" t="s">
        <v>2970</v>
      </c>
      <c r="DF23" s="188" t="s">
        <v>2860</v>
      </c>
      <c r="DG23" s="188" t="s">
        <v>2860</v>
      </c>
      <c r="DH23" s="188" t="s">
        <v>2970</v>
      </c>
      <c r="DI23" s="188" t="s">
        <v>2860</v>
      </c>
      <c r="DJ23" s="188" t="s">
        <v>2860</v>
      </c>
      <c r="DK23" s="188" t="s">
        <v>2970</v>
      </c>
      <c r="DL23" s="188" t="s">
        <v>2860</v>
      </c>
      <c r="DM23" s="188" t="s">
        <v>2860</v>
      </c>
      <c r="DN23" s="188" t="s">
        <v>2970</v>
      </c>
      <c r="DO23" s="188" t="s">
        <v>2860</v>
      </c>
      <c r="DP23" s="188" t="s">
        <v>2860</v>
      </c>
      <c r="DQ23" s="188" t="s">
        <v>2970</v>
      </c>
      <c r="DR23" s="188" t="s">
        <v>2860</v>
      </c>
      <c r="DS23" s="188" t="s">
        <v>2860</v>
      </c>
      <c r="DT23" s="188" t="s">
        <v>2970</v>
      </c>
      <c r="DU23" s="188" t="s">
        <v>2860</v>
      </c>
      <c r="DV23" s="188" t="s">
        <v>2860</v>
      </c>
      <c r="DW23" s="188" t="s">
        <v>2970</v>
      </c>
      <c r="DX23" s="188" t="s">
        <v>2860</v>
      </c>
      <c r="DY23" s="188" t="s">
        <v>2860</v>
      </c>
      <c r="DZ23" s="188" t="s">
        <v>2970</v>
      </c>
      <c r="EA23" s="188" t="s">
        <v>2860</v>
      </c>
      <c r="EB23" s="188" t="s">
        <v>2860</v>
      </c>
      <c r="EC23" s="188" t="s">
        <v>2970</v>
      </c>
      <c r="ED23" s="188" t="s">
        <v>2860</v>
      </c>
      <c r="EE23" s="188" t="s">
        <v>2860</v>
      </c>
      <c r="EF23" s="188" t="s">
        <v>2970</v>
      </c>
      <c r="EG23" s="188" t="s">
        <v>2860</v>
      </c>
      <c r="EH23" s="188" t="s">
        <v>2860</v>
      </c>
      <c r="EI23" s="188" t="s">
        <v>2970</v>
      </c>
      <c r="EJ23" s="188" t="s">
        <v>2860</v>
      </c>
      <c r="EK23" s="188" t="s">
        <v>2860</v>
      </c>
      <c r="EL23" s="188" t="s">
        <v>2970</v>
      </c>
      <c r="EM23" s="188" t="s">
        <v>2860</v>
      </c>
      <c r="EN23" s="188" t="s">
        <v>2860</v>
      </c>
      <c r="EO23" s="188" t="s">
        <v>2970</v>
      </c>
      <c r="EP23" s="188" t="s">
        <v>2860</v>
      </c>
      <c r="EQ23" s="188" t="s">
        <v>2860</v>
      </c>
      <c r="ER23" s="188" t="s">
        <v>2970</v>
      </c>
      <c r="ES23" s="188" t="s">
        <v>2860</v>
      </c>
      <c r="ET23" s="188" t="s">
        <v>2860</v>
      </c>
    </row>
    <row r="24" spans="1:150" x14ac:dyDescent="0.3">
      <c r="A24" s="1"/>
      <c r="B24" s="186" t="s">
        <v>3010</v>
      </c>
      <c r="C24" s="186" t="s">
        <v>151</v>
      </c>
      <c r="D24" s="186" t="s">
        <v>1019</v>
      </c>
      <c r="E24" s="186" t="s">
        <v>3011</v>
      </c>
      <c r="F24" s="186" t="s">
        <v>3012</v>
      </c>
      <c r="G24" s="186" t="s">
        <v>2970</v>
      </c>
      <c r="H24" s="186" t="s">
        <v>2860</v>
      </c>
      <c r="I24" s="186" t="s">
        <v>2860</v>
      </c>
      <c r="J24" s="186" t="s">
        <v>2970</v>
      </c>
      <c r="K24" s="186" t="s">
        <v>2860</v>
      </c>
      <c r="L24" s="186" t="s">
        <v>2860</v>
      </c>
      <c r="M24" s="186" t="s">
        <v>2970</v>
      </c>
      <c r="N24" s="186" t="s">
        <v>2860</v>
      </c>
      <c r="O24" s="186" t="s">
        <v>2860</v>
      </c>
      <c r="P24" s="186" t="s">
        <v>2970</v>
      </c>
      <c r="Q24" s="186" t="s">
        <v>2860</v>
      </c>
      <c r="R24" s="186" t="s">
        <v>2860</v>
      </c>
      <c r="S24" s="186" t="s">
        <v>2970</v>
      </c>
      <c r="T24" s="186" t="s">
        <v>2860</v>
      </c>
      <c r="U24" s="186" t="s">
        <v>2860</v>
      </c>
      <c r="V24" s="186" t="s">
        <v>2970</v>
      </c>
      <c r="W24" s="186" t="s">
        <v>2860</v>
      </c>
      <c r="X24" s="186" t="s">
        <v>2860</v>
      </c>
      <c r="Y24" s="186" t="s">
        <v>2970</v>
      </c>
      <c r="Z24" s="186" t="s">
        <v>2860</v>
      </c>
      <c r="AA24" s="186" t="s">
        <v>2860</v>
      </c>
      <c r="AB24" s="186" t="s">
        <v>2970</v>
      </c>
      <c r="AC24" s="186" t="s">
        <v>2860</v>
      </c>
      <c r="AD24" s="186" t="s">
        <v>2860</v>
      </c>
      <c r="AE24" s="186" t="s">
        <v>2970</v>
      </c>
      <c r="AF24" s="186" t="s">
        <v>2860</v>
      </c>
      <c r="AG24" s="186" t="s">
        <v>2860</v>
      </c>
      <c r="AH24" s="186" t="s">
        <v>2970</v>
      </c>
      <c r="AI24" s="186" t="s">
        <v>2860</v>
      </c>
      <c r="AJ24" s="186" t="s">
        <v>2860</v>
      </c>
      <c r="AK24" s="186" t="s">
        <v>2970</v>
      </c>
      <c r="AL24" s="186" t="s">
        <v>2860</v>
      </c>
      <c r="AM24" s="186" t="s">
        <v>2860</v>
      </c>
      <c r="AN24" s="186" t="s">
        <v>2970</v>
      </c>
      <c r="AO24" s="186" t="s">
        <v>2860</v>
      </c>
      <c r="AP24" s="186" t="s">
        <v>2860</v>
      </c>
      <c r="AQ24" s="186" t="s">
        <v>2970</v>
      </c>
      <c r="AR24" s="186" t="s">
        <v>2860</v>
      </c>
      <c r="AS24" s="186" t="s">
        <v>2860</v>
      </c>
      <c r="AT24" s="186" t="s">
        <v>2970</v>
      </c>
      <c r="AU24" s="186" t="s">
        <v>2860</v>
      </c>
      <c r="AV24" s="186" t="s">
        <v>2860</v>
      </c>
      <c r="AW24" s="186" t="s">
        <v>2970</v>
      </c>
      <c r="AX24" s="186" t="s">
        <v>2860</v>
      </c>
      <c r="AY24" s="186" t="s">
        <v>2860</v>
      </c>
      <c r="AZ24" s="186" t="s">
        <v>2970</v>
      </c>
      <c r="BA24" s="186" t="s">
        <v>2860</v>
      </c>
      <c r="BB24" s="186" t="s">
        <v>2860</v>
      </c>
      <c r="BC24" s="186" t="s">
        <v>2970</v>
      </c>
      <c r="BD24" s="186" t="s">
        <v>3013</v>
      </c>
      <c r="BE24" s="186" t="s">
        <v>2860</v>
      </c>
      <c r="BF24" s="186" t="s">
        <v>2970</v>
      </c>
      <c r="BG24" s="186" t="s">
        <v>3013</v>
      </c>
      <c r="BH24" s="186" t="s">
        <v>2860</v>
      </c>
      <c r="BI24" s="186" t="s">
        <v>2970</v>
      </c>
      <c r="BJ24" s="186" t="s">
        <v>3013</v>
      </c>
      <c r="BK24" s="186" t="s">
        <v>2860</v>
      </c>
      <c r="BL24" s="186" t="s">
        <v>2970</v>
      </c>
      <c r="BM24" s="186" t="s">
        <v>3013</v>
      </c>
      <c r="BN24" s="186" t="s">
        <v>2860</v>
      </c>
      <c r="BO24" s="186" t="s">
        <v>2970</v>
      </c>
      <c r="BP24" s="186" t="s">
        <v>3013</v>
      </c>
      <c r="BQ24" s="186" t="s">
        <v>2860</v>
      </c>
      <c r="BR24" s="186" t="s">
        <v>2970</v>
      </c>
      <c r="BS24" s="186" t="s">
        <v>3013</v>
      </c>
      <c r="BT24" s="186" t="s">
        <v>2860</v>
      </c>
      <c r="BU24" s="186" t="s">
        <v>2970</v>
      </c>
      <c r="BV24" s="186" t="s">
        <v>3013</v>
      </c>
      <c r="BW24" s="186" t="s">
        <v>2860</v>
      </c>
      <c r="BX24" s="186" t="s">
        <v>2970</v>
      </c>
      <c r="BY24" s="186" t="s">
        <v>3013</v>
      </c>
      <c r="BZ24" s="186" t="s">
        <v>2860</v>
      </c>
      <c r="CA24" s="186" t="s">
        <v>2970</v>
      </c>
      <c r="CB24" s="186" t="s">
        <v>3013</v>
      </c>
      <c r="CC24" s="186" t="s">
        <v>2860</v>
      </c>
      <c r="CD24" s="186" t="s">
        <v>2970</v>
      </c>
      <c r="CE24" s="186" t="s">
        <v>3013</v>
      </c>
      <c r="CF24" s="186" t="s">
        <v>2860</v>
      </c>
      <c r="CG24" s="186" t="s">
        <v>2970</v>
      </c>
      <c r="CH24" s="186" t="s">
        <v>2860</v>
      </c>
      <c r="CI24" s="186" t="s">
        <v>2860</v>
      </c>
      <c r="CJ24" s="186" t="s">
        <v>2970</v>
      </c>
      <c r="CK24" s="186" t="s">
        <v>2860</v>
      </c>
      <c r="CL24" s="186" t="s">
        <v>2860</v>
      </c>
      <c r="CM24" s="186" t="s">
        <v>2970</v>
      </c>
      <c r="CN24" s="186" t="s">
        <v>2860</v>
      </c>
      <c r="CO24" s="186" t="s">
        <v>2860</v>
      </c>
      <c r="CP24" s="186" t="s">
        <v>2970</v>
      </c>
      <c r="CQ24" s="186" t="s">
        <v>2860</v>
      </c>
      <c r="CR24" s="186" t="s">
        <v>2860</v>
      </c>
      <c r="CS24" s="186" t="s">
        <v>2970</v>
      </c>
      <c r="CT24" s="186" t="s">
        <v>2860</v>
      </c>
      <c r="CU24" s="186" t="s">
        <v>2860</v>
      </c>
      <c r="CV24" s="186" t="s">
        <v>2970</v>
      </c>
      <c r="CW24" s="186" t="s">
        <v>2860</v>
      </c>
      <c r="CX24" s="186" t="s">
        <v>2860</v>
      </c>
      <c r="CY24" s="186" t="s">
        <v>2970</v>
      </c>
      <c r="CZ24" s="186" t="s">
        <v>3013</v>
      </c>
      <c r="DA24" s="186" t="s">
        <v>2860</v>
      </c>
      <c r="DB24" s="186" t="s">
        <v>2970</v>
      </c>
      <c r="DC24" s="186" t="s">
        <v>3013</v>
      </c>
      <c r="DD24" s="186" t="s">
        <v>2860</v>
      </c>
      <c r="DE24" s="186" t="s">
        <v>2970</v>
      </c>
      <c r="DF24" s="186" t="s">
        <v>3013</v>
      </c>
      <c r="DG24" s="186" t="s">
        <v>2860</v>
      </c>
      <c r="DH24" s="186" t="s">
        <v>2970</v>
      </c>
      <c r="DI24" s="186" t="s">
        <v>3013</v>
      </c>
      <c r="DJ24" s="186" t="s">
        <v>2860</v>
      </c>
      <c r="DK24" s="186" t="s">
        <v>2970</v>
      </c>
      <c r="DL24" s="186" t="s">
        <v>3013</v>
      </c>
      <c r="DM24" s="186" t="s">
        <v>2860</v>
      </c>
      <c r="DN24" s="186" t="s">
        <v>2970</v>
      </c>
      <c r="DO24" s="186" t="s">
        <v>3013</v>
      </c>
      <c r="DP24" s="186" t="s">
        <v>2860</v>
      </c>
      <c r="DQ24" s="186" t="s">
        <v>2970</v>
      </c>
      <c r="DR24" s="186" t="s">
        <v>3013</v>
      </c>
      <c r="DS24" s="186" t="s">
        <v>2860</v>
      </c>
      <c r="DT24" s="186" t="s">
        <v>2970</v>
      </c>
      <c r="DU24" s="186" t="s">
        <v>2860</v>
      </c>
      <c r="DV24" s="186" t="s">
        <v>2860</v>
      </c>
      <c r="DW24" s="186" t="s">
        <v>2970</v>
      </c>
      <c r="DX24" s="186" t="s">
        <v>3014</v>
      </c>
      <c r="DY24" s="186" t="s">
        <v>3015</v>
      </c>
      <c r="DZ24" s="186" t="s">
        <v>2970</v>
      </c>
      <c r="EA24" s="186" t="s">
        <v>2860</v>
      </c>
      <c r="EB24" s="186" t="s">
        <v>2860</v>
      </c>
      <c r="EC24" s="186" t="s">
        <v>2970</v>
      </c>
      <c r="ED24" s="186" t="s">
        <v>2860</v>
      </c>
      <c r="EE24" s="186" t="s">
        <v>2860</v>
      </c>
      <c r="EF24" s="186" t="s">
        <v>2970</v>
      </c>
      <c r="EG24" s="186" t="s">
        <v>2860</v>
      </c>
      <c r="EH24" s="186" t="s">
        <v>2860</v>
      </c>
      <c r="EI24" s="186" t="s">
        <v>2970</v>
      </c>
      <c r="EJ24" s="186" t="s">
        <v>2860</v>
      </c>
      <c r="EK24" s="186" t="s">
        <v>2860</v>
      </c>
      <c r="EL24" s="186" t="s">
        <v>2970</v>
      </c>
      <c r="EM24" s="186" t="s">
        <v>2860</v>
      </c>
      <c r="EN24" s="186" t="s">
        <v>2860</v>
      </c>
      <c r="EO24" s="186" t="s">
        <v>2970</v>
      </c>
      <c r="EP24" s="186" t="s">
        <v>2860</v>
      </c>
      <c r="EQ24" s="186" t="s">
        <v>2860</v>
      </c>
      <c r="ER24" s="186" t="s">
        <v>2970</v>
      </c>
      <c r="ES24" s="186" t="s">
        <v>2860</v>
      </c>
      <c r="ET24" s="186" t="s">
        <v>2860</v>
      </c>
    </row>
    <row r="25" spans="1:150" x14ac:dyDescent="0.3">
      <c r="A25" s="1"/>
      <c r="B25" s="187" t="s">
        <v>3016</v>
      </c>
      <c r="C25" s="187" t="s">
        <v>151</v>
      </c>
      <c r="D25" s="187" t="s">
        <v>1019</v>
      </c>
      <c r="E25" s="187" t="s">
        <v>3017</v>
      </c>
      <c r="F25" s="187" t="s">
        <v>3018</v>
      </c>
      <c r="G25" s="188" t="s">
        <v>2970</v>
      </c>
      <c r="H25" s="188" t="s">
        <v>2860</v>
      </c>
      <c r="I25" s="188" t="s">
        <v>2860</v>
      </c>
      <c r="J25" s="188" t="s">
        <v>2970</v>
      </c>
      <c r="K25" s="188" t="s">
        <v>2860</v>
      </c>
      <c r="L25" s="188" t="s">
        <v>2860</v>
      </c>
      <c r="M25" s="188" t="s">
        <v>2970</v>
      </c>
      <c r="N25" s="188" t="s">
        <v>2860</v>
      </c>
      <c r="O25" s="188" t="s">
        <v>2860</v>
      </c>
      <c r="P25" s="188" t="s">
        <v>2970</v>
      </c>
      <c r="Q25" s="188" t="s">
        <v>2860</v>
      </c>
      <c r="R25" s="188" t="s">
        <v>2860</v>
      </c>
      <c r="S25" s="188" t="s">
        <v>2970</v>
      </c>
      <c r="T25" s="188" t="s">
        <v>2860</v>
      </c>
      <c r="U25" s="188" t="s">
        <v>2860</v>
      </c>
      <c r="V25" s="188" t="s">
        <v>2970</v>
      </c>
      <c r="W25" s="188" t="s">
        <v>2860</v>
      </c>
      <c r="X25" s="188" t="s">
        <v>2860</v>
      </c>
      <c r="Y25" s="188" t="s">
        <v>2970</v>
      </c>
      <c r="Z25" s="188" t="s">
        <v>2860</v>
      </c>
      <c r="AA25" s="188" t="s">
        <v>2860</v>
      </c>
      <c r="AB25" s="188" t="s">
        <v>2970</v>
      </c>
      <c r="AC25" s="188" t="s">
        <v>2860</v>
      </c>
      <c r="AD25" s="188" t="s">
        <v>2860</v>
      </c>
      <c r="AE25" s="188" t="s">
        <v>2970</v>
      </c>
      <c r="AF25" s="188" t="s">
        <v>2860</v>
      </c>
      <c r="AG25" s="188" t="s">
        <v>2860</v>
      </c>
      <c r="AH25" s="188" t="s">
        <v>2970</v>
      </c>
      <c r="AI25" s="188" t="s">
        <v>2860</v>
      </c>
      <c r="AJ25" s="188" t="s">
        <v>2860</v>
      </c>
      <c r="AK25" s="188" t="s">
        <v>2970</v>
      </c>
      <c r="AL25" s="188" t="s">
        <v>2860</v>
      </c>
      <c r="AM25" s="188" t="s">
        <v>2860</v>
      </c>
      <c r="AN25" s="188" t="s">
        <v>2970</v>
      </c>
      <c r="AO25" s="188" t="s">
        <v>2860</v>
      </c>
      <c r="AP25" s="188" t="s">
        <v>2860</v>
      </c>
      <c r="AQ25" s="188" t="s">
        <v>2970</v>
      </c>
      <c r="AR25" s="188" t="s">
        <v>2860</v>
      </c>
      <c r="AS25" s="188" t="s">
        <v>2860</v>
      </c>
      <c r="AT25" s="188" t="s">
        <v>2970</v>
      </c>
      <c r="AU25" s="188" t="s">
        <v>2860</v>
      </c>
      <c r="AV25" s="188" t="s">
        <v>2860</v>
      </c>
      <c r="AW25" s="188" t="s">
        <v>2970</v>
      </c>
      <c r="AX25" s="188" t="s">
        <v>2860</v>
      </c>
      <c r="AY25" s="188" t="s">
        <v>2860</v>
      </c>
      <c r="AZ25" s="188" t="s">
        <v>2970</v>
      </c>
      <c r="BA25" s="188" t="s">
        <v>2860</v>
      </c>
      <c r="BB25" s="188" t="s">
        <v>2860</v>
      </c>
      <c r="BC25" s="188" t="s">
        <v>2970</v>
      </c>
      <c r="BD25" s="188" t="s">
        <v>3019</v>
      </c>
      <c r="BE25" s="188" t="s">
        <v>2860</v>
      </c>
      <c r="BF25" s="188" t="s">
        <v>2970</v>
      </c>
      <c r="BG25" s="188" t="s">
        <v>3019</v>
      </c>
      <c r="BH25" s="188" t="s">
        <v>2860</v>
      </c>
      <c r="BI25" s="188" t="s">
        <v>2970</v>
      </c>
      <c r="BJ25" s="188" t="s">
        <v>3019</v>
      </c>
      <c r="BK25" s="188" t="s">
        <v>2860</v>
      </c>
      <c r="BL25" s="188" t="s">
        <v>2970</v>
      </c>
      <c r="BM25" s="188" t="s">
        <v>3019</v>
      </c>
      <c r="BN25" s="188" t="s">
        <v>2860</v>
      </c>
      <c r="BO25" s="188" t="s">
        <v>2970</v>
      </c>
      <c r="BP25" s="188" t="s">
        <v>3019</v>
      </c>
      <c r="BQ25" s="188" t="s">
        <v>2860</v>
      </c>
      <c r="BR25" s="188" t="s">
        <v>2970</v>
      </c>
      <c r="BS25" s="188" t="s">
        <v>3019</v>
      </c>
      <c r="BT25" s="188" t="s">
        <v>2860</v>
      </c>
      <c r="BU25" s="188" t="s">
        <v>2970</v>
      </c>
      <c r="BV25" s="188" t="s">
        <v>3019</v>
      </c>
      <c r="BW25" s="188" t="s">
        <v>2860</v>
      </c>
      <c r="BX25" s="188" t="s">
        <v>2970</v>
      </c>
      <c r="BY25" s="188" t="s">
        <v>3019</v>
      </c>
      <c r="BZ25" s="188" t="s">
        <v>2860</v>
      </c>
      <c r="CA25" s="188" t="s">
        <v>2970</v>
      </c>
      <c r="CB25" s="188" t="s">
        <v>3019</v>
      </c>
      <c r="CC25" s="188" t="s">
        <v>2860</v>
      </c>
      <c r="CD25" s="188" t="s">
        <v>2970</v>
      </c>
      <c r="CE25" s="188" t="s">
        <v>3019</v>
      </c>
      <c r="CF25" s="188" t="s">
        <v>2860</v>
      </c>
      <c r="CG25" s="188" t="s">
        <v>2970</v>
      </c>
      <c r="CH25" s="188" t="s">
        <v>2860</v>
      </c>
      <c r="CI25" s="188" t="s">
        <v>2860</v>
      </c>
      <c r="CJ25" s="188" t="s">
        <v>2970</v>
      </c>
      <c r="CK25" s="188" t="s">
        <v>2860</v>
      </c>
      <c r="CL25" s="188" t="s">
        <v>2860</v>
      </c>
      <c r="CM25" s="188" t="s">
        <v>2970</v>
      </c>
      <c r="CN25" s="188" t="s">
        <v>2860</v>
      </c>
      <c r="CO25" s="188" t="s">
        <v>2860</v>
      </c>
      <c r="CP25" s="188" t="s">
        <v>2970</v>
      </c>
      <c r="CQ25" s="188" t="s">
        <v>2860</v>
      </c>
      <c r="CR25" s="188" t="s">
        <v>2860</v>
      </c>
      <c r="CS25" s="188" t="s">
        <v>2970</v>
      </c>
      <c r="CT25" s="188" t="s">
        <v>2860</v>
      </c>
      <c r="CU25" s="188" t="s">
        <v>2860</v>
      </c>
      <c r="CV25" s="188" t="s">
        <v>2970</v>
      </c>
      <c r="CW25" s="188" t="s">
        <v>2860</v>
      </c>
      <c r="CX25" s="188" t="s">
        <v>2860</v>
      </c>
      <c r="CY25" s="188" t="s">
        <v>2970</v>
      </c>
      <c r="CZ25" s="188" t="s">
        <v>3019</v>
      </c>
      <c r="DA25" s="188" t="s">
        <v>2860</v>
      </c>
      <c r="DB25" s="188" t="s">
        <v>2970</v>
      </c>
      <c r="DC25" s="188" t="s">
        <v>3019</v>
      </c>
      <c r="DD25" s="188" t="s">
        <v>2860</v>
      </c>
      <c r="DE25" s="188" t="s">
        <v>2970</v>
      </c>
      <c r="DF25" s="188" t="s">
        <v>3019</v>
      </c>
      <c r="DG25" s="188" t="s">
        <v>2860</v>
      </c>
      <c r="DH25" s="188" t="s">
        <v>2970</v>
      </c>
      <c r="DI25" s="188" t="s">
        <v>3019</v>
      </c>
      <c r="DJ25" s="188" t="s">
        <v>2860</v>
      </c>
      <c r="DK25" s="188" t="s">
        <v>2970</v>
      </c>
      <c r="DL25" s="188" t="s">
        <v>3019</v>
      </c>
      <c r="DM25" s="188" t="s">
        <v>2860</v>
      </c>
      <c r="DN25" s="188" t="s">
        <v>2970</v>
      </c>
      <c r="DO25" s="188" t="s">
        <v>3019</v>
      </c>
      <c r="DP25" s="188" t="s">
        <v>2860</v>
      </c>
      <c r="DQ25" s="188" t="s">
        <v>2970</v>
      </c>
      <c r="DR25" s="188" t="s">
        <v>3019</v>
      </c>
      <c r="DS25" s="188" t="s">
        <v>2860</v>
      </c>
      <c r="DT25" s="188" t="s">
        <v>2970</v>
      </c>
      <c r="DU25" s="188" t="s">
        <v>2860</v>
      </c>
      <c r="DV25" s="188" t="s">
        <v>2860</v>
      </c>
      <c r="DW25" s="188" t="s">
        <v>2970</v>
      </c>
      <c r="DX25" s="188" t="s">
        <v>3020</v>
      </c>
      <c r="DY25" s="188" t="s">
        <v>3021</v>
      </c>
      <c r="DZ25" s="188" t="s">
        <v>2970</v>
      </c>
      <c r="EA25" s="188" t="s">
        <v>2860</v>
      </c>
      <c r="EB25" s="188" t="s">
        <v>2860</v>
      </c>
      <c r="EC25" s="188" t="s">
        <v>2970</v>
      </c>
      <c r="ED25" s="188" t="s">
        <v>2860</v>
      </c>
      <c r="EE25" s="188" t="s">
        <v>2860</v>
      </c>
      <c r="EF25" s="188" t="s">
        <v>2970</v>
      </c>
      <c r="EG25" s="188" t="s">
        <v>2860</v>
      </c>
      <c r="EH25" s="188" t="s">
        <v>2860</v>
      </c>
      <c r="EI25" s="188" t="s">
        <v>2970</v>
      </c>
      <c r="EJ25" s="188" t="s">
        <v>2860</v>
      </c>
      <c r="EK25" s="188" t="s">
        <v>2860</v>
      </c>
      <c r="EL25" s="188" t="s">
        <v>2970</v>
      </c>
      <c r="EM25" s="188" t="s">
        <v>2860</v>
      </c>
      <c r="EN25" s="188" t="s">
        <v>2860</v>
      </c>
      <c r="EO25" s="188" t="s">
        <v>2970</v>
      </c>
      <c r="EP25" s="188" t="s">
        <v>2860</v>
      </c>
      <c r="EQ25" s="188" t="s">
        <v>2860</v>
      </c>
      <c r="ER25" s="188" t="s">
        <v>2970</v>
      </c>
      <c r="ES25" s="188" t="s">
        <v>2860</v>
      </c>
      <c r="ET25" s="188" t="s">
        <v>2860</v>
      </c>
    </row>
    <row r="26" spans="1:150" x14ac:dyDescent="0.3">
      <c r="A26" s="1"/>
      <c r="B26" s="187" t="s">
        <v>3022</v>
      </c>
      <c r="C26" s="187" t="s">
        <v>151</v>
      </c>
      <c r="D26" s="187" t="s">
        <v>1019</v>
      </c>
      <c r="E26" s="187" t="s">
        <v>3023</v>
      </c>
      <c r="F26" s="187" t="s">
        <v>3024</v>
      </c>
      <c r="G26" s="188" t="s">
        <v>2970</v>
      </c>
      <c r="H26" s="188" t="s">
        <v>2860</v>
      </c>
      <c r="I26" s="188" t="s">
        <v>2860</v>
      </c>
      <c r="J26" s="188" t="s">
        <v>2970</v>
      </c>
      <c r="K26" s="188" t="s">
        <v>2860</v>
      </c>
      <c r="L26" s="188" t="s">
        <v>2860</v>
      </c>
      <c r="M26" s="188" t="s">
        <v>2970</v>
      </c>
      <c r="N26" s="188" t="s">
        <v>2860</v>
      </c>
      <c r="O26" s="188" t="s">
        <v>2860</v>
      </c>
      <c r="P26" s="188" t="s">
        <v>2970</v>
      </c>
      <c r="Q26" s="188" t="s">
        <v>2860</v>
      </c>
      <c r="R26" s="188" t="s">
        <v>2860</v>
      </c>
      <c r="S26" s="188" t="s">
        <v>2970</v>
      </c>
      <c r="T26" s="188" t="s">
        <v>2860</v>
      </c>
      <c r="U26" s="188" t="s">
        <v>2860</v>
      </c>
      <c r="V26" s="188" t="s">
        <v>2970</v>
      </c>
      <c r="W26" s="188" t="s">
        <v>2860</v>
      </c>
      <c r="X26" s="188" t="s">
        <v>2860</v>
      </c>
      <c r="Y26" s="188" t="s">
        <v>2970</v>
      </c>
      <c r="Z26" s="188" t="s">
        <v>2860</v>
      </c>
      <c r="AA26" s="188" t="s">
        <v>2860</v>
      </c>
      <c r="AB26" s="188" t="s">
        <v>2970</v>
      </c>
      <c r="AC26" s="188" t="s">
        <v>2860</v>
      </c>
      <c r="AD26" s="188" t="s">
        <v>2860</v>
      </c>
      <c r="AE26" s="188" t="s">
        <v>2970</v>
      </c>
      <c r="AF26" s="188" t="s">
        <v>2860</v>
      </c>
      <c r="AG26" s="188" t="s">
        <v>2860</v>
      </c>
      <c r="AH26" s="188" t="s">
        <v>2970</v>
      </c>
      <c r="AI26" s="188" t="s">
        <v>2860</v>
      </c>
      <c r="AJ26" s="188" t="s">
        <v>2860</v>
      </c>
      <c r="AK26" s="188" t="s">
        <v>2970</v>
      </c>
      <c r="AL26" s="188" t="s">
        <v>2860</v>
      </c>
      <c r="AM26" s="188" t="s">
        <v>2860</v>
      </c>
      <c r="AN26" s="188" t="s">
        <v>2970</v>
      </c>
      <c r="AO26" s="188" t="s">
        <v>2860</v>
      </c>
      <c r="AP26" s="188" t="s">
        <v>2860</v>
      </c>
      <c r="AQ26" s="188" t="s">
        <v>2970</v>
      </c>
      <c r="AR26" s="188" t="s">
        <v>2860</v>
      </c>
      <c r="AS26" s="188" t="s">
        <v>2860</v>
      </c>
      <c r="AT26" s="188" t="s">
        <v>2970</v>
      </c>
      <c r="AU26" s="188" t="s">
        <v>2860</v>
      </c>
      <c r="AV26" s="188" t="s">
        <v>2860</v>
      </c>
      <c r="AW26" s="188" t="s">
        <v>2970</v>
      </c>
      <c r="AX26" s="188" t="s">
        <v>2860</v>
      </c>
      <c r="AY26" s="188" t="s">
        <v>2860</v>
      </c>
      <c r="AZ26" s="188" t="s">
        <v>2970</v>
      </c>
      <c r="BA26" s="188" t="s">
        <v>2860</v>
      </c>
      <c r="BB26" s="188" t="s">
        <v>2860</v>
      </c>
      <c r="BC26" s="188" t="s">
        <v>2970</v>
      </c>
      <c r="BD26" s="188" t="s">
        <v>3019</v>
      </c>
      <c r="BE26" s="188" t="s">
        <v>2860</v>
      </c>
      <c r="BF26" s="188" t="s">
        <v>2970</v>
      </c>
      <c r="BG26" s="188" t="s">
        <v>3019</v>
      </c>
      <c r="BH26" s="188" t="s">
        <v>2860</v>
      </c>
      <c r="BI26" s="188" t="s">
        <v>2970</v>
      </c>
      <c r="BJ26" s="188" t="s">
        <v>3019</v>
      </c>
      <c r="BK26" s="188" t="s">
        <v>2860</v>
      </c>
      <c r="BL26" s="188" t="s">
        <v>2970</v>
      </c>
      <c r="BM26" s="188" t="s">
        <v>3019</v>
      </c>
      <c r="BN26" s="188" t="s">
        <v>2860</v>
      </c>
      <c r="BO26" s="188" t="s">
        <v>2970</v>
      </c>
      <c r="BP26" s="188" t="s">
        <v>3019</v>
      </c>
      <c r="BQ26" s="188" t="s">
        <v>2860</v>
      </c>
      <c r="BR26" s="188" t="s">
        <v>2970</v>
      </c>
      <c r="BS26" s="188" t="s">
        <v>3019</v>
      </c>
      <c r="BT26" s="188" t="s">
        <v>2860</v>
      </c>
      <c r="BU26" s="188" t="s">
        <v>2970</v>
      </c>
      <c r="BV26" s="188" t="s">
        <v>3019</v>
      </c>
      <c r="BW26" s="188" t="s">
        <v>2860</v>
      </c>
      <c r="BX26" s="188" t="s">
        <v>2970</v>
      </c>
      <c r="BY26" s="188" t="s">
        <v>3019</v>
      </c>
      <c r="BZ26" s="188" t="s">
        <v>2860</v>
      </c>
      <c r="CA26" s="188" t="s">
        <v>2970</v>
      </c>
      <c r="CB26" s="188" t="s">
        <v>3019</v>
      </c>
      <c r="CC26" s="188" t="s">
        <v>2860</v>
      </c>
      <c r="CD26" s="188" t="s">
        <v>2970</v>
      </c>
      <c r="CE26" s="188" t="s">
        <v>3019</v>
      </c>
      <c r="CF26" s="188" t="s">
        <v>2860</v>
      </c>
      <c r="CG26" s="188" t="s">
        <v>2970</v>
      </c>
      <c r="CH26" s="188" t="s">
        <v>2860</v>
      </c>
      <c r="CI26" s="188" t="s">
        <v>2860</v>
      </c>
      <c r="CJ26" s="188" t="s">
        <v>2970</v>
      </c>
      <c r="CK26" s="188" t="s">
        <v>2860</v>
      </c>
      <c r="CL26" s="188" t="s">
        <v>2860</v>
      </c>
      <c r="CM26" s="188" t="s">
        <v>2970</v>
      </c>
      <c r="CN26" s="188" t="s">
        <v>2860</v>
      </c>
      <c r="CO26" s="188" t="s">
        <v>2860</v>
      </c>
      <c r="CP26" s="188" t="s">
        <v>2970</v>
      </c>
      <c r="CQ26" s="188" t="s">
        <v>2860</v>
      </c>
      <c r="CR26" s="188" t="s">
        <v>2860</v>
      </c>
      <c r="CS26" s="188" t="s">
        <v>2970</v>
      </c>
      <c r="CT26" s="188" t="s">
        <v>2860</v>
      </c>
      <c r="CU26" s="188" t="s">
        <v>2860</v>
      </c>
      <c r="CV26" s="188" t="s">
        <v>2970</v>
      </c>
      <c r="CW26" s="188" t="s">
        <v>2860</v>
      </c>
      <c r="CX26" s="188" t="s">
        <v>2860</v>
      </c>
      <c r="CY26" s="188" t="s">
        <v>2970</v>
      </c>
      <c r="CZ26" s="188" t="s">
        <v>3019</v>
      </c>
      <c r="DA26" s="188" t="s">
        <v>2860</v>
      </c>
      <c r="DB26" s="188" t="s">
        <v>2970</v>
      </c>
      <c r="DC26" s="188" t="s">
        <v>3019</v>
      </c>
      <c r="DD26" s="188" t="s">
        <v>2860</v>
      </c>
      <c r="DE26" s="188" t="s">
        <v>2970</v>
      </c>
      <c r="DF26" s="188" t="s">
        <v>3019</v>
      </c>
      <c r="DG26" s="188" t="s">
        <v>2860</v>
      </c>
      <c r="DH26" s="188" t="s">
        <v>2970</v>
      </c>
      <c r="DI26" s="188" t="s">
        <v>3019</v>
      </c>
      <c r="DJ26" s="188" t="s">
        <v>2860</v>
      </c>
      <c r="DK26" s="188" t="s">
        <v>2970</v>
      </c>
      <c r="DL26" s="188" t="s">
        <v>3019</v>
      </c>
      <c r="DM26" s="188" t="s">
        <v>2860</v>
      </c>
      <c r="DN26" s="188" t="s">
        <v>2970</v>
      </c>
      <c r="DO26" s="188" t="s">
        <v>3019</v>
      </c>
      <c r="DP26" s="188" t="s">
        <v>2860</v>
      </c>
      <c r="DQ26" s="188" t="s">
        <v>2970</v>
      </c>
      <c r="DR26" s="188" t="s">
        <v>3019</v>
      </c>
      <c r="DS26" s="188" t="s">
        <v>2860</v>
      </c>
      <c r="DT26" s="188" t="s">
        <v>2970</v>
      </c>
      <c r="DU26" s="188" t="s">
        <v>2860</v>
      </c>
      <c r="DV26" s="188" t="s">
        <v>2860</v>
      </c>
      <c r="DW26" s="188" t="s">
        <v>2970</v>
      </c>
      <c r="DX26" s="188" t="s">
        <v>3020</v>
      </c>
      <c r="DY26" s="188" t="s">
        <v>3021</v>
      </c>
      <c r="DZ26" s="188" t="s">
        <v>2970</v>
      </c>
      <c r="EA26" s="188" t="s">
        <v>2860</v>
      </c>
      <c r="EB26" s="188" t="s">
        <v>2860</v>
      </c>
      <c r="EC26" s="188" t="s">
        <v>2970</v>
      </c>
      <c r="ED26" s="188" t="s">
        <v>2860</v>
      </c>
      <c r="EE26" s="188" t="s">
        <v>2860</v>
      </c>
      <c r="EF26" s="188" t="s">
        <v>2970</v>
      </c>
      <c r="EG26" s="188" t="s">
        <v>2860</v>
      </c>
      <c r="EH26" s="188" t="s">
        <v>2860</v>
      </c>
      <c r="EI26" s="188" t="s">
        <v>2970</v>
      </c>
      <c r="EJ26" s="188" t="s">
        <v>2860</v>
      </c>
      <c r="EK26" s="188" t="s">
        <v>2860</v>
      </c>
      <c r="EL26" s="188" t="s">
        <v>2970</v>
      </c>
      <c r="EM26" s="188" t="s">
        <v>2860</v>
      </c>
      <c r="EN26" s="188" t="s">
        <v>2860</v>
      </c>
      <c r="EO26" s="188" t="s">
        <v>2970</v>
      </c>
      <c r="EP26" s="188" t="s">
        <v>2860</v>
      </c>
      <c r="EQ26" s="188" t="s">
        <v>2860</v>
      </c>
      <c r="ER26" s="188" t="s">
        <v>2970</v>
      </c>
      <c r="ES26" s="188" t="s">
        <v>2860</v>
      </c>
      <c r="ET26" s="188" t="s">
        <v>2860</v>
      </c>
    </row>
    <row r="27" spans="1:150" x14ac:dyDescent="0.3">
      <c r="A27" s="1"/>
      <c r="B27" s="187" t="s">
        <v>3025</v>
      </c>
      <c r="C27" s="187" t="s">
        <v>151</v>
      </c>
      <c r="D27" s="187" t="s">
        <v>1019</v>
      </c>
      <c r="E27" s="187" t="s">
        <v>3026</v>
      </c>
      <c r="F27" s="187" t="s">
        <v>3027</v>
      </c>
      <c r="G27" s="188" t="s">
        <v>2970</v>
      </c>
      <c r="H27" s="188" t="s">
        <v>2860</v>
      </c>
      <c r="I27" s="188" t="s">
        <v>2860</v>
      </c>
      <c r="J27" s="188" t="s">
        <v>2970</v>
      </c>
      <c r="K27" s="188" t="s">
        <v>2860</v>
      </c>
      <c r="L27" s="188" t="s">
        <v>2860</v>
      </c>
      <c r="M27" s="188" t="s">
        <v>2970</v>
      </c>
      <c r="N27" s="188" t="s">
        <v>2860</v>
      </c>
      <c r="O27" s="188" t="s">
        <v>2860</v>
      </c>
      <c r="P27" s="188" t="s">
        <v>2970</v>
      </c>
      <c r="Q27" s="188" t="s">
        <v>2860</v>
      </c>
      <c r="R27" s="188" t="s">
        <v>2860</v>
      </c>
      <c r="S27" s="188" t="s">
        <v>2970</v>
      </c>
      <c r="T27" s="188" t="s">
        <v>2860</v>
      </c>
      <c r="U27" s="188" t="s">
        <v>2860</v>
      </c>
      <c r="V27" s="188" t="s">
        <v>2970</v>
      </c>
      <c r="W27" s="188" t="s">
        <v>2860</v>
      </c>
      <c r="X27" s="188" t="s">
        <v>2860</v>
      </c>
      <c r="Y27" s="188" t="s">
        <v>2970</v>
      </c>
      <c r="Z27" s="188" t="s">
        <v>2860</v>
      </c>
      <c r="AA27" s="188" t="s">
        <v>2860</v>
      </c>
      <c r="AB27" s="188" t="s">
        <v>2970</v>
      </c>
      <c r="AC27" s="188" t="s">
        <v>2860</v>
      </c>
      <c r="AD27" s="188" t="s">
        <v>2860</v>
      </c>
      <c r="AE27" s="188" t="s">
        <v>2970</v>
      </c>
      <c r="AF27" s="188" t="s">
        <v>2860</v>
      </c>
      <c r="AG27" s="188" t="s">
        <v>2860</v>
      </c>
      <c r="AH27" s="188" t="s">
        <v>2970</v>
      </c>
      <c r="AI27" s="188" t="s">
        <v>2860</v>
      </c>
      <c r="AJ27" s="188" t="s">
        <v>2860</v>
      </c>
      <c r="AK27" s="188" t="s">
        <v>2970</v>
      </c>
      <c r="AL27" s="188" t="s">
        <v>2860</v>
      </c>
      <c r="AM27" s="188" t="s">
        <v>2860</v>
      </c>
      <c r="AN27" s="188" t="s">
        <v>2970</v>
      </c>
      <c r="AO27" s="188" t="s">
        <v>2860</v>
      </c>
      <c r="AP27" s="188" t="s">
        <v>2860</v>
      </c>
      <c r="AQ27" s="188" t="s">
        <v>2970</v>
      </c>
      <c r="AR27" s="188" t="s">
        <v>2860</v>
      </c>
      <c r="AS27" s="188" t="s">
        <v>2860</v>
      </c>
      <c r="AT27" s="188" t="s">
        <v>2970</v>
      </c>
      <c r="AU27" s="188" t="s">
        <v>2860</v>
      </c>
      <c r="AV27" s="188" t="s">
        <v>2860</v>
      </c>
      <c r="AW27" s="188" t="s">
        <v>2970</v>
      </c>
      <c r="AX27" s="188" t="s">
        <v>2860</v>
      </c>
      <c r="AY27" s="188" t="s">
        <v>2860</v>
      </c>
      <c r="AZ27" s="188" t="s">
        <v>2970</v>
      </c>
      <c r="BA27" s="188" t="s">
        <v>2860</v>
      </c>
      <c r="BB27" s="188" t="s">
        <v>2860</v>
      </c>
      <c r="BC27" s="188" t="s">
        <v>2970</v>
      </c>
      <c r="BD27" s="188" t="s">
        <v>3019</v>
      </c>
      <c r="BE27" s="188" t="s">
        <v>2860</v>
      </c>
      <c r="BF27" s="188" t="s">
        <v>2970</v>
      </c>
      <c r="BG27" s="188" t="s">
        <v>3019</v>
      </c>
      <c r="BH27" s="188" t="s">
        <v>2860</v>
      </c>
      <c r="BI27" s="188" t="s">
        <v>2970</v>
      </c>
      <c r="BJ27" s="188" t="s">
        <v>3019</v>
      </c>
      <c r="BK27" s="188" t="s">
        <v>2860</v>
      </c>
      <c r="BL27" s="188" t="s">
        <v>2970</v>
      </c>
      <c r="BM27" s="188" t="s">
        <v>3019</v>
      </c>
      <c r="BN27" s="188" t="s">
        <v>2860</v>
      </c>
      <c r="BO27" s="188" t="s">
        <v>2970</v>
      </c>
      <c r="BP27" s="188" t="s">
        <v>3019</v>
      </c>
      <c r="BQ27" s="188" t="s">
        <v>2860</v>
      </c>
      <c r="BR27" s="188" t="s">
        <v>2970</v>
      </c>
      <c r="BS27" s="188" t="s">
        <v>3019</v>
      </c>
      <c r="BT27" s="188" t="s">
        <v>2860</v>
      </c>
      <c r="BU27" s="188" t="s">
        <v>2970</v>
      </c>
      <c r="BV27" s="188" t="s">
        <v>3019</v>
      </c>
      <c r="BW27" s="188" t="s">
        <v>2860</v>
      </c>
      <c r="BX27" s="188" t="s">
        <v>2970</v>
      </c>
      <c r="BY27" s="188" t="s">
        <v>3019</v>
      </c>
      <c r="BZ27" s="188" t="s">
        <v>2860</v>
      </c>
      <c r="CA27" s="188" t="s">
        <v>2970</v>
      </c>
      <c r="CB27" s="188" t="s">
        <v>3019</v>
      </c>
      <c r="CC27" s="188" t="s">
        <v>2860</v>
      </c>
      <c r="CD27" s="188" t="s">
        <v>2970</v>
      </c>
      <c r="CE27" s="188" t="s">
        <v>3019</v>
      </c>
      <c r="CF27" s="188" t="s">
        <v>2860</v>
      </c>
      <c r="CG27" s="188" t="s">
        <v>2970</v>
      </c>
      <c r="CH27" s="188" t="s">
        <v>2860</v>
      </c>
      <c r="CI27" s="188" t="s">
        <v>2860</v>
      </c>
      <c r="CJ27" s="188" t="s">
        <v>2970</v>
      </c>
      <c r="CK27" s="188" t="s">
        <v>2860</v>
      </c>
      <c r="CL27" s="188" t="s">
        <v>2860</v>
      </c>
      <c r="CM27" s="188" t="s">
        <v>2970</v>
      </c>
      <c r="CN27" s="188" t="s">
        <v>2860</v>
      </c>
      <c r="CO27" s="188" t="s">
        <v>2860</v>
      </c>
      <c r="CP27" s="188" t="s">
        <v>2970</v>
      </c>
      <c r="CQ27" s="188" t="s">
        <v>2860</v>
      </c>
      <c r="CR27" s="188" t="s">
        <v>2860</v>
      </c>
      <c r="CS27" s="188" t="s">
        <v>2970</v>
      </c>
      <c r="CT27" s="188" t="s">
        <v>2860</v>
      </c>
      <c r="CU27" s="188" t="s">
        <v>2860</v>
      </c>
      <c r="CV27" s="188" t="s">
        <v>2970</v>
      </c>
      <c r="CW27" s="188" t="s">
        <v>2860</v>
      </c>
      <c r="CX27" s="188" t="s">
        <v>2860</v>
      </c>
      <c r="CY27" s="188" t="s">
        <v>2970</v>
      </c>
      <c r="CZ27" s="188" t="s">
        <v>3019</v>
      </c>
      <c r="DA27" s="188" t="s">
        <v>2860</v>
      </c>
      <c r="DB27" s="188" t="s">
        <v>2970</v>
      </c>
      <c r="DC27" s="188" t="s">
        <v>3019</v>
      </c>
      <c r="DD27" s="188" t="s">
        <v>2860</v>
      </c>
      <c r="DE27" s="188" t="s">
        <v>2970</v>
      </c>
      <c r="DF27" s="188" t="s">
        <v>3019</v>
      </c>
      <c r="DG27" s="188" t="s">
        <v>2860</v>
      </c>
      <c r="DH27" s="188" t="s">
        <v>2970</v>
      </c>
      <c r="DI27" s="188" t="s">
        <v>3019</v>
      </c>
      <c r="DJ27" s="188" t="s">
        <v>2860</v>
      </c>
      <c r="DK27" s="188" t="s">
        <v>2970</v>
      </c>
      <c r="DL27" s="188" t="s">
        <v>3019</v>
      </c>
      <c r="DM27" s="188" t="s">
        <v>2860</v>
      </c>
      <c r="DN27" s="188" t="s">
        <v>2970</v>
      </c>
      <c r="DO27" s="188" t="s">
        <v>3019</v>
      </c>
      <c r="DP27" s="188" t="s">
        <v>2860</v>
      </c>
      <c r="DQ27" s="188" t="s">
        <v>2970</v>
      </c>
      <c r="DR27" s="188" t="s">
        <v>3019</v>
      </c>
      <c r="DS27" s="188" t="s">
        <v>2860</v>
      </c>
      <c r="DT27" s="188" t="s">
        <v>2970</v>
      </c>
      <c r="DU27" s="188" t="s">
        <v>2860</v>
      </c>
      <c r="DV27" s="188" t="s">
        <v>2860</v>
      </c>
      <c r="DW27" s="188" t="s">
        <v>2970</v>
      </c>
      <c r="DX27" s="188" t="s">
        <v>3020</v>
      </c>
      <c r="DY27" s="188" t="s">
        <v>3021</v>
      </c>
      <c r="DZ27" s="188" t="s">
        <v>2970</v>
      </c>
      <c r="EA27" s="188" t="s">
        <v>2860</v>
      </c>
      <c r="EB27" s="188" t="s">
        <v>2860</v>
      </c>
      <c r="EC27" s="188" t="s">
        <v>2970</v>
      </c>
      <c r="ED27" s="188" t="s">
        <v>2860</v>
      </c>
      <c r="EE27" s="188" t="s">
        <v>2860</v>
      </c>
      <c r="EF27" s="188" t="s">
        <v>2970</v>
      </c>
      <c r="EG27" s="188" t="s">
        <v>2860</v>
      </c>
      <c r="EH27" s="188" t="s">
        <v>2860</v>
      </c>
      <c r="EI27" s="188" t="s">
        <v>2970</v>
      </c>
      <c r="EJ27" s="188" t="s">
        <v>2860</v>
      </c>
      <c r="EK27" s="188" t="s">
        <v>2860</v>
      </c>
      <c r="EL27" s="188" t="s">
        <v>2970</v>
      </c>
      <c r="EM27" s="188" t="s">
        <v>2860</v>
      </c>
      <c r="EN27" s="188" t="s">
        <v>2860</v>
      </c>
      <c r="EO27" s="188" t="s">
        <v>2970</v>
      </c>
      <c r="EP27" s="188" t="s">
        <v>2860</v>
      </c>
      <c r="EQ27" s="188" t="s">
        <v>2860</v>
      </c>
      <c r="ER27" s="188" t="s">
        <v>2970</v>
      </c>
      <c r="ES27" s="188" t="s">
        <v>2860</v>
      </c>
      <c r="ET27" s="188" t="s">
        <v>2860</v>
      </c>
    </row>
    <row r="28" spans="1:150" x14ac:dyDescent="0.3">
      <c r="A28" s="1"/>
      <c r="B28" s="187" t="s">
        <v>3028</v>
      </c>
      <c r="C28" s="187" t="s">
        <v>151</v>
      </c>
      <c r="D28" s="187" t="s">
        <v>1019</v>
      </c>
      <c r="E28" s="187" t="s">
        <v>3029</v>
      </c>
      <c r="F28" s="187" t="s">
        <v>3030</v>
      </c>
      <c r="G28" s="188" t="s">
        <v>2970</v>
      </c>
      <c r="H28" s="188" t="s">
        <v>2860</v>
      </c>
      <c r="I28" s="188" t="s">
        <v>2860</v>
      </c>
      <c r="J28" s="188" t="s">
        <v>2970</v>
      </c>
      <c r="K28" s="188" t="s">
        <v>2860</v>
      </c>
      <c r="L28" s="188" t="s">
        <v>2860</v>
      </c>
      <c r="M28" s="188" t="s">
        <v>2970</v>
      </c>
      <c r="N28" s="188" t="s">
        <v>2860</v>
      </c>
      <c r="O28" s="188" t="s">
        <v>2860</v>
      </c>
      <c r="P28" s="188" t="s">
        <v>2970</v>
      </c>
      <c r="Q28" s="188" t="s">
        <v>2860</v>
      </c>
      <c r="R28" s="188" t="s">
        <v>2860</v>
      </c>
      <c r="S28" s="188" t="s">
        <v>2970</v>
      </c>
      <c r="T28" s="188" t="s">
        <v>2860</v>
      </c>
      <c r="U28" s="188" t="s">
        <v>2860</v>
      </c>
      <c r="V28" s="188" t="s">
        <v>2970</v>
      </c>
      <c r="W28" s="188" t="s">
        <v>2860</v>
      </c>
      <c r="X28" s="188" t="s">
        <v>2860</v>
      </c>
      <c r="Y28" s="188" t="s">
        <v>2970</v>
      </c>
      <c r="Z28" s="188" t="s">
        <v>2860</v>
      </c>
      <c r="AA28" s="188" t="s">
        <v>2860</v>
      </c>
      <c r="AB28" s="188" t="s">
        <v>2970</v>
      </c>
      <c r="AC28" s="188" t="s">
        <v>2860</v>
      </c>
      <c r="AD28" s="188" t="s">
        <v>2860</v>
      </c>
      <c r="AE28" s="188" t="s">
        <v>2970</v>
      </c>
      <c r="AF28" s="188" t="s">
        <v>2860</v>
      </c>
      <c r="AG28" s="188" t="s">
        <v>2860</v>
      </c>
      <c r="AH28" s="188" t="s">
        <v>2970</v>
      </c>
      <c r="AI28" s="188" t="s">
        <v>2860</v>
      </c>
      <c r="AJ28" s="188" t="s">
        <v>2860</v>
      </c>
      <c r="AK28" s="188" t="s">
        <v>2970</v>
      </c>
      <c r="AL28" s="188" t="s">
        <v>2860</v>
      </c>
      <c r="AM28" s="188" t="s">
        <v>2860</v>
      </c>
      <c r="AN28" s="188" t="s">
        <v>2970</v>
      </c>
      <c r="AO28" s="188" t="s">
        <v>2860</v>
      </c>
      <c r="AP28" s="188" t="s">
        <v>2860</v>
      </c>
      <c r="AQ28" s="188" t="s">
        <v>2970</v>
      </c>
      <c r="AR28" s="188" t="s">
        <v>2860</v>
      </c>
      <c r="AS28" s="188" t="s">
        <v>2860</v>
      </c>
      <c r="AT28" s="188" t="s">
        <v>2970</v>
      </c>
      <c r="AU28" s="188" t="s">
        <v>2860</v>
      </c>
      <c r="AV28" s="188" t="s">
        <v>2860</v>
      </c>
      <c r="AW28" s="188" t="s">
        <v>2970</v>
      </c>
      <c r="AX28" s="188" t="s">
        <v>2860</v>
      </c>
      <c r="AY28" s="188" t="s">
        <v>2860</v>
      </c>
      <c r="AZ28" s="188" t="s">
        <v>2970</v>
      </c>
      <c r="BA28" s="188" t="s">
        <v>2860</v>
      </c>
      <c r="BB28" s="188" t="s">
        <v>2860</v>
      </c>
      <c r="BC28" s="188" t="s">
        <v>2860</v>
      </c>
      <c r="BD28" s="188" t="s">
        <v>2860</v>
      </c>
      <c r="BE28" s="188" t="s">
        <v>2860</v>
      </c>
      <c r="BF28" s="188" t="s">
        <v>2860</v>
      </c>
      <c r="BG28" s="188" t="s">
        <v>2860</v>
      </c>
      <c r="BH28" s="188" t="s">
        <v>2860</v>
      </c>
      <c r="BI28" s="188" t="s">
        <v>2860</v>
      </c>
      <c r="BJ28" s="188" t="s">
        <v>2860</v>
      </c>
      <c r="BK28" s="188" t="s">
        <v>2860</v>
      </c>
      <c r="BL28" s="188" t="s">
        <v>2860</v>
      </c>
      <c r="BM28" s="188" t="s">
        <v>2860</v>
      </c>
      <c r="BN28" s="188" t="s">
        <v>2860</v>
      </c>
      <c r="BO28" s="188" t="s">
        <v>2860</v>
      </c>
      <c r="BP28" s="188" t="s">
        <v>2860</v>
      </c>
      <c r="BQ28" s="188" t="s">
        <v>2860</v>
      </c>
      <c r="BR28" s="188" t="s">
        <v>2860</v>
      </c>
      <c r="BS28" s="188" t="s">
        <v>2860</v>
      </c>
      <c r="BT28" s="188" t="s">
        <v>2860</v>
      </c>
      <c r="BU28" s="188" t="s">
        <v>2860</v>
      </c>
      <c r="BV28" s="188" t="s">
        <v>2860</v>
      </c>
      <c r="BW28" s="188" t="s">
        <v>2860</v>
      </c>
      <c r="BX28" s="188" t="s">
        <v>2860</v>
      </c>
      <c r="BY28" s="188" t="s">
        <v>2860</v>
      </c>
      <c r="BZ28" s="188" t="s">
        <v>2860</v>
      </c>
      <c r="CA28" s="188" t="s">
        <v>2860</v>
      </c>
      <c r="CB28" s="188" t="s">
        <v>2860</v>
      </c>
      <c r="CC28" s="188" t="s">
        <v>2860</v>
      </c>
      <c r="CD28" s="188" t="s">
        <v>2860</v>
      </c>
      <c r="CE28" s="188" t="s">
        <v>2860</v>
      </c>
      <c r="CF28" s="188" t="s">
        <v>2860</v>
      </c>
      <c r="CG28" s="188" t="s">
        <v>2970</v>
      </c>
      <c r="CH28" s="188" t="s">
        <v>2860</v>
      </c>
      <c r="CI28" s="188" t="s">
        <v>2860</v>
      </c>
      <c r="CJ28" s="188" t="s">
        <v>2970</v>
      </c>
      <c r="CK28" s="188" t="s">
        <v>2860</v>
      </c>
      <c r="CL28" s="188" t="s">
        <v>2860</v>
      </c>
      <c r="CM28" s="188" t="s">
        <v>2970</v>
      </c>
      <c r="CN28" s="188" t="s">
        <v>2860</v>
      </c>
      <c r="CO28" s="188" t="s">
        <v>2860</v>
      </c>
      <c r="CP28" s="188" t="s">
        <v>2970</v>
      </c>
      <c r="CQ28" s="188" t="s">
        <v>2860</v>
      </c>
      <c r="CR28" s="188" t="s">
        <v>2860</v>
      </c>
      <c r="CS28" s="188" t="s">
        <v>2970</v>
      </c>
      <c r="CT28" s="188" t="s">
        <v>2860</v>
      </c>
      <c r="CU28" s="188" t="s">
        <v>2860</v>
      </c>
      <c r="CV28" s="188" t="s">
        <v>2860</v>
      </c>
      <c r="CW28" s="188" t="s">
        <v>2860</v>
      </c>
      <c r="CX28" s="188" t="s">
        <v>2860</v>
      </c>
      <c r="CY28" s="188" t="s">
        <v>2860</v>
      </c>
      <c r="CZ28" s="188" t="s">
        <v>2860</v>
      </c>
      <c r="DA28" s="188" t="s">
        <v>2860</v>
      </c>
      <c r="DB28" s="188" t="s">
        <v>2860</v>
      </c>
      <c r="DC28" s="188" t="s">
        <v>2860</v>
      </c>
      <c r="DD28" s="188" t="s">
        <v>2860</v>
      </c>
      <c r="DE28" s="188" t="s">
        <v>2860</v>
      </c>
      <c r="DF28" s="188" t="s">
        <v>2860</v>
      </c>
      <c r="DG28" s="188" t="s">
        <v>2860</v>
      </c>
      <c r="DH28" s="188" t="s">
        <v>2860</v>
      </c>
      <c r="DI28" s="188" t="s">
        <v>2860</v>
      </c>
      <c r="DJ28" s="188" t="s">
        <v>2860</v>
      </c>
      <c r="DK28" s="188" t="s">
        <v>2860</v>
      </c>
      <c r="DL28" s="188" t="s">
        <v>2860</v>
      </c>
      <c r="DM28" s="188" t="s">
        <v>2860</v>
      </c>
      <c r="DN28" s="188" t="s">
        <v>2860</v>
      </c>
      <c r="DO28" s="188" t="s">
        <v>2860</v>
      </c>
      <c r="DP28" s="188" t="s">
        <v>2860</v>
      </c>
      <c r="DQ28" s="188" t="s">
        <v>2860</v>
      </c>
      <c r="DR28" s="188" t="s">
        <v>2860</v>
      </c>
      <c r="DS28" s="188" t="s">
        <v>2860</v>
      </c>
      <c r="DT28" s="188" t="s">
        <v>2860</v>
      </c>
      <c r="DU28" s="188" t="s">
        <v>2860</v>
      </c>
      <c r="DV28" s="188" t="s">
        <v>2860</v>
      </c>
      <c r="DW28" s="188" t="s">
        <v>2860</v>
      </c>
      <c r="DX28" s="188" t="s">
        <v>2860</v>
      </c>
      <c r="DY28" s="188" t="s">
        <v>2860</v>
      </c>
      <c r="DZ28" s="188" t="s">
        <v>2860</v>
      </c>
      <c r="EA28" s="188" t="s">
        <v>2860</v>
      </c>
      <c r="EB28" s="188" t="s">
        <v>2860</v>
      </c>
      <c r="EC28" s="188" t="s">
        <v>2860</v>
      </c>
      <c r="ED28" s="188" t="s">
        <v>2860</v>
      </c>
      <c r="EE28" s="188" t="s">
        <v>2860</v>
      </c>
      <c r="EF28" s="188" t="s">
        <v>2860</v>
      </c>
      <c r="EG28" s="188" t="s">
        <v>2860</v>
      </c>
      <c r="EH28" s="188" t="s">
        <v>2860</v>
      </c>
      <c r="EI28" s="188" t="s">
        <v>2860</v>
      </c>
      <c r="EJ28" s="188" t="s">
        <v>2860</v>
      </c>
      <c r="EK28" s="188" t="s">
        <v>2860</v>
      </c>
      <c r="EL28" s="188" t="s">
        <v>2860</v>
      </c>
      <c r="EM28" s="188" t="s">
        <v>2860</v>
      </c>
      <c r="EN28" s="188" t="s">
        <v>2860</v>
      </c>
      <c r="EO28" s="188" t="s">
        <v>2860</v>
      </c>
      <c r="EP28" s="188" t="s">
        <v>2860</v>
      </c>
      <c r="EQ28" s="188" t="s">
        <v>2860</v>
      </c>
      <c r="ER28" s="188" t="s">
        <v>2860</v>
      </c>
      <c r="ES28" s="188" t="s">
        <v>2860</v>
      </c>
      <c r="ET28" s="188" t="s">
        <v>2860</v>
      </c>
    </row>
    <row r="29" spans="1:150" x14ac:dyDescent="0.3">
      <c r="A29" s="1"/>
      <c r="B29" s="186" t="s">
        <v>3031</v>
      </c>
      <c r="C29" s="186" t="s">
        <v>151</v>
      </c>
      <c r="D29" s="186" t="s">
        <v>152</v>
      </c>
      <c r="E29" s="186" t="s">
        <v>3032</v>
      </c>
      <c r="F29" s="186" t="s">
        <v>3033</v>
      </c>
      <c r="G29" s="186" t="s">
        <v>2970</v>
      </c>
      <c r="H29" s="186" t="s">
        <v>2860</v>
      </c>
      <c r="I29" s="186" t="s">
        <v>3014</v>
      </c>
      <c r="J29" s="186" t="s">
        <v>2970</v>
      </c>
      <c r="K29" s="186" t="s">
        <v>2860</v>
      </c>
      <c r="L29" s="186" t="s">
        <v>3014</v>
      </c>
      <c r="M29" s="186" t="s">
        <v>2970</v>
      </c>
      <c r="N29" s="186" t="s">
        <v>2860</v>
      </c>
      <c r="O29" s="186" t="s">
        <v>3014</v>
      </c>
      <c r="P29" s="186" t="s">
        <v>2970</v>
      </c>
      <c r="Q29" s="186" t="s">
        <v>2860</v>
      </c>
      <c r="R29" s="186" t="s">
        <v>3014</v>
      </c>
      <c r="S29" s="186" t="s">
        <v>2970</v>
      </c>
      <c r="T29" s="186" t="s">
        <v>2860</v>
      </c>
      <c r="U29" s="186" t="s">
        <v>3014</v>
      </c>
      <c r="V29" s="186" t="s">
        <v>2970</v>
      </c>
      <c r="W29" s="186" t="s">
        <v>2860</v>
      </c>
      <c r="X29" s="186" t="s">
        <v>3014</v>
      </c>
      <c r="Y29" s="186" t="s">
        <v>2970</v>
      </c>
      <c r="Z29" s="186" t="s">
        <v>2860</v>
      </c>
      <c r="AA29" s="186" t="s">
        <v>3014</v>
      </c>
      <c r="AB29" s="186" t="s">
        <v>2970</v>
      </c>
      <c r="AC29" s="186" t="s">
        <v>2860</v>
      </c>
      <c r="AD29" s="186" t="s">
        <v>3014</v>
      </c>
      <c r="AE29" s="186" t="s">
        <v>2970</v>
      </c>
      <c r="AF29" s="186" t="s">
        <v>2860</v>
      </c>
      <c r="AG29" s="186" t="s">
        <v>3014</v>
      </c>
      <c r="AH29" s="186" t="s">
        <v>2970</v>
      </c>
      <c r="AI29" s="186" t="s">
        <v>2860</v>
      </c>
      <c r="AJ29" s="186" t="s">
        <v>3014</v>
      </c>
      <c r="AK29" s="186" t="s">
        <v>2970</v>
      </c>
      <c r="AL29" s="186" t="s">
        <v>2860</v>
      </c>
      <c r="AM29" s="186" t="s">
        <v>3014</v>
      </c>
      <c r="AN29" s="186" t="s">
        <v>2970</v>
      </c>
      <c r="AO29" s="186" t="s">
        <v>2860</v>
      </c>
      <c r="AP29" s="186" t="s">
        <v>3014</v>
      </c>
      <c r="AQ29" s="186" t="s">
        <v>2970</v>
      </c>
      <c r="AR29" s="186" t="s">
        <v>2860</v>
      </c>
      <c r="AS29" s="186" t="s">
        <v>3014</v>
      </c>
      <c r="AT29" s="186" t="s">
        <v>2970</v>
      </c>
      <c r="AU29" s="186" t="s">
        <v>2860</v>
      </c>
      <c r="AV29" s="186" t="s">
        <v>3014</v>
      </c>
      <c r="AW29" s="186" t="s">
        <v>2970</v>
      </c>
      <c r="AX29" s="186" t="s">
        <v>2860</v>
      </c>
      <c r="AY29" s="186" t="s">
        <v>3014</v>
      </c>
      <c r="AZ29" s="186" t="s">
        <v>2970</v>
      </c>
      <c r="BA29" s="186" t="s">
        <v>2860</v>
      </c>
      <c r="BB29" s="186" t="s">
        <v>3014</v>
      </c>
      <c r="BC29" s="186" t="s">
        <v>2970</v>
      </c>
      <c r="BD29" s="186" t="s">
        <v>2860</v>
      </c>
      <c r="BE29" s="186" t="s">
        <v>3014</v>
      </c>
      <c r="BF29" s="186" t="s">
        <v>2970</v>
      </c>
      <c r="BG29" s="186" t="s">
        <v>2860</v>
      </c>
      <c r="BH29" s="186" t="s">
        <v>3014</v>
      </c>
      <c r="BI29" s="186" t="s">
        <v>2970</v>
      </c>
      <c r="BJ29" s="186" t="s">
        <v>2860</v>
      </c>
      <c r="BK29" s="186" t="s">
        <v>3014</v>
      </c>
      <c r="BL29" s="186" t="s">
        <v>2970</v>
      </c>
      <c r="BM29" s="186" t="s">
        <v>2860</v>
      </c>
      <c r="BN29" s="186" t="s">
        <v>3014</v>
      </c>
      <c r="BO29" s="186" t="s">
        <v>2970</v>
      </c>
      <c r="BP29" s="186" t="s">
        <v>2860</v>
      </c>
      <c r="BQ29" s="186" t="s">
        <v>3014</v>
      </c>
      <c r="BR29" s="186" t="s">
        <v>2970</v>
      </c>
      <c r="BS29" s="186" t="s">
        <v>2860</v>
      </c>
      <c r="BT29" s="186" t="s">
        <v>3014</v>
      </c>
      <c r="BU29" s="186" t="s">
        <v>2970</v>
      </c>
      <c r="BV29" s="186" t="s">
        <v>2860</v>
      </c>
      <c r="BW29" s="186" t="s">
        <v>3014</v>
      </c>
      <c r="BX29" s="186" t="s">
        <v>2970</v>
      </c>
      <c r="BY29" s="186" t="s">
        <v>2860</v>
      </c>
      <c r="BZ29" s="186" t="s">
        <v>3014</v>
      </c>
      <c r="CA29" s="186" t="s">
        <v>2970</v>
      </c>
      <c r="CB29" s="186" t="s">
        <v>2860</v>
      </c>
      <c r="CC29" s="186" t="s">
        <v>3014</v>
      </c>
      <c r="CD29" s="186" t="s">
        <v>2970</v>
      </c>
      <c r="CE29" s="186" t="s">
        <v>2860</v>
      </c>
      <c r="CF29" s="186" t="s">
        <v>3014</v>
      </c>
      <c r="CG29" s="186" t="s">
        <v>2970</v>
      </c>
      <c r="CH29" s="186" t="s">
        <v>2860</v>
      </c>
      <c r="CI29" s="186" t="s">
        <v>3014</v>
      </c>
      <c r="CJ29" s="186" t="s">
        <v>2970</v>
      </c>
      <c r="CK29" s="186" t="s">
        <v>2860</v>
      </c>
      <c r="CL29" s="186" t="s">
        <v>3014</v>
      </c>
      <c r="CM29" s="186" t="s">
        <v>2970</v>
      </c>
      <c r="CN29" s="186" t="s">
        <v>2860</v>
      </c>
      <c r="CO29" s="186" t="s">
        <v>3014</v>
      </c>
      <c r="CP29" s="186" t="s">
        <v>2970</v>
      </c>
      <c r="CQ29" s="186" t="s">
        <v>2860</v>
      </c>
      <c r="CR29" s="186" t="s">
        <v>3014</v>
      </c>
      <c r="CS29" s="186" t="s">
        <v>2970</v>
      </c>
      <c r="CT29" s="186" t="s">
        <v>2860</v>
      </c>
      <c r="CU29" s="186" t="s">
        <v>3014</v>
      </c>
      <c r="CV29" s="186" t="s">
        <v>2970</v>
      </c>
      <c r="CW29" s="186" t="s">
        <v>2860</v>
      </c>
      <c r="CX29" s="186" t="s">
        <v>3014</v>
      </c>
      <c r="CY29" s="186" t="s">
        <v>2970</v>
      </c>
      <c r="CZ29" s="186" t="s">
        <v>2860</v>
      </c>
      <c r="DA29" s="186" t="s">
        <v>3014</v>
      </c>
      <c r="DB29" s="186" t="s">
        <v>2970</v>
      </c>
      <c r="DC29" s="186" t="s">
        <v>2860</v>
      </c>
      <c r="DD29" s="186" t="s">
        <v>3014</v>
      </c>
      <c r="DE29" s="186" t="s">
        <v>2970</v>
      </c>
      <c r="DF29" s="186" t="s">
        <v>2860</v>
      </c>
      <c r="DG29" s="186" t="s">
        <v>3014</v>
      </c>
      <c r="DH29" s="186" t="s">
        <v>2970</v>
      </c>
      <c r="DI29" s="186" t="s">
        <v>2860</v>
      </c>
      <c r="DJ29" s="186" t="s">
        <v>3014</v>
      </c>
      <c r="DK29" s="186" t="s">
        <v>2970</v>
      </c>
      <c r="DL29" s="186" t="s">
        <v>2860</v>
      </c>
      <c r="DM29" s="186" t="s">
        <v>3014</v>
      </c>
      <c r="DN29" s="186" t="s">
        <v>2970</v>
      </c>
      <c r="DO29" s="186" t="s">
        <v>2860</v>
      </c>
      <c r="DP29" s="186" t="s">
        <v>3014</v>
      </c>
      <c r="DQ29" s="186" t="s">
        <v>2970</v>
      </c>
      <c r="DR29" s="186" t="s">
        <v>2860</v>
      </c>
      <c r="DS29" s="186" t="s">
        <v>3014</v>
      </c>
      <c r="DT29" s="186" t="s">
        <v>2970</v>
      </c>
      <c r="DU29" s="186" t="s">
        <v>2860</v>
      </c>
      <c r="DV29" s="186" t="s">
        <v>3014</v>
      </c>
      <c r="DW29" s="186" t="s">
        <v>2970</v>
      </c>
      <c r="DX29" s="186" t="s">
        <v>2860</v>
      </c>
      <c r="DY29" s="186" t="s">
        <v>3014</v>
      </c>
      <c r="DZ29" s="186" t="s">
        <v>2970</v>
      </c>
      <c r="EA29" s="186" t="s">
        <v>2860</v>
      </c>
      <c r="EB29" s="186" t="s">
        <v>3014</v>
      </c>
      <c r="EC29" s="186" t="s">
        <v>2970</v>
      </c>
      <c r="ED29" s="186" t="s">
        <v>2860</v>
      </c>
      <c r="EE29" s="186" t="s">
        <v>3014</v>
      </c>
      <c r="EF29" s="186" t="s">
        <v>2970</v>
      </c>
      <c r="EG29" s="186" t="s">
        <v>2860</v>
      </c>
      <c r="EH29" s="186" t="s">
        <v>3014</v>
      </c>
      <c r="EI29" s="186" t="s">
        <v>2970</v>
      </c>
      <c r="EJ29" s="186" t="s">
        <v>2860</v>
      </c>
      <c r="EK29" s="186" t="s">
        <v>3014</v>
      </c>
      <c r="EL29" s="186" t="s">
        <v>2970</v>
      </c>
      <c r="EM29" s="186" t="s">
        <v>2860</v>
      </c>
      <c r="EN29" s="186" t="s">
        <v>3014</v>
      </c>
      <c r="EO29" s="186" t="s">
        <v>2970</v>
      </c>
      <c r="EP29" s="186" t="s">
        <v>2860</v>
      </c>
      <c r="EQ29" s="186" t="s">
        <v>3014</v>
      </c>
      <c r="ER29" s="186" t="s">
        <v>2970</v>
      </c>
      <c r="ES29" s="186" t="s">
        <v>2860</v>
      </c>
      <c r="ET29" s="186" t="s">
        <v>3014</v>
      </c>
    </row>
    <row r="30" spans="1:150" x14ac:dyDescent="0.3">
      <c r="A30" s="1"/>
      <c r="B30" s="187" t="s">
        <v>3034</v>
      </c>
      <c r="C30" s="187" t="s">
        <v>151</v>
      </c>
      <c r="D30" s="187" t="s">
        <v>152</v>
      </c>
      <c r="E30" s="187" t="s">
        <v>3035</v>
      </c>
      <c r="F30" s="187" t="s">
        <v>3036</v>
      </c>
      <c r="G30" s="188" t="s">
        <v>2970</v>
      </c>
      <c r="H30" s="188" t="s">
        <v>2860</v>
      </c>
      <c r="I30" s="188" t="s">
        <v>3014</v>
      </c>
      <c r="J30" s="188" t="s">
        <v>2970</v>
      </c>
      <c r="K30" s="188" t="s">
        <v>2860</v>
      </c>
      <c r="L30" s="188" t="s">
        <v>2860</v>
      </c>
      <c r="M30" s="188" t="s">
        <v>2970</v>
      </c>
      <c r="N30" s="188" t="s">
        <v>2860</v>
      </c>
      <c r="O30" s="188" t="s">
        <v>3014</v>
      </c>
      <c r="P30" s="188" t="s">
        <v>2970</v>
      </c>
      <c r="Q30" s="188" t="s">
        <v>2860</v>
      </c>
      <c r="R30" s="188" t="s">
        <v>3014</v>
      </c>
      <c r="S30" s="188" t="s">
        <v>2970</v>
      </c>
      <c r="T30" s="188" t="s">
        <v>2860</v>
      </c>
      <c r="U30" s="188" t="s">
        <v>3014</v>
      </c>
      <c r="V30" s="188" t="s">
        <v>2970</v>
      </c>
      <c r="W30" s="188" t="s">
        <v>2860</v>
      </c>
      <c r="X30" s="188" t="s">
        <v>3014</v>
      </c>
      <c r="Y30" s="188" t="s">
        <v>2970</v>
      </c>
      <c r="Z30" s="188" t="s">
        <v>2860</v>
      </c>
      <c r="AA30" s="188" t="s">
        <v>3014</v>
      </c>
      <c r="AB30" s="188" t="s">
        <v>2970</v>
      </c>
      <c r="AC30" s="188" t="s">
        <v>2860</v>
      </c>
      <c r="AD30" s="188" t="s">
        <v>2860</v>
      </c>
      <c r="AE30" s="188" t="s">
        <v>2970</v>
      </c>
      <c r="AF30" s="188" t="s">
        <v>2860</v>
      </c>
      <c r="AG30" s="188" t="s">
        <v>2860</v>
      </c>
      <c r="AH30" s="188" t="s">
        <v>2970</v>
      </c>
      <c r="AI30" s="188" t="s">
        <v>2860</v>
      </c>
      <c r="AJ30" s="188" t="s">
        <v>2860</v>
      </c>
      <c r="AK30" s="188" t="s">
        <v>2970</v>
      </c>
      <c r="AL30" s="188" t="s">
        <v>2860</v>
      </c>
      <c r="AM30" s="188" t="s">
        <v>2860</v>
      </c>
      <c r="AN30" s="188" t="s">
        <v>2970</v>
      </c>
      <c r="AO30" s="188" t="s">
        <v>2860</v>
      </c>
      <c r="AP30" s="188" t="s">
        <v>2860</v>
      </c>
      <c r="AQ30" s="188" t="s">
        <v>2970</v>
      </c>
      <c r="AR30" s="188" t="s">
        <v>2860</v>
      </c>
      <c r="AS30" s="188" t="s">
        <v>2860</v>
      </c>
      <c r="AT30" s="188" t="s">
        <v>2970</v>
      </c>
      <c r="AU30" s="188" t="s">
        <v>2860</v>
      </c>
      <c r="AV30" s="188" t="s">
        <v>2860</v>
      </c>
      <c r="AW30" s="188" t="s">
        <v>2970</v>
      </c>
      <c r="AX30" s="188" t="s">
        <v>2860</v>
      </c>
      <c r="AY30" s="188" t="s">
        <v>2860</v>
      </c>
      <c r="AZ30" s="188" t="s">
        <v>2970</v>
      </c>
      <c r="BA30" s="188" t="s">
        <v>2860</v>
      </c>
      <c r="BB30" s="188" t="s">
        <v>2860</v>
      </c>
      <c r="BC30" s="188" t="s">
        <v>2970</v>
      </c>
      <c r="BD30" s="188" t="s">
        <v>2860</v>
      </c>
      <c r="BE30" s="188" t="s">
        <v>2860</v>
      </c>
      <c r="BF30" s="188" t="s">
        <v>2970</v>
      </c>
      <c r="BG30" s="188" t="s">
        <v>2860</v>
      </c>
      <c r="BH30" s="188" t="s">
        <v>2860</v>
      </c>
      <c r="BI30" s="188" t="s">
        <v>2970</v>
      </c>
      <c r="BJ30" s="188" t="s">
        <v>2860</v>
      </c>
      <c r="BK30" s="188" t="s">
        <v>2860</v>
      </c>
      <c r="BL30" s="188" t="s">
        <v>2970</v>
      </c>
      <c r="BM30" s="188" t="s">
        <v>2860</v>
      </c>
      <c r="BN30" s="188" t="s">
        <v>2860</v>
      </c>
      <c r="BO30" s="188" t="s">
        <v>2970</v>
      </c>
      <c r="BP30" s="188" t="s">
        <v>2860</v>
      </c>
      <c r="BQ30" s="188" t="s">
        <v>2860</v>
      </c>
      <c r="BR30" s="188" t="s">
        <v>2970</v>
      </c>
      <c r="BS30" s="188" t="s">
        <v>2860</v>
      </c>
      <c r="BT30" s="188" t="s">
        <v>2860</v>
      </c>
      <c r="BU30" s="188" t="s">
        <v>2970</v>
      </c>
      <c r="BV30" s="188" t="s">
        <v>2860</v>
      </c>
      <c r="BW30" s="188" t="s">
        <v>2860</v>
      </c>
      <c r="BX30" s="188" t="s">
        <v>2970</v>
      </c>
      <c r="BY30" s="188" t="s">
        <v>2860</v>
      </c>
      <c r="BZ30" s="188" t="s">
        <v>2860</v>
      </c>
      <c r="CA30" s="188" t="s">
        <v>2970</v>
      </c>
      <c r="CB30" s="188" t="s">
        <v>2860</v>
      </c>
      <c r="CC30" s="188" t="s">
        <v>2860</v>
      </c>
      <c r="CD30" s="188" t="s">
        <v>2970</v>
      </c>
      <c r="CE30" s="188" t="s">
        <v>2860</v>
      </c>
      <c r="CF30" s="188" t="s">
        <v>2860</v>
      </c>
      <c r="CG30" s="188" t="s">
        <v>2970</v>
      </c>
      <c r="CH30" s="188" t="s">
        <v>2860</v>
      </c>
      <c r="CI30" s="188" t="s">
        <v>3014</v>
      </c>
      <c r="CJ30" s="188" t="s">
        <v>2970</v>
      </c>
      <c r="CK30" s="188" t="s">
        <v>2860</v>
      </c>
      <c r="CL30" s="188" t="s">
        <v>3014</v>
      </c>
      <c r="CM30" s="188" t="s">
        <v>2970</v>
      </c>
      <c r="CN30" s="188" t="s">
        <v>2860</v>
      </c>
      <c r="CO30" s="188" t="s">
        <v>2860</v>
      </c>
      <c r="CP30" s="188" t="s">
        <v>2970</v>
      </c>
      <c r="CQ30" s="188" t="s">
        <v>2860</v>
      </c>
      <c r="CR30" s="188" t="s">
        <v>2860</v>
      </c>
      <c r="CS30" s="188" t="s">
        <v>2970</v>
      </c>
      <c r="CT30" s="188" t="s">
        <v>2860</v>
      </c>
      <c r="CU30" s="188" t="s">
        <v>3014</v>
      </c>
      <c r="CV30" s="188" t="s">
        <v>2970</v>
      </c>
      <c r="CW30" s="188" t="s">
        <v>2860</v>
      </c>
      <c r="CX30" s="188" t="s">
        <v>3014</v>
      </c>
      <c r="CY30" s="188" t="s">
        <v>2970</v>
      </c>
      <c r="CZ30" s="188" t="s">
        <v>2860</v>
      </c>
      <c r="DA30" s="188" t="s">
        <v>3014</v>
      </c>
      <c r="DB30" s="188" t="s">
        <v>2970</v>
      </c>
      <c r="DC30" s="188" t="s">
        <v>2860</v>
      </c>
      <c r="DD30" s="188" t="s">
        <v>3014</v>
      </c>
      <c r="DE30" s="188" t="s">
        <v>2970</v>
      </c>
      <c r="DF30" s="188" t="s">
        <v>2860</v>
      </c>
      <c r="DG30" s="188" t="s">
        <v>3014</v>
      </c>
      <c r="DH30" s="188" t="s">
        <v>2970</v>
      </c>
      <c r="DI30" s="188" t="s">
        <v>2860</v>
      </c>
      <c r="DJ30" s="188" t="s">
        <v>3014</v>
      </c>
      <c r="DK30" s="188" t="s">
        <v>2970</v>
      </c>
      <c r="DL30" s="188" t="s">
        <v>2860</v>
      </c>
      <c r="DM30" s="188" t="s">
        <v>3014</v>
      </c>
      <c r="DN30" s="188" t="s">
        <v>2970</v>
      </c>
      <c r="DO30" s="188" t="s">
        <v>2860</v>
      </c>
      <c r="DP30" s="188" t="s">
        <v>3014</v>
      </c>
      <c r="DQ30" s="188" t="s">
        <v>2970</v>
      </c>
      <c r="DR30" s="188" t="s">
        <v>2860</v>
      </c>
      <c r="DS30" s="188" t="s">
        <v>3014</v>
      </c>
      <c r="DT30" s="188" t="s">
        <v>2970</v>
      </c>
      <c r="DU30" s="188" t="s">
        <v>2860</v>
      </c>
      <c r="DV30" s="188" t="s">
        <v>3014</v>
      </c>
      <c r="DW30" s="188" t="s">
        <v>2970</v>
      </c>
      <c r="DX30" s="188" t="s">
        <v>2860</v>
      </c>
      <c r="DY30" s="188" t="s">
        <v>3014</v>
      </c>
      <c r="DZ30" s="188" t="s">
        <v>2970</v>
      </c>
      <c r="EA30" s="188" t="s">
        <v>2860</v>
      </c>
      <c r="EB30" s="188" t="s">
        <v>3014</v>
      </c>
      <c r="EC30" s="188" t="s">
        <v>2970</v>
      </c>
      <c r="ED30" s="188" t="s">
        <v>2860</v>
      </c>
      <c r="EE30" s="188" t="s">
        <v>3014</v>
      </c>
      <c r="EF30" s="188" t="s">
        <v>2970</v>
      </c>
      <c r="EG30" s="188" t="s">
        <v>2860</v>
      </c>
      <c r="EH30" s="188" t="s">
        <v>3014</v>
      </c>
      <c r="EI30" s="188" t="s">
        <v>2970</v>
      </c>
      <c r="EJ30" s="188" t="s">
        <v>2860</v>
      </c>
      <c r="EK30" s="188" t="s">
        <v>3014</v>
      </c>
      <c r="EL30" s="188" t="s">
        <v>2970</v>
      </c>
      <c r="EM30" s="188" t="s">
        <v>2860</v>
      </c>
      <c r="EN30" s="188" t="s">
        <v>3014</v>
      </c>
      <c r="EO30" s="188" t="s">
        <v>2970</v>
      </c>
      <c r="EP30" s="188" t="s">
        <v>2860</v>
      </c>
      <c r="EQ30" s="188" t="s">
        <v>3014</v>
      </c>
      <c r="ER30" s="188" t="s">
        <v>2970</v>
      </c>
      <c r="ES30" s="188" t="s">
        <v>2860</v>
      </c>
      <c r="ET30" s="188" t="s">
        <v>3014</v>
      </c>
    </row>
    <row r="31" spans="1:150" x14ac:dyDescent="0.3">
      <c r="A31" s="1"/>
      <c r="B31" s="187" t="s">
        <v>3037</v>
      </c>
      <c r="C31" s="187" t="s">
        <v>151</v>
      </c>
      <c r="D31" s="187" t="s">
        <v>152</v>
      </c>
      <c r="E31" s="187" t="s">
        <v>3038</v>
      </c>
      <c r="F31" s="187" t="s">
        <v>3039</v>
      </c>
      <c r="G31" s="188" t="s">
        <v>2970</v>
      </c>
      <c r="H31" s="188" t="s">
        <v>2860</v>
      </c>
      <c r="I31" s="188" t="s">
        <v>2860</v>
      </c>
      <c r="J31" s="188" t="s">
        <v>2970</v>
      </c>
      <c r="K31" s="188" t="s">
        <v>2860</v>
      </c>
      <c r="L31" s="188" t="s">
        <v>3014</v>
      </c>
      <c r="M31" s="188" t="s">
        <v>2970</v>
      </c>
      <c r="N31" s="188" t="s">
        <v>2860</v>
      </c>
      <c r="O31" s="188" t="s">
        <v>2860</v>
      </c>
      <c r="P31" s="188" t="s">
        <v>2970</v>
      </c>
      <c r="Q31" s="188" t="s">
        <v>2860</v>
      </c>
      <c r="R31" s="188" t="s">
        <v>2860</v>
      </c>
      <c r="S31" s="188" t="s">
        <v>2970</v>
      </c>
      <c r="T31" s="188" t="s">
        <v>2860</v>
      </c>
      <c r="U31" s="188" t="s">
        <v>2860</v>
      </c>
      <c r="V31" s="188" t="s">
        <v>2970</v>
      </c>
      <c r="W31" s="188" t="s">
        <v>2860</v>
      </c>
      <c r="X31" s="188" t="s">
        <v>2860</v>
      </c>
      <c r="Y31" s="188" t="s">
        <v>2970</v>
      </c>
      <c r="Z31" s="188" t="s">
        <v>2860</v>
      </c>
      <c r="AA31" s="188" t="s">
        <v>2860</v>
      </c>
      <c r="AB31" s="188" t="s">
        <v>2970</v>
      </c>
      <c r="AC31" s="188" t="s">
        <v>2860</v>
      </c>
      <c r="AD31" s="188" t="s">
        <v>3014</v>
      </c>
      <c r="AE31" s="188" t="s">
        <v>2970</v>
      </c>
      <c r="AF31" s="188" t="s">
        <v>2860</v>
      </c>
      <c r="AG31" s="188" t="s">
        <v>3014</v>
      </c>
      <c r="AH31" s="188" t="s">
        <v>2970</v>
      </c>
      <c r="AI31" s="188" t="s">
        <v>2860</v>
      </c>
      <c r="AJ31" s="188" t="s">
        <v>3014</v>
      </c>
      <c r="AK31" s="188" t="s">
        <v>2970</v>
      </c>
      <c r="AL31" s="188" t="s">
        <v>2860</v>
      </c>
      <c r="AM31" s="188" t="s">
        <v>3014</v>
      </c>
      <c r="AN31" s="188" t="s">
        <v>2970</v>
      </c>
      <c r="AO31" s="188" t="s">
        <v>2860</v>
      </c>
      <c r="AP31" s="188" t="s">
        <v>3014</v>
      </c>
      <c r="AQ31" s="188" t="s">
        <v>2970</v>
      </c>
      <c r="AR31" s="188" t="s">
        <v>2860</v>
      </c>
      <c r="AS31" s="188" t="s">
        <v>3014</v>
      </c>
      <c r="AT31" s="188" t="s">
        <v>2970</v>
      </c>
      <c r="AU31" s="188" t="s">
        <v>2860</v>
      </c>
      <c r="AV31" s="188" t="s">
        <v>3014</v>
      </c>
      <c r="AW31" s="188" t="s">
        <v>2970</v>
      </c>
      <c r="AX31" s="188" t="s">
        <v>2860</v>
      </c>
      <c r="AY31" s="188" t="s">
        <v>3014</v>
      </c>
      <c r="AZ31" s="188" t="s">
        <v>2970</v>
      </c>
      <c r="BA31" s="188" t="s">
        <v>2860</v>
      </c>
      <c r="BB31" s="188" t="s">
        <v>3014</v>
      </c>
      <c r="BC31" s="188" t="s">
        <v>2970</v>
      </c>
      <c r="BD31" s="188" t="s">
        <v>2860</v>
      </c>
      <c r="BE31" s="188" t="s">
        <v>3014</v>
      </c>
      <c r="BF31" s="188" t="s">
        <v>2970</v>
      </c>
      <c r="BG31" s="188" t="s">
        <v>2860</v>
      </c>
      <c r="BH31" s="188" t="s">
        <v>3014</v>
      </c>
      <c r="BI31" s="188" t="s">
        <v>2970</v>
      </c>
      <c r="BJ31" s="188" t="s">
        <v>2860</v>
      </c>
      <c r="BK31" s="188" t="s">
        <v>3014</v>
      </c>
      <c r="BL31" s="188" t="s">
        <v>2970</v>
      </c>
      <c r="BM31" s="188" t="s">
        <v>2860</v>
      </c>
      <c r="BN31" s="188" t="s">
        <v>3014</v>
      </c>
      <c r="BO31" s="188" t="s">
        <v>2970</v>
      </c>
      <c r="BP31" s="188" t="s">
        <v>2860</v>
      </c>
      <c r="BQ31" s="188" t="s">
        <v>3014</v>
      </c>
      <c r="BR31" s="188" t="s">
        <v>2970</v>
      </c>
      <c r="BS31" s="188" t="s">
        <v>2860</v>
      </c>
      <c r="BT31" s="188" t="s">
        <v>3014</v>
      </c>
      <c r="BU31" s="188" t="s">
        <v>2970</v>
      </c>
      <c r="BV31" s="188" t="s">
        <v>2860</v>
      </c>
      <c r="BW31" s="188" t="s">
        <v>3014</v>
      </c>
      <c r="BX31" s="188" t="s">
        <v>2970</v>
      </c>
      <c r="BY31" s="188" t="s">
        <v>2860</v>
      </c>
      <c r="BZ31" s="188" t="s">
        <v>3014</v>
      </c>
      <c r="CA31" s="188" t="s">
        <v>2970</v>
      </c>
      <c r="CB31" s="188" t="s">
        <v>2860</v>
      </c>
      <c r="CC31" s="188" t="s">
        <v>3014</v>
      </c>
      <c r="CD31" s="188" t="s">
        <v>2970</v>
      </c>
      <c r="CE31" s="188" t="s">
        <v>2860</v>
      </c>
      <c r="CF31" s="188" t="s">
        <v>3014</v>
      </c>
      <c r="CG31" s="188" t="s">
        <v>2970</v>
      </c>
      <c r="CH31" s="188" t="s">
        <v>2860</v>
      </c>
      <c r="CI31" s="188" t="s">
        <v>2860</v>
      </c>
      <c r="CJ31" s="188" t="s">
        <v>2970</v>
      </c>
      <c r="CK31" s="188" t="s">
        <v>2860</v>
      </c>
      <c r="CL31" s="188" t="s">
        <v>2860</v>
      </c>
      <c r="CM31" s="188" t="s">
        <v>2970</v>
      </c>
      <c r="CN31" s="188" t="s">
        <v>2860</v>
      </c>
      <c r="CO31" s="188" t="s">
        <v>3014</v>
      </c>
      <c r="CP31" s="188" t="s">
        <v>2970</v>
      </c>
      <c r="CQ31" s="188" t="s">
        <v>2860</v>
      </c>
      <c r="CR31" s="188" t="s">
        <v>3014</v>
      </c>
      <c r="CS31" s="188" t="s">
        <v>2970</v>
      </c>
      <c r="CT31" s="188" t="s">
        <v>2860</v>
      </c>
      <c r="CU31" s="188" t="s">
        <v>2860</v>
      </c>
      <c r="CV31" s="188" t="s">
        <v>2970</v>
      </c>
      <c r="CW31" s="188" t="s">
        <v>2860</v>
      </c>
      <c r="CX31" s="188" t="s">
        <v>2860</v>
      </c>
      <c r="CY31" s="188" t="s">
        <v>2970</v>
      </c>
      <c r="CZ31" s="188" t="s">
        <v>2860</v>
      </c>
      <c r="DA31" s="188" t="s">
        <v>2860</v>
      </c>
      <c r="DB31" s="188" t="s">
        <v>2970</v>
      </c>
      <c r="DC31" s="188" t="s">
        <v>2860</v>
      </c>
      <c r="DD31" s="188" t="s">
        <v>2860</v>
      </c>
      <c r="DE31" s="188" t="s">
        <v>2970</v>
      </c>
      <c r="DF31" s="188" t="s">
        <v>2860</v>
      </c>
      <c r="DG31" s="188" t="s">
        <v>2860</v>
      </c>
      <c r="DH31" s="188" t="s">
        <v>2970</v>
      </c>
      <c r="DI31" s="188" t="s">
        <v>2860</v>
      </c>
      <c r="DJ31" s="188" t="s">
        <v>2860</v>
      </c>
      <c r="DK31" s="188" t="s">
        <v>2970</v>
      </c>
      <c r="DL31" s="188" t="s">
        <v>2860</v>
      </c>
      <c r="DM31" s="188" t="s">
        <v>2860</v>
      </c>
      <c r="DN31" s="188" t="s">
        <v>2970</v>
      </c>
      <c r="DO31" s="188" t="s">
        <v>2860</v>
      </c>
      <c r="DP31" s="188" t="s">
        <v>2860</v>
      </c>
      <c r="DQ31" s="188" t="s">
        <v>2970</v>
      </c>
      <c r="DR31" s="188" t="s">
        <v>2860</v>
      </c>
      <c r="DS31" s="188" t="s">
        <v>2860</v>
      </c>
      <c r="DT31" s="188" t="s">
        <v>2970</v>
      </c>
      <c r="DU31" s="188" t="s">
        <v>2860</v>
      </c>
      <c r="DV31" s="188" t="s">
        <v>2860</v>
      </c>
      <c r="DW31" s="188" t="s">
        <v>2970</v>
      </c>
      <c r="DX31" s="188" t="s">
        <v>2860</v>
      </c>
      <c r="DY31" s="188" t="s">
        <v>2860</v>
      </c>
      <c r="DZ31" s="188" t="s">
        <v>2970</v>
      </c>
      <c r="EA31" s="188" t="s">
        <v>2860</v>
      </c>
      <c r="EB31" s="188" t="s">
        <v>2860</v>
      </c>
      <c r="EC31" s="188" t="s">
        <v>2970</v>
      </c>
      <c r="ED31" s="188" t="s">
        <v>2860</v>
      </c>
      <c r="EE31" s="188" t="s">
        <v>2860</v>
      </c>
      <c r="EF31" s="188" t="s">
        <v>2970</v>
      </c>
      <c r="EG31" s="188" t="s">
        <v>2860</v>
      </c>
      <c r="EH31" s="188" t="s">
        <v>2860</v>
      </c>
      <c r="EI31" s="188" t="s">
        <v>2970</v>
      </c>
      <c r="EJ31" s="188" t="s">
        <v>2860</v>
      </c>
      <c r="EK31" s="188" t="s">
        <v>2860</v>
      </c>
      <c r="EL31" s="188" t="s">
        <v>2970</v>
      </c>
      <c r="EM31" s="188" t="s">
        <v>2860</v>
      </c>
      <c r="EN31" s="188" t="s">
        <v>2860</v>
      </c>
      <c r="EO31" s="188" t="s">
        <v>2970</v>
      </c>
      <c r="EP31" s="188" t="s">
        <v>2860</v>
      </c>
      <c r="EQ31" s="188" t="s">
        <v>2860</v>
      </c>
      <c r="ER31" s="188" t="s">
        <v>2970</v>
      </c>
      <c r="ES31" s="188" t="s">
        <v>2860</v>
      </c>
      <c r="ET31" s="188" t="s">
        <v>2860</v>
      </c>
    </row>
    <row r="32" spans="1:150" x14ac:dyDescent="0.3">
      <c r="A32" s="1"/>
      <c r="B32" s="186" t="s">
        <v>3040</v>
      </c>
      <c r="C32" s="186" t="s">
        <v>122</v>
      </c>
      <c r="D32" s="186" t="s">
        <v>3041</v>
      </c>
      <c r="E32" s="186" t="s">
        <v>3042</v>
      </c>
      <c r="F32" s="186" t="s">
        <v>3043</v>
      </c>
      <c r="G32" s="186" t="s">
        <v>2970</v>
      </c>
      <c r="H32" s="186" t="s">
        <v>2860</v>
      </c>
      <c r="I32" s="186" t="s">
        <v>2860</v>
      </c>
      <c r="J32" s="186" t="s">
        <v>2970</v>
      </c>
      <c r="K32" s="186" t="s">
        <v>2860</v>
      </c>
      <c r="L32" s="186" t="s">
        <v>2860</v>
      </c>
      <c r="M32" s="186" t="s">
        <v>2970</v>
      </c>
      <c r="N32" s="186" t="s">
        <v>2860</v>
      </c>
      <c r="O32" s="186" t="s">
        <v>2860</v>
      </c>
      <c r="P32" s="186" t="s">
        <v>2970</v>
      </c>
      <c r="Q32" s="186" t="s">
        <v>2860</v>
      </c>
      <c r="R32" s="186" t="s">
        <v>2860</v>
      </c>
      <c r="S32" s="186" t="s">
        <v>2970</v>
      </c>
      <c r="T32" s="186" t="s">
        <v>2860</v>
      </c>
      <c r="U32" s="186" t="s">
        <v>2860</v>
      </c>
      <c r="V32" s="186" t="s">
        <v>2970</v>
      </c>
      <c r="W32" s="186" t="s">
        <v>2860</v>
      </c>
      <c r="X32" s="186" t="s">
        <v>2860</v>
      </c>
      <c r="Y32" s="186" t="s">
        <v>2970</v>
      </c>
      <c r="Z32" s="186" t="s">
        <v>2860</v>
      </c>
      <c r="AA32" s="186" t="s">
        <v>2860</v>
      </c>
      <c r="AB32" s="186" t="s">
        <v>2970</v>
      </c>
      <c r="AC32" s="186" t="s">
        <v>2860</v>
      </c>
      <c r="AD32" s="186" t="s">
        <v>2860</v>
      </c>
      <c r="AE32" s="186" t="s">
        <v>2970</v>
      </c>
      <c r="AF32" s="186" t="s">
        <v>2860</v>
      </c>
      <c r="AG32" s="186" t="s">
        <v>2860</v>
      </c>
      <c r="AH32" s="186" t="s">
        <v>2970</v>
      </c>
      <c r="AI32" s="186" t="s">
        <v>2860</v>
      </c>
      <c r="AJ32" s="186" t="s">
        <v>2860</v>
      </c>
      <c r="AK32" s="186" t="s">
        <v>2970</v>
      </c>
      <c r="AL32" s="186" t="s">
        <v>2860</v>
      </c>
      <c r="AM32" s="186" t="s">
        <v>2860</v>
      </c>
      <c r="AN32" s="186" t="s">
        <v>2970</v>
      </c>
      <c r="AO32" s="186" t="s">
        <v>2860</v>
      </c>
      <c r="AP32" s="186" t="s">
        <v>2860</v>
      </c>
      <c r="AQ32" s="186" t="s">
        <v>2970</v>
      </c>
      <c r="AR32" s="186" t="s">
        <v>2860</v>
      </c>
      <c r="AS32" s="186" t="s">
        <v>2860</v>
      </c>
      <c r="AT32" s="186" t="s">
        <v>2970</v>
      </c>
      <c r="AU32" s="186" t="s">
        <v>2860</v>
      </c>
      <c r="AV32" s="186" t="s">
        <v>2860</v>
      </c>
      <c r="AW32" s="186" t="s">
        <v>2970</v>
      </c>
      <c r="AX32" s="186" t="s">
        <v>2860</v>
      </c>
      <c r="AY32" s="186" t="s">
        <v>2860</v>
      </c>
      <c r="AZ32" s="186" t="s">
        <v>2970</v>
      </c>
      <c r="BA32" s="186" t="s">
        <v>2860</v>
      </c>
      <c r="BB32" s="186" t="s">
        <v>2860</v>
      </c>
      <c r="BC32" s="186" t="s">
        <v>2970</v>
      </c>
      <c r="BD32" s="186" t="s">
        <v>2860</v>
      </c>
      <c r="BE32" s="186" t="s">
        <v>2860</v>
      </c>
      <c r="BF32" s="186" t="s">
        <v>2970</v>
      </c>
      <c r="BG32" s="186" t="s">
        <v>2860</v>
      </c>
      <c r="BH32" s="186" t="s">
        <v>2860</v>
      </c>
      <c r="BI32" s="186" t="s">
        <v>2970</v>
      </c>
      <c r="BJ32" s="186" t="s">
        <v>2860</v>
      </c>
      <c r="BK32" s="186" t="s">
        <v>2860</v>
      </c>
      <c r="BL32" s="186" t="s">
        <v>2970</v>
      </c>
      <c r="BM32" s="186" t="s">
        <v>2860</v>
      </c>
      <c r="BN32" s="186" t="s">
        <v>2860</v>
      </c>
      <c r="BO32" s="186" t="s">
        <v>2970</v>
      </c>
      <c r="BP32" s="186" t="s">
        <v>2860</v>
      </c>
      <c r="BQ32" s="186" t="s">
        <v>2860</v>
      </c>
      <c r="BR32" s="186" t="s">
        <v>2970</v>
      </c>
      <c r="BS32" s="186" t="s">
        <v>2860</v>
      </c>
      <c r="BT32" s="186" t="s">
        <v>2860</v>
      </c>
      <c r="BU32" s="186" t="s">
        <v>2970</v>
      </c>
      <c r="BV32" s="186" t="s">
        <v>2860</v>
      </c>
      <c r="BW32" s="186" t="s">
        <v>2860</v>
      </c>
      <c r="BX32" s="186" t="s">
        <v>2970</v>
      </c>
      <c r="BY32" s="186" t="s">
        <v>2860</v>
      </c>
      <c r="BZ32" s="186" t="s">
        <v>2860</v>
      </c>
      <c r="CA32" s="186" t="s">
        <v>2970</v>
      </c>
      <c r="CB32" s="186" t="s">
        <v>2860</v>
      </c>
      <c r="CC32" s="186" t="s">
        <v>2860</v>
      </c>
      <c r="CD32" s="186" t="s">
        <v>2970</v>
      </c>
      <c r="CE32" s="186" t="s">
        <v>2860</v>
      </c>
      <c r="CF32" s="186" t="s">
        <v>2860</v>
      </c>
      <c r="CG32" s="186" t="s">
        <v>2970</v>
      </c>
      <c r="CH32" s="186" t="s">
        <v>2860</v>
      </c>
      <c r="CI32" s="186" t="s">
        <v>2860</v>
      </c>
      <c r="CJ32" s="186" t="s">
        <v>2970</v>
      </c>
      <c r="CK32" s="186" t="s">
        <v>2860</v>
      </c>
      <c r="CL32" s="186" t="s">
        <v>2860</v>
      </c>
      <c r="CM32" s="186" t="s">
        <v>2970</v>
      </c>
      <c r="CN32" s="186" t="s">
        <v>2860</v>
      </c>
      <c r="CO32" s="186" t="s">
        <v>2860</v>
      </c>
      <c r="CP32" s="186" t="s">
        <v>2970</v>
      </c>
      <c r="CQ32" s="186" t="s">
        <v>2860</v>
      </c>
      <c r="CR32" s="186" t="s">
        <v>2860</v>
      </c>
      <c r="CS32" s="186" t="s">
        <v>2970</v>
      </c>
      <c r="CT32" s="186" t="s">
        <v>2860</v>
      </c>
      <c r="CU32" s="186" t="s">
        <v>2860</v>
      </c>
      <c r="CV32" s="186" t="s">
        <v>2970</v>
      </c>
      <c r="CW32" s="186" t="s">
        <v>2860</v>
      </c>
      <c r="CX32" s="186" t="s">
        <v>2860</v>
      </c>
      <c r="CY32" s="186" t="s">
        <v>2970</v>
      </c>
      <c r="CZ32" s="186" t="s">
        <v>2860</v>
      </c>
      <c r="DA32" s="186" t="s">
        <v>2860</v>
      </c>
      <c r="DB32" s="186" t="s">
        <v>2970</v>
      </c>
      <c r="DC32" s="186" t="s">
        <v>2860</v>
      </c>
      <c r="DD32" s="186" t="s">
        <v>2860</v>
      </c>
      <c r="DE32" s="186" t="s">
        <v>2970</v>
      </c>
      <c r="DF32" s="186" t="s">
        <v>2860</v>
      </c>
      <c r="DG32" s="186" t="s">
        <v>2860</v>
      </c>
      <c r="DH32" s="186" t="s">
        <v>2970</v>
      </c>
      <c r="DI32" s="186" t="s">
        <v>2860</v>
      </c>
      <c r="DJ32" s="186" t="s">
        <v>2860</v>
      </c>
      <c r="DK32" s="186" t="s">
        <v>2970</v>
      </c>
      <c r="DL32" s="186" t="s">
        <v>2860</v>
      </c>
      <c r="DM32" s="186" t="s">
        <v>2860</v>
      </c>
      <c r="DN32" s="186" t="s">
        <v>2970</v>
      </c>
      <c r="DO32" s="186" t="s">
        <v>2860</v>
      </c>
      <c r="DP32" s="186" t="s">
        <v>2860</v>
      </c>
      <c r="DQ32" s="186" t="s">
        <v>2970</v>
      </c>
      <c r="DR32" s="186" t="s">
        <v>2860</v>
      </c>
      <c r="DS32" s="186" t="s">
        <v>2860</v>
      </c>
      <c r="DT32" s="186" t="s">
        <v>2970</v>
      </c>
      <c r="DU32" s="186" t="s">
        <v>2860</v>
      </c>
      <c r="DV32" s="186" t="s">
        <v>2860</v>
      </c>
      <c r="DW32" s="186" t="s">
        <v>2970</v>
      </c>
      <c r="DX32" s="186" t="s">
        <v>2860</v>
      </c>
      <c r="DY32" s="186" t="s">
        <v>2860</v>
      </c>
      <c r="DZ32" s="186" t="s">
        <v>2970</v>
      </c>
      <c r="EA32" s="186" t="s">
        <v>2860</v>
      </c>
      <c r="EB32" s="186" t="s">
        <v>2860</v>
      </c>
      <c r="EC32" s="186" t="s">
        <v>2970</v>
      </c>
      <c r="ED32" s="186" t="s">
        <v>2860</v>
      </c>
      <c r="EE32" s="186" t="s">
        <v>2860</v>
      </c>
      <c r="EF32" s="186" t="s">
        <v>2970</v>
      </c>
      <c r="EG32" s="186" t="s">
        <v>2860</v>
      </c>
      <c r="EH32" s="186" t="s">
        <v>2860</v>
      </c>
      <c r="EI32" s="186" t="s">
        <v>2970</v>
      </c>
      <c r="EJ32" s="186" t="s">
        <v>2860</v>
      </c>
      <c r="EK32" s="186" t="s">
        <v>2860</v>
      </c>
      <c r="EL32" s="186" t="s">
        <v>2970</v>
      </c>
      <c r="EM32" s="186" t="s">
        <v>2860</v>
      </c>
      <c r="EN32" s="186" t="s">
        <v>2860</v>
      </c>
      <c r="EO32" s="186" t="s">
        <v>2970</v>
      </c>
      <c r="EP32" s="186" t="s">
        <v>2860</v>
      </c>
      <c r="EQ32" s="186" t="s">
        <v>2860</v>
      </c>
      <c r="ER32" s="186" t="s">
        <v>2970</v>
      </c>
      <c r="ES32" s="186" t="s">
        <v>2860</v>
      </c>
      <c r="ET32" s="186" t="s">
        <v>2860</v>
      </c>
    </row>
    <row r="33" spans="1:150" x14ac:dyDescent="0.3">
      <c r="A33" s="1"/>
      <c r="B33" s="187" t="s">
        <v>3044</v>
      </c>
      <c r="C33" s="187" t="s">
        <v>122</v>
      </c>
      <c r="D33" s="187" t="s">
        <v>3041</v>
      </c>
      <c r="E33" s="187" t="s">
        <v>3045</v>
      </c>
      <c r="F33" s="187" t="s">
        <v>3046</v>
      </c>
      <c r="G33" s="188" t="s">
        <v>2970</v>
      </c>
      <c r="H33" s="188" t="s">
        <v>965</v>
      </c>
      <c r="I33" s="188" t="s">
        <v>965</v>
      </c>
      <c r="J33" s="188" t="s">
        <v>2970</v>
      </c>
      <c r="K33" s="188" t="s">
        <v>965</v>
      </c>
      <c r="L33" s="188" t="s">
        <v>965</v>
      </c>
      <c r="M33" s="188" t="s">
        <v>2970</v>
      </c>
      <c r="N33" s="188" t="s">
        <v>965</v>
      </c>
      <c r="O33" s="188" t="s">
        <v>965</v>
      </c>
      <c r="P33" s="188" t="s">
        <v>2970</v>
      </c>
      <c r="Q33" s="188" t="s">
        <v>965</v>
      </c>
      <c r="R33" s="188" t="s">
        <v>965</v>
      </c>
      <c r="S33" s="188" t="s">
        <v>2970</v>
      </c>
      <c r="T33" s="188" t="s">
        <v>965</v>
      </c>
      <c r="U33" s="188" t="s">
        <v>965</v>
      </c>
      <c r="V33" s="188" t="s">
        <v>2970</v>
      </c>
      <c r="W33" s="188" t="s">
        <v>965</v>
      </c>
      <c r="X33" s="188" t="s">
        <v>965</v>
      </c>
      <c r="Y33" s="188" t="s">
        <v>2970</v>
      </c>
      <c r="Z33" s="188" t="s">
        <v>965</v>
      </c>
      <c r="AA33" s="188" t="s">
        <v>965</v>
      </c>
      <c r="AB33" s="188" t="s">
        <v>2970</v>
      </c>
      <c r="AC33" s="188" t="s">
        <v>965</v>
      </c>
      <c r="AD33" s="188" t="s">
        <v>965</v>
      </c>
      <c r="AE33" s="188" t="s">
        <v>2970</v>
      </c>
      <c r="AF33" s="188" t="s">
        <v>965</v>
      </c>
      <c r="AG33" s="188" t="s">
        <v>965</v>
      </c>
      <c r="AH33" s="188" t="s">
        <v>2970</v>
      </c>
      <c r="AI33" s="188" t="s">
        <v>965</v>
      </c>
      <c r="AJ33" s="188" t="s">
        <v>965</v>
      </c>
      <c r="AK33" s="188" t="s">
        <v>2970</v>
      </c>
      <c r="AL33" s="188" t="s">
        <v>965</v>
      </c>
      <c r="AM33" s="188" t="s">
        <v>965</v>
      </c>
      <c r="AN33" s="188" t="s">
        <v>2970</v>
      </c>
      <c r="AO33" s="188" t="s">
        <v>965</v>
      </c>
      <c r="AP33" s="188" t="s">
        <v>965</v>
      </c>
      <c r="AQ33" s="188" t="s">
        <v>2970</v>
      </c>
      <c r="AR33" s="188" t="s">
        <v>965</v>
      </c>
      <c r="AS33" s="188" t="s">
        <v>965</v>
      </c>
      <c r="AT33" s="188" t="s">
        <v>2970</v>
      </c>
      <c r="AU33" s="188" t="s">
        <v>965</v>
      </c>
      <c r="AV33" s="188" t="s">
        <v>965</v>
      </c>
      <c r="AW33" s="188" t="s">
        <v>2970</v>
      </c>
      <c r="AX33" s="188" t="s">
        <v>965</v>
      </c>
      <c r="AY33" s="188" t="s">
        <v>965</v>
      </c>
      <c r="AZ33" s="188" t="s">
        <v>2970</v>
      </c>
      <c r="BA33" s="188" t="s">
        <v>965</v>
      </c>
      <c r="BB33" s="188" t="s">
        <v>965</v>
      </c>
      <c r="BC33" s="188" t="s">
        <v>2970</v>
      </c>
      <c r="BD33" s="188" t="s">
        <v>965</v>
      </c>
      <c r="BE33" s="188" t="s">
        <v>965</v>
      </c>
      <c r="BF33" s="188" t="s">
        <v>2970</v>
      </c>
      <c r="BG33" s="188" t="s">
        <v>965</v>
      </c>
      <c r="BH33" s="188" t="s">
        <v>965</v>
      </c>
      <c r="BI33" s="188" t="s">
        <v>2970</v>
      </c>
      <c r="BJ33" s="188" t="s">
        <v>965</v>
      </c>
      <c r="BK33" s="188" t="s">
        <v>965</v>
      </c>
      <c r="BL33" s="188" t="s">
        <v>2970</v>
      </c>
      <c r="BM33" s="188" t="s">
        <v>965</v>
      </c>
      <c r="BN33" s="188" t="s">
        <v>965</v>
      </c>
      <c r="BO33" s="188" t="s">
        <v>2970</v>
      </c>
      <c r="BP33" s="188" t="s">
        <v>965</v>
      </c>
      <c r="BQ33" s="188" t="s">
        <v>965</v>
      </c>
      <c r="BR33" s="188" t="s">
        <v>2970</v>
      </c>
      <c r="BS33" s="188" t="s">
        <v>965</v>
      </c>
      <c r="BT33" s="188" t="s">
        <v>965</v>
      </c>
      <c r="BU33" s="188" t="s">
        <v>2970</v>
      </c>
      <c r="BV33" s="188" t="s">
        <v>965</v>
      </c>
      <c r="BW33" s="188" t="s">
        <v>965</v>
      </c>
      <c r="BX33" s="188" t="s">
        <v>2970</v>
      </c>
      <c r="BY33" s="188" t="s">
        <v>965</v>
      </c>
      <c r="BZ33" s="188" t="s">
        <v>965</v>
      </c>
      <c r="CA33" s="188" t="s">
        <v>2970</v>
      </c>
      <c r="CB33" s="188" t="s">
        <v>965</v>
      </c>
      <c r="CC33" s="188" t="s">
        <v>965</v>
      </c>
      <c r="CD33" s="188" t="s">
        <v>2970</v>
      </c>
      <c r="CE33" s="188" t="s">
        <v>965</v>
      </c>
      <c r="CF33" s="188" t="s">
        <v>965</v>
      </c>
      <c r="CG33" s="188" t="s">
        <v>2970</v>
      </c>
      <c r="CH33" s="188" t="s">
        <v>965</v>
      </c>
      <c r="CI33" s="188" t="s">
        <v>965</v>
      </c>
      <c r="CJ33" s="188" t="s">
        <v>2970</v>
      </c>
      <c r="CK33" s="188" t="s">
        <v>965</v>
      </c>
      <c r="CL33" s="188" t="s">
        <v>965</v>
      </c>
      <c r="CM33" s="188" t="s">
        <v>2970</v>
      </c>
      <c r="CN33" s="188" t="s">
        <v>965</v>
      </c>
      <c r="CO33" s="188" t="s">
        <v>965</v>
      </c>
      <c r="CP33" s="188" t="s">
        <v>2970</v>
      </c>
      <c r="CQ33" s="188" t="s">
        <v>965</v>
      </c>
      <c r="CR33" s="188" t="s">
        <v>965</v>
      </c>
      <c r="CS33" s="188" t="s">
        <v>2970</v>
      </c>
      <c r="CT33" s="188" t="s">
        <v>965</v>
      </c>
      <c r="CU33" s="188" t="s">
        <v>965</v>
      </c>
      <c r="CV33" s="188" t="s">
        <v>2970</v>
      </c>
      <c r="CW33" s="188" t="s">
        <v>965</v>
      </c>
      <c r="CX33" s="188" t="s">
        <v>965</v>
      </c>
      <c r="CY33" s="188" t="s">
        <v>2970</v>
      </c>
      <c r="CZ33" s="188" t="s">
        <v>965</v>
      </c>
      <c r="DA33" s="188" t="s">
        <v>965</v>
      </c>
      <c r="DB33" s="188" t="s">
        <v>2970</v>
      </c>
      <c r="DC33" s="188" t="s">
        <v>965</v>
      </c>
      <c r="DD33" s="188" t="s">
        <v>965</v>
      </c>
      <c r="DE33" s="188" t="s">
        <v>2970</v>
      </c>
      <c r="DF33" s="188" t="s">
        <v>965</v>
      </c>
      <c r="DG33" s="188" t="s">
        <v>965</v>
      </c>
      <c r="DH33" s="188" t="s">
        <v>2970</v>
      </c>
      <c r="DI33" s="188" t="s">
        <v>965</v>
      </c>
      <c r="DJ33" s="188" t="s">
        <v>965</v>
      </c>
      <c r="DK33" s="188" t="s">
        <v>2970</v>
      </c>
      <c r="DL33" s="188" t="s">
        <v>965</v>
      </c>
      <c r="DM33" s="188" t="s">
        <v>965</v>
      </c>
      <c r="DN33" s="188" t="s">
        <v>2970</v>
      </c>
      <c r="DO33" s="188" t="s">
        <v>965</v>
      </c>
      <c r="DP33" s="188" t="s">
        <v>965</v>
      </c>
      <c r="DQ33" s="188" t="s">
        <v>2970</v>
      </c>
      <c r="DR33" s="188" t="s">
        <v>965</v>
      </c>
      <c r="DS33" s="188" t="s">
        <v>965</v>
      </c>
      <c r="DT33" s="188" t="s">
        <v>2970</v>
      </c>
      <c r="DU33" s="188" t="s">
        <v>965</v>
      </c>
      <c r="DV33" s="188" t="s">
        <v>965</v>
      </c>
      <c r="DW33" s="188" t="s">
        <v>2970</v>
      </c>
      <c r="DX33" s="188" t="s">
        <v>965</v>
      </c>
      <c r="DY33" s="188" t="s">
        <v>965</v>
      </c>
      <c r="DZ33" s="188" t="s">
        <v>2970</v>
      </c>
      <c r="EA33" s="188" t="s">
        <v>965</v>
      </c>
      <c r="EB33" s="188" t="s">
        <v>965</v>
      </c>
      <c r="EC33" s="188" t="s">
        <v>2970</v>
      </c>
      <c r="ED33" s="188" t="s">
        <v>965</v>
      </c>
      <c r="EE33" s="188" t="s">
        <v>965</v>
      </c>
      <c r="EF33" s="188" t="s">
        <v>2970</v>
      </c>
      <c r="EG33" s="188" t="s">
        <v>965</v>
      </c>
      <c r="EH33" s="188" t="s">
        <v>965</v>
      </c>
      <c r="EI33" s="188" t="s">
        <v>2970</v>
      </c>
      <c r="EJ33" s="188" t="s">
        <v>965</v>
      </c>
      <c r="EK33" s="188" t="s">
        <v>965</v>
      </c>
      <c r="EL33" s="188" t="s">
        <v>2970</v>
      </c>
      <c r="EM33" s="188" t="s">
        <v>965</v>
      </c>
      <c r="EN33" s="188" t="s">
        <v>965</v>
      </c>
      <c r="EO33" s="188" t="s">
        <v>2970</v>
      </c>
      <c r="EP33" s="188" t="s">
        <v>965</v>
      </c>
      <c r="EQ33" s="188" t="s">
        <v>965</v>
      </c>
      <c r="ER33" s="188" t="s">
        <v>2970</v>
      </c>
      <c r="ES33" s="188" t="s">
        <v>965</v>
      </c>
      <c r="ET33" s="188" t="s">
        <v>965</v>
      </c>
    </row>
    <row r="34" spans="1:150" x14ac:dyDescent="0.3">
      <c r="A34" s="1"/>
      <c r="B34" s="187" t="s">
        <v>3047</v>
      </c>
      <c r="C34" s="187" t="s">
        <v>122</v>
      </c>
      <c r="D34" s="187" t="s">
        <v>3041</v>
      </c>
      <c r="E34" s="187" t="s">
        <v>3048</v>
      </c>
      <c r="F34" s="187" t="s">
        <v>3049</v>
      </c>
      <c r="G34" s="188" t="s">
        <v>2970</v>
      </c>
      <c r="H34" s="188" t="s">
        <v>965</v>
      </c>
      <c r="I34" s="188" t="s">
        <v>965</v>
      </c>
      <c r="J34" s="188" t="s">
        <v>2970</v>
      </c>
      <c r="K34" s="188" t="s">
        <v>965</v>
      </c>
      <c r="L34" s="188" t="s">
        <v>965</v>
      </c>
      <c r="M34" s="188" t="s">
        <v>2970</v>
      </c>
      <c r="N34" s="188" t="s">
        <v>965</v>
      </c>
      <c r="O34" s="188" t="s">
        <v>965</v>
      </c>
      <c r="P34" s="188" t="s">
        <v>2970</v>
      </c>
      <c r="Q34" s="188" t="s">
        <v>965</v>
      </c>
      <c r="R34" s="188" t="s">
        <v>965</v>
      </c>
      <c r="S34" s="188" t="s">
        <v>2970</v>
      </c>
      <c r="T34" s="188" t="s">
        <v>965</v>
      </c>
      <c r="U34" s="188" t="s">
        <v>965</v>
      </c>
      <c r="V34" s="188" t="s">
        <v>2970</v>
      </c>
      <c r="W34" s="188" t="s">
        <v>965</v>
      </c>
      <c r="X34" s="188" t="s">
        <v>965</v>
      </c>
      <c r="Y34" s="188" t="s">
        <v>2970</v>
      </c>
      <c r="Z34" s="188" t="s">
        <v>965</v>
      </c>
      <c r="AA34" s="188" t="s">
        <v>965</v>
      </c>
      <c r="AB34" s="188" t="s">
        <v>2970</v>
      </c>
      <c r="AC34" s="188" t="s">
        <v>965</v>
      </c>
      <c r="AD34" s="188" t="s">
        <v>965</v>
      </c>
      <c r="AE34" s="188" t="s">
        <v>2970</v>
      </c>
      <c r="AF34" s="188" t="s">
        <v>965</v>
      </c>
      <c r="AG34" s="188" t="s">
        <v>965</v>
      </c>
      <c r="AH34" s="188" t="s">
        <v>2970</v>
      </c>
      <c r="AI34" s="188" t="s">
        <v>965</v>
      </c>
      <c r="AJ34" s="188" t="s">
        <v>965</v>
      </c>
      <c r="AK34" s="188" t="s">
        <v>2970</v>
      </c>
      <c r="AL34" s="188" t="s">
        <v>965</v>
      </c>
      <c r="AM34" s="188" t="s">
        <v>965</v>
      </c>
      <c r="AN34" s="188" t="s">
        <v>2970</v>
      </c>
      <c r="AO34" s="188" t="s">
        <v>965</v>
      </c>
      <c r="AP34" s="188" t="s">
        <v>965</v>
      </c>
      <c r="AQ34" s="188" t="s">
        <v>2970</v>
      </c>
      <c r="AR34" s="188" t="s">
        <v>965</v>
      </c>
      <c r="AS34" s="188" t="s">
        <v>965</v>
      </c>
      <c r="AT34" s="188" t="s">
        <v>2970</v>
      </c>
      <c r="AU34" s="188" t="s">
        <v>965</v>
      </c>
      <c r="AV34" s="188" t="s">
        <v>965</v>
      </c>
      <c r="AW34" s="188" t="s">
        <v>2970</v>
      </c>
      <c r="AX34" s="188" t="s">
        <v>965</v>
      </c>
      <c r="AY34" s="188" t="s">
        <v>965</v>
      </c>
      <c r="AZ34" s="188" t="s">
        <v>2970</v>
      </c>
      <c r="BA34" s="188" t="s">
        <v>965</v>
      </c>
      <c r="BB34" s="188" t="s">
        <v>965</v>
      </c>
      <c r="BC34" s="188" t="s">
        <v>2970</v>
      </c>
      <c r="BD34" s="188" t="s">
        <v>965</v>
      </c>
      <c r="BE34" s="188" t="s">
        <v>965</v>
      </c>
      <c r="BF34" s="188" t="s">
        <v>2970</v>
      </c>
      <c r="BG34" s="188" t="s">
        <v>965</v>
      </c>
      <c r="BH34" s="188" t="s">
        <v>965</v>
      </c>
      <c r="BI34" s="188" t="s">
        <v>2970</v>
      </c>
      <c r="BJ34" s="188" t="s">
        <v>965</v>
      </c>
      <c r="BK34" s="188" t="s">
        <v>965</v>
      </c>
      <c r="BL34" s="188" t="s">
        <v>2970</v>
      </c>
      <c r="BM34" s="188" t="s">
        <v>965</v>
      </c>
      <c r="BN34" s="188" t="s">
        <v>965</v>
      </c>
      <c r="BO34" s="188" t="s">
        <v>2970</v>
      </c>
      <c r="BP34" s="188" t="s">
        <v>965</v>
      </c>
      <c r="BQ34" s="188" t="s">
        <v>965</v>
      </c>
      <c r="BR34" s="188" t="s">
        <v>2970</v>
      </c>
      <c r="BS34" s="188" t="s">
        <v>965</v>
      </c>
      <c r="BT34" s="188" t="s">
        <v>965</v>
      </c>
      <c r="BU34" s="188" t="s">
        <v>2970</v>
      </c>
      <c r="BV34" s="188" t="s">
        <v>965</v>
      </c>
      <c r="BW34" s="188" t="s">
        <v>965</v>
      </c>
      <c r="BX34" s="188" t="s">
        <v>2970</v>
      </c>
      <c r="BY34" s="188" t="s">
        <v>965</v>
      </c>
      <c r="BZ34" s="188" t="s">
        <v>965</v>
      </c>
      <c r="CA34" s="188" t="s">
        <v>2970</v>
      </c>
      <c r="CB34" s="188" t="s">
        <v>965</v>
      </c>
      <c r="CC34" s="188" t="s">
        <v>965</v>
      </c>
      <c r="CD34" s="188" t="s">
        <v>2970</v>
      </c>
      <c r="CE34" s="188" t="s">
        <v>965</v>
      </c>
      <c r="CF34" s="188" t="s">
        <v>965</v>
      </c>
      <c r="CG34" s="188" t="s">
        <v>2970</v>
      </c>
      <c r="CH34" s="188" t="s">
        <v>965</v>
      </c>
      <c r="CI34" s="188" t="s">
        <v>965</v>
      </c>
      <c r="CJ34" s="188" t="s">
        <v>2970</v>
      </c>
      <c r="CK34" s="188" t="s">
        <v>965</v>
      </c>
      <c r="CL34" s="188" t="s">
        <v>965</v>
      </c>
      <c r="CM34" s="188" t="s">
        <v>2970</v>
      </c>
      <c r="CN34" s="188" t="s">
        <v>965</v>
      </c>
      <c r="CO34" s="188" t="s">
        <v>965</v>
      </c>
      <c r="CP34" s="188" t="s">
        <v>2970</v>
      </c>
      <c r="CQ34" s="188" t="s">
        <v>965</v>
      </c>
      <c r="CR34" s="188" t="s">
        <v>965</v>
      </c>
      <c r="CS34" s="188" t="s">
        <v>2970</v>
      </c>
      <c r="CT34" s="188" t="s">
        <v>965</v>
      </c>
      <c r="CU34" s="188" t="s">
        <v>965</v>
      </c>
      <c r="CV34" s="188" t="s">
        <v>2970</v>
      </c>
      <c r="CW34" s="188" t="s">
        <v>965</v>
      </c>
      <c r="CX34" s="188" t="s">
        <v>965</v>
      </c>
      <c r="CY34" s="188" t="s">
        <v>2970</v>
      </c>
      <c r="CZ34" s="188" t="s">
        <v>965</v>
      </c>
      <c r="DA34" s="188" t="s">
        <v>965</v>
      </c>
      <c r="DB34" s="188" t="s">
        <v>2970</v>
      </c>
      <c r="DC34" s="188" t="s">
        <v>965</v>
      </c>
      <c r="DD34" s="188" t="s">
        <v>965</v>
      </c>
      <c r="DE34" s="188" t="s">
        <v>2970</v>
      </c>
      <c r="DF34" s="188" t="s">
        <v>965</v>
      </c>
      <c r="DG34" s="188" t="s">
        <v>965</v>
      </c>
      <c r="DH34" s="188" t="s">
        <v>2970</v>
      </c>
      <c r="DI34" s="188" t="s">
        <v>965</v>
      </c>
      <c r="DJ34" s="188" t="s">
        <v>965</v>
      </c>
      <c r="DK34" s="188" t="s">
        <v>2970</v>
      </c>
      <c r="DL34" s="188" t="s">
        <v>965</v>
      </c>
      <c r="DM34" s="188" t="s">
        <v>965</v>
      </c>
      <c r="DN34" s="188" t="s">
        <v>2970</v>
      </c>
      <c r="DO34" s="188" t="s">
        <v>965</v>
      </c>
      <c r="DP34" s="188" t="s">
        <v>965</v>
      </c>
      <c r="DQ34" s="188" t="s">
        <v>2970</v>
      </c>
      <c r="DR34" s="188" t="s">
        <v>965</v>
      </c>
      <c r="DS34" s="188" t="s">
        <v>965</v>
      </c>
      <c r="DT34" s="188" t="s">
        <v>2970</v>
      </c>
      <c r="DU34" s="188" t="s">
        <v>965</v>
      </c>
      <c r="DV34" s="188" t="s">
        <v>965</v>
      </c>
      <c r="DW34" s="188" t="s">
        <v>2970</v>
      </c>
      <c r="DX34" s="188" t="s">
        <v>965</v>
      </c>
      <c r="DY34" s="188" t="s">
        <v>965</v>
      </c>
      <c r="DZ34" s="188" t="s">
        <v>2970</v>
      </c>
      <c r="EA34" s="188" t="s">
        <v>965</v>
      </c>
      <c r="EB34" s="188" t="s">
        <v>965</v>
      </c>
      <c r="EC34" s="188" t="s">
        <v>2970</v>
      </c>
      <c r="ED34" s="188" t="s">
        <v>965</v>
      </c>
      <c r="EE34" s="188" t="s">
        <v>965</v>
      </c>
      <c r="EF34" s="188" t="s">
        <v>2970</v>
      </c>
      <c r="EG34" s="188" t="s">
        <v>965</v>
      </c>
      <c r="EH34" s="188" t="s">
        <v>965</v>
      </c>
      <c r="EI34" s="188" t="s">
        <v>2970</v>
      </c>
      <c r="EJ34" s="188" t="s">
        <v>965</v>
      </c>
      <c r="EK34" s="188" t="s">
        <v>965</v>
      </c>
      <c r="EL34" s="188" t="s">
        <v>2970</v>
      </c>
      <c r="EM34" s="188" t="s">
        <v>965</v>
      </c>
      <c r="EN34" s="188" t="s">
        <v>965</v>
      </c>
      <c r="EO34" s="188" t="s">
        <v>2970</v>
      </c>
      <c r="EP34" s="188" t="s">
        <v>965</v>
      </c>
      <c r="EQ34" s="188" t="s">
        <v>965</v>
      </c>
      <c r="ER34" s="188" t="s">
        <v>2970</v>
      </c>
      <c r="ES34" s="188" t="s">
        <v>965</v>
      </c>
      <c r="ET34" s="188" t="s">
        <v>965</v>
      </c>
    </row>
    <row r="35" spans="1:150" x14ac:dyDescent="0.3">
      <c r="A35" s="1"/>
      <c r="B35" s="187" t="s">
        <v>3050</v>
      </c>
      <c r="C35" s="187" t="s">
        <v>122</v>
      </c>
      <c r="D35" s="187" t="s">
        <v>3041</v>
      </c>
      <c r="E35" s="187" t="s">
        <v>3051</v>
      </c>
      <c r="F35" s="187" t="s">
        <v>3052</v>
      </c>
      <c r="G35" s="188" t="s">
        <v>2970</v>
      </c>
      <c r="H35" s="188" t="s">
        <v>965</v>
      </c>
      <c r="I35" s="188" t="s">
        <v>965</v>
      </c>
      <c r="J35" s="188" t="s">
        <v>2970</v>
      </c>
      <c r="K35" s="188" t="s">
        <v>965</v>
      </c>
      <c r="L35" s="188" t="s">
        <v>965</v>
      </c>
      <c r="M35" s="188" t="s">
        <v>2970</v>
      </c>
      <c r="N35" s="188" t="s">
        <v>965</v>
      </c>
      <c r="O35" s="188" t="s">
        <v>965</v>
      </c>
      <c r="P35" s="188" t="s">
        <v>2970</v>
      </c>
      <c r="Q35" s="188" t="s">
        <v>965</v>
      </c>
      <c r="R35" s="188" t="s">
        <v>965</v>
      </c>
      <c r="S35" s="188" t="s">
        <v>2970</v>
      </c>
      <c r="T35" s="188" t="s">
        <v>965</v>
      </c>
      <c r="U35" s="188" t="s">
        <v>965</v>
      </c>
      <c r="V35" s="188" t="s">
        <v>2970</v>
      </c>
      <c r="W35" s="188" t="s">
        <v>965</v>
      </c>
      <c r="X35" s="188" t="s">
        <v>965</v>
      </c>
      <c r="Y35" s="188" t="s">
        <v>2970</v>
      </c>
      <c r="Z35" s="188" t="s">
        <v>965</v>
      </c>
      <c r="AA35" s="188" t="s">
        <v>965</v>
      </c>
      <c r="AB35" s="188" t="s">
        <v>2970</v>
      </c>
      <c r="AC35" s="188" t="s">
        <v>965</v>
      </c>
      <c r="AD35" s="188" t="s">
        <v>965</v>
      </c>
      <c r="AE35" s="188" t="s">
        <v>2970</v>
      </c>
      <c r="AF35" s="188" t="s">
        <v>965</v>
      </c>
      <c r="AG35" s="188" t="s">
        <v>965</v>
      </c>
      <c r="AH35" s="188" t="s">
        <v>2970</v>
      </c>
      <c r="AI35" s="188" t="s">
        <v>965</v>
      </c>
      <c r="AJ35" s="188" t="s">
        <v>965</v>
      </c>
      <c r="AK35" s="188" t="s">
        <v>2970</v>
      </c>
      <c r="AL35" s="188" t="s">
        <v>965</v>
      </c>
      <c r="AM35" s="188" t="s">
        <v>965</v>
      </c>
      <c r="AN35" s="188" t="s">
        <v>2970</v>
      </c>
      <c r="AO35" s="188" t="s">
        <v>965</v>
      </c>
      <c r="AP35" s="188" t="s">
        <v>965</v>
      </c>
      <c r="AQ35" s="188" t="s">
        <v>2970</v>
      </c>
      <c r="AR35" s="188" t="s">
        <v>965</v>
      </c>
      <c r="AS35" s="188" t="s">
        <v>965</v>
      </c>
      <c r="AT35" s="188" t="s">
        <v>2970</v>
      </c>
      <c r="AU35" s="188" t="s">
        <v>965</v>
      </c>
      <c r="AV35" s="188" t="s">
        <v>965</v>
      </c>
      <c r="AW35" s="188" t="s">
        <v>2970</v>
      </c>
      <c r="AX35" s="188" t="s">
        <v>965</v>
      </c>
      <c r="AY35" s="188" t="s">
        <v>965</v>
      </c>
      <c r="AZ35" s="188" t="s">
        <v>2970</v>
      </c>
      <c r="BA35" s="188" t="s">
        <v>965</v>
      </c>
      <c r="BB35" s="188" t="s">
        <v>965</v>
      </c>
      <c r="BC35" s="188" t="s">
        <v>2970</v>
      </c>
      <c r="BD35" s="188" t="s">
        <v>965</v>
      </c>
      <c r="BE35" s="188" t="s">
        <v>965</v>
      </c>
      <c r="BF35" s="188" t="s">
        <v>2970</v>
      </c>
      <c r="BG35" s="188" t="s">
        <v>965</v>
      </c>
      <c r="BH35" s="188" t="s">
        <v>965</v>
      </c>
      <c r="BI35" s="188" t="s">
        <v>2970</v>
      </c>
      <c r="BJ35" s="188" t="s">
        <v>965</v>
      </c>
      <c r="BK35" s="188" t="s">
        <v>965</v>
      </c>
      <c r="BL35" s="188" t="s">
        <v>2970</v>
      </c>
      <c r="BM35" s="188" t="s">
        <v>965</v>
      </c>
      <c r="BN35" s="188" t="s">
        <v>965</v>
      </c>
      <c r="BO35" s="188" t="s">
        <v>2970</v>
      </c>
      <c r="BP35" s="188" t="s">
        <v>965</v>
      </c>
      <c r="BQ35" s="188" t="s">
        <v>965</v>
      </c>
      <c r="BR35" s="188" t="s">
        <v>2970</v>
      </c>
      <c r="BS35" s="188" t="s">
        <v>965</v>
      </c>
      <c r="BT35" s="188" t="s">
        <v>965</v>
      </c>
      <c r="BU35" s="188" t="s">
        <v>2970</v>
      </c>
      <c r="BV35" s="188" t="s">
        <v>965</v>
      </c>
      <c r="BW35" s="188" t="s">
        <v>965</v>
      </c>
      <c r="BX35" s="188" t="s">
        <v>2970</v>
      </c>
      <c r="BY35" s="188" t="s">
        <v>965</v>
      </c>
      <c r="BZ35" s="188" t="s">
        <v>965</v>
      </c>
      <c r="CA35" s="188" t="s">
        <v>2970</v>
      </c>
      <c r="CB35" s="188" t="s">
        <v>965</v>
      </c>
      <c r="CC35" s="188" t="s">
        <v>965</v>
      </c>
      <c r="CD35" s="188" t="s">
        <v>2970</v>
      </c>
      <c r="CE35" s="188" t="s">
        <v>965</v>
      </c>
      <c r="CF35" s="188" t="s">
        <v>965</v>
      </c>
      <c r="CG35" s="188" t="s">
        <v>2970</v>
      </c>
      <c r="CH35" s="188" t="s">
        <v>965</v>
      </c>
      <c r="CI35" s="188" t="s">
        <v>965</v>
      </c>
      <c r="CJ35" s="188" t="s">
        <v>2970</v>
      </c>
      <c r="CK35" s="188" t="s">
        <v>965</v>
      </c>
      <c r="CL35" s="188" t="s">
        <v>965</v>
      </c>
      <c r="CM35" s="188" t="s">
        <v>2970</v>
      </c>
      <c r="CN35" s="188" t="s">
        <v>965</v>
      </c>
      <c r="CO35" s="188" t="s">
        <v>965</v>
      </c>
      <c r="CP35" s="188" t="s">
        <v>2970</v>
      </c>
      <c r="CQ35" s="188" t="s">
        <v>965</v>
      </c>
      <c r="CR35" s="188" t="s">
        <v>965</v>
      </c>
      <c r="CS35" s="188" t="s">
        <v>2970</v>
      </c>
      <c r="CT35" s="188" t="s">
        <v>965</v>
      </c>
      <c r="CU35" s="188" t="s">
        <v>965</v>
      </c>
      <c r="CV35" s="188" t="s">
        <v>2970</v>
      </c>
      <c r="CW35" s="188" t="s">
        <v>965</v>
      </c>
      <c r="CX35" s="188" t="s">
        <v>965</v>
      </c>
      <c r="CY35" s="188" t="s">
        <v>2970</v>
      </c>
      <c r="CZ35" s="188" t="s">
        <v>965</v>
      </c>
      <c r="DA35" s="188" t="s">
        <v>965</v>
      </c>
      <c r="DB35" s="188" t="s">
        <v>2970</v>
      </c>
      <c r="DC35" s="188" t="s">
        <v>965</v>
      </c>
      <c r="DD35" s="188" t="s">
        <v>965</v>
      </c>
      <c r="DE35" s="188" t="s">
        <v>2970</v>
      </c>
      <c r="DF35" s="188" t="s">
        <v>965</v>
      </c>
      <c r="DG35" s="188" t="s">
        <v>965</v>
      </c>
      <c r="DH35" s="188" t="s">
        <v>2970</v>
      </c>
      <c r="DI35" s="188" t="s">
        <v>965</v>
      </c>
      <c r="DJ35" s="188" t="s">
        <v>965</v>
      </c>
      <c r="DK35" s="188" t="s">
        <v>2970</v>
      </c>
      <c r="DL35" s="188" t="s">
        <v>965</v>
      </c>
      <c r="DM35" s="188" t="s">
        <v>965</v>
      </c>
      <c r="DN35" s="188" t="s">
        <v>2970</v>
      </c>
      <c r="DO35" s="188" t="s">
        <v>965</v>
      </c>
      <c r="DP35" s="188" t="s">
        <v>965</v>
      </c>
      <c r="DQ35" s="188" t="s">
        <v>2970</v>
      </c>
      <c r="DR35" s="188" t="s">
        <v>965</v>
      </c>
      <c r="DS35" s="188" t="s">
        <v>965</v>
      </c>
      <c r="DT35" s="188" t="s">
        <v>2970</v>
      </c>
      <c r="DU35" s="188" t="s">
        <v>965</v>
      </c>
      <c r="DV35" s="188" t="s">
        <v>965</v>
      </c>
      <c r="DW35" s="188" t="s">
        <v>2970</v>
      </c>
      <c r="DX35" s="188" t="s">
        <v>965</v>
      </c>
      <c r="DY35" s="188" t="s">
        <v>965</v>
      </c>
      <c r="DZ35" s="188" t="s">
        <v>2970</v>
      </c>
      <c r="EA35" s="188" t="s">
        <v>965</v>
      </c>
      <c r="EB35" s="188" t="s">
        <v>965</v>
      </c>
      <c r="EC35" s="188" t="s">
        <v>2970</v>
      </c>
      <c r="ED35" s="188" t="s">
        <v>965</v>
      </c>
      <c r="EE35" s="188" t="s">
        <v>965</v>
      </c>
      <c r="EF35" s="188" t="s">
        <v>2970</v>
      </c>
      <c r="EG35" s="188" t="s">
        <v>965</v>
      </c>
      <c r="EH35" s="188" t="s">
        <v>965</v>
      </c>
      <c r="EI35" s="188" t="s">
        <v>2970</v>
      </c>
      <c r="EJ35" s="188" t="s">
        <v>965</v>
      </c>
      <c r="EK35" s="188" t="s">
        <v>965</v>
      </c>
      <c r="EL35" s="188" t="s">
        <v>2970</v>
      </c>
      <c r="EM35" s="188" t="s">
        <v>965</v>
      </c>
      <c r="EN35" s="188" t="s">
        <v>965</v>
      </c>
      <c r="EO35" s="188" t="s">
        <v>2970</v>
      </c>
      <c r="EP35" s="188" t="s">
        <v>965</v>
      </c>
      <c r="EQ35" s="188" t="s">
        <v>965</v>
      </c>
      <c r="ER35" s="188" t="s">
        <v>2970</v>
      </c>
      <c r="ES35" s="188" t="s">
        <v>965</v>
      </c>
      <c r="ET35" s="188" t="s">
        <v>965</v>
      </c>
    </row>
    <row r="36" spans="1:150" x14ac:dyDescent="0.3">
      <c r="A36" s="1"/>
      <c r="B36" s="187" t="s">
        <v>3053</v>
      </c>
      <c r="C36" s="187" t="s">
        <v>122</v>
      </c>
      <c r="D36" s="187" t="s">
        <v>3041</v>
      </c>
      <c r="E36" s="187" t="s">
        <v>3054</v>
      </c>
      <c r="F36" s="187" t="s">
        <v>3055</v>
      </c>
      <c r="G36" s="188" t="s">
        <v>2970</v>
      </c>
      <c r="H36" s="188" t="s">
        <v>965</v>
      </c>
      <c r="I36" s="188" t="s">
        <v>965</v>
      </c>
      <c r="J36" s="188" t="s">
        <v>2970</v>
      </c>
      <c r="K36" s="188" t="s">
        <v>965</v>
      </c>
      <c r="L36" s="188" t="s">
        <v>965</v>
      </c>
      <c r="M36" s="188" t="s">
        <v>2970</v>
      </c>
      <c r="N36" s="188" t="s">
        <v>965</v>
      </c>
      <c r="O36" s="188" t="s">
        <v>965</v>
      </c>
      <c r="P36" s="188" t="s">
        <v>2970</v>
      </c>
      <c r="Q36" s="188" t="s">
        <v>965</v>
      </c>
      <c r="R36" s="188" t="s">
        <v>965</v>
      </c>
      <c r="S36" s="188" t="s">
        <v>2970</v>
      </c>
      <c r="T36" s="188" t="s">
        <v>965</v>
      </c>
      <c r="U36" s="188" t="s">
        <v>965</v>
      </c>
      <c r="V36" s="188" t="s">
        <v>2970</v>
      </c>
      <c r="W36" s="188" t="s">
        <v>965</v>
      </c>
      <c r="X36" s="188" t="s">
        <v>965</v>
      </c>
      <c r="Y36" s="188" t="s">
        <v>2970</v>
      </c>
      <c r="Z36" s="188" t="s">
        <v>965</v>
      </c>
      <c r="AA36" s="188" t="s">
        <v>965</v>
      </c>
      <c r="AB36" s="188" t="s">
        <v>2970</v>
      </c>
      <c r="AC36" s="188" t="s">
        <v>965</v>
      </c>
      <c r="AD36" s="188" t="s">
        <v>965</v>
      </c>
      <c r="AE36" s="188" t="s">
        <v>2970</v>
      </c>
      <c r="AF36" s="188" t="s">
        <v>965</v>
      </c>
      <c r="AG36" s="188" t="s">
        <v>965</v>
      </c>
      <c r="AH36" s="188" t="s">
        <v>2970</v>
      </c>
      <c r="AI36" s="188" t="s">
        <v>965</v>
      </c>
      <c r="AJ36" s="188" t="s">
        <v>965</v>
      </c>
      <c r="AK36" s="188" t="s">
        <v>2970</v>
      </c>
      <c r="AL36" s="188" t="s">
        <v>965</v>
      </c>
      <c r="AM36" s="188" t="s">
        <v>965</v>
      </c>
      <c r="AN36" s="188" t="s">
        <v>2970</v>
      </c>
      <c r="AO36" s="188" t="s">
        <v>965</v>
      </c>
      <c r="AP36" s="188" t="s">
        <v>965</v>
      </c>
      <c r="AQ36" s="188" t="s">
        <v>2970</v>
      </c>
      <c r="AR36" s="188" t="s">
        <v>965</v>
      </c>
      <c r="AS36" s="188" t="s">
        <v>965</v>
      </c>
      <c r="AT36" s="188" t="s">
        <v>2970</v>
      </c>
      <c r="AU36" s="188" t="s">
        <v>965</v>
      </c>
      <c r="AV36" s="188" t="s">
        <v>965</v>
      </c>
      <c r="AW36" s="188" t="s">
        <v>2970</v>
      </c>
      <c r="AX36" s="188" t="s">
        <v>965</v>
      </c>
      <c r="AY36" s="188" t="s">
        <v>965</v>
      </c>
      <c r="AZ36" s="188" t="s">
        <v>2970</v>
      </c>
      <c r="BA36" s="188" t="s">
        <v>965</v>
      </c>
      <c r="BB36" s="188" t="s">
        <v>965</v>
      </c>
      <c r="BC36" s="188" t="s">
        <v>2970</v>
      </c>
      <c r="BD36" s="188" t="s">
        <v>965</v>
      </c>
      <c r="BE36" s="188" t="s">
        <v>965</v>
      </c>
      <c r="BF36" s="188" t="s">
        <v>2970</v>
      </c>
      <c r="BG36" s="188" t="s">
        <v>965</v>
      </c>
      <c r="BH36" s="188" t="s">
        <v>965</v>
      </c>
      <c r="BI36" s="188" t="s">
        <v>2970</v>
      </c>
      <c r="BJ36" s="188" t="s">
        <v>965</v>
      </c>
      <c r="BK36" s="188" t="s">
        <v>965</v>
      </c>
      <c r="BL36" s="188" t="s">
        <v>2970</v>
      </c>
      <c r="BM36" s="188" t="s">
        <v>965</v>
      </c>
      <c r="BN36" s="188" t="s">
        <v>965</v>
      </c>
      <c r="BO36" s="188" t="s">
        <v>2970</v>
      </c>
      <c r="BP36" s="188" t="s">
        <v>965</v>
      </c>
      <c r="BQ36" s="188" t="s">
        <v>965</v>
      </c>
      <c r="BR36" s="188" t="s">
        <v>2970</v>
      </c>
      <c r="BS36" s="188" t="s">
        <v>965</v>
      </c>
      <c r="BT36" s="188" t="s">
        <v>965</v>
      </c>
      <c r="BU36" s="188" t="s">
        <v>2970</v>
      </c>
      <c r="BV36" s="188" t="s">
        <v>965</v>
      </c>
      <c r="BW36" s="188" t="s">
        <v>965</v>
      </c>
      <c r="BX36" s="188" t="s">
        <v>2970</v>
      </c>
      <c r="BY36" s="188" t="s">
        <v>965</v>
      </c>
      <c r="BZ36" s="188" t="s">
        <v>965</v>
      </c>
      <c r="CA36" s="188" t="s">
        <v>2970</v>
      </c>
      <c r="CB36" s="188" t="s">
        <v>965</v>
      </c>
      <c r="CC36" s="188" t="s">
        <v>965</v>
      </c>
      <c r="CD36" s="188" t="s">
        <v>2970</v>
      </c>
      <c r="CE36" s="188" t="s">
        <v>965</v>
      </c>
      <c r="CF36" s="188" t="s">
        <v>965</v>
      </c>
      <c r="CG36" s="188" t="s">
        <v>2970</v>
      </c>
      <c r="CH36" s="188" t="s">
        <v>965</v>
      </c>
      <c r="CI36" s="188" t="s">
        <v>965</v>
      </c>
      <c r="CJ36" s="188" t="s">
        <v>2970</v>
      </c>
      <c r="CK36" s="188" t="s">
        <v>965</v>
      </c>
      <c r="CL36" s="188" t="s">
        <v>965</v>
      </c>
      <c r="CM36" s="188" t="s">
        <v>2970</v>
      </c>
      <c r="CN36" s="188" t="s">
        <v>965</v>
      </c>
      <c r="CO36" s="188" t="s">
        <v>965</v>
      </c>
      <c r="CP36" s="188" t="s">
        <v>2970</v>
      </c>
      <c r="CQ36" s="188" t="s">
        <v>965</v>
      </c>
      <c r="CR36" s="188" t="s">
        <v>965</v>
      </c>
      <c r="CS36" s="188" t="s">
        <v>2970</v>
      </c>
      <c r="CT36" s="188" t="s">
        <v>965</v>
      </c>
      <c r="CU36" s="188" t="s">
        <v>965</v>
      </c>
      <c r="CV36" s="188" t="s">
        <v>2970</v>
      </c>
      <c r="CW36" s="188" t="s">
        <v>965</v>
      </c>
      <c r="CX36" s="188" t="s">
        <v>965</v>
      </c>
      <c r="CY36" s="188" t="s">
        <v>2970</v>
      </c>
      <c r="CZ36" s="188" t="s">
        <v>965</v>
      </c>
      <c r="DA36" s="188" t="s">
        <v>965</v>
      </c>
      <c r="DB36" s="188" t="s">
        <v>2970</v>
      </c>
      <c r="DC36" s="188" t="s">
        <v>965</v>
      </c>
      <c r="DD36" s="188" t="s">
        <v>965</v>
      </c>
      <c r="DE36" s="188" t="s">
        <v>2970</v>
      </c>
      <c r="DF36" s="188" t="s">
        <v>965</v>
      </c>
      <c r="DG36" s="188" t="s">
        <v>965</v>
      </c>
      <c r="DH36" s="188" t="s">
        <v>2970</v>
      </c>
      <c r="DI36" s="188" t="s">
        <v>965</v>
      </c>
      <c r="DJ36" s="188" t="s">
        <v>965</v>
      </c>
      <c r="DK36" s="188" t="s">
        <v>2970</v>
      </c>
      <c r="DL36" s="188" t="s">
        <v>965</v>
      </c>
      <c r="DM36" s="188" t="s">
        <v>965</v>
      </c>
      <c r="DN36" s="188" t="s">
        <v>2970</v>
      </c>
      <c r="DO36" s="188" t="s">
        <v>965</v>
      </c>
      <c r="DP36" s="188" t="s">
        <v>965</v>
      </c>
      <c r="DQ36" s="188" t="s">
        <v>2970</v>
      </c>
      <c r="DR36" s="188" t="s">
        <v>965</v>
      </c>
      <c r="DS36" s="188" t="s">
        <v>965</v>
      </c>
      <c r="DT36" s="188" t="s">
        <v>2970</v>
      </c>
      <c r="DU36" s="188" t="s">
        <v>965</v>
      </c>
      <c r="DV36" s="188" t="s">
        <v>965</v>
      </c>
      <c r="DW36" s="188" t="s">
        <v>2970</v>
      </c>
      <c r="DX36" s="188" t="s">
        <v>965</v>
      </c>
      <c r="DY36" s="188" t="s">
        <v>965</v>
      </c>
      <c r="DZ36" s="188" t="s">
        <v>2970</v>
      </c>
      <c r="EA36" s="188" t="s">
        <v>965</v>
      </c>
      <c r="EB36" s="188" t="s">
        <v>965</v>
      </c>
      <c r="EC36" s="188" t="s">
        <v>2970</v>
      </c>
      <c r="ED36" s="188" t="s">
        <v>965</v>
      </c>
      <c r="EE36" s="188" t="s">
        <v>965</v>
      </c>
      <c r="EF36" s="188" t="s">
        <v>2970</v>
      </c>
      <c r="EG36" s="188" t="s">
        <v>965</v>
      </c>
      <c r="EH36" s="188" t="s">
        <v>965</v>
      </c>
      <c r="EI36" s="188" t="s">
        <v>2970</v>
      </c>
      <c r="EJ36" s="188" t="s">
        <v>965</v>
      </c>
      <c r="EK36" s="188" t="s">
        <v>965</v>
      </c>
      <c r="EL36" s="188" t="s">
        <v>2970</v>
      </c>
      <c r="EM36" s="188" t="s">
        <v>965</v>
      </c>
      <c r="EN36" s="188" t="s">
        <v>965</v>
      </c>
      <c r="EO36" s="188" t="s">
        <v>2970</v>
      </c>
      <c r="EP36" s="188" t="s">
        <v>965</v>
      </c>
      <c r="EQ36" s="188" t="s">
        <v>965</v>
      </c>
      <c r="ER36" s="188" t="s">
        <v>2970</v>
      </c>
      <c r="ES36" s="188" t="s">
        <v>965</v>
      </c>
      <c r="ET36" s="188" t="s">
        <v>965</v>
      </c>
    </row>
    <row r="37" spans="1:150" x14ac:dyDescent="0.3">
      <c r="A37" s="1"/>
      <c r="B37" s="187" t="s">
        <v>3056</v>
      </c>
      <c r="C37" s="187" t="s">
        <v>122</v>
      </c>
      <c r="D37" s="187" t="s">
        <v>3041</v>
      </c>
      <c r="E37" s="187" t="s">
        <v>3057</v>
      </c>
      <c r="F37" s="187" t="s">
        <v>3058</v>
      </c>
      <c r="G37" s="188" t="s">
        <v>2970</v>
      </c>
      <c r="H37" s="188" t="s">
        <v>965</v>
      </c>
      <c r="I37" s="188" t="s">
        <v>965</v>
      </c>
      <c r="J37" s="188" t="s">
        <v>2970</v>
      </c>
      <c r="K37" s="188" t="s">
        <v>965</v>
      </c>
      <c r="L37" s="188" t="s">
        <v>965</v>
      </c>
      <c r="M37" s="188" t="s">
        <v>2970</v>
      </c>
      <c r="N37" s="188" t="s">
        <v>965</v>
      </c>
      <c r="O37" s="188" t="s">
        <v>965</v>
      </c>
      <c r="P37" s="188" t="s">
        <v>2970</v>
      </c>
      <c r="Q37" s="188" t="s">
        <v>965</v>
      </c>
      <c r="R37" s="188" t="s">
        <v>965</v>
      </c>
      <c r="S37" s="188" t="s">
        <v>2970</v>
      </c>
      <c r="T37" s="188" t="s">
        <v>965</v>
      </c>
      <c r="U37" s="188" t="s">
        <v>965</v>
      </c>
      <c r="V37" s="188" t="s">
        <v>2970</v>
      </c>
      <c r="W37" s="188" t="s">
        <v>965</v>
      </c>
      <c r="X37" s="188" t="s">
        <v>965</v>
      </c>
      <c r="Y37" s="188" t="s">
        <v>2970</v>
      </c>
      <c r="Z37" s="188" t="s">
        <v>965</v>
      </c>
      <c r="AA37" s="188" t="s">
        <v>965</v>
      </c>
      <c r="AB37" s="188" t="s">
        <v>2970</v>
      </c>
      <c r="AC37" s="188" t="s">
        <v>965</v>
      </c>
      <c r="AD37" s="188" t="s">
        <v>965</v>
      </c>
      <c r="AE37" s="188" t="s">
        <v>2970</v>
      </c>
      <c r="AF37" s="188" t="s">
        <v>965</v>
      </c>
      <c r="AG37" s="188" t="s">
        <v>965</v>
      </c>
      <c r="AH37" s="188" t="s">
        <v>2970</v>
      </c>
      <c r="AI37" s="188" t="s">
        <v>965</v>
      </c>
      <c r="AJ37" s="188" t="s">
        <v>965</v>
      </c>
      <c r="AK37" s="188" t="s">
        <v>2970</v>
      </c>
      <c r="AL37" s="188" t="s">
        <v>965</v>
      </c>
      <c r="AM37" s="188" t="s">
        <v>965</v>
      </c>
      <c r="AN37" s="188" t="s">
        <v>2970</v>
      </c>
      <c r="AO37" s="188" t="s">
        <v>965</v>
      </c>
      <c r="AP37" s="188" t="s">
        <v>965</v>
      </c>
      <c r="AQ37" s="188" t="s">
        <v>2970</v>
      </c>
      <c r="AR37" s="188" t="s">
        <v>965</v>
      </c>
      <c r="AS37" s="188" t="s">
        <v>965</v>
      </c>
      <c r="AT37" s="188" t="s">
        <v>2970</v>
      </c>
      <c r="AU37" s="188" t="s">
        <v>965</v>
      </c>
      <c r="AV37" s="188" t="s">
        <v>965</v>
      </c>
      <c r="AW37" s="188" t="s">
        <v>2970</v>
      </c>
      <c r="AX37" s="188" t="s">
        <v>965</v>
      </c>
      <c r="AY37" s="188" t="s">
        <v>965</v>
      </c>
      <c r="AZ37" s="188" t="s">
        <v>2970</v>
      </c>
      <c r="BA37" s="188" t="s">
        <v>965</v>
      </c>
      <c r="BB37" s="188" t="s">
        <v>965</v>
      </c>
      <c r="BC37" s="188" t="s">
        <v>2970</v>
      </c>
      <c r="BD37" s="188" t="s">
        <v>965</v>
      </c>
      <c r="BE37" s="188" t="s">
        <v>965</v>
      </c>
      <c r="BF37" s="188" t="s">
        <v>2970</v>
      </c>
      <c r="BG37" s="188" t="s">
        <v>965</v>
      </c>
      <c r="BH37" s="188" t="s">
        <v>965</v>
      </c>
      <c r="BI37" s="188" t="s">
        <v>2970</v>
      </c>
      <c r="BJ37" s="188" t="s">
        <v>965</v>
      </c>
      <c r="BK37" s="188" t="s">
        <v>965</v>
      </c>
      <c r="BL37" s="188" t="s">
        <v>2970</v>
      </c>
      <c r="BM37" s="188" t="s">
        <v>965</v>
      </c>
      <c r="BN37" s="188" t="s">
        <v>965</v>
      </c>
      <c r="BO37" s="188" t="s">
        <v>2970</v>
      </c>
      <c r="BP37" s="188" t="s">
        <v>965</v>
      </c>
      <c r="BQ37" s="188" t="s">
        <v>965</v>
      </c>
      <c r="BR37" s="188" t="s">
        <v>2970</v>
      </c>
      <c r="BS37" s="188" t="s">
        <v>965</v>
      </c>
      <c r="BT37" s="188" t="s">
        <v>965</v>
      </c>
      <c r="BU37" s="188" t="s">
        <v>2970</v>
      </c>
      <c r="BV37" s="188" t="s">
        <v>965</v>
      </c>
      <c r="BW37" s="188" t="s">
        <v>965</v>
      </c>
      <c r="BX37" s="188" t="s">
        <v>2970</v>
      </c>
      <c r="BY37" s="188" t="s">
        <v>965</v>
      </c>
      <c r="BZ37" s="188" t="s">
        <v>965</v>
      </c>
      <c r="CA37" s="188" t="s">
        <v>2970</v>
      </c>
      <c r="CB37" s="188" t="s">
        <v>965</v>
      </c>
      <c r="CC37" s="188" t="s">
        <v>965</v>
      </c>
      <c r="CD37" s="188" t="s">
        <v>2970</v>
      </c>
      <c r="CE37" s="188" t="s">
        <v>965</v>
      </c>
      <c r="CF37" s="188" t="s">
        <v>965</v>
      </c>
      <c r="CG37" s="188" t="s">
        <v>2970</v>
      </c>
      <c r="CH37" s="188" t="s">
        <v>965</v>
      </c>
      <c r="CI37" s="188" t="s">
        <v>965</v>
      </c>
      <c r="CJ37" s="188" t="s">
        <v>2970</v>
      </c>
      <c r="CK37" s="188" t="s">
        <v>965</v>
      </c>
      <c r="CL37" s="188" t="s">
        <v>965</v>
      </c>
      <c r="CM37" s="188" t="s">
        <v>2970</v>
      </c>
      <c r="CN37" s="188" t="s">
        <v>965</v>
      </c>
      <c r="CO37" s="188" t="s">
        <v>965</v>
      </c>
      <c r="CP37" s="188" t="s">
        <v>2970</v>
      </c>
      <c r="CQ37" s="188" t="s">
        <v>965</v>
      </c>
      <c r="CR37" s="188" t="s">
        <v>965</v>
      </c>
      <c r="CS37" s="188" t="s">
        <v>2970</v>
      </c>
      <c r="CT37" s="188" t="s">
        <v>965</v>
      </c>
      <c r="CU37" s="188" t="s">
        <v>965</v>
      </c>
      <c r="CV37" s="188" t="s">
        <v>2970</v>
      </c>
      <c r="CW37" s="188" t="s">
        <v>965</v>
      </c>
      <c r="CX37" s="188" t="s">
        <v>965</v>
      </c>
      <c r="CY37" s="188" t="s">
        <v>2970</v>
      </c>
      <c r="CZ37" s="188" t="s">
        <v>965</v>
      </c>
      <c r="DA37" s="188" t="s">
        <v>965</v>
      </c>
      <c r="DB37" s="188" t="s">
        <v>2970</v>
      </c>
      <c r="DC37" s="188" t="s">
        <v>965</v>
      </c>
      <c r="DD37" s="188" t="s">
        <v>965</v>
      </c>
      <c r="DE37" s="188" t="s">
        <v>2970</v>
      </c>
      <c r="DF37" s="188" t="s">
        <v>965</v>
      </c>
      <c r="DG37" s="188" t="s">
        <v>965</v>
      </c>
      <c r="DH37" s="188" t="s">
        <v>2970</v>
      </c>
      <c r="DI37" s="188" t="s">
        <v>965</v>
      </c>
      <c r="DJ37" s="188" t="s">
        <v>965</v>
      </c>
      <c r="DK37" s="188" t="s">
        <v>2970</v>
      </c>
      <c r="DL37" s="188" t="s">
        <v>965</v>
      </c>
      <c r="DM37" s="188" t="s">
        <v>965</v>
      </c>
      <c r="DN37" s="188" t="s">
        <v>2970</v>
      </c>
      <c r="DO37" s="188" t="s">
        <v>965</v>
      </c>
      <c r="DP37" s="188" t="s">
        <v>965</v>
      </c>
      <c r="DQ37" s="188" t="s">
        <v>2970</v>
      </c>
      <c r="DR37" s="188" t="s">
        <v>965</v>
      </c>
      <c r="DS37" s="188" t="s">
        <v>965</v>
      </c>
      <c r="DT37" s="188" t="s">
        <v>2970</v>
      </c>
      <c r="DU37" s="188" t="s">
        <v>965</v>
      </c>
      <c r="DV37" s="188" t="s">
        <v>965</v>
      </c>
      <c r="DW37" s="188" t="s">
        <v>2970</v>
      </c>
      <c r="DX37" s="188" t="s">
        <v>965</v>
      </c>
      <c r="DY37" s="188" t="s">
        <v>965</v>
      </c>
      <c r="DZ37" s="188" t="s">
        <v>2970</v>
      </c>
      <c r="EA37" s="188" t="s">
        <v>965</v>
      </c>
      <c r="EB37" s="188" t="s">
        <v>965</v>
      </c>
      <c r="EC37" s="188" t="s">
        <v>2970</v>
      </c>
      <c r="ED37" s="188" t="s">
        <v>965</v>
      </c>
      <c r="EE37" s="188" t="s">
        <v>965</v>
      </c>
      <c r="EF37" s="188" t="s">
        <v>2970</v>
      </c>
      <c r="EG37" s="188" t="s">
        <v>965</v>
      </c>
      <c r="EH37" s="188" t="s">
        <v>965</v>
      </c>
      <c r="EI37" s="188" t="s">
        <v>2970</v>
      </c>
      <c r="EJ37" s="188" t="s">
        <v>965</v>
      </c>
      <c r="EK37" s="188" t="s">
        <v>965</v>
      </c>
      <c r="EL37" s="188" t="s">
        <v>2970</v>
      </c>
      <c r="EM37" s="188" t="s">
        <v>965</v>
      </c>
      <c r="EN37" s="188" t="s">
        <v>965</v>
      </c>
      <c r="EO37" s="188" t="s">
        <v>2970</v>
      </c>
      <c r="EP37" s="188" t="s">
        <v>965</v>
      </c>
      <c r="EQ37" s="188" t="s">
        <v>965</v>
      </c>
      <c r="ER37" s="188" t="s">
        <v>2970</v>
      </c>
      <c r="ES37" s="188" t="s">
        <v>965</v>
      </c>
      <c r="ET37" s="188" t="s">
        <v>965</v>
      </c>
    </row>
    <row r="38" spans="1:150" x14ac:dyDescent="0.3">
      <c r="A38" s="1"/>
      <c r="B38" s="187" t="s">
        <v>3059</v>
      </c>
      <c r="C38" s="187" t="s">
        <v>122</v>
      </c>
      <c r="D38" s="187" t="s">
        <v>3041</v>
      </c>
      <c r="E38" s="187" t="s">
        <v>3060</v>
      </c>
      <c r="F38" s="187" t="s">
        <v>3061</v>
      </c>
      <c r="G38" s="188" t="s">
        <v>2970</v>
      </c>
      <c r="H38" s="188" t="s">
        <v>965</v>
      </c>
      <c r="I38" s="188" t="s">
        <v>965</v>
      </c>
      <c r="J38" s="188" t="s">
        <v>2970</v>
      </c>
      <c r="K38" s="188" t="s">
        <v>965</v>
      </c>
      <c r="L38" s="188" t="s">
        <v>965</v>
      </c>
      <c r="M38" s="188" t="s">
        <v>2970</v>
      </c>
      <c r="N38" s="188" t="s">
        <v>965</v>
      </c>
      <c r="O38" s="188" t="s">
        <v>965</v>
      </c>
      <c r="P38" s="188" t="s">
        <v>2970</v>
      </c>
      <c r="Q38" s="188" t="s">
        <v>965</v>
      </c>
      <c r="R38" s="188" t="s">
        <v>965</v>
      </c>
      <c r="S38" s="188" t="s">
        <v>2970</v>
      </c>
      <c r="T38" s="188" t="s">
        <v>965</v>
      </c>
      <c r="U38" s="188" t="s">
        <v>965</v>
      </c>
      <c r="V38" s="188" t="s">
        <v>2970</v>
      </c>
      <c r="W38" s="188" t="s">
        <v>965</v>
      </c>
      <c r="X38" s="188" t="s">
        <v>965</v>
      </c>
      <c r="Y38" s="188" t="s">
        <v>2970</v>
      </c>
      <c r="Z38" s="188" t="s">
        <v>965</v>
      </c>
      <c r="AA38" s="188" t="s">
        <v>965</v>
      </c>
      <c r="AB38" s="188" t="s">
        <v>2970</v>
      </c>
      <c r="AC38" s="188" t="s">
        <v>965</v>
      </c>
      <c r="AD38" s="188" t="s">
        <v>965</v>
      </c>
      <c r="AE38" s="188" t="s">
        <v>2970</v>
      </c>
      <c r="AF38" s="188" t="s">
        <v>965</v>
      </c>
      <c r="AG38" s="188" t="s">
        <v>965</v>
      </c>
      <c r="AH38" s="188" t="s">
        <v>2970</v>
      </c>
      <c r="AI38" s="188" t="s">
        <v>965</v>
      </c>
      <c r="AJ38" s="188" t="s">
        <v>965</v>
      </c>
      <c r="AK38" s="188" t="s">
        <v>2970</v>
      </c>
      <c r="AL38" s="188" t="s">
        <v>965</v>
      </c>
      <c r="AM38" s="188" t="s">
        <v>965</v>
      </c>
      <c r="AN38" s="188" t="s">
        <v>2970</v>
      </c>
      <c r="AO38" s="188" t="s">
        <v>965</v>
      </c>
      <c r="AP38" s="188" t="s">
        <v>965</v>
      </c>
      <c r="AQ38" s="188" t="s">
        <v>2970</v>
      </c>
      <c r="AR38" s="188" t="s">
        <v>965</v>
      </c>
      <c r="AS38" s="188" t="s">
        <v>965</v>
      </c>
      <c r="AT38" s="188" t="s">
        <v>2970</v>
      </c>
      <c r="AU38" s="188" t="s">
        <v>965</v>
      </c>
      <c r="AV38" s="188" t="s">
        <v>965</v>
      </c>
      <c r="AW38" s="188" t="s">
        <v>2970</v>
      </c>
      <c r="AX38" s="188" t="s">
        <v>965</v>
      </c>
      <c r="AY38" s="188" t="s">
        <v>965</v>
      </c>
      <c r="AZ38" s="188" t="s">
        <v>2970</v>
      </c>
      <c r="BA38" s="188" t="s">
        <v>965</v>
      </c>
      <c r="BB38" s="188" t="s">
        <v>965</v>
      </c>
      <c r="BC38" s="188" t="s">
        <v>2970</v>
      </c>
      <c r="BD38" s="188" t="s">
        <v>965</v>
      </c>
      <c r="BE38" s="188" t="s">
        <v>965</v>
      </c>
      <c r="BF38" s="188" t="s">
        <v>2970</v>
      </c>
      <c r="BG38" s="188" t="s">
        <v>965</v>
      </c>
      <c r="BH38" s="188" t="s">
        <v>965</v>
      </c>
      <c r="BI38" s="188" t="s">
        <v>2970</v>
      </c>
      <c r="BJ38" s="188" t="s">
        <v>965</v>
      </c>
      <c r="BK38" s="188" t="s">
        <v>965</v>
      </c>
      <c r="BL38" s="188" t="s">
        <v>2970</v>
      </c>
      <c r="BM38" s="188" t="s">
        <v>965</v>
      </c>
      <c r="BN38" s="188" t="s">
        <v>965</v>
      </c>
      <c r="BO38" s="188" t="s">
        <v>2970</v>
      </c>
      <c r="BP38" s="188" t="s">
        <v>965</v>
      </c>
      <c r="BQ38" s="188" t="s">
        <v>965</v>
      </c>
      <c r="BR38" s="188" t="s">
        <v>2970</v>
      </c>
      <c r="BS38" s="188" t="s">
        <v>965</v>
      </c>
      <c r="BT38" s="188" t="s">
        <v>965</v>
      </c>
      <c r="BU38" s="188" t="s">
        <v>2970</v>
      </c>
      <c r="BV38" s="188" t="s">
        <v>965</v>
      </c>
      <c r="BW38" s="188" t="s">
        <v>965</v>
      </c>
      <c r="BX38" s="188" t="s">
        <v>2970</v>
      </c>
      <c r="BY38" s="188" t="s">
        <v>965</v>
      </c>
      <c r="BZ38" s="188" t="s">
        <v>965</v>
      </c>
      <c r="CA38" s="188" t="s">
        <v>2970</v>
      </c>
      <c r="CB38" s="188" t="s">
        <v>965</v>
      </c>
      <c r="CC38" s="188" t="s">
        <v>965</v>
      </c>
      <c r="CD38" s="188" t="s">
        <v>2970</v>
      </c>
      <c r="CE38" s="188" t="s">
        <v>965</v>
      </c>
      <c r="CF38" s="188" t="s">
        <v>965</v>
      </c>
      <c r="CG38" s="188" t="s">
        <v>2970</v>
      </c>
      <c r="CH38" s="188" t="s">
        <v>965</v>
      </c>
      <c r="CI38" s="188" t="s">
        <v>965</v>
      </c>
      <c r="CJ38" s="188" t="s">
        <v>2970</v>
      </c>
      <c r="CK38" s="188" t="s">
        <v>965</v>
      </c>
      <c r="CL38" s="188" t="s">
        <v>965</v>
      </c>
      <c r="CM38" s="188" t="s">
        <v>2970</v>
      </c>
      <c r="CN38" s="188" t="s">
        <v>965</v>
      </c>
      <c r="CO38" s="188" t="s">
        <v>965</v>
      </c>
      <c r="CP38" s="188" t="s">
        <v>2970</v>
      </c>
      <c r="CQ38" s="188" t="s">
        <v>965</v>
      </c>
      <c r="CR38" s="188" t="s">
        <v>965</v>
      </c>
      <c r="CS38" s="188" t="s">
        <v>2970</v>
      </c>
      <c r="CT38" s="188" t="s">
        <v>965</v>
      </c>
      <c r="CU38" s="188" t="s">
        <v>965</v>
      </c>
      <c r="CV38" s="188" t="s">
        <v>2970</v>
      </c>
      <c r="CW38" s="188" t="s">
        <v>965</v>
      </c>
      <c r="CX38" s="188" t="s">
        <v>965</v>
      </c>
      <c r="CY38" s="188" t="s">
        <v>2970</v>
      </c>
      <c r="CZ38" s="188" t="s">
        <v>965</v>
      </c>
      <c r="DA38" s="188" t="s">
        <v>965</v>
      </c>
      <c r="DB38" s="188" t="s">
        <v>2970</v>
      </c>
      <c r="DC38" s="188" t="s">
        <v>965</v>
      </c>
      <c r="DD38" s="188" t="s">
        <v>965</v>
      </c>
      <c r="DE38" s="188" t="s">
        <v>2970</v>
      </c>
      <c r="DF38" s="188" t="s">
        <v>965</v>
      </c>
      <c r="DG38" s="188" t="s">
        <v>965</v>
      </c>
      <c r="DH38" s="188" t="s">
        <v>2970</v>
      </c>
      <c r="DI38" s="188" t="s">
        <v>965</v>
      </c>
      <c r="DJ38" s="188" t="s">
        <v>965</v>
      </c>
      <c r="DK38" s="188" t="s">
        <v>2970</v>
      </c>
      <c r="DL38" s="188" t="s">
        <v>965</v>
      </c>
      <c r="DM38" s="188" t="s">
        <v>965</v>
      </c>
      <c r="DN38" s="188" t="s">
        <v>2970</v>
      </c>
      <c r="DO38" s="188" t="s">
        <v>965</v>
      </c>
      <c r="DP38" s="188" t="s">
        <v>965</v>
      </c>
      <c r="DQ38" s="188" t="s">
        <v>2970</v>
      </c>
      <c r="DR38" s="188" t="s">
        <v>965</v>
      </c>
      <c r="DS38" s="188" t="s">
        <v>965</v>
      </c>
      <c r="DT38" s="188" t="s">
        <v>2970</v>
      </c>
      <c r="DU38" s="188" t="s">
        <v>965</v>
      </c>
      <c r="DV38" s="188" t="s">
        <v>965</v>
      </c>
      <c r="DW38" s="188" t="s">
        <v>2970</v>
      </c>
      <c r="DX38" s="188" t="s">
        <v>965</v>
      </c>
      <c r="DY38" s="188" t="s">
        <v>965</v>
      </c>
      <c r="DZ38" s="188" t="s">
        <v>2970</v>
      </c>
      <c r="EA38" s="188" t="s">
        <v>965</v>
      </c>
      <c r="EB38" s="188" t="s">
        <v>965</v>
      </c>
      <c r="EC38" s="188" t="s">
        <v>2970</v>
      </c>
      <c r="ED38" s="188" t="s">
        <v>965</v>
      </c>
      <c r="EE38" s="188" t="s">
        <v>965</v>
      </c>
      <c r="EF38" s="188" t="s">
        <v>2970</v>
      </c>
      <c r="EG38" s="188" t="s">
        <v>965</v>
      </c>
      <c r="EH38" s="188" t="s">
        <v>965</v>
      </c>
      <c r="EI38" s="188" t="s">
        <v>2970</v>
      </c>
      <c r="EJ38" s="188" t="s">
        <v>965</v>
      </c>
      <c r="EK38" s="188" t="s">
        <v>965</v>
      </c>
      <c r="EL38" s="188" t="s">
        <v>2970</v>
      </c>
      <c r="EM38" s="188" t="s">
        <v>965</v>
      </c>
      <c r="EN38" s="188" t="s">
        <v>965</v>
      </c>
      <c r="EO38" s="188" t="s">
        <v>2970</v>
      </c>
      <c r="EP38" s="188" t="s">
        <v>965</v>
      </c>
      <c r="EQ38" s="188" t="s">
        <v>965</v>
      </c>
      <c r="ER38" s="188" t="s">
        <v>2970</v>
      </c>
      <c r="ES38" s="188" t="s">
        <v>965</v>
      </c>
      <c r="ET38" s="188" t="s">
        <v>965</v>
      </c>
    </row>
    <row r="39" spans="1:150" x14ac:dyDescent="0.3">
      <c r="A39" s="1"/>
      <c r="B39" s="186" t="s">
        <v>3062</v>
      </c>
      <c r="C39" s="186" t="s">
        <v>122</v>
      </c>
      <c r="D39" s="186" t="s">
        <v>128</v>
      </c>
      <c r="E39" s="186" t="s">
        <v>3063</v>
      </c>
      <c r="F39" s="186" t="s">
        <v>3064</v>
      </c>
      <c r="G39" s="186" t="s">
        <v>2970</v>
      </c>
      <c r="H39" s="186" t="s">
        <v>2860</v>
      </c>
      <c r="I39" s="186" t="s">
        <v>2860</v>
      </c>
      <c r="J39" s="186" t="s">
        <v>2970</v>
      </c>
      <c r="K39" s="186" t="s">
        <v>2860</v>
      </c>
      <c r="L39" s="186" t="s">
        <v>2860</v>
      </c>
      <c r="M39" s="186" t="s">
        <v>2970</v>
      </c>
      <c r="N39" s="186" t="s">
        <v>2860</v>
      </c>
      <c r="O39" s="186" t="s">
        <v>2860</v>
      </c>
      <c r="P39" s="186" t="s">
        <v>2970</v>
      </c>
      <c r="Q39" s="186" t="s">
        <v>2860</v>
      </c>
      <c r="R39" s="186" t="s">
        <v>2860</v>
      </c>
      <c r="S39" s="186" t="s">
        <v>2970</v>
      </c>
      <c r="T39" s="186" t="s">
        <v>2860</v>
      </c>
      <c r="U39" s="186" t="s">
        <v>2860</v>
      </c>
      <c r="V39" s="186" t="s">
        <v>2970</v>
      </c>
      <c r="W39" s="186" t="s">
        <v>2860</v>
      </c>
      <c r="X39" s="186" t="s">
        <v>2860</v>
      </c>
      <c r="Y39" s="186" t="s">
        <v>2970</v>
      </c>
      <c r="Z39" s="186" t="s">
        <v>2860</v>
      </c>
      <c r="AA39" s="186" t="s">
        <v>2860</v>
      </c>
      <c r="AB39" s="186" t="s">
        <v>2970</v>
      </c>
      <c r="AC39" s="186" t="s">
        <v>2860</v>
      </c>
      <c r="AD39" s="186" t="s">
        <v>2860</v>
      </c>
      <c r="AE39" s="186" t="s">
        <v>2970</v>
      </c>
      <c r="AF39" s="186" t="s">
        <v>2860</v>
      </c>
      <c r="AG39" s="186" t="s">
        <v>2860</v>
      </c>
      <c r="AH39" s="186" t="s">
        <v>2970</v>
      </c>
      <c r="AI39" s="186" t="s">
        <v>2860</v>
      </c>
      <c r="AJ39" s="186" t="s">
        <v>2860</v>
      </c>
      <c r="AK39" s="186" t="s">
        <v>2970</v>
      </c>
      <c r="AL39" s="186" t="s">
        <v>2860</v>
      </c>
      <c r="AM39" s="186" t="s">
        <v>2860</v>
      </c>
      <c r="AN39" s="186" t="s">
        <v>2970</v>
      </c>
      <c r="AO39" s="186" t="s">
        <v>2860</v>
      </c>
      <c r="AP39" s="186" t="s">
        <v>2860</v>
      </c>
      <c r="AQ39" s="186" t="s">
        <v>2970</v>
      </c>
      <c r="AR39" s="186" t="s">
        <v>2860</v>
      </c>
      <c r="AS39" s="186" t="s">
        <v>2860</v>
      </c>
      <c r="AT39" s="186" t="s">
        <v>2970</v>
      </c>
      <c r="AU39" s="186" t="s">
        <v>2860</v>
      </c>
      <c r="AV39" s="186" t="s">
        <v>2860</v>
      </c>
      <c r="AW39" s="186" t="s">
        <v>2970</v>
      </c>
      <c r="AX39" s="186" t="s">
        <v>2860</v>
      </c>
      <c r="AY39" s="186" t="s">
        <v>2860</v>
      </c>
      <c r="AZ39" s="186" t="s">
        <v>2970</v>
      </c>
      <c r="BA39" s="186" t="s">
        <v>2860</v>
      </c>
      <c r="BB39" s="186" t="s">
        <v>2860</v>
      </c>
      <c r="BC39" s="186" t="s">
        <v>2970</v>
      </c>
      <c r="BD39" s="186" t="s">
        <v>2860</v>
      </c>
      <c r="BE39" s="186" t="s">
        <v>2860</v>
      </c>
      <c r="BF39" s="186" t="s">
        <v>2970</v>
      </c>
      <c r="BG39" s="186" t="s">
        <v>2860</v>
      </c>
      <c r="BH39" s="186" t="s">
        <v>2860</v>
      </c>
      <c r="BI39" s="186" t="s">
        <v>2970</v>
      </c>
      <c r="BJ39" s="186" t="s">
        <v>2860</v>
      </c>
      <c r="BK39" s="186" t="s">
        <v>2860</v>
      </c>
      <c r="BL39" s="186" t="s">
        <v>2970</v>
      </c>
      <c r="BM39" s="186" t="s">
        <v>2860</v>
      </c>
      <c r="BN39" s="186" t="s">
        <v>2860</v>
      </c>
      <c r="BO39" s="186" t="s">
        <v>2970</v>
      </c>
      <c r="BP39" s="186" t="s">
        <v>2860</v>
      </c>
      <c r="BQ39" s="186" t="s">
        <v>2860</v>
      </c>
      <c r="BR39" s="186" t="s">
        <v>2970</v>
      </c>
      <c r="BS39" s="186" t="s">
        <v>2860</v>
      </c>
      <c r="BT39" s="186" t="s">
        <v>2860</v>
      </c>
      <c r="BU39" s="186" t="s">
        <v>2970</v>
      </c>
      <c r="BV39" s="186" t="s">
        <v>2860</v>
      </c>
      <c r="BW39" s="186" t="s">
        <v>2860</v>
      </c>
      <c r="BX39" s="186" t="s">
        <v>2970</v>
      </c>
      <c r="BY39" s="186" t="s">
        <v>2860</v>
      </c>
      <c r="BZ39" s="186" t="s">
        <v>2860</v>
      </c>
      <c r="CA39" s="186" t="s">
        <v>2970</v>
      </c>
      <c r="CB39" s="186" t="s">
        <v>2860</v>
      </c>
      <c r="CC39" s="186" t="s">
        <v>2860</v>
      </c>
      <c r="CD39" s="186" t="s">
        <v>2970</v>
      </c>
      <c r="CE39" s="186" t="s">
        <v>2860</v>
      </c>
      <c r="CF39" s="186" t="s">
        <v>2860</v>
      </c>
      <c r="CG39" s="186" t="s">
        <v>2970</v>
      </c>
      <c r="CH39" s="186" t="s">
        <v>2860</v>
      </c>
      <c r="CI39" s="186" t="s">
        <v>2860</v>
      </c>
      <c r="CJ39" s="186" t="s">
        <v>2970</v>
      </c>
      <c r="CK39" s="186" t="s">
        <v>2860</v>
      </c>
      <c r="CL39" s="186" t="s">
        <v>2860</v>
      </c>
      <c r="CM39" s="186" t="s">
        <v>2970</v>
      </c>
      <c r="CN39" s="186" t="s">
        <v>2860</v>
      </c>
      <c r="CO39" s="186" t="s">
        <v>2860</v>
      </c>
      <c r="CP39" s="186" t="s">
        <v>2970</v>
      </c>
      <c r="CQ39" s="186" t="s">
        <v>2860</v>
      </c>
      <c r="CR39" s="186" t="s">
        <v>2860</v>
      </c>
      <c r="CS39" s="186" t="s">
        <v>2970</v>
      </c>
      <c r="CT39" s="186" t="s">
        <v>2860</v>
      </c>
      <c r="CU39" s="186" t="s">
        <v>2860</v>
      </c>
      <c r="CV39" s="186" t="s">
        <v>2970</v>
      </c>
      <c r="CW39" s="186" t="s">
        <v>2860</v>
      </c>
      <c r="CX39" s="186" t="s">
        <v>2860</v>
      </c>
      <c r="CY39" s="186" t="s">
        <v>2970</v>
      </c>
      <c r="CZ39" s="186" t="s">
        <v>2860</v>
      </c>
      <c r="DA39" s="186" t="s">
        <v>2860</v>
      </c>
      <c r="DB39" s="186" t="s">
        <v>2970</v>
      </c>
      <c r="DC39" s="186" t="s">
        <v>2860</v>
      </c>
      <c r="DD39" s="186" t="s">
        <v>2860</v>
      </c>
      <c r="DE39" s="186" t="s">
        <v>2970</v>
      </c>
      <c r="DF39" s="186" t="s">
        <v>2860</v>
      </c>
      <c r="DG39" s="186" t="s">
        <v>2860</v>
      </c>
      <c r="DH39" s="186" t="s">
        <v>2970</v>
      </c>
      <c r="DI39" s="186" t="s">
        <v>2860</v>
      </c>
      <c r="DJ39" s="186" t="s">
        <v>2860</v>
      </c>
      <c r="DK39" s="186" t="s">
        <v>2970</v>
      </c>
      <c r="DL39" s="186" t="s">
        <v>2860</v>
      </c>
      <c r="DM39" s="186" t="s">
        <v>2860</v>
      </c>
      <c r="DN39" s="186" t="s">
        <v>2970</v>
      </c>
      <c r="DO39" s="186" t="s">
        <v>2860</v>
      </c>
      <c r="DP39" s="186" t="s">
        <v>2860</v>
      </c>
      <c r="DQ39" s="186" t="s">
        <v>2970</v>
      </c>
      <c r="DR39" s="186" t="s">
        <v>2860</v>
      </c>
      <c r="DS39" s="186" t="s">
        <v>2860</v>
      </c>
      <c r="DT39" s="186" t="s">
        <v>2970</v>
      </c>
      <c r="DU39" s="186" t="s">
        <v>2860</v>
      </c>
      <c r="DV39" s="186" t="s">
        <v>2860</v>
      </c>
      <c r="DW39" s="186" t="s">
        <v>2970</v>
      </c>
      <c r="DX39" s="186" t="s">
        <v>2860</v>
      </c>
      <c r="DY39" s="186" t="s">
        <v>2860</v>
      </c>
      <c r="DZ39" s="186" t="s">
        <v>2970</v>
      </c>
      <c r="EA39" s="186" t="s">
        <v>2860</v>
      </c>
      <c r="EB39" s="186" t="s">
        <v>2860</v>
      </c>
      <c r="EC39" s="186" t="s">
        <v>2970</v>
      </c>
      <c r="ED39" s="186" t="s">
        <v>2860</v>
      </c>
      <c r="EE39" s="186" t="s">
        <v>2860</v>
      </c>
      <c r="EF39" s="186" t="s">
        <v>2970</v>
      </c>
      <c r="EG39" s="186" t="s">
        <v>2860</v>
      </c>
      <c r="EH39" s="186" t="s">
        <v>2860</v>
      </c>
      <c r="EI39" s="186" t="s">
        <v>2970</v>
      </c>
      <c r="EJ39" s="186" t="s">
        <v>2860</v>
      </c>
      <c r="EK39" s="186" t="s">
        <v>2860</v>
      </c>
      <c r="EL39" s="186" t="s">
        <v>2970</v>
      </c>
      <c r="EM39" s="186" t="s">
        <v>2860</v>
      </c>
      <c r="EN39" s="186" t="s">
        <v>2860</v>
      </c>
      <c r="EO39" s="186" t="s">
        <v>2970</v>
      </c>
      <c r="EP39" s="186" t="s">
        <v>2860</v>
      </c>
      <c r="EQ39" s="186" t="s">
        <v>2860</v>
      </c>
      <c r="ER39" s="186" t="s">
        <v>2970</v>
      </c>
      <c r="ES39" s="186" t="s">
        <v>2860</v>
      </c>
      <c r="ET39" s="186" t="s">
        <v>2860</v>
      </c>
    </row>
    <row r="40" spans="1:150" x14ac:dyDescent="0.3">
      <c r="A40" s="1"/>
      <c r="B40" s="187" t="s">
        <v>3065</v>
      </c>
      <c r="C40" s="187" t="s">
        <v>122</v>
      </c>
      <c r="D40" s="187" t="s">
        <v>128</v>
      </c>
      <c r="E40" s="187" t="s">
        <v>3066</v>
      </c>
      <c r="F40" s="187" t="s">
        <v>3067</v>
      </c>
      <c r="G40" s="188" t="s">
        <v>2970</v>
      </c>
      <c r="H40" s="188" t="s">
        <v>2860</v>
      </c>
      <c r="I40" s="188" t="s">
        <v>2860</v>
      </c>
      <c r="J40" s="188" t="s">
        <v>2970</v>
      </c>
      <c r="K40" s="188" t="s">
        <v>2860</v>
      </c>
      <c r="L40" s="188" t="s">
        <v>2860</v>
      </c>
      <c r="M40" s="188" t="s">
        <v>2970</v>
      </c>
      <c r="N40" s="188" t="s">
        <v>2860</v>
      </c>
      <c r="O40" s="188" t="s">
        <v>2860</v>
      </c>
      <c r="P40" s="188" t="s">
        <v>2970</v>
      </c>
      <c r="Q40" s="188" t="s">
        <v>2860</v>
      </c>
      <c r="R40" s="188" t="s">
        <v>2860</v>
      </c>
      <c r="S40" s="188" t="s">
        <v>2970</v>
      </c>
      <c r="T40" s="188" t="s">
        <v>2860</v>
      </c>
      <c r="U40" s="188" t="s">
        <v>2860</v>
      </c>
      <c r="V40" s="188" t="s">
        <v>2970</v>
      </c>
      <c r="W40" s="188" t="s">
        <v>2860</v>
      </c>
      <c r="X40" s="188" t="s">
        <v>2860</v>
      </c>
      <c r="Y40" s="188" t="s">
        <v>2970</v>
      </c>
      <c r="Z40" s="188" t="s">
        <v>2860</v>
      </c>
      <c r="AA40" s="188" t="s">
        <v>2860</v>
      </c>
      <c r="AB40" s="188" t="s">
        <v>2970</v>
      </c>
      <c r="AC40" s="188" t="s">
        <v>2860</v>
      </c>
      <c r="AD40" s="188" t="s">
        <v>2860</v>
      </c>
      <c r="AE40" s="188" t="s">
        <v>2970</v>
      </c>
      <c r="AF40" s="188" t="s">
        <v>2860</v>
      </c>
      <c r="AG40" s="188" t="s">
        <v>2860</v>
      </c>
      <c r="AH40" s="188" t="s">
        <v>2970</v>
      </c>
      <c r="AI40" s="188" t="s">
        <v>2860</v>
      </c>
      <c r="AJ40" s="188" t="s">
        <v>2860</v>
      </c>
      <c r="AK40" s="188" t="s">
        <v>2970</v>
      </c>
      <c r="AL40" s="188" t="s">
        <v>2860</v>
      </c>
      <c r="AM40" s="188" t="s">
        <v>2860</v>
      </c>
      <c r="AN40" s="188" t="s">
        <v>2970</v>
      </c>
      <c r="AO40" s="188" t="s">
        <v>2860</v>
      </c>
      <c r="AP40" s="188" t="s">
        <v>2860</v>
      </c>
      <c r="AQ40" s="188" t="s">
        <v>2970</v>
      </c>
      <c r="AR40" s="188" t="s">
        <v>2860</v>
      </c>
      <c r="AS40" s="188" t="s">
        <v>2860</v>
      </c>
      <c r="AT40" s="188" t="s">
        <v>2970</v>
      </c>
      <c r="AU40" s="188" t="s">
        <v>2860</v>
      </c>
      <c r="AV40" s="188" t="s">
        <v>2860</v>
      </c>
      <c r="AW40" s="188" t="s">
        <v>2970</v>
      </c>
      <c r="AX40" s="188" t="s">
        <v>2860</v>
      </c>
      <c r="AY40" s="188" t="s">
        <v>2860</v>
      </c>
      <c r="AZ40" s="188" t="s">
        <v>2970</v>
      </c>
      <c r="BA40" s="188" t="s">
        <v>2860</v>
      </c>
      <c r="BB40" s="188" t="s">
        <v>2860</v>
      </c>
      <c r="BC40" s="188" t="s">
        <v>2970</v>
      </c>
      <c r="BD40" s="188" t="s">
        <v>2860</v>
      </c>
      <c r="BE40" s="188" t="s">
        <v>2860</v>
      </c>
      <c r="BF40" s="188" t="s">
        <v>2970</v>
      </c>
      <c r="BG40" s="188" t="s">
        <v>2860</v>
      </c>
      <c r="BH40" s="188" t="s">
        <v>2860</v>
      </c>
      <c r="BI40" s="188" t="s">
        <v>2970</v>
      </c>
      <c r="BJ40" s="188" t="s">
        <v>2860</v>
      </c>
      <c r="BK40" s="188" t="s">
        <v>2860</v>
      </c>
      <c r="BL40" s="188" t="s">
        <v>2970</v>
      </c>
      <c r="BM40" s="188" t="s">
        <v>2860</v>
      </c>
      <c r="BN40" s="188" t="s">
        <v>2860</v>
      </c>
      <c r="BO40" s="188" t="s">
        <v>2970</v>
      </c>
      <c r="BP40" s="188" t="s">
        <v>2860</v>
      </c>
      <c r="BQ40" s="188" t="s">
        <v>2860</v>
      </c>
      <c r="BR40" s="188" t="s">
        <v>2970</v>
      </c>
      <c r="BS40" s="188" t="s">
        <v>2860</v>
      </c>
      <c r="BT40" s="188" t="s">
        <v>2860</v>
      </c>
      <c r="BU40" s="188" t="s">
        <v>2970</v>
      </c>
      <c r="BV40" s="188" t="s">
        <v>2860</v>
      </c>
      <c r="BW40" s="188" t="s">
        <v>2860</v>
      </c>
      <c r="BX40" s="188" t="s">
        <v>2970</v>
      </c>
      <c r="BY40" s="188" t="s">
        <v>2860</v>
      </c>
      <c r="BZ40" s="188" t="s">
        <v>2860</v>
      </c>
      <c r="CA40" s="188" t="s">
        <v>2970</v>
      </c>
      <c r="CB40" s="188" t="s">
        <v>2860</v>
      </c>
      <c r="CC40" s="188" t="s">
        <v>2860</v>
      </c>
      <c r="CD40" s="188" t="s">
        <v>2970</v>
      </c>
      <c r="CE40" s="188" t="s">
        <v>2860</v>
      </c>
      <c r="CF40" s="188" t="s">
        <v>2860</v>
      </c>
      <c r="CG40" s="188" t="s">
        <v>2970</v>
      </c>
      <c r="CH40" s="188" t="s">
        <v>2860</v>
      </c>
      <c r="CI40" s="188" t="s">
        <v>2860</v>
      </c>
      <c r="CJ40" s="188" t="s">
        <v>2970</v>
      </c>
      <c r="CK40" s="188" t="s">
        <v>2860</v>
      </c>
      <c r="CL40" s="188" t="s">
        <v>2860</v>
      </c>
      <c r="CM40" s="188" t="s">
        <v>2970</v>
      </c>
      <c r="CN40" s="188" t="s">
        <v>2860</v>
      </c>
      <c r="CO40" s="188" t="s">
        <v>2860</v>
      </c>
      <c r="CP40" s="188" t="s">
        <v>2970</v>
      </c>
      <c r="CQ40" s="188" t="s">
        <v>2860</v>
      </c>
      <c r="CR40" s="188" t="s">
        <v>2860</v>
      </c>
      <c r="CS40" s="188" t="s">
        <v>2970</v>
      </c>
      <c r="CT40" s="188" t="s">
        <v>2860</v>
      </c>
      <c r="CU40" s="188" t="s">
        <v>2860</v>
      </c>
      <c r="CV40" s="188" t="s">
        <v>2970</v>
      </c>
      <c r="CW40" s="188" t="s">
        <v>2860</v>
      </c>
      <c r="CX40" s="188" t="s">
        <v>2860</v>
      </c>
      <c r="CY40" s="188" t="s">
        <v>2970</v>
      </c>
      <c r="CZ40" s="188" t="s">
        <v>2860</v>
      </c>
      <c r="DA40" s="188" t="s">
        <v>2860</v>
      </c>
      <c r="DB40" s="188" t="s">
        <v>2970</v>
      </c>
      <c r="DC40" s="188" t="s">
        <v>2860</v>
      </c>
      <c r="DD40" s="188" t="s">
        <v>2860</v>
      </c>
      <c r="DE40" s="188" t="s">
        <v>2970</v>
      </c>
      <c r="DF40" s="188" t="s">
        <v>2860</v>
      </c>
      <c r="DG40" s="188" t="s">
        <v>2860</v>
      </c>
      <c r="DH40" s="188" t="s">
        <v>2970</v>
      </c>
      <c r="DI40" s="188" t="s">
        <v>2860</v>
      </c>
      <c r="DJ40" s="188" t="s">
        <v>2860</v>
      </c>
      <c r="DK40" s="188" t="s">
        <v>2970</v>
      </c>
      <c r="DL40" s="188" t="s">
        <v>2860</v>
      </c>
      <c r="DM40" s="188" t="s">
        <v>2860</v>
      </c>
      <c r="DN40" s="188" t="s">
        <v>2970</v>
      </c>
      <c r="DO40" s="188" t="s">
        <v>2860</v>
      </c>
      <c r="DP40" s="188" t="s">
        <v>2860</v>
      </c>
      <c r="DQ40" s="188" t="s">
        <v>2970</v>
      </c>
      <c r="DR40" s="188" t="s">
        <v>2860</v>
      </c>
      <c r="DS40" s="188" t="s">
        <v>2860</v>
      </c>
      <c r="DT40" s="188" t="s">
        <v>2970</v>
      </c>
      <c r="DU40" s="188" t="s">
        <v>2860</v>
      </c>
      <c r="DV40" s="188" t="s">
        <v>2860</v>
      </c>
      <c r="DW40" s="188" t="s">
        <v>2970</v>
      </c>
      <c r="DX40" s="188" t="s">
        <v>2860</v>
      </c>
      <c r="DY40" s="188" t="s">
        <v>2860</v>
      </c>
      <c r="DZ40" s="188" t="s">
        <v>2970</v>
      </c>
      <c r="EA40" s="188" t="s">
        <v>2860</v>
      </c>
      <c r="EB40" s="188" t="s">
        <v>2860</v>
      </c>
      <c r="EC40" s="188" t="s">
        <v>2970</v>
      </c>
      <c r="ED40" s="188" t="s">
        <v>2860</v>
      </c>
      <c r="EE40" s="188" t="s">
        <v>2860</v>
      </c>
      <c r="EF40" s="188" t="s">
        <v>2970</v>
      </c>
      <c r="EG40" s="188" t="s">
        <v>2860</v>
      </c>
      <c r="EH40" s="188" t="s">
        <v>2860</v>
      </c>
      <c r="EI40" s="188" t="s">
        <v>2970</v>
      </c>
      <c r="EJ40" s="188" t="s">
        <v>2860</v>
      </c>
      <c r="EK40" s="188" t="s">
        <v>2860</v>
      </c>
      <c r="EL40" s="188" t="s">
        <v>2970</v>
      </c>
      <c r="EM40" s="188" t="s">
        <v>2860</v>
      </c>
      <c r="EN40" s="188" t="s">
        <v>2860</v>
      </c>
      <c r="EO40" s="188" t="s">
        <v>2970</v>
      </c>
      <c r="EP40" s="188" t="s">
        <v>2860</v>
      </c>
      <c r="EQ40" s="188" t="s">
        <v>2860</v>
      </c>
      <c r="ER40" s="188" t="s">
        <v>2970</v>
      </c>
      <c r="ES40" s="188" t="s">
        <v>2860</v>
      </c>
      <c r="ET40" s="188" t="s">
        <v>2860</v>
      </c>
    </row>
    <row r="41" spans="1:150" x14ac:dyDescent="0.3">
      <c r="A41" s="1"/>
      <c r="B41" s="187" t="s">
        <v>3068</v>
      </c>
      <c r="C41" s="187" t="s">
        <v>122</v>
      </c>
      <c r="D41" s="187" t="s">
        <v>128</v>
      </c>
      <c r="E41" s="187" t="s">
        <v>3069</v>
      </c>
      <c r="F41" s="187" t="s">
        <v>3070</v>
      </c>
      <c r="G41" s="188" t="s">
        <v>2970</v>
      </c>
      <c r="H41" s="188" t="s">
        <v>2860</v>
      </c>
      <c r="I41" s="188" t="s">
        <v>2860</v>
      </c>
      <c r="J41" s="188" t="s">
        <v>2970</v>
      </c>
      <c r="K41" s="188" t="s">
        <v>2860</v>
      </c>
      <c r="L41" s="188" t="s">
        <v>2860</v>
      </c>
      <c r="M41" s="188" t="s">
        <v>2970</v>
      </c>
      <c r="N41" s="188" t="s">
        <v>2860</v>
      </c>
      <c r="O41" s="188" t="s">
        <v>2860</v>
      </c>
      <c r="P41" s="188" t="s">
        <v>2970</v>
      </c>
      <c r="Q41" s="188" t="s">
        <v>2860</v>
      </c>
      <c r="R41" s="188" t="s">
        <v>2860</v>
      </c>
      <c r="S41" s="188" t="s">
        <v>2970</v>
      </c>
      <c r="T41" s="188" t="s">
        <v>2860</v>
      </c>
      <c r="U41" s="188" t="s">
        <v>2860</v>
      </c>
      <c r="V41" s="188" t="s">
        <v>2970</v>
      </c>
      <c r="W41" s="188" t="s">
        <v>2860</v>
      </c>
      <c r="X41" s="188" t="s">
        <v>2860</v>
      </c>
      <c r="Y41" s="188" t="s">
        <v>2970</v>
      </c>
      <c r="Z41" s="188" t="s">
        <v>2860</v>
      </c>
      <c r="AA41" s="188" t="s">
        <v>2860</v>
      </c>
      <c r="AB41" s="188" t="s">
        <v>2970</v>
      </c>
      <c r="AC41" s="188" t="s">
        <v>2860</v>
      </c>
      <c r="AD41" s="188" t="s">
        <v>2860</v>
      </c>
      <c r="AE41" s="188" t="s">
        <v>2970</v>
      </c>
      <c r="AF41" s="188" t="s">
        <v>2860</v>
      </c>
      <c r="AG41" s="188" t="s">
        <v>2860</v>
      </c>
      <c r="AH41" s="188" t="s">
        <v>2970</v>
      </c>
      <c r="AI41" s="188" t="s">
        <v>2860</v>
      </c>
      <c r="AJ41" s="188" t="s">
        <v>2860</v>
      </c>
      <c r="AK41" s="188" t="s">
        <v>2970</v>
      </c>
      <c r="AL41" s="188" t="s">
        <v>2860</v>
      </c>
      <c r="AM41" s="188" t="s">
        <v>2860</v>
      </c>
      <c r="AN41" s="188" t="s">
        <v>2970</v>
      </c>
      <c r="AO41" s="188" t="s">
        <v>2860</v>
      </c>
      <c r="AP41" s="188" t="s">
        <v>2860</v>
      </c>
      <c r="AQ41" s="188" t="s">
        <v>2970</v>
      </c>
      <c r="AR41" s="188" t="s">
        <v>2860</v>
      </c>
      <c r="AS41" s="188" t="s">
        <v>2860</v>
      </c>
      <c r="AT41" s="188" t="s">
        <v>2970</v>
      </c>
      <c r="AU41" s="188" t="s">
        <v>2860</v>
      </c>
      <c r="AV41" s="188" t="s">
        <v>2860</v>
      </c>
      <c r="AW41" s="188" t="s">
        <v>2970</v>
      </c>
      <c r="AX41" s="188" t="s">
        <v>2860</v>
      </c>
      <c r="AY41" s="188" t="s">
        <v>2860</v>
      </c>
      <c r="AZ41" s="188" t="s">
        <v>2970</v>
      </c>
      <c r="BA41" s="188" t="s">
        <v>2860</v>
      </c>
      <c r="BB41" s="188" t="s">
        <v>2860</v>
      </c>
      <c r="BC41" s="188" t="s">
        <v>2970</v>
      </c>
      <c r="BD41" s="188" t="s">
        <v>2860</v>
      </c>
      <c r="BE41" s="188" t="s">
        <v>2860</v>
      </c>
      <c r="BF41" s="188" t="s">
        <v>2970</v>
      </c>
      <c r="BG41" s="188" t="s">
        <v>2860</v>
      </c>
      <c r="BH41" s="188" t="s">
        <v>2860</v>
      </c>
      <c r="BI41" s="188" t="s">
        <v>2970</v>
      </c>
      <c r="BJ41" s="188" t="s">
        <v>2860</v>
      </c>
      <c r="BK41" s="188" t="s">
        <v>2860</v>
      </c>
      <c r="BL41" s="188" t="s">
        <v>2970</v>
      </c>
      <c r="BM41" s="188" t="s">
        <v>2860</v>
      </c>
      <c r="BN41" s="188" t="s">
        <v>2860</v>
      </c>
      <c r="BO41" s="188" t="s">
        <v>2970</v>
      </c>
      <c r="BP41" s="188" t="s">
        <v>2860</v>
      </c>
      <c r="BQ41" s="188" t="s">
        <v>2860</v>
      </c>
      <c r="BR41" s="188" t="s">
        <v>2970</v>
      </c>
      <c r="BS41" s="188" t="s">
        <v>2860</v>
      </c>
      <c r="BT41" s="188" t="s">
        <v>2860</v>
      </c>
      <c r="BU41" s="188" t="s">
        <v>2970</v>
      </c>
      <c r="BV41" s="188" t="s">
        <v>2860</v>
      </c>
      <c r="BW41" s="188" t="s">
        <v>2860</v>
      </c>
      <c r="BX41" s="188" t="s">
        <v>2970</v>
      </c>
      <c r="BY41" s="188" t="s">
        <v>2860</v>
      </c>
      <c r="BZ41" s="188" t="s">
        <v>2860</v>
      </c>
      <c r="CA41" s="188" t="s">
        <v>2970</v>
      </c>
      <c r="CB41" s="188" t="s">
        <v>2860</v>
      </c>
      <c r="CC41" s="188" t="s">
        <v>2860</v>
      </c>
      <c r="CD41" s="188" t="s">
        <v>2970</v>
      </c>
      <c r="CE41" s="188" t="s">
        <v>2860</v>
      </c>
      <c r="CF41" s="188" t="s">
        <v>2860</v>
      </c>
      <c r="CG41" s="188" t="s">
        <v>2970</v>
      </c>
      <c r="CH41" s="188" t="s">
        <v>2860</v>
      </c>
      <c r="CI41" s="188" t="s">
        <v>2860</v>
      </c>
      <c r="CJ41" s="188" t="s">
        <v>2970</v>
      </c>
      <c r="CK41" s="188" t="s">
        <v>2860</v>
      </c>
      <c r="CL41" s="188" t="s">
        <v>2860</v>
      </c>
      <c r="CM41" s="188" t="s">
        <v>2970</v>
      </c>
      <c r="CN41" s="188" t="s">
        <v>2860</v>
      </c>
      <c r="CO41" s="188" t="s">
        <v>2860</v>
      </c>
      <c r="CP41" s="188" t="s">
        <v>2970</v>
      </c>
      <c r="CQ41" s="188" t="s">
        <v>2860</v>
      </c>
      <c r="CR41" s="188" t="s">
        <v>2860</v>
      </c>
      <c r="CS41" s="188" t="s">
        <v>2970</v>
      </c>
      <c r="CT41" s="188" t="s">
        <v>2860</v>
      </c>
      <c r="CU41" s="188" t="s">
        <v>2860</v>
      </c>
      <c r="CV41" s="188" t="s">
        <v>2970</v>
      </c>
      <c r="CW41" s="188" t="s">
        <v>2860</v>
      </c>
      <c r="CX41" s="188" t="s">
        <v>2860</v>
      </c>
      <c r="CY41" s="188" t="s">
        <v>2970</v>
      </c>
      <c r="CZ41" s="188" t="s">
        <v>2860</v>
      </c>
      <c r="DA41" s="188" t="s">
        <v>2860</v>
      </c>
      <c r="DB41" s="188" t="s">
        <v>2970</v>
      </c>
      <c r="DC41" s="188" t="s">
        <v>2860</v>
      </c>
      <c r="DD41" s="188" t="s">
        <v>2860</v>
      </c>
      <c r="DE41" s="188" t="s">
        <v>2970</v>
      </c>
      <c r="DF41" s="188" t="s">
        <v>2860</v>
      </c>
      <c r="DG41" s="188" t="s">
        <v>2860</v>
      </c>
      <c r="DH41" s="188" t="s">
        <v>2970</v>
      </c>
      <c r="DI41" s="188" t="s">
        <v>2860</v>
      </c>
      <c r="DJ41" s="188" t="s">
        <v>2860</v>
      </c>
      <c r="DK41" s="188" t="s">
        <v>2970</v>
      </c>
      <c r="DL41" s="188" t="s">
        <v>2860</v>
      </c>
      <c r="DM41" s="188" t="s">
        <v>2860</v>
      </c>
      <c r="DN41" s="188" t="s">
        <v>2970</v>
      </c>
      <c r="DO41" s="188" t="s">
        <v>2860</v>
      </c>
      <c r="DP41" s="188" t="s">
        <v>2860</v>
      </c>
      <c r="DQ41" s="188" t="s">
        <v>2970</v>
      </c>
      <c r="DR41" s="188" t="s">
        <v>2860</v>
      </c>
      <c r="DS41" s="188" t="s">
        <v>2860</v>
      </c>
      <c r="DT41" s="188" t="s">
        <v>2970</v>
      </c>
      <c r="DU41" s="188" t="s">
        <v>2860</v>
      </c>
      <c r="DV41" s="188" t="s">
        <v>2860</v>
      </c>
      <c r="DW41" s="188" t="s">
        <v>2970</v>
      </c>
      <c r="DX41" s="188" t="s">
        <v>2860</v>
      </c>
      <c r="DY41" s="188" t="s">
        <v>2860</v>
      </c>
      <c r="DZ41" s="188" t="s">
        <v>2970</v>
      </c>
      <c r="EA41" s="188" t="s">
        <v>2860</v>
      </c>
      <c r="EB41" s="188" t="s">
        <v>2860</v>
      </c>
      <c r="EC41" s="188" t="s">
        <v>2970</v>
      </c>
      <c r="ED41" s="188" t="s">
        <v>2860</v>
      </c>
      <c r="EE41" s="188" t="s">
        <v>2860</v>
      </c>
      <c r="EF41" s="188" t="s">
        <v>2970</v>
      </c>
      <c r="EG41" s="188" t="s">
        <v>2860</v>
      </c>
      <c r="EH41" s="188" t="s">
        <v>2860</v>
      </c>
      <c r="EI41" s="188" t="s">
        <v>2970</v>
      </c>
      <c r="EJ41" s="188" t="s">
        <v>2860</v>
      </c>
      <c r="EK41" s="188" t="s">
        <v>2860</v>
      </c>
      <c r="EL41" s="188" t="s">
        <v>2970</v>
      </c>
      <c r="EM41" s="188" t="s">
        <v>2860</v>
      </c>
      <c r="EN41" s="188" t="s">
        <v>2860</v>
      </c>
      <c r="EO41" s="188" t="s">
        <v>2970</v>
      </c>
      <c r="EP41" s="188" t="s">
        <v>2860</v>
      </c>
      <c r="EQ41" s="188" t="s">
        <v>2860</v>
      </c>
      <c r="ER41" s="188" t="s">
        <v>2970</v>
      </c>
      <c r="ES41" s="188" t="s">
        <v>2860</v>
      </c>
      <c r="ET41" s="188" t="s">
        <v>2860</v>
      </c>
    </row>
    <row r="42" spans="1:150" x14ac:dyDescent="0.3">
      <c r="A42" s="1"/>
      <c r="B42" s="187" t="s">
        <v>3071</v>
      </c>
      <c r="C42" s="187" t="s">
        <v>122</v>
      </c>
      <c r="D42" s="187" t="s">
        <v>128</v>
      </c>
      <c r="E42" s="187" t="s">
        <v>3072</v>
      </c>
      <c r="F42" s="187" t="s">
        <v>3073</v>
      </c>
      <c r="G42" s="188" t="s">
        <v>2970</v>
      </c>
      <c r="H42" s="188" t="s">
        <v>2860</v>
      </c>
      <c r="I42" s="188" t="s">
        <v>2860</v>
      </c>
      <c r="J42" s="188" t="s">
        <v>2970</v>
      </c>
      <c r="K42" s="188" t="s">
        <v>2860</v>
      </c>
      <c r="L42" s="188" t="s">
        <v>2860</v>
      </c>
      <c r="M42" s="188" t="s">
        <v>2970</v>
      </c>
      <c r="N42" s="188" t="s">
        <v>2860</v>
      </c>
      <c r="O42" s="188" t="s">
        <v>2860</v>
      </c>
      <c r="P42" s="188" t="s">
        <v>2970</v>
      </c>
      <c r="Q42" s="188" t="s">
        <v>2860</v>
      </c>
      <c r="R42" s="188" t="s">
        <v>2860</v>
      </c>
      <c r="S42" s="188" t="s">
        <v>2970</v>
      </c>
      <c r="T42" s="188" t="s">
        <v>2860</v>
      </c>
      <c r="U42" s="188" t="s">
        <v>2860</v>
      </c>
      <c r="V42" s="188" t="s">
        <v>2970</v>
      </c>
      <c r="W42" s="188" t="s">
        <v>2860</v>
      </c>
      <c r="X42" s="188" t="s">
        <v>2860</v>
      </c>
      <c r="Y42" s="188" t="s">
        <v>2970</v>
      </c>
      <c r="Z42" s="188" t="s">
        <v>2860</v>
      </c>
      <c r="AA42" s="188" t="s">
        <v>2860</v>
      </c>
      <c r="AB42" s="188" t="s">
        <v>2970</v>
      </c>
      <c r="AC42" s="188" t="s">
        <v>2860</v>
      </c>
      <c r="AD42" s="188" t="s">
        <v>2860</v>
      </c>
      <c r="AE42" s="188" t="s">
        <v>2970</v>
      </c>
      <c r="AF42" s="188" t="s">
        <v>2860</v>
      </c>
      <c r="AG42" s="188" t="s">
        <v>2860</v>
      </c>
      <c r="AH42" s="188" t="s">
        <v>2970</v>
      </c>
      <c r="AI42" s="188" t="s">
        <v>2860</v>
      </c>
      <c r="AJ42" s="188" t="s">
        <v>2860</v>
      </c>
      <c r="AK42" s="188" t="s">
        <v>2970</v>
      </c>
      <c r="AL42" s="188" t="s">
        <v>2860</v>
      </c>
      <c r="AM42" s="188" t="s">
        <v>2860</v>
      </c>
      <c r="AN42" s="188" t="s">
        <v>2970</v>
      </c>
      <c r="AO42" s="188" t="s">
        <v>2860</v>
      </c>
      <c r="AP42" s="188" t="s">
        <v>2860</v>
      </c>
      <c r="AQ42" s="188" t="s">
        <v>2970</v>
      </c>
      <c r="AR42" s="188" t="s">
        <v>2860</v>
      </c>
      <c r="AS42" s="188" t="s">
        <v>2860</v>
      </c>
      <c r="AT42" s="188" t="s">
        <v>2970</v>
      </c>
      <c r="AU42" s="188" t="s">
        <v>2860</v>
      </c>
      <c r="AV42" s="188" t="s">
        <v>2860</v>
      </c>
      <c r="AW42" s="188" t="s">
        <v>2970</v>
      </c>
      <c r="AX42" s="188" t="s">
        <v>2860</v>
      </c>
      <c r="AY42" s="188" t="s">
        <v>2860</v>
      </c>
      <c r="AZ42" s="188" t="s">
        <v>2970</v>
      </c>
      <c r="BA42" s="188" t="s">
        <v>2860</v>
      </c>
      <c r="BB42" s="188" t="s">
        <v>2860</v>
      </c>
      <c r="BC42" s="188" t="s">
        <v>2970</v>
      </c>
      <c r="BD42" s="188" t="s">
        <v>2860</v>
      </c>
      <c r="BE42" s="188" t="s">
        <v>2860</v>
      </c>
      <c r="BF42" s="188" t="s">
        <v>2970</v>
      </c>
      <c r="BG42" s="188" t="s">
        <v>2860</v>
      </c>
      <c r="BH42" s="188" t="s">
        <v>2860</v>
      </c>
      <c r="BI42" s="188" t="s">
        <v>2970</v>
      </c>
      <c r="BJ42" s="188" t="s">
        <v>2860</v>
      </c>
      <c r="BK42" s="188" t="s">
        <v>2860</v>
      </c>
      <c r="BL42" s="188" t="s">
        <v>2970</v>
      </c>
      <c r="BM42" s="188" t="s">
        <v>2860</v>
      </c>
      <c r="BN42" s="188" t="s">
        <v>2860</v>
      </c>
      <c r="BO42" s="188" t="s">
        <v>2970</v>
      </c>
      <c r="BP42" s="188" t="s">
        <v>2860</v>
      </c>
      <c r="BQ42" s="188" t="s">
        <v>2860</v>
      </c>
      <c r="BR42" s="188" t="s">
        <v>2970</v>
      </c>
      <c r="BS42" s="188" t="s">
        <v>2860</v>
      </c>
      <c r="BT42" s="188" t="s">
        <v>2860</v>
      </c>
      <c r="BU42" s="188" t="s">
        <v>2970</v>
      </c>
      <c r="BV42" s="188" t="s">
        <v>2860</v>
      </c>
      <c r="BW42" s="188" t="s">
        <v>2860</v>
      </c>
      <c r="BX42" s="188" t="s">
        <v>2970</v>
      </c>
      <c r="BY42" s="188" t="s">
        <v>2860</v>
      </c>
      <c r="BZ42" s="188" t="s">
        <v>2860</v>
      </c>
      <c r="CA42" s="188" t="s">
        <v>2970</v>
      </c>
      <c r="CB42" s="188" t="s">
        <v>2860</v>
      </c>
      <c r="CC42" s="188" t="s">
        <v>2860</v>
      </c>
      <c r="CD42" s="188" t="s">
        <v>2970</v>
      </c>
      <c r="CE42" s="188" t="s">
        <v>2860</v>
      </c>
      <c r="CF42" s="188" t="s">
        <v>2860</v>
      </c>
      <c r="CG42" s="188" t="s">
        <v>2970</v>
      </c>
      <c r="CH42" s="188" t="s">
        <v>2860</v>
      </c>
      <c r="CI42" s="188" t="s">
        <v>2860</v>
      </c>
      <c r="CJ42" s="188" t="s">
        <v>2970</v>
      </c>
      <c r="CK42" s="188" t="s">
        <v>2860</v>
      </c>
      <c r="CL42" s="188" t="s">
        <v>2860</v>
      </c>
      <c r="CM42" s="188" t="s">
        <v>2970</v>
      </c>
      <c r="CN42" s="188" t="s">
        <v>2860</v>
      </c>
      <c r="CO42" s="188" t="s">
        <v>2860</v>
      </c>
      <c r="CP42" s="188" t="s">
        <v>2970</v>
      </c>
      <c r="CQ42" s="188" t="s">
        <v>2860</v>
      </c>
      <c r="CR42" s="188" t="s">
        <v>2860</v>
      </c>
      <c r="CS42" s="188" t="s">
        <v>2970</v>
      </c>
      <c r="CT42" s="188" t="s">
        <v>2860</v>
      </c>
      <c r="CU42" s="188" t="s">
        <v>2860</v>
      </c>
      <c r="CV42" s="188" t="s">
        <v>2970</v>
      </c>
      <c r="CW42" s="188" t="s">
        <v>2860</v>
      </c>
      <c r="CX42" s="188" t="s">
        <v>2860</v>
      </c>
      <c r="CY42" s="188" t="s">
        <v>2970</v>
      </c>
      <c r="CZ42" s="188" t="s">
        <v>2860</v>
      </c>
      <c r="DA42" s="188" t="s">
        <v>2860</v>
      </c>
      <c r="DB42" s="188" t="s">
        <v>2970</v>
      </c>
      <c r="DC42" s="188" t="s">
        <v>2860</v>
      </c>
      <c r="DD42" s="188" t="s">
        <v>2860</v>
      </c>
      <c r="DE42" s="188" t="s">
        <v>2970</v>
      </c>
      <c r="DF42" s="188" t="s">
        <v>2860</v>
      </c>
      <c r="DG42" s="188" t="s">
        <v>2860</v>
      </c>
      <c r="DH42" s="188" t="s">
        <v>2970</v>
      </c>
      <c r="DI42" s="188" t="s">
        <v>2860</v>
      </c>
      <c r="DJ42" s="188" t="s">
        <v>2860</v>
      </c>
      <c r="DK42" s="188" t="s">
        <v>2970</v>
      </c>
      <c r="DL42" s="188" t="s">
        <v>2860</v>
      </c>
      <c r="DM42" s="188" t="s">
        <v>2860</v>
      </c>
      <c r="DN42" s="188" t="s">
        <v>2970</v>
      </c>
      <c r="DO42" s="188" t="s">
        <v>2860</v>
      </c>
      <c r="DP42" s="188" t="s">
        <v>2860</v>
      </c>
      <c r="DQ42" s="188" t="s">
        <v>2970</v>
      </c>
      <c r="DR42" s="188" t="s">
        <v>2860</v>
      </c>
      <c r="DS42" s="188" t="s">
        <v>2860</v>
      </c>
      <c r="DT42" s="188" t="s">
        <v>2970</v>
      </c>
      <c r="DU42" s="188" t="s">
        <v>2860</v>
      </c>
      <c r="DV42" s="188" t="s">
        <v>2860</v>
      </c>
      <c r="DW42" s="188" t="s">
        <v>2970</v>
      </c>
      <c r="DX42" s="188" t="s">
        <v>2860</v>
      </c>
      <c r="DY42" s="188" t="s">
        <v>2860</v>
      </c>
      <c r="DZ42" s="188" t="s">
        <v>2970</v>
      </c>
      <c r="EA42" s="188" t="s">
        <v>2860</v>
      </c>
      <c r="EB42" s="188" t="s">
        <v>2860</v>
      </c>
      <c r="EC42" s="188" t="s">
        <v>2970</v>
      </c>
      <c r="ED42" s="188" t="s">
        <v>2860</v>
      </c>
      <c r="EE42" s="188" t="s">
        <v>2860</v>
      </c>
      <c r="EF42" s="188" t="s">
        <v>2970</v>
      </c>
      <c r="EG42" s="188" t="s">
        <v>2860</v>
      </c>
      <c r="EH42" s="188" t="s">
        <v>2860</v>
      </c>
      <c r="EI42" s="188" t="s">
        <v>2970</v>
      </c>
      <c r="EJ42" s="188" t="s">
        <v>2860</v>
      </c>
      <c r="EK42" s="188" t="s">
        <v>2860</v>
      </c>
      <c r="EL42" s="188" t="s">
        <v>2970</v>
      </c>
      <c r="EM42" s="188" t="s">
        <v>2860</v>
      </c>
      <c r="EN42" s="188" t="s">
        <v>2860</v>
      </c>
      <c r="EO42" s="188" t="s">
        <v>2970</v>
      </c>
      <c r="EP42" s="188" t="s">
        <v>2860</v>
      </c>
      <c r="EQ42" s="188" t="s">
        <v>2860</v>
      </c>
      <c r="ER42" s="188" t="s">
        <v>2970</v>
      </c>
      <c r="ES42" s="188" t="s">
        <v>2860</v>
      </c>
      <c r="ET42" s="188" t="s">
        <v>2860</v>
      </c>
    </row>
    <row r="43" spans="1:150" x14ac:dyDescent="0.3">
      <c r="A43" s="1"/>
      <c r="B43" s="186" t="s">
        <v>3074</v>
      </c>
      <c r="C43" s="186" t="s">
        <v>151</v>
      </c>
      <c r="D43" s="186" t="s">
        <v>154</v>
      </c>
      <c r="E43" s="186" t="s">
        <v>3075</v>
      </c>
      <c r="F43" s="186" t="s">
        <v>3076</v>
      </c>
      <c r="G43" s="186" t="s">
        <v>2970</v>
      </c>
      <c r="H43" s="186" t="s">
        <v>3077</v>
      </c>
      <c r="I43" s="186" t="s">
        <v>3078</v>
      </c>
      <c r="J43" s="186" t="s">
        <v>2970</v>
      </c>
      <c r="K43" s="186" t="s">
        <v>3079</v>
      </c>
      <c r="L43" s="186" t="s">
        <v>3080</v>
      </c>
      <c r="M43" s="186" t="s">
        <v>2970</v>
      </c>
      <c r="N43" s="186" t="s">
        <v>3077</v>
      </c>
      <c r="O43" s="186" t="s">
        <v>3078</v>
      </c>
      <c r="P43" s="186" t="s">
        <v>2970</v>
      </c>
      <c r="Q43" s="186" t="s">
        <v>3077</v>
      </c>
      <c r="R43" s="186" t="s">
        <v>3078</v>
      </c>
      <c r="S43" s="186" t="s">
        <v>2970</v>
      </c>
      <c r="T43" s="186" t="s">
        <v>3081</v>
      </c>
      <c r="U43" s="186" t="s">
        <v>3082</v>
      </c>
      <c r="V43" s="186" t="s">
        <v>2970</v>
      </c>
      <c r="W43" s="186" t="s">
        <v>3014</v>
      </c>
      <c r="X43" s="186" t="s">
        <v>3083</v>
      </c>
      <c r="Y43" s="186" t="s">
        <v>2970</v>
      </c>
      <c r="Z43" s="186" t="s">
        <v>2860</v>
      </c>
      <c r="AA43" s="186" t="s">
        <v>3084</v>
      </c>
      <c r="AB43" s="186" t="s">
        <v>2970</v>
      </c>
      <c r="AC43" s="186" t="s">
        <v>3085</v>
      </c>
      <c r="AD43" s="186" t="s">
        <v>3086</v>
      </c>
      <c r="AE43" s="186" t="s">
        <v>2970</v>
      </c>
      <c r="AF43" s="186" t="s">
        <v>3079</v>
      </c>
      <c r="AG43" s="186" t="s">
        <v>3080</v>
      </c>
      <c r="AH43" s="186" t="s">
        <v>2970</v>
      </c>
      <c r="AI43" s="186" t="s">
        <v>3079</v>
      </c>
      <c r="AJ43" s="186" t="s">
        <v>3080</v>
      </c>
      <c r="AK43" s="186" t="s">
        <v>2970</v>
      </c>
      <c r="AL43" s="186" t="s">
        <v>3079</v>
      </c>
      <c r="AM43" s="186" t="s">
        <v>3080</v>
      </c>
      <c r="AN43" s="186" t="s">
        <v>2970</v>
      </c>
      <c r="AO43" s="186" t="s">
        <v>3087</v>
      </c>
      <c r="AP43" s="186" t="s">
        <v>3088</v>
      </c>
      <c r="AQ43" s="186" t="s">
        <v>2970</v>
      </c>
      <c r="AR43" s="186" t="s">
        <v>3089</v>
      </c>
      <c r="AS43" s="186" t="s">
        <v>3090</v>
      </c>
      <c r="AT43" s="186" t="s">
        <v>2970</v>
      </c>
      <c r="AU43" s="186" t="s">
        <v>3091</v>
      </c>
      <c r="AV43" s="186" t="s">
        <v>2860</v>
      </c>
      <c r="AW43" s="186" t="s">
        <v>2970</v>
      </c>
      <c r="AX43" s="186" t="s">
        <v>3091</v>
      </c>
      <c r="AY43" s="186" t="s">
        <v>2860</v>
      </c>
      <c r="AZ43" s="186" t="s">
        <v>2970</v>
      </c>
      <c r="BA43" s="186" t="s">
        <v>3091</v>
      </c>
      <c r="BB43" s="186" t="s">
        <v>2860</v>
      </c>
      <c r="BC43" s="186" t="s">
        <v>2970</v>
      </c>
      <c r="BD43" s="186" t="s">
        <v>3091</v>
      </c>
      <c r="BE43" s="186" t="s">
        <v>2860</v>
      </c>
      <c r="BF43" s="186" t="s">
        <v>2970</v>
      </c>
      <c r="BG43" s="186" t="s">
        <v>3091</v>
      </c>
      <c r="BH43" s="186" t="s">
        <v>2860</v>
      </c>
      <c r="BI43" s="186" t="s">
        <v>2970</v>
      </c>
      <c r="BJ43" s="186" t="s">
        <v>3091</v>
      </c>
      <c r="BK43" s="186" t="s">
        <v>2860</v>
      </c>
      <c r="BL43" s="186" t="s">
        <v>2970</v>
      </c>
      <c r="BM43" s="186" t="s">
        <v>3092</v>
      </c>
      <c r="BN43" s="186" t="s">
        <v>3093</v>
      </c>
      <c r="BO43" s="186" t="s">
        <v>2970</v>
      </c>
      <c r="BP43" s="186" t="s">
        <v>3091</v>
      </c>
      <c r="BQ43" s="186" t="s">
        <v>2860</v>
      </c>
      <c r="BR43" s="186" t="s">
        <v>2970</v>
      </c>
      <c r="BS43" s="186" t="s">
        <v>3094</v>
      </c>
      <c r="BT43" s="186" t="s">
        <v>3095</v>
      </c>
      <c r="BU43" s="186" t="s">
        <v>2970</v>
      </c>
      <c r="BV43" s="186" t="s">
        <v>3096</v>
      </c>
      <c r="BW43" s="186" t="s">
        <v>3097</v>
      </c>
      <c r="BX43" s="186" t="s">
        <v>2970</v>
      </c>
      <c r="BY43" s="186" t="s">
        <v>3096</v>
      </c>
      <c r="BZ43" s="186" t="s">
        <v>3097</v>
      </c>
      <c r="CA43" s="186" t="s">
        <v>2970</v>
      </c>
      <c r="CB43" s="186" t="s">
        <v>3098</v>
      </c>
      <c r="CC43" s="186" t="s">
        <v>3099</v>
      </c>
      <c r="CD43" s="186" t="s">
        <v>2970</v>
      </c>
      <c r="CE43" s="186" t="s">
        <v>3100</v>
      </c>
      <c r="CF43" s="186" t="s">
        <v>3101</v>
      </c>
      <c r="CG43" s="186" t="s">
        <v>2970</v>
      </c>
      <c r="CH43" s="186" t="s">
        <v>3091</v>
      </c>
      <c r="CI43" s="186" t="s">
        <v>2860</v>
      </c>
      <c r="CJ43" s="186" t="s">
        <v>2970</v>
      </c>
      <c r="CK43" s="186" t="s">
        <v>3091</v>
      </c>
      <c r="CL43" s="186" t="s">
        <v>2860</v>
      </c>
      <c r="CM43" s="186" t="s">
        <v>2970</v>
      </c>
      <c r="CN43" s="186" t="s">
        <v>3079</v>
      </c>
      <c r="CO43" s="186" t="s">
        <v>3080</v>
      </c>
      <c r="CP43" s="186" t="s">
        <v>2970</v>
      </c>
      <c r="CQ43" s="186" t="s">
        <v>3102</v>
      </c>
      <c r="CR43" s="186" t="s">
        <v>3103</v>
      </c>
      <c r="CS43" s="186" t="s">
        <v>2970</v>
      </c>
      <c r="CT43" s="186" t="s">
        <v>3104</v>
      </c>
      <c r="CU43" s="186" t="s">
        <v>3014</v>
      </c>
      <c r="CV43" s="186" t="s">
        <v>2970</v>
      </c>
      <c r="CW43" s="186" t="s">
        <v>3091</v>
      </c>
      <c r="CX43" s="186" t="s">
        <v>2860</v>
      </c>
      <c r="CY43" s="186" t="s">
        <v>2970</v>
      </c>
      <c r="CZ43" s="186" t="s">
        <v>3105</v>
      </c>
      <c r="DA43" s="186" t="s">
        <v>3106</v>
      </c>
      <c r="DB43" s="186" t="s">
        <v>2970</v>
      </c>
      <c r="DC43" s="186" t="s">
        <v>3079</v>
      </c>
      <c r="DD43" s="186" t="s">
        <v>3080</v>
      </c>
      <c r="DE43" s="186" t="s">
        <v>2970</v>
      </c>
      <c r="DF43" s="186" t="s">
        <v>3079</v>
      </c>
      <c r="DG43" s="186" t="s">
        <v>3080</v>
      </c>
      <c r="DH43" s="186" t="s">
        <v>2970</v>
      </c>
      <c r="DI43" s="186" t="s">
        <v>3107</v>
      </c>
      <c r="DJ43" s="186" t="s">
        <v>3108</v>
      </c>
      <c r="DK43" s="186" t="s">
        <v>2970</v>
      </c>
      <c r="DL43" s="186" t="s">
        <v>3107</v>
      </c>
      <c r="DM43" s="186" t="s">
        <v>3108</v>
      </c>
      <c r="DN43" s="186" t="s">
        <v>2970</v>
      </c>
      <c r="DO43" s="186" t="s">
        <v>3096</v>
      </c>
      <c r="DP43" s="186" t="s">
        <v>3097</v>
      </c>
      <c r="DQ43" s="186" t="s">
        <v>2970</v>
      </c>
      <c r="DR43" s="186" t="s">
        <v>3109</v>
      </c>
      <c r="DS43" s="186" t="s">
        <v>3110</v>
      </c>
      <c r="DT43" s="186" t="s">
        <v>2970</v>
      </c>
      <c r="DU43" s="186" t="s">
        <v>3111</v>
      </c>
      <c r="DV43" s="186" t="s">
        <v>3108</v>
      </c>
      <c r="DW43" s="186" t="s">
        <v>2970</v>
      </c>
      <c r="DX43" s="186" t="s">
        <v>3112</v>
      </c>
      <c r="DY43" s="186" t="s">
        <v>3113</v>
      </c>
      <c r="DZ43" s="186" t="s">
        <v>2970</v>
      </c>
      <c r="EA43" s="186" t="s">
        <v>3114</v>
      </c>
      <c r="EB43" s="186" t="s">
        <v>3115</v>
      </c>
      <c r="EC43" s="186" t="s">
        <v>2970</v>
      </c>
      <c r="ED43" s="186" t="s">
        <v>3116</v>
      </c>
      <c r="EE43" s="186" t="s">
        <v>2860</v>
      </c>
      <c r="EF43" s="186" t="s">
        <v>2970</v>
      </c>
      <c r="EG43" s="186" t="s">
        <v>3117</v>
      </c>
      <c r="EH43" s="186" t="s">
        <v>2860</v>
      </c>
      <c r="EI43" s="186" t="s">
        <v>2970</v>
      </c>
      <c r="EJ43" s="186" t="s">
        <v>3079</v>
      </c>
      <c r="EK43" s="186" t="s">
        <v>3080</v>
      </c>
      <c r="EL43" s="186" t="s">
        <v>2970</v>
      </c>
      <c r="EM43" s="186" t="s">
        <v>3118</v>
      </c>
      <c r="EN43" s="186" t="s">
        <v>3119</v>
      </c>
      <c r="EO43" s="186" t="s">
        <v>2970</v>
      </c>
      <c r="EP43" s="186" t="s">
        <v>2860</v>
      </c>
      <c r="EQ43" s="186" t="s">
        <v>3084</v>
      </c>
      <c r="ER43" s="186" t="s">
        <v>2970</v>
      </c>
      <c r="ES43" s="186" t="s">
        <v>3079</v>
      </c>
      <c r="ET43" s="186" t="s">
        <v>3120</v>
      </c>
    </row>
    <row r="44" spans="1:150" x14ac:dyDescent="0.3">
      <c r="A44" s="1"/>
      <c r="B44" s="187" t="s">
        <v>3121</v>
      </c>
      <c r="C44" s="187" t="s">
        <v>151</v>
      </c>
      <c r="D44" s="187" t="s">
        <v>154</v>
      </c>
      <c r="E44" s="187" t="s">
        <v>3122</v>
      </c>
      <c r="F44" s="187" t="s">
        <v>3123</v>
      </c>
      <c r="G44" s="188" t="s">
        <v>2970</v>
      </c>
      <c r="H44" s="188" t="s">
        <v>3124</v>
      </c>
      <c r="I44" s="188" t="s">
        <v>3125</v>
      </c>
      <c r="J44" s="188" t="s">
        <v>2970</v>
      </c>
      <c r="K44" s="188" t="s">
        <v>2860</v>
      </c>
      <c r="L44" s="188" t="s">
        <v>3080</v>
      </c>
      <c r="M44" s="188" t="s">
        <v>2970</v>
      </c>
      <c r="N44" s="188" t="s">
        <v>3126</v>
      </c>
      <c r="O44" s="188" t="s">
        <v>3078</v>
      </c>
      <c r="P44" s="188" t="s">
        <v>2970</v>
      </c>
      <c r="Q44" s="188" t="s">
        <v>3126</v>
      </c>
      <c r="R44" s="188" t="s">
        <v>3078</v>
      </c>
      <c r="S44" s="188" t="s">
        <v>2970</v>
      </c>
      <c r="T44" s="188" t="s">
        <v>3081</v>
      </c>
      <c r="U44" s="188" t="s">
        <v>3127</v>
      </c>
      <c r="V44" s="188" t="s">
        <v>2970</v>
      </c>
      <c r="W44" s="188" t="s">
        <v>3014</v>
      </c>
      <c r="X44" s="188" t="s">
        <v>3095</v>
      </c>
      <c r="Y44" s="188" t="s">
        <v>2970</v>
      </c>
      <c r="Z44" s="188" t="s">
        <v>2860</v>
      </c>
      <c r="AA44" s="188" t="s">
        <v>3080</v>
      </c>
      <c r="AB44" s="188" t="s">
        <v>2970</v>
      </c>
      <c r="AC44" s="188" t="s">
        <v>3085</v>
      </c>
      <c r="AD44" s="188" t="s">
        <v>3128</v>
      </c>
      <c r="AE44" s="188" t="s">
        <v>2970</v>
      </c>
      <c r="AF44" s="188" t="s">
        <v>2860</v>
      </c>
      <c r="AG44" s="188" t="s">
        <v>3080</v>
      </c>
      <c r="AH44" s="188" t="s">
        <v>2970</v>
      </c>
      <c r="AI44" s="188" t="s">
        <v>2860</v>
      </c>
      <c r="AJ44" s="188" t="s">
        <v>3080</v>
      </c>
      <c r="AK44" s="188" t="s">
        <v>2970</v>
      </c>
      <c r="AL44" s="188" t="s">
        <v>2860</v>
      </c>
      <c r="AM44" s="188" t="s">
        <v>3080</v>
      </c>
      <c r="AN44" s="188" t="s">
        <v>2970</v>
      </c>
      <c r="AO44" s="188" t="s">
        <v>2860</v>
      </c>
      <c r="AP44" s="188" t="s">
        <v>3080</v>
      </c>
      <c r="AQ44" s="188" t="s">
        <v>2970</v>
      </c>
      <c r="AR44" s="188" t="s">
        <v>2860</v>
      </c>
      <c r="AS44" s="188" t="s">
        <v>3080</v>
      </c>
      <c r="AT44" s="188" t="s">
        <v>2970</v>
      </c>
      <c r="AU44" s="188" t="s">
        <v>3107</v>
      </c>
      <c r="AV44" s="188" t="s">
        <v>2860</v>
      </c>
      <c r="AW44" s="188" t="s">
        <v>2970</v>
      </c>
      <c r="AX44" s="188" t="s">
        <v>3107</v>
      </c>
      <c r="AY44" s="188" t="s">
        <v>2860</v>
      </c>
      <c r="AZ44" s="188" t="s">
        <v>2970</v>
      </c>
      <c r="BA44" s="188" t="s">
        <v>3107</v>
      </c>
      <c r="BB44" s="188" t="s">
        <v>2860</v>
      </c>
      <c r="BC44" s="188" t="s">
        <v>2970</v>
      </c>
      <c r="BD44" s="188" t="s">
        <v>3107</v>
      </c>
      <c r="BE44" s="188" t="s">
        <v>2860</v>
      </c>
      <c r="BF44" s="188" t="s">
        <v>2970</v>
      </c>
      <c r="BG44" s="188" t="s">
        <v>3107</v>
      </c>
      <c r="BH44" s="188" t="s">
        <v>2860</v>
      </c>
      <c r="BI44" s="188" t="s">
        <v>2970</v>
      </c>
      <c r="BJ44" s="188" t="s">
        <v>3107</v>
      </c>
      <c r="BK44" s="188" t="s">
        <v>2860</v>
      </c>
      <c r="BL44" s="188" t="s">
        <v>2970</v>
      </c>
      <c r="BM44" s="188" t="s">
        <v>3092</v>
      </c>
      <c r="BN44" s="188" t="s">
        <v>3129</v>
      </c>
      <c r="BO44" s="188" t="s">
        <v>2970</v>
      </c>
      <c r="BP44" s="188" t="s">
        <v>3107</v>
      </c>
      <c r="BQ44" s="188" t="s">
        <v>2860</v>
      </c>
      <c r="BR44" s="188" t="s">
        <v>2970</v>
      </c>
      <c r="BS44" s="188" t="s">
        <v>3014</v>
      </c>
      <c r="BT44" s="188" t="s">
        <v>3095</v>
      </c>
      <c r="BU44" s="188" t="s">
        <v>2970</v>
      </c>
      <c r="BV44" s="188" t="s">
        <v>3130</v>
      </c>
      <c r="BW44" s="188" t="s">
        <v>3097</v>
      </c>
      <c r="BX44" s="188" t="s">
        <v>2970</v>
      </c>
      <c r="BY44" s="188" t="s">
        <v>3130</v>
      </c>
      <c r="BZ44" s="188" t="s">
        <v>3097</v>
      </c>
      <c r="CA44" s="188" t="s">
        <v>2970</v>
      </c>
      <c r="CB44" s="188" t="s">
        <v>3131</v>
      </c>
      <c r="CC44" s="188" t="s">
        <v>3099</v>
      </c>
      <c r="CD44" s="188" t="s">
        <v>2970</v>
      </c>
      <c r="CE44" s="188" t="s">
        <v>3132</v>
      </c>
      <c r="CF44" s="188" t="s">
        <v>3101</v>
      </c>
      <c r="CG44" s="188" t="s">
        <v>2970</v>
      </c>
      <c r="CH44" s="188" t="s">
        <v>3107</v>
      </c>
      <c r="CI44" s="188" t="s">
        <v>2860</v>
      </c>
      <c r="CJ44" s="188" t="s">
        <v>2970</v>
      </c>
      <c r="CK44" s="188" t="s">
        <v>3107</v>
      </c>
      <c r="CL44" s="188" t="s">
        <v>2860</v>
      </c>
      <c r="CM44" s="188" t="s">
        <v>2970</v>
      </c>
      <c r="CN44" s="188" t="s">
        <v>2860</v>
      </c>
      <c r="CO44" s="188" t="s">
        <v>3080</v>
      </c>
      <c r="CP44" s="188" t="s">
        <v>2970</v>
      </c>
      <c r="CQ44" s="188" t="s">
        <v>3102</v>
      </c>
      <c r="CR44" s="188" t="s">
        <v>3133</v>
      </c>
      <c r="CS44" s="188" t="s">
        <v>2970</v>
      </c>
      <c r="CT44" s="188" t="s">
        <v>3134</v>
      </c>
      <c r="CU44" s="188" t="s">
        <v>3014</v>
      </c>
      <c r="CV44" s="188" t="s">
        <v>2970</v>
      </c>
      <c r="CW44" s="188" t="s">
        <v>3107</v>
      </c>
      <c r="CX44" s="188" t="s">
        <v>2860</v>
      </c>
      <c r="CY44" s="188" t="s">
        <v>2970</v>
      </c>
      <c r="CZ44" s="188" t="s">
        <v>3105</v>
      </c>
      <c r="DA44" s="188" t="s">
        <v>3135</v>
      </c>
      <c r="DB44" s="188" t="s">
        <v>2970</v>
      </c>
      <c r="DC44" s="188" t="s">
        <v>2860</v>
      </c>
      <c r="DD44" s="188" t="s">
        <v>3080</v>
      </c>
      <c r="DE44" s="188" t="s">
        <v>2970</v>
      </c>
      <c r="DF44" s="188" t="s">
        <v>2860</v>
      </c>
      <c r="DG44" s="188" t="s">
        <v>3080</v>
      </c>
      <c r="DH44" s="188" t="s">
        <v>2970</v>
      </c>
      <c r="DI44" s="188" t="s">
        <v>3107</v>
      </c>
      <c r="DJ44" s="188" t="s">
        <v>2860</v>
      </c>
      <c r="DK44" s="188" t="s">
        <v>2970</v>
      </c>
      <c r="DL44" s="188" t="s">
        <v>3107</v>
      </c>
      <c r="DM44" s="188" t="s">
        <v>2860</v>
      </c>
      <c r="DN44" s="188" t="s">
        <v>2970</v>
      </c>
      <c r="DO44" s="188" t="s">
        <v>3107</v>
      </c>
      <c r="DP44" s="188" t="s">
        <v>2860</v>
      </c>
      <c r="DQ44" s="188" t="s">
        <v>2970</v>
      </c>
      <c r="DR44" s="188" t="s">
        <v>3107</v>
      </c>
      <c r="DS44" s="188" t="s">
        <v>2860</v>
      </c>
      <c r="DT44" s="188" t="s">
        <v>2970</v>
      </c>
      <c r="DU44" s="188" t="s">
        <v>3111</v>
      </c>
      <c r="DV44" s="188" t="s">
        <v>2860</v>
      </c>
      <c r="DW44" s="188" t="s">
        <v>2970</v>
      </c>
      <c r="DX44" s="188" t="s">
        <v>3136</v>
      </c>
      <c r="DY44" s="188" t="s">
        <v>3113</v>
      </c>
      <c r="DZ44" s="188" t="s">
        <v>2970</v>
      </c>
      <c r="EA44" s="188" t="s">
        <v>3137</v>
      </c>
      <c r="EB44" s="188" t="s">
        <v>3115</v>
      </c>
      <c r="EC44" s="188" t="s">
        <v>2970</v>
      </c>
      <c r="ED44" s="188" t="s">
        <v>3138</v>
      </c>
      <c r="EE44" s="188" t="s">
        <v>2860</v>
      </c>
      <c r="EF44" s="188" t="s">
        <v>2970</v>
      </c>
      <c r="EG44" s="188" t="s">
        <v>3139</v>
      </c>
      <c r="EH44" s="188" t="s">
        <v>2860</v>
      </c>
      <c r="EI44" s="188" t="s">
        <v>2970</v>
      </c>
      <c r="EJ44" s="188" t="s">
        <v>2860</v>
      </c>
      <c r="EK44" s="188" t="s">
        <v>3080</v>
      </c>
      <c r="EL44" s="188" t="s">
        <v>2970</v>
      </c>
      <c r="EM44" s="188" t="s">
        <v>2860</v>
      </c>
      <c r="EN44" s="188" t="s">
        <v>3080</v>
      </c>
      <c r="EO44" s="188" t="s">
        <v>2970</v>
      </c>
      <c r="EP44" s="188" t="s">
        <v>2860</v>
      </c>
      <c r="EQ44" s="188" t="s">
        <v>3080</v>
      </c>
      <c r="ER44" s="188" t="s">
        <v>2970</v>
      </c>
      <c r="ES44" s="188" t="s">
        <v>2860</v>
      </c>
      <c r="ET44" s="188" t="s">
        <v>2860</v>
      </c>
    </row>
    <row r="45" spans="1:150" x14ac:dyDescent="0.3">
      <c r="A45" s="1"/>
      <c r="B45" s="187" t="s">
        <v>3140</v>
      </c>
      <c r="C45" s="187" t="s">
        <v>151</v>
      </c>
      <c r="D45" s="187" t="s">
        <v>154</v>
      </c>
      <c r="E45" s="187" t="s">
        <v>3141</v>
      </c>
      <c r="F45" s="187" t="s">
        <v>3142</v>
      </c>
      <c r="G45" s="188" t="s">
        <v>2970</v>
      </c>
      <c r="H45" s="188" t="s">
        <v>3143</v>
      </c>
      <c r="I45" s="188" t="s">
        <v>3144</v>
      </c>
      <c r="J45" s="188" t="s">
        <v>2970</v>
      </c>
      <c r="K45" s="188" t="s">
        <v>3079</v>
      </c>
      <c r="L45" s="188" t="s">
        <v>2860</v>
      </c>
      <c r="M45" s="188" t="s">
        <v>2970</v>
      </c>
      <c r="N45" s="188" t="s">
        <v>3079</v>
      </c>
      <c r="O45" s="188" t="s">
        <v>2860</v>
      </c>
      <c r="P45" s="188" t="s">
        <v>2970</v>
      </c>
      <c r="Q45" s="188" t="s">
        <v>3079</v>
      </c>
      <c r="R45" s="188" t="s">
        <v>2860</v>
      </c>
      <c r="S45" s="188" t="s">
        <v>2970</v>
      </c>
      <c r="T45" s="188" t="s">
        <v>2860</v>
      </c>
      <c r="U45" s="188" t="s">
        <v>3108</v>
      </c>
      <c r="V45" s="188" t="s">
        <v>2970</v>
      </c>
      <c r="W45" s="188" t="s">
        <v>2860</v>
      </c>
      <c r="X45" s="188" t="s">
        <v>3108</v>
      </c>
      <c r="Y45" s="188" t="s">
        <v>2970</v>
      </c>
      <c r="Z45" s="188" t="s">
        <v>2860</v>
      </c>
      <c r="AA45" s="188" t="s">
        <v>3108</v>
      </c>
      <c r="AB45" s="188" t="s">
        <v>2970</v>
      </c>
      <c r="AC45" s="188" t="s">
        <v>2860</v>
      </c>
      <c r="AD45" s="188" t="s">
        <v>3108</v>
      </c>
      <c r="AE45" s="188" t="s">
        <v>2970</v>
      </c>
      <c r="AF45" s="188" t="s">
        <v>3079</v>
      </c>
      <c r="AG45" s="188" t="s">
        <v>2860</v>
      </c>
      <c r="AH45" s="188" t="s">
        <v>2970</v>
      </c>
      <c r="AI45" s="188" t="s">
        <v>3079</v>
      </c>
      <c r="AJ45" s="188" t="s">
        <v>2860</v>
      </c>
      <c r="AK45" s="188" t="s">
        <v>2970</v>
      </c>
      <c r="AL45" s="188" t="s">
        <v>3079</v>
      </c>
      <c r="AM45" s="188" t="s">
        <v>2860</v>
      </c>
      <c r="AN45" s="188" t="s">
        <v>2970</v>
      </c>
      <c r="AO45" s="188" t="s">
        <v>3087</v>
      </c>
      <c r="AP45" s="188" t="s">
        <v>3145</v>
      </c>
      <c r="AQ45" s="188" t="s">
        <v>2970</v>
      </c>
      <c r="AR45" s="188" t="s">
        <v>3089</v>
      </c>
      <c r="AS45" s="188" t="s">
        <v>3146</v>
      </c>
      <c r="AT45" s="188" t="s">
        <v>2970</v>
      </c>
      <c r="AU45" s="188" t="s">
        <v>3079</v>
      </c>
      <c r="AV45" s="188" t="s">
        <v>2860</v>
      </c>
      <c r="AW45" s="188" t="s">
        <v>2970</v>
      </c>
      <c r="AX45" s="188" t="s">
        <v>3079</v>
      </c>
      <c r="AY45" s="188" t="s">
        <v>2860</v>
      </c>
      <c r="AZ45" s="188" t="s">
        <v>2970</v>
      </c>
      <c r="BA45" s="188" t="s">
        <v>3079</v>
      </c>
      <c r="BB45" s="188" t="s">
        <v>2860</v>
      </c>
      <c r="BC45" s="188" t="s">
        <v>2970</v>
      </c>
      <c r="BD45" s="188" t="s">
        <v>3079</v>
      </c>
      <c r="BE45" s="188" t="s">
        <v>2860</v>
      </c>
      <c r="BF45" s="188" t="s">
        <v>2970</v>
      </c>
      <c r="BG45" s="188" t="s">
        <v>3079</v>
      </c>
      <c r="BH45" s="188" t="s">
        <v>2860</v>
      </c>
      <c r="BI45" s="188" t="s">
        <v>2970</v>
      </c>
      <c r="BJ45" s="188" t="s">
        <v>3079</v>
      </c>
      <c r="BK45" s="188" t="s">
        <v>2860</v>
      </c>
      <c r="BL45" s="188" t="s">
        <v>2970</v>
      </c>
      <c r="BM45" s="188" t="s">
        <v>2860</v>
      </c>
      <c r="BN45" s="188" t="s">
        <v>3108</v>
      </c>
      <c r="BO45" s="188" t="s">
        <v>2970</v>
      </c>
      <c r="BP45" s="188" t="s">
        <v>3079</v>
      </c>
      <c r="BQ45" s="188" t="s">
        <v>2860</v>
      </c>
      <c r="BR45" s="188" t="s">
        <v>2970</v>
      </c>
      <c r="BS45" s="188" t="s">
        <v>3079</v>
      </c>
      <c r="BT45" s="188" t="s">
        <v>2860</v>
      </c>
      <c r="BU45" s="188" t="s">
        <v>2970</v>
      </c>
      <c r="BV45" s="188" t="s">
        <v>3079</v>
      </c>
      <c r="BW45" s="188" t="s">
        <v>2860</v>
      </c>
      <c r="BX45" s="188" t="s">
        <v>2970</v>
      </c>
      <c r="BY45" s="188" t="s">
        <v>3079</v>
      </c>
      <c r="BZ45" s="188" t="s">
        <v>2860</v>
      </c>
      <c r="CA45" s="188" t="s">
        <v>2970</v>
      </c>
      <c r="CB45" s="188" t="s">
        <v>3079</v>
      </c>
      <c r="CC45" s="188" t="s">
        <v>2860</v>
      </c>
      <c r="CD45" s="188" t="s">
        <v>2970</v>
      </c>
      <c r="CE45" s="188" t="s">
        <v>3079</v>
      </c>
      <c r="CF45" s="188" t="s">
        <v>2860</v>
      </c>
      <c r="CG45" s="188" t="s">
        <v>2970</v>
      </c>
      <c r="CH45" s="188" t="s">
        <v>3079</v>
      </c>
      <c r="CI45" s="188" t="s">
        <v>2860</v>
      </c>
      <c r="CJ45" s="188" t="s">
        <v>2970</v>
      </c>
      <c r="CK45" s="188" t="s">
        <v>3079</v>
      </c>
      <c r="CL45" s="188" t="s">
        <v>2860</v>
      </c>
      <c r="CM45" s="188" t="s">
        <v>2970</v>
      </c>
      <c r="CN45" s="188" t="s">
        <v>3079</v>
      </c>
      <c r="CO45" s="188" t="s">
        <v>2860</v>
      </c>
      <c r="CP45" s="188" t="s">
        <v>2970</v>
      </c>
      <c r="CQ45" s="188" t="s">
        <v>2860</v>
      </c>
      <c r="CR45" s="188" t="s">
        <v>3108</v>
      </c>
      <c r="CS45" s="188" t="s">
        <v>2970</v>
      </c>
      <c r="CT45" s="188" t="s">
        <v>3079</v>
      </c>
      <c r="CU45" s="188" t="s">
        <v>2860</v>
      </c>
      <c r="CV45" s="188" t="s">
        <v>2970</v>
      </c>
      <c r="CW45" s="188" t="s">
        <v>3079</v>
      </c>
      <c r="CX45" s="188" t="s">
        <v>2860</v>
      </c>
      <c r="CY45" s="188" t="s">
        <v>2970</v>
      </c>
      <c r="CZ45" s="188" t="s">
        <v>2860</v>
      </c>
      <c r="DA45" s="188" t="s">
        <v>3108</v>
      </c>
      <c r="DB45" s="188" t="s">
        <v>2970</v>
      </c>
      <c r="DC45" s="188" t="s">
        <v>3079</v>
      </c>
      <c r="DD45" s="188" t="s">
        <v>2860</v>
      </c>
      <c r="DE45" s="188" t="s">
        <v>2970</v>
      </c>
      <c r="DF45" s="188" t="s">
        <v>3079</v>
      </c>
      <c r="DG45" s="188" t="s">
        <v>2860</v>
      </c>
      <c r="DH45" s="188" t="s">
        <v>2970</v>
      </c>
      <c r="DI45" s="188" t="s">
        <v>2860</v>
      </c>
      <c r="DJ45" s="188" t="s">
        <v>3108</v>
      </c>
      <c r="DK45" s="188" t="s">
        <v>2970</v>
      </c>
      <c r="DL45" s="188" t="s">
        <v>2860</v>
      </c>
      <c r="DM45" s="188" t="s">
        <v>3108</v>
      </c>
      <c r="DN45" s="188" t="s">
        <v>2970</v>
      </c>
      <c r="DO45" s="188" t="s">
        <v>3147</v>
      </c>
      <c r="DP45" s="188" t="s">
        <v>3097</v>
      </c>
      <c r="DQ45" s="188" t="s">
        <v>2970</v>
      </c>
      <c r="DR45" s="188" t="s">
        <v>3148</v>
      </c>
      <c r="DS45" s="188" t="s">
        <v>3110</v>
      </c>
      <c r="DT45" s="188" t="s">
        <v>2970</v>
      </c>
      <c r="DU45" s="188" t="s">
        <v>2860</v>
      </c>
      <c r="DV45" s="188" t="s">
        <v>3108</v>
      </c>
      <c r="DW45" s="188" t="s">
        <v>2970</v>
      </c>
      <c r="DX45" s="188" t="s">
        <v>3079</v>
      </c>
      <c r="DY45" s="188" t="s">
        <v>2860</v>
      </c>
      <c r="DZ45" s="188" t="s">
        <v>2970</v>
      </c>
      <c r="EA45" s="188" t="s">
        <v>3079</v>
      </c>
      <c r="EB45" s="188" t="s">
        <v>2860</v>
      </c>
      <c r="EC45" s="188" t="s">
        <v>2970</v>
      </c>
      <c r="ED45" s="188" t="s">
        <v>3149</v>
      </c>
      <c r="EE45" s="188" t="s">
        <v>2860</v>
      </c>
      <c r="EF45" s="188" t="s">
        <v>2970</v>
      </c>
      <c r="EG45" s="188" t="s">
        <v>3150</v>
      </c>
      <c r="EH45" s="188" t="s">
        <v>2860</v>
      </c>
      <c r="EI45" s="188" t="s">
        <v>2970</v>
      </c>
      <c r="EJ45" s="188" t="s">
        <v>3079</v>
      </c>
      <c r="EK45" s="188" t="s">
        <v>2860</v>
      </c>
      <c r="EL45" s="188" t="s">
        <v>2970</v>
      </c>
      <c r="EM45" s="188" t="s">
        <v>3118</v>
      </c>
      <c r="EN45" s="188" t="s">
        <v>3014</v>
      </c>
      <c r="EO45" s="188" t="s">
        <v>2970</v>
      </c>
      <c r="EP45" s="188" t="s">
        <v>2860</v>
      </c>
      <c r="EQ45" s="188" t="s">
        <v>3108</v>
      </c>
      <c r="ER45" s="188" t="s">
        <v>2970</v>
      </c>
      <c r="ES45" s="188" t="s">
        <v>2860</v>
      </c>
      <c r="ET45" s="188" t="s">
        <v>2860</v>
      </c>
    </row>
    <row r="46" spans="1:150" x14ac:dyDescent="0.3">
      <c r="A46" s="1"/>
      <c r="B46" s="186" t="s">
        <v>3151</v>
      </c>
      <c r="C46" s="186" t="s">
        <v>159</v>
      </c>
      <c r="D46" s="186" t="s">
        <v>1229</v>
      </c>
      <c r="E46" s="186" t="s">
        <v>3152</v>
      </c>
      <c r="F46" s="186" t="s">
        <v>3153</v>
      </c>
      <c r="G46" s="186" t="s">
        <v>2970</v>
      </c>
      <c r="H46" s="186" t="s">
        <v>2860</v>
      </c>
      <c r="I46" s="186" t="s">
        <v>2860</v>
      </c>
      <c r="J46" s="186" t="s">
        <v>2970</v>
      </c>
      <c r="K46" s="186" t="s">
        <v>2860</v>
      </c>
      <c r="L46" s="186" t="s">
        <v>2860</v>
      </c>
      <c r="M46" s="186" t="s">
        <v>2970</v>
      </c>
      <c r="N46" s="186" t="s">
        <v>2860</v>
      </c>
      <c r="O46" s="186" t="s">
        <v>2860</v>
      </c>
      <c r="P46" s="186" t="s">
        <v>2970</v>
      </c>
      <c r="Q46" s="186" t="s">
        <v>2860</v>
      </c>
      <c r="R46" s="186" t="s">
        <v>2860</v>
      </c>
      <c r="S46" s="186" t="s">
        <v>2970</v>
      </c>
      <c r="T46" s="186" t="s">
        <v>2860</v>
      </c>
      <c r="U46" s="186" t="s">
        <v>2860</v>
      </c>
      <c r="V46" s="186" t="s">
        <v>2970</v>
      </c>
      <c r="W46" s="186" t="s">
        <v>2860</v>
      </c>
      <c r="X46" s="186" t="s">
        <v>2860</v>
      </c>
      <c r="Y46" s="186" t="s">
        <v>2970</v>
      </c>
      <c r="Z46" s="186" t="s">
        <v>2860</v>
      </c>
      <c r="AA46" s="186" t="s">
        <v>2860</v>
      </c>
      <c r="AB46" s="186" t="s">
        <v>2970</v>
      </c>
      <c r="AC46" s="186" t="s">
        <v>2860</v>
      </c>
      <c r="AD46" s="186" t="s">
        <v>2860</v>
      </c>
      <c r="AE46" s="186" t="s">
        <v>2970</v>
      </c>
      <c r="AF46" s="186" t="s">
        <v>2860</v>
      </c>
      <c r="AG46" s="186" t="s">
        <v>2860</v>
      </c>
      <c r="AH46" s="186" t="s">
        <v>2970</v>
      </c>
      <c r="AI46" s="186" t="s">
        <v>2860</v>
      </c>
      <c r="AJ46" s="186" t="s">
        <v>2860</v>
      </c>
      <c r="AK46" s="186" t="s">
        <v>2970</v>
      </c>
      <c r="AL46" s="186" t="s">
        <v>2860</v>
      </c>
      <c r="AM46" s="186" t="s">
        <v>2860</v>
      </c>
      <c r="AN46" s="186" t="s">
        <v>2970</v>
      </c>
      <c r="AO46" s="186" t="s">
        <v>2860</v>
      </c>
      <c r="AP46" s="186" t="s">
        <v>2860</v>
      </c>
      <c r="AQ46" s="186" t="s">
        <v>2970</v>
      </c>
      <c r="AR46" s="186" t="s">
        <v>2860</v>
      </c>
      <c r="AS46" s="186" t="s">
        <v>2860</v>
      </c>
      <c r="AT46" s="186" t="s">
        <v>2970</v>
      </c>
      <c r="AU46" s="186" t="s">
        <v>2860</v>
      </c>
      <c r="AV46" s="186" t="s">
        <v>2860</v>
      </c>
      <c r="AW46" s="186" t="s">
        <v>2970</v>
      </c>
      <c r="AX46" s="186" t="s">
        <v>2860</v>
      </c>
      <c r="AY46" s="186" t="s">
        <v>2860</v>
      </c>
      <c r="AZ46" s="186" t="s">
        <v>2970</v>
      </c>
      <c r="BA46" s="186" t="s">
        <v>2860</v>
      </c>
      <c r="BB46" s="186" t="s">
        <v>2860</v>
      </c>
      <c r="BC46" s="186" t="s">
        <v>2970</v>
      </c>
      <c r="BD46" s="186" t="s">
        <v>2860</v>
      </c>
      <c r="BE46" s="186" t="s">
        <v>2860</v>
      </c>
      <c r="BF46" s="186" t="s">
        <v>2970</v>
      </c>
      <c r="BG46" s="186" t="s">
        <v>2860</v>
      </c>
      <c r="BH46" s="186" t="s">
        <v>2860</v>
      </c>
      <c r="BI46" s="186" t="s">
        <v>2970</v>
      </c>
      <c r="BJ46" s="186" t="s">
        <v>2860</v>
      </c>
      <c r="BK46" s="186" t="s">
        <v>2860</v>
      </c>
      <c r="BL46" s="186" t="s">
        <v>2970</v>
      </c>
      <c r="BM46" s="186" t="s">
        <v>2860</v>
      </c>
      <c r="BN46" s="186" t="s">
        <v>2860</v>
      </c>
      <c r="BO46" s="186" t="s">
        <v>2970</v>
      </c>
      <c r="BP46" s="186" t="s">
        <v>2860</v>
      </c>
      <c r="BQ46" s="186" t="s">
        <v>2860</v>
      </c>
      <c r="BR46" s="186" t="s">
        <v>2970</v>
      </c>
      <c r="BS46" s="186" t="s">
        <v>2860</v>
      </c>
      <c r="BT46" s="186" t="s">
        <v>2860</v>
      </c>
      <c r="BU46" s="186" t="s">
        <v>2970</v>
      </c>
      <c r="BV46" s="186" t="s">
        <v>2860</v>
      </c>
      <c r="BW46" s="186" t="s">
        <v>2860</v>
      </c>
      <c r="BX46" s="186" t="s">
        <v>2970</v>
      </c>
      <c r="BY46" s="186" t="s">
        <v>2860</v>
      </c>
      <c r="BZ46" s="186" t="s">
        <v>2860</v>
      </c>
      <c r="CA46" s="186" t="s">
        <v>2970</v>
      </c>
      <c r="CB46" s="186" t="s">
        <v>2860</v>
      </c>
      <c r="CC46" s="186" t="s">
        <v>2860</v>
      </c>
      <c r="CD46" s="186" t="s">
        <v>2970</v>
      </c>
      <c r="CE46" s="186" t="s">
        <v>2860</v>
      </c>
      <c r="CF46" s="186" t="s">
        <v>2860</v>
      </c>
      <c r="CG46" s="186" t="s">
        <v>2970</v>
      </c>
      <c r="CH46" s="186" t="s">
        <v>2860</v>
      </c>
      <c r="CI46" s="186" t="s">
        <v>2860</v>
      </c>
      <c r="CJ46" s="186" t="s">
        <v>2970</v>
      </c>
      <c r="CK46" s="186" t="s">
        <v>2860</v>
      </c>
      <c r="CL46" s="186" t="s">
        <v>2860</v>
      </c>
      <c r="CM46" s="186" t="s">
        <v>2970</v>
      </c>
      <c r="CN46" s="186" t="s">
        <v>2860</v>
      </c>
      <c r="CO46" s="186" t="s">
        <v>2860</v>
      </c>
      <c r="CP46" s="186" t="s">
        <v>2970</v>
      </c>
      <c r="CQ46" s="186" t="s">
        <v>2860</v>
      </c>
      <c r="CR46" s="186" t="s">
        <v>2860</v>
      </c>
      <c r="CS46" s="186" t="s">
        <v>2970</v>
      </c>
      <c r="CT46" s="186" t="s">
        <v>2860</v>
      </c>
      <c r="CU46" s="186" t="s">
        <v>2860</v>
      </c>
      <c r="CV46" s="186" t="s">
        <v>2970</v>
      </c>
      <c r="CW46" s="186" t="s">
        <v>2860</v>
      </c>
      <c r="CX46" s="186" t="s">
        <v>2860</v>
      </c>
      <c r="CY46" s="186" t="s">
        <v>2970</v>
      </c>
      <c r="CZ46" s="186" t="s">
        <v>2860</v>
      </c>
      <c r="DA46" s="186" t="s">
        <v>2860</v>
      </c>
      <c r="DB46" s="186" t="s">
        <v>2970</v>
      </c>
      <c r="DC46" s="186" t="s">
        <v>2860</v>
      </c>
      <c r="DD46" s="186" t="s">
        <v>2860</v>
      </c>
      <c r="DE46" s="186" t="s">
        <v>2970</v>
      </c>
      <c r="DF46" s="186" t="s">
        <v>2860</v>
      </c>
      <c r="DG46" s="186" t="s">
        <v>2860</v>
      </c>
      <c r="DH46" s="186" t="s">
        <v>2970</v>
      </c>
      <c r="DI46" s="186" t="s">
        <v>2860</v>
      </c>
      <c r="DJ46" s="186" t="s">
        <v>2860</v>
      </c>
      <c r="DK46" s="186" t="s">
        <v>2970</v>
      </c>
      <c r="DL46" s="186" t="s">
        <v>2860</v>
      </c>
      <c r="DM46" s="186" t="s">
        <v>2860</v>
      </c>
      <c r="DN46" s="186" t="s">
        <v>2970</v>
      </c>
      <c r="DO46" s="186" t="s">
        <v>2860</v>
      </c>
      <c r="DP46" s="186" t="s">
        <v>2860</v>
      </c>
      <c r="DQ46" s="186" t="s">
        <v>2970</v>
      </c>
      <c r="DR46" s="186" t="s">
        <v>2860</v>
      </c>
      <c r="DS46" s="186" t="s">
        <v>2860</v>
      </c>
      <c r="DT46" s="186" t="s">
        <v>2970</v>
      </c>
      <c r="DU46" s="186" t="s">
        <v>2860</v>
      </c>
      <c r="DV46" s="186" t="s">
        <v>2860</v>
      </c>
      <c r="DW46" s="186" t="s">
        <v>2970</v>
      </c>
      <c r="DX46" s="186" t="s">
        <v>2860</v>
      </c>
      <c r="DY46" s="186" t="s">
        <v>2860</v>
      </c>
      <c r="DZ46" s="186" t="s">
        <v>2970</v>
      </c>
      <c r="EA46" s="186" t="s">
        <v>2860</v>
      </c>
      <c r="EB46" s="186" t="s">
        <v>2860</v>
      </c>
      <c r="EC46" s="186" t="s">
        <v>2970</v>
      </c>
      <c r="ED46" s="186" t="s">
        <v>2860</v>
      </c>
      <c r="EE46" s="186" t="s">
        <v>2860</v>
      </c>
      <c r="EF46" s="186" t="s">
        <v>2970</v>
      </c>
      <c r="EG46" s="186" t="s">
        <v>2860</v>
      </c>
      <c r="EH46" s="186" t="s">
        <v>2860</v>
      </c>
      <c r="EI46" s="186" t="s">
        <v>2970</v>
      </c>
      <c r="EJ46" s="186" t="s">
        <v>2860</v>
      </c>
      <c r="EK46" s="186" t="s">
        <v>2860</v>
      </c>
      <c r="EL46" s="186" t="s">
        <v>2970</v>
      </c>
      <c r="EM46" s="186" t="s">
        <v>2860</v>
      </c>
      <c r="EN46" s="186" t="s">
        <v>2860</v>
      </c>
      <c r="EO46" s="186" t="s">
        <v>2970</v>
      </c>
      <c r="EP46" s="186" t="s">
        <v>2860</v>
      </c>
      <c r="EQ46" s="186" t="s">
        <v>2860</v>
      </c>
      <c r="ER46" s="186" t="s">
        <v>2970</v>
      </c>
      <c r="ES46" s="186" t="s">
        <v>2860</v>
      </c>
      <c r="ET46" s="186" t="s">
        <v>2860</v>
      </c>
    </row>
    <row r="47" spans="1:150" x14ac:dyDescent="0.3">
      <c r="A47" s="1"/>
      <c r="B47" s="187" t="s">
        <v>3154</v>
      </c>
      <c r="C47" s="187" t="s">
        <v>159</v>
      </c>
      <c r="D47" s="187" t="s">
        <v>1229</v>
      </c>
      <c r="E47" s="187" t="s">
        <v>3155</v>
      </c>
      <c r="F47" s="187" t="s">
        <v>3156</v>
      </c>
      <c r="G47" s="188" t="s">
        <v>2970</v>
      </c>
      <c r="H47" s="188" t="s">
        <v>2860</v>
      </c>
      <c r="I47" s="188" t="s">
        <v>2860</v>
      </c>
      <c r="J47" s="188" t="s">
        <v>2970</v>
      </c>
      <c r="K47" s="188" t="s">
        <v>2860</v>
      </c>
      <c r="L47" s="188" t="s">
        <v>2860</v>
      </c>
      <c r="M47" s="188" t="s">
        <v>2970</v>
      </c>
      <c r="N47" s="188" t="s">
        <v>2860</v>
      </c>
      <c r="O47" s="188" t="s">
        <v>2860</v>
      </c>
      <c r="P47" s="188" t="s">
        <v>2970</v>
      </c>
      <c r="Q47" s="188" t="s">
        <v>2860</v>
      </c>
      <c r="R47" s="188" t="s">
        <v>2860</v>
      </c>
      <c r="S47" s="188" t="s">
        <v>2970</v>
      </c>
      <c r="T47" s="188" t="s">
        <v>2860</v>
      </c>
      <c r="U47" s="188" t="s">
        <v>2860</v>
      </c>
      <c r="V47" s="188" t="s">
        <v>2970</v>
      </c>
      <c r="W47" s="188" t="s">
        <v>2860</v>
      </c>
      <c r="X47" s="188" t="s">
        <v>2860</v>
      </c>
      <c r="Y47" s="188" t="s">
        <v>2970</v>
      </c>
      <c r="Z47" s="188" t="s">
        <v>2860</v>
      </c>
      <c r="AA47" s="188" t="s">
        <v>2860</v>
      </c>
      <c r="AB47" s="188" t="s">
        <v>2970</v>
      </c>
      <c r="AC47" s="188" t="s">
        <v>2860</v>
      </c>
      <c r="AD47" s="188" t="s">
        <v>2860</v>
      </c>
      <c r="AE47" s="188" t="s">
        <v>2970</v>
      </c>
      <c r="AF47" s="188" t="s">
        <v>2860</v>
      </c>
      <c r="AG47" s="188" t="s">
        <v>2860</v>
      </c>
      <c r="AH47" s="188" t="s">
        <v>2970</v>
      </c>
      <c r="AI47" s="188" t="s">
        <v>2860</v>
      </c>
      <c r="AJ47" s="188" t="s">
        <v>2860</v>
      </c>
      <c r="AK47" s="188" t="s">
        <v>2970</v>
      </c>
      <c r="AL47" s="188" t="s">
        <v>2860</v>
      </c>
      <c r="AM47" s="188" t="s">
        <v>2860</v>
      </c>
      <c r="AN47" s="188" t="s">
        <v>2970</v>
      </c>
      <c r="AO47" s="188" t="s">
        <v>2860</v>
      </c>
      <c r="AP47" s="188" t="s">
        <v>2860</v>
      </c>
      <c r="AQ47" s="188" t="s">
        <v>2970</v>
      </c>
      <c r="AR47" s="188" t="s">
        <v>2860</v>
      </c>
      <c r="AS47" s="188" t="s">
        <v>2860</v>
      </c>
      <c r="AT47" s="188" t="s">
        <v>2970</v>
      </c>
      <c r="AU47" s="188" t="s">
        <v>2860</v>
      </c>
      <c r="AV47" s="188" t="s">
        <v>2860</v>
      </c>
      <c r="AW47" s="188" t="s">
        <v>2970</v>
      </c>
      <c r="AX47" s="188" t="s">
        <v>2860</v>
      </c>
      <c r="AY47" s="188" t="s">
        <v>2860</v>
      </c>
      <c r="AZ47" s="188" t="s">
        <v>2970</v>
      </c>
      <c r="BA47" s="188" t="s">
        <v>2860</v>
      </c>
      <c r="BB47" s="188" t="s">
        <v>2860</v>
      </c>
      <c r="BC47" s="188" t="s">
        <v>2970</v>
      </c>
      <c r="BD47" s="188" t="s">
        <v>2860</v>
      </c>
      <c r="BE47" s="188" t="s">
        <v>2860</v>
      </c>
      <c r="BF47" s="188" t="s">
        <v>2970</v>
      </c>
      <c r="BG47" s="188" t="s">
        <v>2860</v>
      </c>
      <c r="BH47" s="188" t="s">
        <v>2860</v>
      </c>
      <c r="BI47" s="188" t="s">
        <v>2970</v>
      </c>
      <c r="BJ47" s="188" t="s">
        <v>2860</v>
      </c>
      <c r="BK47" s="188" t="s">
        <v>2860</v>
      </c>
      <c r="BL47" s="188" t="s">
        <v>2970</v>
      </c>
      <c r="BM47" s="188" t="s">
        <v>2860</v>
      </c>
      <c r="BN47" s="188" t="s">
        <v>2860</v>
      </c>
      <c r="BO47" s="188" t="s">
        <v>2970</v>
      </c>
      <c r="BP47" s="188" t="s">
        <v>2860</v>
      </c>
      <c r="BQ47" s="188" t="s">
        <v>2860</v>
      </c>
      <c r="BR47" s="188" t="s">
        <v>2970</v>
      </c>
      <c r="BS47" s="188" t="s">
        <v>2860</v>
      </c>
      <c r="BT47" s="188" t="s">
        <v>2860</v>
      </c>
      <c r="BU47" s="188" t="s">
        <v>2970</v>
      </c>
      <c r="BV47" s="188" t="s">
        <v>2860</v>
      </c>
      <c r="BW47" s="188" t="s">
        <v>2860</v>
      </c>
      <c r="BX47" s="188" t="s">
        <v>2970</v>
      </c>
      <c r="BY47" s="188" t="s">
        <v>2860</v>
      </c>
      <c r="BZ47" s="188" t="s">
        <v>2860</v>
      </c>
      <c r="CA47" s="188" t="s">
        <v>2970</v>
      </c>
      <c r="CB47" s="188" t="s">
        <v>2860</v>
      </c>
      <c r="CC47" s="188" t="s">
        <v>2860</v>
      </c>
      <c r="CD47" s="188" t="s">
        <v>2970</v>
      </c>
      <c r="CE47" s="188" t="s">
        <v>2860</v>
      </c>
      <c r="CF47" s="188" t="s">
        <v>2860</v>
      </c>
      <c r="CG47" s="188" t="s">
        <v>2970</v>
      </c>
      <c r="CH47" s="188" t="s">
        <v>2860</v>
      </c>
      <c r="CI47" s="188" t="s">
        <v>2860</v>
      </c>
      <c r="CJ47" s="188" t="s">
        <v>2970</v>
      </c>
      <c r="CK47" s="188" t="s">
        <v>2860</v>
      </c>
      <c r="CL47" s="188" t="s">
        <v>2860</v>
      </c>
      <c r="CM47" s="188" t="s">
        <v>2970</v>
      </c>
      <c r="CN47" s="188" t="s">
        <v>2860</v>
      </c>
      <c r="CO47" s="188" t="s">
        <v>2860</v>
      </c>
      <c r="CP47" s="188" t="s">
        <v>2970</v>
      </c>
      <c r="CQ47" s="188" t="s">
        <v>2860</v>
      </c>
      <c r="CR47" s="188" t="s">
        <v>2860</v>
      </c>
      <c r="CS47" s="188" t="s">
        <v>2970</v>
      </c>
      <c r="CT47" s="188" t="s">
        <v>2860</v>
      </c>
      <c r="CU47" s="188" t="s">
        <v>2860</v>
      </c>
      <c r="CV47" s="188" t="s">
        <v>2970</v>
      </c>
      <c r="CW47" s="188" t="s">
        <v>2860</v>
      </c>
      <c r="CX47" s="188" t="s">
        <v>2860</v>
      </c>
      <c r="CY47" s="188" t="s">
        <v>2970</v>
      </c>
      <c r="CZ47" s="188" t="s">
        <v>2860</v>
      </c>
      <c r="DA47" s="188" t="s">
        <v>2860</v>
      </c>
      <c r="DB47" s="188" t="s">
        <v>2970</v>
      </c>
      <c r="DC47" s="188" t="s">
        <v>2860</v>
      </c>
      <c r="DD47" s="188" t="s">
        <v>2860</v>
      </c>
      <c r="DE47" s="188" t="s">
        <v>2970</v>
      </c>
      <c r="DF47" s="188" t="s">
        <v>2860</v>
      </c>
      <c r="DG47" s="188" t="s">
        <v>2860</v>
      </c>
      <c r="DH47" s="188" t="s">
        <v>2970</v>
      </c>
      <c r="DI47" s="188" t="s">
        <v>2860</v>
      </c>
      <c r="DJ47" s="188" t="s">
        <v>2860</v>
      </c>
      <c r="DK47" s="188" t="s">
        <v>2970</v>
      </c>
      <c r="DL47" s="188" t="s">
        <v>2860</v>
      </c>
      <c r="DM47" s="188" t="s">
        <v>2860</v>
      </c>
      <c r="DN47" s="188" t="s">
        <v>2970</v>
      </c>
      <c r="DO47" s="188" t="s">
        <v>2860</v>
      </c>
      <c r="DP47" s="188" t="s">
        <v>2860</v>
      </c>
      <c r="DQ47" s="188" t="s">
        <v>2970</v>
      </c>
      <c r="DR47" s="188" t="s">
        <v>2860</v>
      </c>
      <c r="DS47" s="188" t="s">
        <v>2860</v>
      </c>
      <c r="DT47" s="188" t="s">
        <v>2970</v>
      </c>
      <c r="DU47" s="188" t="s">
        <v>2860</v>
      </c>
      <c r="DV47" s="188" t="s">
        <v>2860</v>
      </c>
      <c r="DW47" s="188" t="s">
        <v>2970</v>
      </c>
      <c r="DX47" s="188" t="s">
        <v>2860</v>
      </c>
      <c r="DY47" s="188" t="s">
        <v>2860</v>
      </c>
      <c r="DZ47" s="188" t="s">
        <v>2970</v>
      </c>
      <c r="EA47" s="188" t="s">
        <v>2860</v>
      </c>
      <c r="EB47" s="188" t="s">
        <v>2860</v>
      </c>
      <c r="EC47" s="188" t="s">
        <v>2970</v>
      </c>
      <c r="ED47" s="188" t="s">
        <v>2860</v>
      </c>
      <c r="EE47" s="188" t="s">
        <v>2860</v>
      </c>
      <c r="EF47" s="188" t="s">
        <v>2970</v>
      </c>
      <c r="EG47" s="188" t="s">
        <v>2860</v>
      </c>
      <c r="EH47" s="188" t="s">
        <v>2860</v>
      </c>
      <c r="EI47" s="188" t="s">
        <v>2970</v>
      </c>
      <c r="EJ47" s="188" t="s">
        <v>2860</v>
      </c>
      <c r="EK47" s="188" t="s">
        <v>2860</v>
      </c>
      <c r="EL47" s="188" t="s">
        <v>2970</v>
      </c>
      <c r="EM47" s="188" t="s">
        <v>2860</v>
      </c>
      <c r="EN47" s="188" t="s">
        <v>2860</v>
      </c>
      <c r="EO47" s="188" t="s">
        <v>2970</v>
      </c>
      <c r="EP47" s="188" t="s">
        <v>2860</v>
      </c>
      <c r="EQ47" s="188" t="s">
        <v>2860</v>
      </c>
      <c r="ER47" s="188" t="s">
        <v>2970</v>
      </c>
      <c r="ES47" s="188" t="s">
        <v>2860</v>
      </c>
      <c r="ET47" s="188" t="s">
        <v>2860</v>
      </c>
    </row>
    <row r="48" spans="1:150" x14ac:dyDescent="0.3">
      <c r="A48" s="1"/>
      <c r="B48" s="187" t="s">
        <v>3157</v>
      </c>
      <c r="C48" s="187" t="s">
        <v>159</v>
      </c>
      <c r="D48" s="187" t="s">
        <v>1229</v>
      </c>
      <c r="E48" s="187" t="s">
        <v>3158</v>
      </c>
      <c r="F48" s="187" t="s">
        <v>3159</v>
      </c>
      <c r="G48" s="188" t="s">
        <v>2970</v>
      </c>
      <c r="H48" s="188" t="s">
        <v>965</v>
      </c>
      <c r="I48" s="188" t="s">
        <v>965</v>
      </c>
      <c r="J48" s="188" t="s">
        <v>2970</v>
      </c>
      <c r="K48" s="188" t="s">
        <v>965</v>
      </c>
      <c r="L48" s="188" t="s">
        <v>965</v>
      </c>
      <c r="M48" s="188" t="s">
        <v>2970</v>
      </c>
      <c r="N48" s="188" t="s">
        <v>965</v>
      </c>
      <c r="O48" s="188" t="s">
        <v>965</v>
      </c>
      <c r="P48" s="188" t="s">
        <v>2970</v>
      </c>
      <c r="Q48" s="188" t="s">
        <v>965</v>
      </c>
      <c r="R48" s="188" t="s">
        <v>965</v>
      </c>
      <c r="S48" s="188" t="s">
        <v>2970</v>
      </c>
      <c r="T48" s="188" t="s">
        <v>965</v>
      </c>
      <c r="U48" s="188" t="s">
        <v>965</v>
      </c>
      <c r="V48" s="188" t="s">
        <v>2970</v>
      </c>
      <c r="W48" s="188" t="s">
        <v>965</v>
      </c>
      <c r="X48" s="188" t="s">
        <v>965</v>
      </c>
      <c r="Y48" s="188" t="s">
        <v>2970</v>
      </c>
      <c r="Z48" s="188" t="s">
        <v>965</v>
      </c>
      <c r="AA48" s="188" t="s">
        <v>965</v>
      </c>
      <c r="AB48" s="188" t="s">
        <v>2970</v>
      </c>
      <c r="AC48" s="188" t="s">
        <v>965</v>
      </c>
      <c r="AD48" s="188" t="s">
        <v>965</v>
      </c>
      <c r="AE48" s="188" t="s">
        <v>2970</v>
      </c>
      <c r="AF48" s="188" t="s">
        <v>965</v>
      </c>
      <c r="AG48" s="188" t="s">
        <v>965</v>
      </c>
      <c r="AH48" s="188" t="s">
        <v>2970</v>
      </c>
      <c r="AI48" s="188" t="s">
        <v>965</v>
      </c>
      <c r="AJ48" s="188" t="s">
        <v>965</v>
      </c>
      <c r="AK48" s="188" t="s">
        <v>2970</v>
      </c>
      <c r="AL48" s="188" t="s">
        <v>965</v>
      </c>
      <c r="AM48" s="188" t="s">
        <v>965</v>
      </c>
      <c r="AN48" s="188" t="s">
        <v>2970</v>
      </c>
      <c r="AO48" s="188" t="s">
        <v>965</v>
      </c>
      <c r="AP48" s="188" t="s">
        <v>965</v>
      </c>
      <c r="AQ48" s="188" t="s">
        <v>2970</v>
      </c>
      <c r="AR48" s="188" t="s">
        <v>965</v>
      </c>
      <c r="AS48" s="188" t="s">
        <v>965</v>
      </c>
      <c r="AT48" s="188" t="s">
        <v>2970</v>
      </c>
      <c r="AU48" s="188" t="s">
        <v>965</v>
      </c>
      <c r="AV48" s="188" t="s">
        <v>965</v>
      </c>
      <c r="AW48" s="188" t="s">
        <v>2970</v>
      </c>
      <c r="AX48" s="188" t="s">
        <v>965</v>
      </c>
      <c r="AY48" s="188" t="s">
        <v>965</v>
      </c>
      <c r="AZ48" s="188" t="s">
        <v>2970</v>
      </c>
      <c r="BA48" s="188" t="s">
        <v>965</v>
      </c>
      <c r="BB48" s="188" t="s">
        <v>965</v>
      </c>
      <c r="BC48" s="188" t="s">
        <v>2970</v>
      </c>
      <c r="BD48" s="188" t="s">
        <v>965</v>
      </c>
      <c r="BE48" s="188" t="s">
        <v>965</v>
      </c>
      <c r="BF48" s="188" t="s">
        <v>2970</v>
      </c>
      <c r="BG48" s="188" t="s">
        <v>965</v>
      </c>
      <c r="BH48" s="188" t="s">
        <v>965</v>
      </c>
      <c r="BI48" s="188" t="s">
        <v>2970</v>
      </c>
      <c r="BJ48" s="188" t="s">
        <v>965</v>
      </c>
      <c r="BK48" s="188" t="s">
        <v>965</v>
      </c>
      <c r="BL48" s="188" t="s">
        <v>2970</v>
      </c>
      <c r="BM48" s="188" t="s">
        <v>965</v>
      </c>
      <c r="BN48" s="188" t="s">
        <v>965</v>
      </c>
      <c r="BO48" s="188" t="s">
        <v>2970</v>
      </c>
      <c r="BP48" s="188" t="s">
        <v>965</v>
      </c>
      <c r="BQ48" s="188" t="s">
        <v>965</v>
      </c>
      <c r="BR48" s="188" t="s">
        <v>2970</v>
      </c>
      <c r="BS48" s="188" t="s">
        <v>965</v>
      </c>
      <c r="BT48" s="188" t="s">
        <v>965</v>
      </c>
      <c r="BU48" s="188" t="s">
        <v>2970</v>
      </c>
      <c r="BV48" s="188" t="s">
        <v>965</v>
      </c>
      <c r="BW48" s="188" t="s">
        <v>965</v>
      </c>
      <c r="BX48" s="188" t="s">
        <v>2970</v>
      </c>
      <c r="BY48" s="188" t="s">
        <v>965</v>
      </c>
      <c r="BZ48" s="188" t="s">
        <v>965</v>
      </c>
      <c r="CA48" s="188" t="s">
        <v>2970</v>
      </c>
      <c r="CB48" s="188" t="s">
        <v>965</v>
      </c>
      <c r="CC48" s="188" t="s">
        <v>965</v>
      </c>
      <c r="CD48" s="188" t="s">
        <v>2970</v>
      </c>
      <c r="CE48" s="188" t="s">
        <v>965</v>
      </c>
      <c r="CF48" s="188" t="s">
        <v>965</v>
      </c>
      <c r="CG48" s="188" t="s">
        <v>2970</v>
      </c>
      <c r="CH48" s="188" t="s">
        <v>965</v>
      </c>
      <c r="CI48" s="188" t="s">
        <v>965</v>
      </c>
      <c r="CJ48" s="188" t="s">
        <v>2970</v>
      </c>
      <c r="CK48" s="188" t="s">
        <v>965</v>
      </c>
      <c r="CL48" s="188" t="s">
        <v>965</v>
      </c>
      <c r="CM48" s="188" t="s">
        <v>2970</v>
      </c>
      <c r="CN48" s="188" t="s">
        <v>965</v>
      </c>
      <c r="CO48" s="188" t="s">
        <v>965</v>
      </c>
      <c r="CP48" s="188" t="s">
        <v>2970</v>
      </c>
      <c r="CQ48" s="188" t="s">
        <v>965</v>
      </c>
      <c r="CR48" s="188" t="s">
        <v>965</v>
      </c>
      <c r="CS48" s="188" t="s">
        <v>2970</v>
      </c>
      <c r="CT48" s="188" t="s">
        <v>965</v>
      </c>
      <c r="CU48" s="188" t="s">
        <v>965</v>
      </c>
      <c r="CV48" s="188" t="s">
        <v>2970</v>
      </c>
      <c r="CW48" s="188" t="s">
        <v>965</v>
      </c>
      <c r="CX48" s="188" t="s">
        <v>965</v>
      </c>
      <c r="CY48" s="188" t="s">
        <v>2970</v>
      </c>
      <c r="CZ48" s="188" t="s">
        <v>965</v>
      </c>
      <c r="DA48" s="188" t="s">
        <v>965</v>
      </c>
      <c r="DB48" s="188" t="s">
        <v>2970</v>
      </c>
      <c r="DC48" s="188" t="s">
        <v>965</v>
      </c>
      <c r="DD48" s="188" t="s">
        <v>965</v>
      </c>
      <c r="DE48" s="188" t="s">
        <v>2970</v>
      </c>
      <c r="DF48" s="188" t="s">
        <v>965</v>
      </c>
      <c r="DG48" s="188" t="s">
        <v>965</v>
      </c>
      <c r="DH48" s="188" t="s">
        <v>2970</v>
      </c>
      <c r="DI48" s="188" t="s">
        <v>965</v>
      </c>
      <c r="DJ48" s="188" t="s">
        <v>965</v>
      </c>
      <c r="DK48" s="188" t="s">
        <v>2970</v>
      </c>
      <c r="DL48" s="188" t="s">
        <v>965</v>
      </c>
      <c r="DM48" s="188" t="s">
        <v>965</v>
      </c>
      <c r="DN48" s="188" t="s">
        <v>2970</v>
      </c>
      <c r="DO48" s="188" t="s">
        <v>965</v>
      </c>
      <c r="DP48" s="188" t="s">
        <v>965</v>
      </c>
      <c r="DQ48" s="188" t="s">
        <v>2970</v>
      </c>
      <c r="DR48" s="188" t="s">
        <v>965</v>
      </c>
      <c r="DS48" s="188" t="s">
        <v>965</v>
      </c>
      <c r="DT48" s="188" t="s">
        <v>2970</v>
      </c>
      <c r="DU48" s="188" t="s">
        <v>965</v>
      </c>
      <c r="DV48" s="188" t="s">
        <v>965</v>
      </c>
      <c r="DW48" s="188" t="s">
        <v>2970</v>
      </c>
      <c r="DX48" s="188" t="s">
        <v>965</v>
      </c>
      <c r="DY48" s="188" t="s">
        <v>965</v>
      </c>
      <c r="DZ48" s="188" t="s">
        <v>2970</v>
      </c>
      <c r="EA48" s="188" t="s">
        <v>965</v>
      </c>
      <c r="EB48" s="188" t="s">
        <v>965</v>
      </c>
      <c r="EC48" s="188" t="s">
        <v>2970</v>
      </c>
      <c r="ED48" s="188" t="s">
        <v>965</v>
      </c>
      <c r="EE48" s="188" t="s">
        <v>965</v>
      </c>
      <c r="EF48" s="188" t="s">
        <v>2970</v>
      </c>
      <c r="EG48" s="188" t="s">
        <v>965</v>
      </c>
      <c r="EH48" s="188" t="s">
        <v>965</v>
      </c>
      <c r="EI48" s="188" t="s">
        <v>2970</v>
      </c>
      <c r="EJ48" s="188" t="s">
        <v>965</v>
      </c>
      <c r="EK48" s="188" t="s">
        <v>965</v>
      </c>
      <c r="EL48" s="188" t="s">
        <v>2970</v>
      </c>
      <c r="EM48" s="188" t="s">
        <v>965</v>
      </c>
      <c r="EN48" s="188" t="s">
        <v>965</v>
      </c>
      <c r="EO48" s="188" t="s">
        <v>2970</v>
      </c>
      <c r="EP48" s="188" t="s">
        <v>965</v>
      </c>
      <c r="EQ48" s="188" t="s">
        <v>965</v>
      </c>
      <c r="ER48" s="188" t="s">
        <v>2970</v>
      </c>
      <c r="ES48" s="188" t="s">
        <v>965</v>
      </c>
      <c r="ET48" s="188" t="s">
        <v>965</v>
      </c>
    </row>
    <row r="49" spans="1:150" x14ac:dyDescent="0.3">
      <c r="A49" s="1"/>
      <c r="B49" s="186" t="s">
        <v>3160</v>
      </c>
      <c r="C49" s="186" t="s">
        <v>130</v>
      </c>
      <c r="D49" s="186" t="s">
        <v>131</v>
      </c>
      <c r="E49" s="186" t="s">
        <v>3161</v>
      </c>
      <c r="F49" s="186" t="s">
        <v>3162</v>
      </c>
      <c r="G49" s="186" t="s">
        <v>2970</v>
      </c>
      <c r="H49" s="186" t="s">
        <v>3163</v>
      </c>
      <c r="I49" s="186" t="s">
        <v>3164</v>
      </c>
      <c r="J49" s="186" t="s">
        <v>2970</v>
      </c>
      <c r="K49" s="186" t="s">
        <v>3163</v>
      </c>
      <c r="L49" s="186" t="s">
        <v>3165</v>
      </c>
      <c r="M49" s="186" t="s">
        <v>2970</v>
      </c>
      <c r="N49" s="186" t="s">
        <v>3163</v>
      </c>
      <c r="O49" s="186" t="s">
        <v>3166</v>
      </c>
      <c r="P49" s="186" t="s">
        <v>2970</v>
      </c>
      <c r="Q49" s="186" t="s">
        <v>3163</v>
      </c>
      <c r="R49" s="186" t="s">
        <v>3167</v>
      </c>
      <c r="S49" s="186" t="s">
        <v>2970</v>
      </c>
      <c r="T49" s="186" t="s">
        <v>3168</v>
      </c>
      <c r="U49" s="186" t="s">
        <v>3169</v>
      </c>
      <c r="V49" s="186" t="s">
        <v>2970</v>
      </c>
      <c r="W49" s="186" t="s">
        <v>3170</v>
      </c>
      <c r="X49" s="186" t="s">
        <v>3171</v>
      </c>
      <c r="Y49" s="186" t="s">
        <v>2970</v>
      </c>
      <c r="Z49" s="186" t="s">
        <v>3163</v>
      </c>
      <c r="AA49" s="186" t="s">
        <v>2860</v>
      </c>
      <c r="AB49" s="186" t="s">
        <v>2970</v>
      </c>
      <c r="AC49" s="186" t="s">
        <v>3163</v>
      </c>
      <c r="AD49" s="186" t="s">
        <v>2860</v>
      </c>
      <c r="AE49" s="186" t="s">
        <v>2970</v>
      </c>
      <c r="AF49" s="186" t="s">
        <v>3163</v>
      </c>
      <c r="AG49" s="186" t="s">
        <v>2860</v>
      </c>
      <c r="AH49" s="186" t="s">
        <v>2970</v>
      </c>
      <c r="AI49" s="186" t="s">
        <v>3163</v>
      </c>
      <c r="AJ49" s="186" t="s">
        <v>2860</v>
      </c>
      <c r="AK49" s="186" t="s">
        <v>2970</v>
      </c>
      <c r="AL49" s="186" t="s">
        <v>3163</v>
      </c>
      <c r="AM49" s="186" t="s">
        <v>2860</v>
      </c>
      <c r="AN49" s="186" t="s">
        <v>2970</v>
      </c>
      <c r="AO49" s="186" t="s">
        <v>3163</v>
      </c>
      <c r="AP49" s="186" t="s">
        <v>2860</v>
      </c>
      <c r="AQ49" s="186" t="s">
        <v>2970</v>
      </c>
      <c r="AR49" s="186" t="s">
        <v>3163</v>
      </c>
      <c r="AS49" s="186" t="s">
        <v>2860</v>
      </c>
      <c r="AT49" s="186" t="s">
        <v>2970</v>
      </c>
      <c r="AU49" s="186" t="s">
        <v>3163</v>
      </c>
      <c r="AV49" s="186" t="s">
        <v>2860</v>
      </c>
      <c r="AW49" s="186" t="s">
        <v>2970</v>
      </c>
      <c r="AX49" s="186" t="s">
        <v>3163</v>
      </c>
      <c r="AY49" s="186" t="s">
        <v>2860</v>
      </c>
      <c r="AZ49" s="186" t="s">
        <v>2970</v>
      </c>
      <c r="BA49" s="186" t="s">
        <v>3163</v>
      </c>
      <c r="BB49" s="186" t="s">
        <v>2860</v>
      </c>
      <c r="BC49" s="186" t="s">
        <v>2970</v>
      </c>
      <c r="BD49" s="186" t="s">
        <v>3163</v>
      </c>
      <c r="BE49" s="186" t="s">
        <v>2860</v>
      </c>
      <c r="BF49" s="186" t="s">
        <v>2970</v>
      </c>
      <c r="BG49" s="186" t="s">
        <v>3163</v>
      </c>
      <c r="BH49" s="186" t="s">
        <v>3172</v>
      </c>
      <c r="BI49" s="186" t="s">
        <v>2970</v>
      </c>
      <c r="BJ49" s="186" t="s">
        <v>3163</v>
      </c>
      <c r="BK49" s="186" t="s">
        <v>3173</v>
      </c>
      <c r="BL49" s="186" t="s">
        <v>2970</v>
      </c>
      <c r="BM49" s="186" t="s">
        <v>3163</v>
      </c>
      <c r="BN49" s="186" t="s">
        <v>3173</v>
      </c>
      <c r="BO49" s="186" t="s">
        <v>2970</v>
      </c>
      <c r="BP49" s="186" t="s">
        <v>3163</v>
      </c>
      <c r="BQ49" s="186" t="s">
        <v>3173</v>
      </c>
      <c r="BR49" s="186" t="s">
        <v>2970</v>
      </c>
      <c r="BS49" s="186" t="s">
        <v>3163</v>
      </c>
      <c r="BT49" s="186" t="s">
        <v>3173</v>
      </c>
      <c r="BU49" s="186" t="s">
        <v>2970</v>
      </c>
      <c r="BV49" s="186" t="s">
        <v>3163</v>
      </c>
      <c r="BW49" s="186" t="s">
        <v>3173</v>
      </c>
      <c r="BX49" s="186" t="s">
        <v>2970</v>
      </c>
      <c r="BY49" s="186" t="s">
        <v>3163</v>
      </c>
      <c r="BZ49" s="186" t="s">
        <v>3173</v>
      </c>
      <c r="CA49" s="186" t="s">
        <v>2970</v>
      </c>
      <c r="CB49" s="186" t="s">
        <v>3163</v>
      </c>
      <c r="CC49" s="186" t="s">
        <v>3173</v>
      </c>
      <c r="CD49" s="186" t="s">
        <v>2970</v>
      </c>
      <c r="CE49" s="186" t="s">
        <v>3163</v>
      </c>
      <c r="CF49" s="186" t="s">
        <v>3173</v>
      </c>
      <c r="CG49" s="186" t="s">
        <v>2970</v>
      </c>
      <c r="CH49" s="186" t="s">
        <v>3163</v>
      </c>
      <c r="CI49" s="186" t="s">
        <v>2860</v>
      </c>
      <c r="CJ49" s="186" t="s">
        <v>2970</v>
      </c>
      <c r="CK49" s="186" t="s">
        <v>3163</v>
      </c>
      <c r="CL49" s="186" t="s">
        <v>2860</v>
      </c>
      <c r="CM49" s="186" t="s">
        <v>2970</v>
      </c>
      <c r="CN49" s="186" t="s">
        <v>3174</v>
      </c>
      <c r="CO49" s="186" t="s">
        <v>3175</v>
      </c>
      <c r="CP49" s="186" t="s">
        <v>2970</v>
      </c>
      <c r="CQ49" s="186" t="s">
        <v>3163</v>
      </c>
      <c r="CR49" s="186" t="s">
        <v>2860</v>
      </c>
      <c r="CS49" s="186" t="s">
        <v>2970</v>
      </c>
      <c r="CT49" s="186" t="s">
        <v>3163</v>
      </c>
      <c r="CU49" s="186" t="s">
        <v>2860</v>
      </c>
      <c r="CV49" s="186" t="s">
        <v>2970</v>
      </c>
      <c r="CW49" s="186" t="s">
        <v>3163</v>
      </c>
      <c r="CX49" s="186" t="s">
        <v>2860</v>
      </c>
      <c r="CY49" s="186" t="s">
        <v>2970</v>
      </c>
      <c r="CZ49" s="186" t="s">
        <v>3163</v>
      </c>
      <c r="DA49" s="186" t="s">
        <v>2860</v>
      </c>
      <c r="DB49" s="186" t="s">
        <v>2970</v>
      </c>
      <c r="DC49" s="186" t="s">
        <v>3163</v>
      </c>
      <c r="DD49" s="186" t="s">
        <v>3176</v>
      </c>
      <c r="DE49" s="186" t="s">
        <v>2970</v>
      </c>
      <c r="DF49" s="186" t="s">
        <v>3163</v>
      </c>
      <c r="DG49" s="186" t="s">
        <v>3177</v>
      </c>
      <c r="DH49" s="186" t="s">
        <v>2970</v>
      </c>
      <c r="DI49" s="186" t="s">
        <v>3163</v>
      </c>
      <c r="DJ49" s="186" t="s">
        <v>3178</v>
      </c>
      <c r="DK49" s="186" t="s">
        <v>2970</v>
      </c>
      <c r="DL49" s="186" t="s">
        <v>3163</v>
      </c>
      <c r="DM49" s="186" t="s">
        <v>3179</v>
      </c>
      <c r="DN49" s="186" t="s">
        <v>2970</v>
      </c>
      <c r="DO49" s="186" t="s">
        <v>3163</v>
      </c>
      <c r="DP49" s="186" t="s">
        <v>3180</v>
      </c>
      <c r="DQ49" s="186" t="s">
        <v>2970</v>
      </c>
      <c r="DR49" s="186" t="s">
        <v>3163</v>
      </c>
      <c r="DS49" s="186" t="s">
        <v>3181</v>
      </c>
      <c r="DT49" s="186" t="s">
        <v>2970</v>
      </c>
      <c r="DU49" s="186" t="s">
        <v>3163</v>
      </c>
      <c r="DV49" s="186" t="s">
        <v>3182</v>
      </c>
      <c r="DW49" s="186" t="s">
        <v>2970</v>
      </c>
      <c r="DX49" s="186" t="s">
        <v>3163</v>
      </c>
      <c r="DY49" s="186" t="s">
        <v>3183</v>
      </c>
      <c r="DZ49" s="186" t="s">
        <v>2970</v>
      </c>
      <c r="EA49" s="186" t="s">
        <v>3163</v>
      </c>
      <c r="EB49" s="186" t="s">
        <v>3164</v>
      </c>
      <c r="EC49" s="186" t="s">
        <v>2970</v>
      </c>
      <c r="ED49" s="186" t="s">
        <v>3163</v>
      </c>
      <c r="EE49" s="186" t="s">
        <v>3184</v>
      </c>
      <c r="EF49" s="186" t="s">
        <v>2970</v>
      </c>
      <c r="EG49" s="186" t="s">
        <v>3185</v>
      </c>
      <c r="EH49" s="186" t="s">
        <v>3186</v>
      </c>
      <c r="EI49" s="186" t="s">
        <v>2970</v>
      </c>
      <c r="EJ49" s="186" t="s">
        <v>3163</v>
      </c>
      <c r="EK49" s="186" t="s">
        <v>3187</v>
      </c>
      <c r="EL49" s="186" t="s">
        <v>2970</v>
      </c>
      <c r="EM49" s="186" t="s">
        <v>3163</v>
      </c>
      <c r="EN49" s="186" t="s">
        <v>3188</v>
      </c>
      <c r="EO49" s="186" t="s">
        <v>2970</v>
      </c>
      <c r="EP49" s="186" t="s">
        <v>3163</v>
      </c>
      <c r="EQ49" s="186" t="s">
        <v>3189</v>
      </c>
      <c r="ER49" s="186" t="s">
        <v>2970</v>
      </c>
      <c r="ES49" s="186" t="s">
        <v>2860</v>
      </c>
      <c r="ET49" s="186" t="s">
        <v>3190</v>
      </c>
    </row>
    <row r="50" spans="1:150" x14ac:dyDescent="0.3">
      <c r="A50" s="1"/>
      <c r="B50" s="187" t="s">
        <v>3191</v>
      </c>
      <c r="C50" s="187" t="s">
        <v>130</v>
      </c>
      <c r="D50" s="187" t="s">
        <v>131</v>
      </c>
      <c r="E50" s="187" t="s">
        <v>3192</v>
      </c>
      <c r="F50" s="187" t="s">
        <v>3193</v>
      </c>
      <c r="G50" s="188" t="s">
        <v>2970</v>
      </c>
      <c r="H50" s="188" t="s">
        <v>2860</v>
      </c>
      <c r="I50" s="188" t="s">
        <v>2860</v>
      </c>
      <c r="J50" s="188" t="s">
        <v>2970</v>
      </c>
      <c r="K50" s="188" t="s">
        <v>2860</v>
      </c>
      <c r="L50" s="188" t="s">
        <v>2860</v>
      </c>
      <c r="M50" s="188" t="s">
        <v>2970</v>
      </c>
      <c r="N50" s="188" t="s">
        <v>2860</v>
      </c>
      <c r="O50" s="188" t="s">
        <v>2860</v>
      </c>
      <c r="P50" s="188" t="s">
        <v>2970</v>
      </c>
      <c r="Q50" s="188" t="s">
        <v>2860</v>
      </c>
      <c r="R50" s="188" t="s">
        <v>2860</v>
      </c>
      <c r="S50" s="188" t="s">
        <v>2970</v>
      </c>
      <c r="T50" s="188" t="s">
        <v>2860</v>
      </c>
      <c r="U50" s="188" t="s">
        <v>2860</v>
      </c>
      <c r="V50" s="188" t="s">
        <v>2970</v>
      </c>
      <c r="W50" s="188" t="s">
        <v>2860</v>
      </c>
      <c r="X50" s="188" t="s">
        <v>2860</v>
      </c>
      <c r="Y50" s="188" t="s">
        <v>2970</v>
      </c>
      <c r="Z50" s="188" t="s">
        <v>2860</v>
      </c>
      <c r="AA50" s="188" t="s">
        <v>2860</v>
      </c>
      <c r="AB50" s="188" t="s">
        <v>2970</v>
      </c>
      <c r="AC50" s="188" t="s">
        <v>2860</v>
      </c>
      <c r="AD50" s="188" t="s">
        <v>2860</v>
      </c>
      <c r="AE50" s="188" t="s">
        <v>2970</v>
      </c>
      <c r="AF50" s="188" t="s">
        <v>2860</v>
      </c>
      <c r="AG50" s="188" t="s">
        <v>2860</v>
      </c>
      <c r="AH50" s="188" t="s">
        <v>2970</v>
      </c>
      <c r="AI50" s="188" t="s">
        <v>2860</v>
      </c>
      <c r="AJ50" s="188" t="s">
        <v>2860</v>
      </c>
      <c r="AK50" s="188" t="s">
        <v>2970</v>
      </c>
      <c r="AL50" s="188" t="s">
        <v>2860</v>
      </c>
      <c r="AM50" s="188" t="s">
        <v>2860</v>
      </c>
      <c r="AN50" s="188" t="s">
        <v>2970</v>
      </c>
      <c r="AO50" s="188" t="s">
        <v>2860</v>
      </c>
      <c r="AP50" s="188" t="s">
        <v>2860</v>
      </c>
      <c r="AQ50" s="188" t="s">
        <v>2970</v>
      </c>
      <c r="AR50" s="188" t="s">
        <v>2860</v>
      </c>
      <c r="AS50" s="188" t="s">
        <v>2860</v>
      </c>
      <c r="AT50" s="188" t="s">
        <v>2970</v>
      </c>
      <c r="AU50" s="188" t="s">
        <v>2860</v>
      </c>
      <c r="AV50" s="188" t="s">
        <v>2860</v>
      </c>
      <c r="AW50" s="188" t="s">
        <v>2970</v>
      </c>
      <c r="AX50" s="188" t="s">
        <v>2860</v>
      </c>
      <c r="AY50" s="188" t="s">
        <v>2860</v>
      </c>
      <c r="AZ50" s="188" t="s">
        <v>2970</v>
      </c>
      <c r="BA50" s="188" t="s">
        <v>2860</v>
      </c>
      <c r="BB50" s="188" t="s">
        <v>2860</v>
      </c>
      <c r="BC50" s="188" t="s">
        <v>2970</v>
      </c>
      <c r="BD50" s="188" t="s">
        <v>2860</v>
      </c>
      <c r="BE50" s="188" t="s">
        <v>2860</v>
      </c>
      <c r="BF50" s="188" t="s">
        <v>2970</v>
      </c>
      <c r="BG50" s="188" t="s">
        <v>2860</v>
      </c>
      <c r="BH50" s="188" t="s">
        <v>2860</v>
      </c>
      <c r="BI50" s="188" t="s">
        <v>2970</v>
      </c>
      <c r="BJ50" s="188" t="s">
        <v>2860</v>
      </c>
      <c r="BK50" s="188" t="s">
        <v>2860</v>
      </c>
      <c r="BL50" s="188" t="s">
        <v>2970</v>
      </c>
      <c r="BM50" s="188" t="s">
        <v>2860</v>
      </c>
      <c r="BN50" s="188" t="s">
        <v>2860</v>
      </c>
      <c r="BO50" s="188" t="s">
        <v>2970</v>
      </c>
      <c r="BP50" s="188" t="s">
        <v>2860</v>
      </c>
      <c r="BQ50" s="188" t="s">
        <v>2860</v>
      </c>
      <c r="BR50" s="188" t="s">
        <v>2970</v>
      </c>
      <c r="BS50" s="188" t="s">
        <v>2860</v>
      </c>
      <c r="BT50" s="188" t="s">
        <v>2860</v>
      </c>
      <c r="BU50" s="188" t="s">
        <v>2970</v>
      </c>
      <c r="BV50" s="188" t="s">
        <v>2860</v>
      </c>
      <c r="BW50" s="188" t="s">
        <v>2860</v>
      </c>
      <c r="BX50" s="188" t="s">
        <v>2970</v>
      </c>
      <c r="BY50" s="188" t="s">
        <v>2860</v>
      </c>
      <c r="BZ50" s="188" t="s">
        <v>2860</v>
      </c>
      <c r="CA50" s="188" t="s">
        <v>2970</v>
      </c>
      <c r="CB50" s="188" t="s">
        <v>2860</v>
      </c>
      <c r="CC50" s="188" t="s">
        <v>2860</v>
      </c>
      <c r="CD50" s="188" t="s">
        <v>2970</v>
      </c>
      <c r="CE50" s="188" t="s">
        <v>2860</v>
      </c>
      <c r="CF50" s="188" t="s">
        <v>2860</v>
      </c>
      <c r="CG50" s="188" t="s">
        <v>2970</v>
      </c>
      <c r="CH50" s="188" t="s">
        <v>2860</v>
      </c>
      <c r="CI50" s="188" t="s">
        <v>2860</v>
      </c>
      <c r="CJ50" s="188" t="s">
        <v>2970</v>
      </c>
      <c r="CK50" s="188" t="s">
        <v>2860</v>
      </c>
      <c r="CL50" s="188" t="s">
        <v>2860</v>
      </c>
      <c r="CM50" s="188" t="s">
        <v>2970</v>
      </c>
      <c r="CN50" s="188" t="s">
        <v>2860</v>
      </c>
      <c r="CO50" s="188" t="s">
        <v>2860</v>
      </c>
      <c r="CP50" s="188" t="s">
        <v>2970</v>
      </c>
      <c r="CQ50" s="188" t="s">
        <v>2860</v>
      </c>
      <c r="CR50" s="188" t="s">
        <v>2860</v>
      </c>
      <c r="CS50" s="188" t="s">
        <v>2970</v>
      </c>
      <c r="CT50" s="188" t="s">
        <v>2860</v>
      </c>
      <c r="CU50" s="188" t="s">
        <v>2860</v>
      </c>
      <c r="CV50" s="188" t="s">
        <v>2970</v>
      </c>
      <c r="CW50" s="188" t="s">
        <v>2860</v>
      </c>
      <c r="CX50" s="188" t="s">
        <v>2860</v>
      </c>
      <c r="CY50" s="188" t="s">
        <v>2970</v>
      </c>
      <c r="CZ50" s="188" t="s">
        <v>2860</v>
      </c>
      <c r="DA50" s="188" t="s">
        <v>2860</v>
      </c>
      <c r="DB50" s="188" t="s">
        <v>2970</v>
      </c>
      <c r="DC50" s="188" t="s">
        <v>2860</v>
      </c>
      <c r="DD50" s="188" t="s">
        <v>2860</v>
      </c>
      <c r="DE50" s="188" t="s">
        <v>2970</v>
      </c>
      <c r="DF50" s="188" t="s">
        <v>2860</v>
      </c>
      <c r="DG50" s="188" t="s">
        <v>2860</v>
      </c>
      <c r="DH50" s="188" t="s">
        <v>2970</v>
      </c>
      <c r="DI50" s="188" t="s">
        <v>2860</v>
      </c>
      <c r="DJ50" s="188" t="s">
        <v>2860</v>
      </c>
      <c r="DK50" s="188" t="s">
        <v>2970</v>
      </c>
      <c r="DL50" s="188" t="s">
        <v>2860</v>
      </c>
      <c r="DM50" s="188" t="s">
        <v>2860</v>
      </c>
      <c r="DN50" s="188" t="s">
        <v>2970</v>
      </c>
      <c r="DO50" s="188" t="s">
        <v>2860</v>
      </c>
      <c r="DP50" s="188" t="s">
        <v>2860</v>
      </c>
      <c r="DQ50" s="188" t="s">
        <v>2970</v>
      </c>
      <c r="DR50" s="188" t="s">
        <v>2860</v>
      </c>
      <c r="DS50" s="188" t="s">
        <v>2860</v>
      </c>
      <c r="DT50" s="188" t="s">
        <v>2970</v>
      </c>
      <c r="DU50" s="188" t="s">
        <v>2860</v>
      </c>
      <c r="DV50" s="188" t="s">
        <v>2860</v>
      </c>
      <c r="DW50" s="188" t="s">
        <v>2970</v>
      </c>
      <c r="DX50" s="188" t="s">
        <v>2860</v>
      </c>
      <c r="DY50" s="188" t="s">
        <v>2860</v>
      </c>
      <c r="DZ50" s="188" t="s">
        <v>2970</v>
      </c>
      <c r="EA50" s="188" t="s">
        <v>2860</v>
      </c>
      <c r="EB50" s="188" t="s">
        <v>2860</v>
      </c>
      <c r="EC50" s="188" t="s">
        <v>2970</v>
      </c>
      <c r="ED50" s="188" t="s">
        <v>2860</v>
      </c>
      <c r="EE50" s="188" t="s">
        <v>2860</v>
      </c>
      <c r="EF50" s="188" t="s">
        <v>2970</v>
      </c>
      <c r="EG50" s="188" t="s">
        <v>2860</v>
      </c>
      <c r="EH50" s="188" t="s">
        <v>2860</v>
      </c>
      <c r="EI50" s="188" t="s">
        <v>2970</v>
      </c>
      <c r="EJ50" s="188" t="s">
        <v>2860</v>
      </c>
      <c r="EK50" s="188" t="s">
        <v>2860</v>
      </c>
      <c r="EL50" s="188" t="s">
        <v>2970</v>
      </c>
      <c r="EM50" s="188" t="s">
        <v>2860</v>
      </c>
      <c r="EN50" s="188" t="s">
        <v>2860</v>
      </c>
      <c r="EO50" s="188" t="s">
        <v>2970</v>
      </c>
      <c r="EP50" s="188" t="s">
        <v>2860</v>
      </c>
      <c r="EQ50" s="188" t="s">
        <v>2860</v>
      </c>
      <c r="ER50" s="188" t="s">
        <v>2970</v>
      </c>
      <c r="ES50" s="188" t="s">
        <v>2860</v>
      </c>
      <c r="ET50" s="188" t="s">
        <v>2860</v>
      </c>
    </row>
    <row r="51" spans="1:150" x14ac:dyDescent="0.3">
      <c r="A51" s="1"/>
      <c r="B51" s="187" t="s">
        <v>3194</v>
      </c>
      <c r="C51" s="187" t="s">
        <v>130</v>
      </c>
      <c r="D51" s="187" t="s">
        <v>131</v>
      </c>
      <c r="E51" s="187" t="s">
        <v>3195</v>
      </c>
      <c r="F51" s="187" t="s">
        <v>3196</v>
      </c>
      <c r="G51" s="188" t="s">
        <v>2970</v>
      </c>
      <c r="H51" s="188" t="s">
        <v>2860</v>
      </c>
      <c r="I51" s="188" t="s">
        <v>2860</v>
      </c>
      <c r="J51" s="188" t="s">
        <v>2970</v>
      </c>
      <c r="K51" s="188" t="s">
        <v>2860</v>
      </c>
      <c r="L51" s="188" t="s">
        <v>2860</v>
      </c>
      <c r="M51" s="188" t="s">
        <v>2970</v>
      </c>
      <c r="N51" s="188" t="s">
        <v>2860</v>
      </c>
      <c r="O51" s="188" t="s">
        <v>2860</v>
      </c>
      <c r="P51" s="188" t="s">
        <v>2970</v>
      </c>
      <c r="Q51" s="188" t="s">
        <v>2860</v>
      </c>
      <c r="R51" s="188" t="s">
        <v>2860</v>
      </c>
      <c r="S51" s="188" t="s">
        <v>2970</v>
      </c>
      <c r="T51" s="188" t="s">
        <v>2860</v>
      </c>
      <c r="U51" s="188" t="s">
        <v>2860</v>
      </c>
      <c r="V51" s="188" t="s">
        <v>2970</v>
      </c>
      <c r="W51" s="188" t="s">
        <v>2860</v>
      </c>
      <c r="X51" s="188" t="s">
        <v>2860</v>
      </c>
      <c r="Y51" s="188" t="s">
        <v>2970</v>
      </c>
      <c r="Z51" s="188" t="s">
        <v>2860</v>
      </c>
      <c r="AA51" s="188" t="s">
        <v>2860</v>
      </c>
      <c r="AB51" s="188" t="s">
        <v>2970</v>
      </c>
      <c r="AC51" s="188" t="s">
        <v>2860</v>
      </c>
      <c r="AD51" s="188" t="s">
        <v>2860</v>
      </c>
      <c r="AE51" s="188" t="s">
        <v>2970</v>
      </c>
      <c r="AF51" s="188" t="s">
        <v>2860</v>
      </c>
      <c r="AG51" s="188" t="s">
        <v>2860</v>
      </c>
      <c r="AH51" s="188" t="s">
        <v>2970</v>
      </c>
      <c r="AI51" s="188" t="s">
        <v>2860</v>
      </c>
      <c r="AJ51" s="188" t="s">
        <v>2860</v>
      </c>
      <c r="AK51" s="188" t="s">
        <v>2970</v>
      </c>
      <c r="AL51" s="188" t="s">
        <v>2860</v>
      </c>
      <c r="AM51" s="188" t="s">
        <v>2860</v>
      </c>
      <c r="AN51" s="188" t="s">
        <v>2970</v>
      </c>
      <c r="AO51" s="188" t="s">
        <v>2860</v>
      </c>
      <c r="AP51" s="188" t="s">
        <v>2860</v>
      </c>
      <c r="AQ51" s="188" t="s">
        <v>2970</v>
      </c>
      <c r="AR51" s="188" t="s">
        <v>2860</v>
      </c>
      <c r="AS51" s="188" t="s">
        <v>2860</v>
      </c>
      <c r="AT51" s="188" t="s">
        <v>2970</v>
      </c>
      <c r="AU51" s="188" t="s">
        <v>2860</v>
      </c>
      <c r="AV51" s="188" t="s">
        <v>2860</v>
      </c>
      <c r="AW51" s="188" t="s">
        <v>2970</v>
      </c>
      <c r="AX51" s="188" t="s">
        <v>2860</v>
      </c>
      <c r="AY51" s="188" t="s">
        <v>2860</v>
      </c>
      <c r="AZ51" s="188" t="s">
        <v>2970</v>
      </c>
      <c r="BA51" s="188" t="s">
        <v>2860</v>
      </c>
      <c r="BB51" s="188" t="s">
        <v>2860</v>
      </c>
      <c r="BC51" s="188" t="s">
        <v>2970</v>
      </c>
      <c r="BD51" s="188" t="s">
        <v>2860</v>
      </c>
      <c r="BE51" s="188" t="s">
        <v>2860</v>
      </c>
      <c r="BF51" s="188" t="s">
        <v>2970</v>
      </c>
      <c r="BG51" s="188" t="s">
        <v>2860</v>
      </c>
      <c r="BH51" s="188" t="s">
        <v>2860</v>
      </c>
      <c r="BI51" s="188" t="s">
        <v>2970</v>
      </c>
      <c r="BJ51" s="188" t="s">
        <v>2860</v>
      </c>
      <c r="BK51" s="188" t="s">
        <v>2860</v>
      </c>
      <c r="BL51" s="188" t="s">
        <v>2970</v>
      </c>
      <c r="BM51" s="188" t="s">
        <v>2860</v>
      </c>
      <c r="BN51" s="188" t="s">
        <v>2860</v>
      </c>
      <c r="BO51" s="188" t="s">
        <v>2970</v>
      </c>
      <c r="BP51" s="188" t="s">
        <v>2860</v>
      </c>
      <c r="BQ51" s="188" t="s">
        <v>2860</v>
      </c>
      <c r="BR51" s="188" t="s">
        <v>2970</v>
      </c>
      <c r="BS51" s="188" t="s">
        <v>2860</v>
      </c>
      <c r="BT51" s="188" t="s">
        <v>2860</v>
      </c>
      <c r="BU51" s="188" t="s">
        <v>2970</v>
      </c>
      <c r="BV51" s="188" t="s">
        <v>2860</v>
      </c>
      <c r="BW51" s="188" t="s">
        <v>2860</v>
      </c>
      <c r="BX51" s="188" t="s">
        <v>2970</v>
      </c>
      <c r="BY51" s="188" t="s">
        <v>2860</v>
      </c>
      <c r="BZ51" s="188" t="s">
        <v>2860</v>
      </c>
      <c r="CA51" s="188" t="s">
        <v>2970</v>
      </c>
      <c r="CB51" s="188" t="s">
        <v>2860</v>
      </c>
      <c r="CC51" s="188" t="s">
        <v>2860</v>
      </c>
      <c r="CD51" s="188" t="s">
        <v>2970</v>
      </c>
      <c r="CE51" s="188" t="s">
        <v>2860</v>
      </c>
      <c r="CF51" s="188" t="s">
        <v>2860</v>
      </c>
      <c r="CG51" s="188" t="s">
        <v>2970</v>
      </c>
      <c r="CH51" s="188" t="s">
        <v>2860</v>
      </c>
      <c r="CI51" s="188" t="s">
        <v>2860</v>
      </c>
      <c r="CJ51" s="188" t="s">
        <v>2970</v>
      </c>
      <c r="CK51" s="188" t="s">
        <v>2860</v>
      </c>
      <c r="CL51" s="188" t="s">
        <v>2860</v>
      </c>
      <c r="CM51" s="188" t="s">
        <v>2970</v>
      </c>
      <c r="CN51" s="188" t="s">
        <v>2860</v>
      </c>
      <c r="CO51" s="188" t="s">
        <v>2860</v>
      </c>
      <c r="CP51" s="188" t="s">
        <v>2970</v>
      </c>
      <c r="CQ51" s="188" t="s">
        <v>2860</v>
      </c>
      <c r="CR51" s="188" t="s">
        <v>2860</v>
      </c>
      <c r="CS51" s="188" t="s">
        <v>2970</v>
      </c>
      <c r="CT51" s="188" t="s">
        <v>2860</v>
      </c>
      <c r="CU51" s="188" t="s">
        <v>2860</v>
      </c>
      <c r="CV51" s="188" t="s">
        <v>2970</v>
      </c>
      <c r="CW51" s="188" t="s">
        <v>2860</v>
      </c>
      <c r="CX51" s="188" t="s">
        <v>2860</v>
      </c>
      <c r="CY51" s="188" t="s">
        <v>2970</v>
      </c>
      <c r="CZ51" s="188" t="s">
        <v>2860</v>
      </c>
      <c r="DA51" s="188" t="s">
        <v>2860</v>
      </c>
      <c r="DB51" s="188" t="s">
        <v>2970</v>
      </c>
      <c r="DC51" s="188" t="s">
        <v>2860</v>
      </c>
      <c r="DD51" s="188" t="s">
        <v>2860</v>
      </c>
      <c r="DE51" s="188" t="s">
        <v>2970</v>
      </c>
      <c r="DF51" s="188" t="s">
        <v>3197</v>
      </c>
      <c r="DG51" s="188" t="s">
        <v>3198</v>
      </c>
      <c r="DH51" s="188" t="s">
        <v>2970</v>
      </c>
      <c r="DI51" s="188" t="s">
        <v>2860</v>
      </c>
      <c r="DJ51" s="188" t="s">
        <v>3199</v>
      </c>
      <c r="DK51" s="188" t="s">
        <v>2970</v>
      </c>
      <c r="DL51" s="188" t="s">
        <v>2860</v>
      </c>
      <c r="DM51" s="188" t="s">
        <v>3200</v>
      </c>
      <c r="DN51" s="188" t="s">
        <v>2970</v>
      </c>
      <c r="DO51" s="188" t="s">
        <v>2860</v>
      </c>
      <c r="DP51" s="188" t="s">
        <v>3201</v>
      </c>
      <c r="DQ51" s="188" t="s">
        <v>2970</v>
      </c>
      <c r="DR51" s="188" t="s">
        <v>2860</v>
      </c>
      <c r="DS51" s="188" t="s">
        <v>2860</v>
      </c>
      <c r="DT51" s="188" t="s">
        <v>2970</v>
      </c>
      <c r="DU51" s="188" t="s">
        <v>3202</v>
      </c>
      <c r="DV51" s="188" t="s">
        <v>3203</v>
      </c>
      <c r="DW51" s="188" t="s">
        <v>2970</v>
      </c>
      <c r="DX51" s="188" t="s">
        <v>2860</v>
      </c>
      <c r="DY51" s="188" t="s">
        <v>2860</v>
      </c>
      <c r="DZ51" s="188" t="s">
        <v>2970</v>
      </c>
      <c r="EA51" s="188" t="s">
        <v>2860</v>
      </c>
      <c r="EB51" s="188" t="s">
        <v>2860</v>
      </c>
      <c r="EC51" s="188" t="s">
        <v>2970</v>
      </c>
      <c r="ED51" s="188" t="s">
        <v>2860</v>
      </c>
      <c r="EE51" s="188" t="s">
        <v>3204</v>
      </c>
      <c r="EF51" s="188" t="s">
        <v>2970</v>
      </c>
      <c r="EG51" s="188" t="s">
        <v>2860</v>
      </c>
      <c r="EH51" s="188" t="s">
        <v>3205</v>
      </c>
      <c r="EI51" s="188" t="s">
        <v>2970</v>
      </c>
      <c r="EJ51" s="188" t="s">
        <v>3206</v>
      </c>
      <c r="EK51" s="188" t="s">
        <v>3207</v>
      </c>
      <c r="EL51" s="188" t="s">
        <v>2970</v>
      </c>
      <c r="EM51" s="188" t="s">
        <v>3208</v>
      </c>
      <c r="EN51" s="188" t="s">
        <v>3209</v>
      </c>
      <c r="EO51" s="188" t="s">
        <v>2970</v>
      </c>
      <c r="EP51" s="188" t="s">
        <v>3210</v>
      </c>
      <c r="EQ51" s="188" t="s">
        <v>3211</v>
      </c>
      <c r="ER51" s="188" t="s">
        <v>2970</v>
      </c>
      <c r="ES51" s="188" t="s">
        <v>2860</v>
      </c>
      <c r="ET51" s="188" t="s">
        <v>3212</v>
      </c>
    </row>
    <row r="52" spans="1:150" x14ac:dyDescent="0.3">
      <c r="A52" s="1"/>
      <c r="B52" s="187" t="s">
        <v>3213</v>
      </c>
      <c r="C52" s="187" t="s">
        <v>130</v>
      </c>
      <c r="D52" s="187" t="s">
        <v>131</v>
      </c>
      <c r="E52" s="187" t="s">
        <v>3214</v>
      </c>
      <c r="F52" s="187" t="s">
        <v>3215</v>
      </c>
      <c r="G52" s="188" t="s">
        <v>2970</v>
      </c>
      <c r="H52" s="188" t="s">
        <v>3216</v>
      </c>
      <c r="I52" s="188" t="s">
        <v>3217</v>
      </c>
      <c r="J52" s="188" t="s">
        <v>2970</v>
      </c>
      <c r="K52" s="188" t="s">
        <v>2860</v>
      </c>
      <c r="L52" s="188" t="s">
        <v>3165</v>
      </c>
      <c r="M52" s="188" t="s">
        <v>2970</v>
      </c>
      <c r="N52" s="188" t="s">
        <v>2860</v>
      </c>
      <c r="O52" s="188" t="s">
        <v>3166</v>
      </c>
      <c r="P52" s="188" t="s">
        <v>2970</v>
      </c>
      <c r="Q52" s="188" t="s">
        <v>2860</v>
      </c>
      <c r="R52" s="188" t="s">
        <v>3167</v>
      </c>
      <c r="S52" s="188" t="s">
        <v>2970</v>
      </c>
      <c r="T52" s="188" t="s">
        <v>2860</v>
      </c>
      <c r="U52" s="188" t="s">
        <v>3173</v>
      </c>
      <c r="V52" s="188" t="s">
        <v>2970</v>
      </c>
      <c r="W52" s="188" t="s">
        <v>3170</v>
      </c>
      <c r="X52" s="188" t="s">
        <v>3218</v>
      </c>
      <c r="Y52" s="188" t="s">
        <v>2970</v>
      </c>
      <c r="Z52" s="188" t="s">
        <v>2860</v>
      </c>
      <c r="AA52" s="188" t="s">
        <v>2860</v>
      </c>
      <c r="AB52" s="188" t="s">
        <v>2970</v>
      </c>
      <c r="AC52" s="188" t="s">
        <v>2860</v>
      </c>
      <c r="AD52" s="188" t="s">
        <v>2860</v>
      </c>
      <c r="AE52" s="188" t="s">
        <v>2970</v>
      </c>
      <c r="AF52" s="188" t="s">
        <v>2860</v>
      </c>
      <c r="AG52" s="188" t="s">
        <v>2860</v>
      </c>
      <c r="AH52" s="188" t="s">
        <v>2970</v>
      </c>
      <c r="AI52" s="188" t="s">
        <v>2860</v>
      </c>
      <c r="AJ52" s="188" t="s">
        <v>2860</v>
      </c>
      <c r="AK52" s="188" t="s">
        <v>2970</v>
      </c>
      <c r="AL52" s="188" t="s">
        <v>2860</v>
      </c>
      <c r="AM52" s="188" t="s">
        <v>2860</v>
      </c>
      <c r="AN52" s="188" t="s">
        <v>2970</v>
      </c>
      <c r="AO52" s="188" t="s">
        <v>2860</v>
      </c>
      <c r="AP52" s="188" t="s">
        <v>2860</v>
      </c>
      <c r="AQ52" s="188" t="s">
        <v>2970</v>
      </c>
      <c r="AR52" s="188" t="s">
        <v>2860</v>
      </c>
      <c r="AS52" s="188" t="s">
        <v>2860</v>
      </c>
      <c r="AT52" s="188" t="s">
        <v>2970</v>
      </c>
      <c r="AU52" s="188" t="s">
        <v>2860</v>
      </c>
      <c r="AV52" s="188" t="s">
        <v>2860</v>
      </c>
      <c r="AW52" s="188" t="s">
        <v>2970</v>
      </c>
      <c r="AX52" s="188" t="s">
        <v>2860</v>
      </c>
      <c r="AY52" s="188" t="s">
        <v>2860</v>
      </c>
      <c r="AZ52" s="188" t="s">
        <v>2970</v>
      </c>
      <c r="BA52" s="188" t="s">
        <v>2860</v>
      </c>
      <c r="BB52" s="188" t="s">
        <v>2860</v>
      </c>
      <c r="BC52" s="188" t="s">
        <v>2970</v>
      </c>
      <c r="BD52" s="188" t="s">
        <v>2860</v>
      </c>
      <c r="BE52" s="188" t="s">
        <v>2860</v>
      </c>
      <c r="BF52" s="188" t="s">
        <v>2970</v>
      </c>
      <c r="BG52" s="188" t="s">
        <v>2860</v>
      </c>
      <c r="BH52" s="188" t="s">
        <v>3172</v>
      </c>
      <c r="BI52" s="188" t="s">
        <v>2970</v>
      </c>
      <c r="BJ52" s="188" t="s">
        <v>2860</v>
      </c>
      <c r="BK52" s="188" t="s">
        <v>3173</v>
      </c>
      <c r="BL52" s="188" t="s">
        <v>2970</v>
      </c>
      <c r="BM52" s="188" t="s">
        <v>2860</v>
      </c>
      <c r="BN52" s="188" t="s">
        <v>3173</v>
      </c>
      <c r="BO52" s="188" t="s">
        <v>2970</v>
      </c>
      <c r="BP52" s="188" t="s">
        <v>2860</v>
      </c>
      <c r="BQ52" s="188" t="s">
        <v>3173</v>
      </c>
      <c r="BR52" s="188" t="s">
        <v>2970</v>
      </c>
      <c r="BS52" s="188" t="s">
        <v>2860</v>
      </c>
      <c r="BT52" s="188" t="s">
        <v>3173</v>
      </c>
      <c r="BU52" s="188" t="s">
        <v>2970</v>
      </c>
      <c r="BV52" s="188" t="s">
        <v>2860</v>
      </c>
      <c r="BW52" s="188" t="s">
        <v>3173</v>
      </c>
      <c r="BX52" s="188" t="s">
        <v>2970</v>
      </c>
      <c r="BY52" s="188" t="s">
        <v>2860</v>
      </c>
      <c r="BZ52" s="188" t="s">
        <v>3173</v>
      </c>
      <c r="CA52" s="188" t="s">
        <v>2970</v>
      </c>
      <c r="CB52" s="188" t="s">
        <v>2860</v>
      </c>
      <c r="CC52" s="188" t="s">
        <v>3173</v>
      </c>
      <c r="CD52" s="188" t="s">
        <v>2970</v>
      </c>
      <c r="CE52" s="188" t="s">
        <v>2860</v>
      </c>
      <c r="CF52" s="188" t="s">
        <v>3173</v>
      </c>
      <c r="CG52" s="188" t="s">
        <v>2970</v>
      </c>
      <c r="CH52" s="188" t="s">
        <v>2860</v>
      </c>
      <c r="CI52" s="188" t="s">
        <v>2860</v>
      </c>
      <c r="CJ52" s="188" t="s">
        <v>2970</v>
      </c>
      <c r="CK52" s="188" t="s">
        <v>2860</v>
      </c>
      <c r="CL52" s="188" t="s">
        <v>2860</v>
      </c>
      <c r="CM52" s="188" t="s">
        <v>2970</v>
      </c>
      <c r="CN52" s="188" t="s">
        <v>2860</v>
      </c>
      <c r="CO52" s="188" t="s">
        <v>2860</v>
      </c>
      <c r="CP52" s="188" t="s">
        <v>2970</v>
      </c>
      <c r="CQ52" s="188" t="s">
        <v>2860</v>
      </c>
      <c r="CR52" s="188" t="s">
        <v>2860</v>
      </c>
      <c r="CS52" s="188" t="s">
        <v>2970</v>
      </c>
      <c r="CT52" s="188" t="s">
        <v>2860</v>
      </c>
      <c r="CU52" s="188" t="s">
        <v>2860</v>
      </c>
      <c r="CV52" s="188" t="s">
        <v>2970</v>
      </c>
      <c r="CW52" s="188" t="s">
        <v>2860</v>
      </c>
      <c r="CX52" s="188" t="s">
        <v>2860</v>
      </c>
      <c r="CY52" s="188" t="s">
        <v>2970</v>
      </c>
      <c r="CZ52" s="188" t="s">
        <v>2860</v>
      </c>
      <c r="DA52" s="188" t="s">
        <v>2860</v>
      </c>
      <c r="DB52" s="188" t="s">
        <v>2970</v>
      </c>
      <c r="DC52" s="188" t="s">
        <v>2860</v>
      </c>
      <c r="DD52" s="188" t="s">
        <v>2860</v>
      </c>
      <c r="DE52" s="188" t="s">
        <v>2970</v>
      </c>
      <c r="DF52" s="188" t="s">
        <v>2860</v>
      </c>
      <c r="DG52" s="188" t="s">
        <v>2860</v>
      </c>
      <c r="DH52" s="188" t="s">
        <v>2970</v>
      </c>
      <c r="DI52" s="188" t="s">
        <v>2860</v>
      </c>
      <c r="DJ52" s="188" t="s">
        <v>3219</v>
      </c>
      <c r="DK52" s="188" t="s">
        <v>2970</v>
      </c>
      <c r="DL52" s="188" t="s">
        <v>2860</v>
      </c>
      <c r="DM52" s="188" t="s">
        <v>3220</v>
      </c>
      <c r="DN52" s="188" t="s">
        <v>2970</v>
      </c>
      <c r="DO52" s="188" t="s">
        <v>2860</v>
      </c>
      <c r="DP52" s="188" t="s">
        <v>3221</v>
      </c>
      <c r="DQ52" s="188" t="s">
        <v>2970</v>
      </c>
      <c r="DR52" s="188" t="s">
        <v>3216</v>
      </c>
      <c r="DS52" s="188" t="s">
        <v>3222</v>
      </c>
      <c r="DT52" s="188" t="s">
        <v>2970</v>
      </c>
      <c r="DU52" s="188" t="s">
        <v>2860</v>
      </c>
      <c r="DV52" s="188" t="s">
        <v>3223</v>
      </c>
      <c r="DW52" s="188" t="s">
        <v>2970</v>
      </c>
      <c r="DX52" s="188" t="s">
        <v>3163</v>
      </c>
      <c r="DY52" s="188" t="s">
        <v>2860</v>
      </c>
      <c r="DZ52" s="188" t="s">
        <v>2970</v>
      </c>
      <c r="EA52" s="188" t="s">
        <v>3216</v>
      </c>
      <c r="EB52" s="188" t="s">
        <v>3217</v>
      </c>
      <c r="EC52" s="188" t="s">
        <v>2970</v>
      </c>
      <c r="ED52" s="188" t="s">
        <v>3224</v>
      </c>
      <c r="EE52" s="188" t="s">
        <v>3225</v>
      </c>
      <c r="EF52" s="188" t="s">
        <v>2970</v>
      </c>
      <c r="EG52" s="188" t="s">
        <v>2860</v>
      </c>
      <c r="EH52" s="188" t="s">
        <v>3226</v>
      </c>
      <c r="EI52" s="188" t="s">
        <v>2970</v>
      </c>
      <c r="EJ52" s="188" t="s">
        <v>2860</v>
      </c>
      <c r="EK52" s="188" t="s">
        <v>3227</v>
      </c>
      <c r="EL52" s="188" t="s">
        <v>2970</v>
      </c>
      <c r="EM52" s="188" t="s">
        <v>2860</v>
      </c>
      <c r="EN52" s="188" t="s">
        <v>3228</v>
      </c>
      <c r="EO52" s="188" t="s">
        <v>2970</v>
      </c>
      <c r="EP52" s="188" t="s">
        <v>3229</v>
      </c>
      <c r="EQ52" s="188" t="s">
        <v>3230</v>
      </c>
      <c r="ER52" s="188" t="s">
        <v>2970</v>
      </c>
      <c r="ES52" s="188" t="s">
        <v>2860</v>
      </c>
      <c r="ET52" s="188" t="s">
        <v>3231</v>
      </c>
    </row>
    <row r="53" spans="1:150" x14ac:dyDescent="0.3">
      <c r="A53" s="1"/>
      <c r="B53" s="187" t="s">
        <v>3232</v>
      </c>
      <c r="C53" s="187" t="s">
        <v>130</v>
      </c>
      <c r="D53" s="187" t="s">
        <v>131</v>
      </c>
      <c r="E53" s="187" t="s">
        <v>3233</v>
      </c>
      <c r="F53" s="187" t="s">
        <v>3234</v>
      </c>
      <c r="G53" s="188" t="s">
        <v>2970</v>
      </c>
      <c r="H53" s="188" t="s">
        <v>3216</v>
      </c>
      <c r="I53" s="188" t="s">
        <v>3217</v>
      </c>
      <c r="J53" s="188" t="s">
        <v>2970</v>
      </c>
      <c r="K53" s="188" t="s">
        <v>3163</v>
      </c>
      <c r="L53" s="188" t="s">
        <v>2860</v>
      </c>
      <c r="M53" s="188" t="s">
        <v>2970</v>
      </c>
      <c r="N53" s="188" t="s">
        <v>3163</v>
      </c>
      <c r="O53" s="188" t="s">
        <v>2860</v>
      </c>
      <c r="P53" s="188" t="s">
        <v>2970</v>
      </c>
      <c r="Q53" s="188" t="s">
        <v>3163</v>
      </c>
      <c r="R53" s="188" t="s">
        <v>2860</v>
      </c>
      <c r="S53" s="188" t="s">
        <v>2970</v>
      </c>
      <c r="T53" s="188" t="s">
        <v>3168</v>
      </c>
      <c r="U53" s="188" t="s">
        <v>3014</v>
      </c>
      <c r="V53" s="188" t="s">
        <v>2970</v>
      </c>
      <c r="W53" s="188" t="s">
        <v>2860</v>
      </c>
      <c r="X53" s="188" t="s">
        <v>3235</v>
      </c>
      <c r="Y53" s="188" t="s">
        <v>2970</v>
      </c>
      <c r="Z53" s="188" t="s">
        <v>3163</v>
      </c>
      <c r="AA53" s="188" t="s">
        <v>2860</v>
      </c>
      <c r="AB53" s="188" t="s">
        <v>2970</v>
      </c>
      <c r="AC53" s="188" t="s">
        <v>3163</v>
      </c>
      <c r="AD53" s="188" t="s">
        <v>2860</v>
      </c>
      <c r="AE53" s="188" t="s">
        <v>2970</v>
      </c>
      <c r="AF53" s="188" t="s">
        <v>3163</v>
      </c>
      <c r="AG53" s="188" t="s">
        <v>2860</v>
      </c>
      <c r="AH53" s="188" t="s">
        <v>2970</v>
      </c>
      <c r="AI53" s="188" t="s">
        <v>3163</v>
      </c>
      <c r="AJ53" s="188" t="s">
        <v>2860</v>
      </c>
      <c r="AK53" s="188" t="s">
        <v>2970</v>
      </c>
      <c r="AL53" s="188" t="s">
        <v>3163</v>
      </c>
      <c r="AM53" s="188" t="s">
        <v>2860</v>
      </c>
      <c r="AN53" s="188" t="s">
        <v>2970</v>
      </c>
      <c r="AO53" s="188" t="s">
        <v>3163</v>
      </c>
      <c r="AP53" s="188" t="s">
        <v>2860</v>
      </c>
      <c r="AQ53" s="188" t="s">
        <v>2970</v>
      </c>
      <c r="AR53" s="188" t="s">
        <v>3163</v>
      </c>
      <c r="AS53" s="188" t="s">
        <v>2860</v>
      </c>
      <c r="AT53" s="188" t="s">
        <v>2970</v>
      </c>
      <c r="AU53" s="188" t="s">
        <v>3163</v>
      </c>
      <c r="AV53" s="188" t="s">
        <v>2860</v>
      </c>
      <c r="AW53" s="188" t="s">
        <v>2970</v>
      </c>
      <c r="AX53" s="188" t="s">
        <v>3163</v>
      </c>
      <c r="AY53" s="188" t="s">
        <v>2860</v>
      </c>
      <c r="AZ53" s="188" t="s">
        <v>2970</v>
      </c>
      <c r="BA53" s="188" t="s">
        <v>3163</v>
      </c>
      <c r="BB53" s="188" t="s">
        <v>2860</v>
      </c>
      <c r="BC53" s="188" t="s">
        <v>2970</v>
      </c>
      <c r="BD53" s="188" t="s">
        <v>3163</v>
      </c>
      <c r="BE53" s="188" t="s">
        <v>2860</v>
      </c>
      <c r="BF53" s="188" t="s">
        <v>2970</v>
      </c>
      <c r="BG53" s="188" t="s">
        <v>3163</v>
      </c>
      <c r="BH53" s="188" t="s">
        <v>2860</v>
      </c>
      <c r="BI53" s="188" t="s">
        <v>2970</v>
      </c>
      <c r="BJ53" s="188" t="s">
        <v>3163</v>
      </c>
      <c r="BK53" s="188" t="s">
        <v>2860</v>
      </c>
      <c r="BL53" s="188" t="s">
        <v>2970</v>
      </c>
      <c r="BM53" s="188" t="s">
        <v>3163</v>
      </c>
      <c r="BN53" s="188" t="s">
        <v>2860</v>
      </c>
      <c r="BO53" s="188" t="s">
        <v>2970</v>
      </c>
      <c r="BP53" s="188" t="s">
        <v>3163</v>
      </c>
      <c r="BQ53" s="188" t="s">
        <v>2860</v>
      </c>
      <c r="BR53" s="188" t="s">
        <v>2970</v>
      </c>
      <c r="BS53" s="188" t="s">
        <v>3163</v>
      </c>
      <c r="BT53" s="188" t="s">
        <v>2860</v>
      </c>
      <c r="BU53" s="188" t="s">
        <v>2970</v>
      </c>
      <c r="BV53" s="188" t="s">
        <v>3163</v>
      </c>
      <c r="BW53" s="188" t="s">
        <v>2860</v>
      </c>
      <c r="BX53" s="188" t="s">
        <v>2970</v>
      </c>
      <c r="BY53" s="188" t="s">
        <v>3163</v>
      </c>
      <c r="BZ53" s="188" t="s">
        <v>2860</v>
      </c>
      <c r="CA53" s="188" t="s">
        <v>2970</v>
      </c>
      <c r="CB53" s="188" t="s">
        <v>3163</v>
      </c>
      <c r="CC53" s="188" t="s">
        <v>2860</v>
      </c>
      <c r="CD53" s="188" t="s">
        <v>2970</v>
      </c>
      <c r="CE53" s="188" t="s">
        <v>3163</v>
      </c>
      <c r="CF53" s="188" t="s">
        <v>2860</v>
      </c>
      <c r="CG53" s="188" t="s">
        <v>2970</v>
      </c>
      <c r="CH53" s="188" t="s">
        <v>3163</v>
      </c>
      <c r="CI53" s="188" t="s">
        <v>2860</v>
      </c>
      <c r="CJ53" s="188" t="s">
        <v>2970</v>
      </c>
      <c r="CK53" s="188" t="s">
        <v>3163</v>
      </c>
      <c r="CL53" s="188" t="s">
        <v>2860</v>
      </c>
      <c r="CM53" s="188" t="s">
        <v>2970</v>
      </c>
      <c r="CN53" s="188" t="s">
        <v>3174</v>
      </c>
      <c r="CO53" s="188" t="s">
        <v>3175</v>
      </c>
      <c r="CP53" s="188" t="s">
        <v>2970</v>
      </c>
      <c r="CQ53" s="188" t="s">
        <v>3163</v>
      </c>
      <c r="CR53" s="188" t="s">
        <v>2860</v>
      </c>
      <c r="CS53" s="188" t="s">
        <v>2970</v>
      </c>
      <c r="CT53" s="188" t="s">
        <v>3163</v>
      </c>
      <c r="CU53" s="188" t="s">
        <v>2860</v>
      </c>
      <c r="CV53" s="188" t="s">
        <v>2970</v>
      </c>
      <c r="CW53" s="188" t="s">
        <v>3163</v>
      </c>
      <c r="CX53" s="188" t="s">
        <v>2860</v>
      </c>
      <c r="CY53" s="188" t="s">
        <v>2970</v>
      </c>
      <c r="CZ53" s="188" t="s">
        <v>3163</v>
      </c>
      <c r="DA53" s="188" t="s">
        <v>2860</v>
      </c>
      <c r="DB53" s="188" t="s">
        <v>2970</v>
      </c>
      <c r="DC53" s="188" t="s">
        <v>3163</v>
      </c>
      <c r="DD53" s="188" t="s">
        <v>2860</v>
      </c>
      <c r="DE53" s="188" t="s">
        <v>2970</v>
      </c>
      <c r="DF53" s="188" t="s">
        <v>3236</v>
      </c>
      <c r="DG53" s="188" t="s">
        <v>3237</v>
      </c>
      <c r="DH53" s="188" t="s">
        <v>2970</v>
      </c>
      <c r="DI53" s="188" t="s">
        <v>3163</v>
      </c>
      <c r="DJ53" s="188" t="s">
        <v>2860</v>
      </c>
      <c r="DK53" s="188" t="s">
        <v>2970</v>
      </c>
      <c r="DL53" s="188" t="s">
        <v>3163</v>
      </c>
      <c r="DM53" s="188" t="s">
        <v>2860</v>
      </c>
      <c r="DN53" s="188" t="s">
        <v>2970</v>
      </c>
      <c r="DO53" s="188" t="s">
        <v>3163</v>
      </c>
      <c r="DP53" s="188" t="s">
        <v>2860</v>
      </c>
      <c r="DQ53" s="188" t="s">
        <v>2970</v>
      </c>
      <c r="DR53" s="188" t="s">
        <v>3216</v>
      </c>
      <c r="DS53" s="188" t="s">
        <v>3222</v>
      </c>
      <c r="DT53" s="188" t="s">
        <v>2970</v>
      </c>
      <c r="DU53" s="188" t="s">
        <v>3238</v>
      </c>
      <c r="DV53" s="188" t="s">
        <v>3239</v>
      </c>
      <c r="DW53" s="188" t="s">
        <v>2970</v>
      </c>
      <c r="DX53" s="188" t="s">
        <v>2860</v>
      </c>
      <c r="DY53" s="188" t="s">
        <v>3183</v>
      </c>
      <c r="DZ53" s="188" t="s">
        <v>2970</v>
      </c>
      <c r="EA53" s="188" t="s">
        <v>3216</v>
      </c>
      <c r="EB53" s="188" t="s">
        <v>3217</v>
      </c>
      <c r="EC53" s="188" t="s">
        <v>2970</v>
      </c>
      <c r="ED53" s="188" t="s">
        <v>3240</v>
      </c>
      <c r="EE53" s="188" t="s">
        <v>2860</v>
      </c>
      <c r="EF53" s="188" t="s">
        <v>2970</v>
      </c>
      <c r="EG53" s="188" t="s">
        <v>3185</v>
      </c>
      <c r="EH53" s="188" t="s">
        <v>2860</v>
      </c>
      <c r="EI53" s="188" t="s">
        <v>2970</v>
      </c>
      <c r="EJ53" s="188" t="s">
        <v>3241</v>
      </c>
      <c r="EK53" s="188" t="s">
        <v>3242</v>
      </c>
      <c r="EL53" s="188" t="s">
        <v>2970</v>
      </c>
      <c r="EM53" s="188" t="s">
        <v>3243</v>
      </c>
      <c r="EN53" s="188" t="s">
        <v>3244</v>
      </c>
      <c r="EO53" s="188" t="s">
        <v>2970</v>
      </c>
      <c r="EP53" s="188" t="s">
        <v>3229</v>
      </c>
      <c r="EQ53" s="188" t="s">
        <v>3230</v>
      </c>
      <c r="ER53" s="188" t="s">
        <v>2970</v>
      </c>
      <c r="ES53" s="188" t="s">
        <v>2860</v>
      </c>
      <c r="ET53" s="188" t="s">
        <v>3245</v>
      </c>
    </row>
    <row r="54" spans="1:150" x14ac:dyDescent="0.3">
      <c r="A54" s="1"/>
      <c r="B54" s="186" t="s">
        <v>3246</v>
      </c>
      <c r="C54" s="186" t="s">
        <v>130</v>
      </c>
      <c r="D54" s="186" t="s">
        <v>133</v>
      </c>
      <c r="E54" s="186" t="s">
        <v>3247</v>
      </c>
      <c r="F54" s="186" t="s">
        <v>3248</v>
      </c>
      <c r="G54" s="186" t="s">
        <v>2970</v>
      </c>
      <c r="H54" s="186" t="s">
        <v>3249</v>
      </c>
      <c r="I54" s="186" t="s">
        <v>3250</v>
      </c>
      <c r="J54" s="186" t="s">
        <v>2970</v>
      </c>
      <c r="K54" s="186" t="s">
        <v>3249</v>
      </c>
      <c r="L54" s="186" t="s">
        <v>3250</v>
      </c>
      <c r="M54" s="186" t="s">
        <v>2970</v>
      </c>
      <c r="N54" s="186" t="s">
        <v>3249</v>
      </c>
      <c r="O54" s="186" t="s">
        <v>3250</v>
      </c>
      <c r="P54" s="186" t="s">
        <v>2970</v>
      </c>
      <c r="Q54" s="186" t="s">
        <v>3249</v>
      </c>
      <c r="R54" s="186" t="s">
        <v>3250</v>
      </c>
      <c r="S54" s="186" t="s">
        <v>2970</v>
      </c>
      <c r="T54" s="186" t="s">
        <v>3249</v>
      </c>
      <c r="U54" s="186" t="s">
        <v>3251</v>
      </c>
      <c r="V54" s="186" t="s">
        <v>2970</v>
      </c>
      <c r="W54" s="186" t="s">
        <v>3252</v>
      </c>
      <c r="X54" s="186" t="s">
        <v>3250</v>
      </c>
      <c r="Y54" s="186" t="s">
        <v>2970</v>
      </c>
      <c r="Z54" s="186" t="s">
        <v>3249</v>
      </c>
      <c r="AA54" s="186" t="s">
        <v>2860</v>
      </c>
      <c r="AB54" s="186" t="s">
        <v>2970</v>
      </c>
      <c r="AC54" s="186" t="s">
        <v>3249</v>
      </c>
      <c r="AD54" s="186" t="s">
        <v>3250</v>
      </c>
      <c r="AE54" s="186" t="s">
        <v>2970</v>
      </c>
      <c r="AF54" s="186" t="s">
        <v>3249</v>
      </c>
      <c r="AG54" s="186" t="s">
        <v>3250</v>
      </c>
      <c r="AH54" s="186" t="s">
        <v>2970</v>
      </c>
      <c r="AI54" s="186" t="s">
        <v>3249</v>
      </c>
      <c r="AJ54" s="186" t="s">
        <v>3250</v>
      </c>
      <c r="AK54" s="186" t="s">
        <v>2970</v>
      </c>
      <c r="AL54" s="186" t="s">
        <v>3249</v>
      </c>
      <c r="AM54" s="186" t="s">
        <v>3250</v>
      </c>
      <c r="AN54" s="186" t="s">
        <v>2970</v>
      </c>
      <c r="AO54" s="186" t="s">
        <v>3249</v>
      </c>
      <c r="AP54" s="186" t="s">
        <v>3250</v>
      </c>
      <c r="AQ54" s="186" t="s">
        <v>2970</v>
      </c>
      <c r="AR54" s="186" t="s">
        <v>3249</v>
      </c>
      <c r="AS54" s="186" t="s">
        <v>3250</v>
      </c>
      <c r="AT54" s="186" t="s">
        <v>2970</v>
      </c>
      <c r="AU54" s="186" t="s">
        <v>3249</v>
      </c>
      <c r="AV54" s="186" t="s">
        <v>3250</v>
      </c>
      <c r="AW54" s="186" t="s">
        <v>2970</v>
      </c>
      <c r="AX54" s="186" t="s">
        <v>3249</v>
      </c>
      <c r="AY54" s="186" t="s">
        <v>3250</v>
      </c>
      <c r="AZ54" s="186" t="s">
        <v>2970</v>
      </c>
      <c r="BA54" s="186" t="s">
        <v>3249</v>
      </c>
      <c r="BB54" s="186" t="s">
        <v>3250</v>
      </c>
      <c r="BC54" s="186" t="s">
        <v>2970</v>
      </c>
      <c r="BD54" s="186" t="s">
        <v>3249</v>
      </c>
      <c r="BE54" s="186" t="s">
        <v>3250</v>
      </c>
      <c r="BF54" s="186" t="s">
        <v>2970</v>
      </c>
      <c r="BG54" s="186" t="s">
        <v>3249</v>
      </c>
      <c r="BH54" s="186" t="s">
        <v>3250</v>
      </c>
      <c r="BI54" s="186" t="s">
        <v>2970</v>
      </c>
      <c r="BJ54" s="186" t="s">
        <v>3249</v>
      </c>
      <c r="BK54" s="186" t="s">
        <v>3250</v>
      </c>
      <c r="BL54" s="186" t="s">
        <v>2970</v>
      </c>
      <c r="BM54" s="186" t="s">
        <v>3249</v>
      </c>
      <c r="BN54" s="186" t="s">
        <v>3250</v>
      </c>
      <c r="BO54" s="186" t="s">
        <v>2970</v>
      </c>
      <c r="BP54" s="186" t="s">
        <v>3249</v>
      </c>
      <c r="BQ54" s="186" t="s">
        <v>3250</v>
      </c>
      <c r="BR54" s="186" t="s">
        <v>2970</v>
      </c>
      <c r="BS54" s="186" t="s">
        <v>3249</v>
      </c>
      <c r="BT54" s="186" t="s">
        <v>3250</v>
      </c>
      <c r="BU54" s="186" t="s">
        <v>2970</v>
      </c>
      <c r="BV54" s="186" t="s">
        <v>3249</v>
      </c>
      <c r="BW54" s="186" t="s">
        <v>3250</v>
      </c>
      <c r="BX54" s="186" t="s">
        <v>2970</v>
      </c>
      <c r="BY54" s="186" t="s">
        <v>3249</v>
      </c>
      <c r="BZ54" s="186" t="s">
        <v>3250</v>
      </c>
      <c r="CA54" s="186" t="s">
        <v>2970</v>
      </c>
      <c r="CB54" s="186" t="s">
        <v>3249</v>
      </c>
      <c r="CC54" s="186" t="s">
        <v>3250</v>
      </c>
      <c r="CD54" s="186" t="s">
        <v>2970</v>
      </c>
      <c r="CE54" s="186" t="s">
        <v>3249</v>
      </c>
      <c r="CF54" s="186" t="s">
        <v>3250</v>
      </c>
      <c r="CG54" s="186" t="s">
        <v>2970</v>
      </c>
      <c r="CH54" s="186" t="s">
        <v>3249</v>
      </c>
      <c r="CI54" s="186" t="s">
        <v>3250</v>
      </c>
      <c r="CJ54" s="186" t="s">
        <v>2970</v>
      </c>
      <c r="CK54" s="186" t="s">
        <v>3249</v>
      </c>
      <c r="CL54" s="186" t="s">
        <v>3250</v>
      </c>
      <c r="CM54" s="186" t="s">
        <v>2970</v>
      </c>
      <c r="CN54" s="186" t="s">
        <v>3253</v>
      </c>
      <c r="CO54" s="186" t="s">
        <v>3250</v>
      </c>
      <c r="CP54" s="186" t="s">
        <v>2970</v>
      </c>
      <c r="CQ54" s="186" t="s">
        <v>3249</v>
      </c>
      <c r="CR54" s="186" t="s">
        <v>2860</v>
      </c>
      <c r="CS54" s="186" t="s">
        <v>2970</v>
      </c>
      <c r="CT54" s="186" t="s">
        <v>3249</v>
      </c>
      <c r="CU54" s="186" t="s">
        <v>3250</v>
      </c>
      <c r="CV54" s="186" t="s">
        <v>2970</v>
      </c>
      <c r="CW54" s="186" t="s">
        <v>3249</v>
      </c>
      <c r="CX54" s="186" t="s">
        <v>3250</v>
      </c>
      <c r="CY54" s="186" t="s">
        <v>2970</v>
      </c>
      <c r="CZ54" s="186" t="s">
        <v>3249</v>
      </c>
      <c r="DA54" s="186" t="s">
        <v>3250</v>
      </c>
      <c r="DB54" s="186" t="s">
        <v>2970</v>
      </c>
      <c r="DC54" s="186" t="s">
        <v>3249</v>
      </c>
      <c r="DD54" s="186" t="s">
        <v>3250</v>
      </c>
      <c r="DE54" s="186" t="s">
        <v>2970</v>
      </c>
      <c r="DF54" s="186" t="s">
        <v>3249</v>
      </c>
      <c r="DG54" s="186" t="s">
        <v>3250</v>
      </c>
      <c r="DH54" s="186" t="s">
        <v>2970</v>
      </c>
      <c r="DI54" s="186" t="s">
        <v>3249</v>
      </c>
      <c r="DJ54" s="186" t="s">
        <v>3250</v>
      </c>
      <c r="DK54" s="186" t="s">
        <v>2970</v>
      </c>
      <c r="DL54" s="186" t="s">
        <v>3249</v>
      </c>
      <c r="DM54" s="186" t="s">
        <v>3250</v>
      </c>
      <c r="DN54" s="186" t="s">
        <v>2970</v>
      </c>
      <c r="DO54" s="186" t="s">
        <v>3249</v>
      </c>
      <c r="DP54" s="186" t="s">
        <v>3250</v>
      </c>
      <c r="DQ54" s="186" t="s">
        <v>2970</v>
      </c>
      <c r="DR54" s="186" t="s">
        <v>3249</v>
      </c>
      <c r="DS54" s="186" t="s">
        <v>3250</v>
      </c>
      <c r="DT54" s="186" t="s">
        <v>2970</v>
      </c>
      <c r="DU54" s="186" t="s">
        <v>3249</v>
      </c>
      <c r="DV54" s="186" t="s">
        <v>3250</v>
      </c>
      <c r="DW54" s="186" t="s">
        <v>2970</v>
      </c>
      <c r="DX54" s="186" t="s">
        <v>3249</v>
      </c>
      <c r="DY54" s="186" t="s">
        <v>3250</v>
      </c>
      <c r="DZ54" s="186" t="s">
        <v>2970</v>
      </c>
      <c r="EA54" s="186" t="s">
        <v>3249</v>
      </c>
      <c r="EB54" s="186" t="s">
        <v>3250</v>
      </c>
      <c r="EC54" s="186" t="s">
        <v>2970</v>
      </c>
      <c r="ED54" s="186" t="s">
        <v>3014</v>
      </c>
      <c r="EE54" s="186" t="s">
        <v>3250</v>
      </c>
      <c r="EF54" s="186" t="s">
        <v>2970</v>
      </c>
      <c r="EG54" s="186" t="s">
        <v>2860</v>
      </c>
      <c r="EH54" s="186" t="s">
        <v>3250</v>
      </c>
      <c r="EI54" s="186" t="s">
        <v>2970</v>
      </c>
      <c r="EJ54" s="186" t="s">
        <v>2860</v>
      </c>
      <c r="EK54" s="186" t="s">
        <v>2860</v>
      </c>
      <c r="EL54" s="186" t="s">
        <v>2970</v>
      </c>
      <c r="EM54" s="186" t="s">
        <v>2860</v>
      </c>
      <c r="EN54" s="186" t="s">
        <v>2860</v>
      </c>
      <c r="EO54" s="186" t="s">
        <v>2970</v>
      </c>
      <c r="EP54" s="186" t="s">
        <v>3249</v>
      </c>
      <c r="EQ54" s="186" t="s">
        <v>2860</v>
      </c>
      <c r="ER54" s="186" t="s">
        <v>2970</v>
      </c>
      <c r="ES54" s="186" t="s">
        <v>3249</v>
      </c>
      <c r="ET54" s="186" t="s">
        <v>3254</v>
      </c>
    </row>
    <row r="55" spans="1:150" x14ac:dyDescent="0.3">
      <c r="A55" s="1"/>
      <c r="B55" s="187" t="s">
        <v>3255</v>
      </c>
      <c r="C55" s="187" t="s">
        <v>130</v>
      </c>
      <c r="D55" s="187" t="s">
        <v>133</v>
      </c>
      <c r="E55" s="187" t="s">
        <v>3256</v>
      </c>
      <c r="F55" s="187" t="s">
        <v>3257</v>
      </c>
      <c r="G55" s="188" t="s">
        <v>2970</v>
      </c>
      <c r="H55" s="188" t="s">
        <v>2860</v>
      </c>
      <c r="I55" s="188" t="s">
        <v>2860</v>
      </c>
      <c r="J55" s="188" t="s">
        <v>2970</v>
      </c>
      <c r="K55" s="188" t="s">
        <v>2860</v>
      </c>
      <c r="L55" s="188" t="s">
        <v>2860</v>
      </c>
      <c r="M55" s="188" t="s">
        <v>2970</v>
      </c>
      <c r="N55" s="188" t="s">
        <v>2860</v>
      </c>
      <c r="O55" s="188" t="s">
        <v>2860</v>
      </c>
      <c r="P55" s="188" t="s">
        <v>2970</v>
      </c>
      <c r="Q55" s="188" t="s">
        <v>2860</v>
      </c>
      <c r="R55" s="188" t="s">
        <v>2860</v>
      </c>
      <c r="S55" s="188" t="s">
        <v>2970</v>
      </c>
      <c r="T55" s="188" t="s">
        <v>2860</v>
      </c>
      <c r="U55" s="188" t="s">
        <v>2860</v>
      </c>
      <c r="V55" s="188" t="s">
        <v>2970</v>
      </c>
      <c r="W55" s="188" t="s">
        <v>2860</v>
      </c>
      <c r="X55" s="188" t="s">
        <v>2860</v>
      </c>
      <c r="Y55" s="188" t="s">
        <v>2970</v>
      </c>
      <c r="Z55" s="188" t="s">
        <v>2860</v>
      </c>
      <c r="AA55" s="188" t="s">
        <v>2860</v>
      </c>
      <c r="AB55" s="188" t="s">
        <v>2970</v>
      </c>
      <c r="AC55" s="188" t="s">
        <v>2860</v>
      </c>
      <c r="AD55" s="188" t="s">
        <v>2860</v>
      </c>
      <c r="AE55" s="188" t="s">
        <v>2970</v>
      </c>
      <c r="AF55" s="188" t="s">
        <v>2860</v>
      </c>
      <c r="AG55" s="188" t="s">
        <v>2860</v>
      </c>
      <c r="AH55" s="188" t="s">
        <v>2970</v>
      </c>
      <c r="AI55" s="188" t="s">
        <v>2860</v>
      </c>
      <c r="AJ55" s="188" t="s">
        <v>2860</v>
      </c>
      <c r="AK55" s="188" t="s">
        <v>2970</v>
      </c>
      <c r="AL55" s="188" t="s">
        <v>2860</v>
      </c>
      <c r="AM55" s="188" t="s">
        <v>2860</v>
      </c>
      <c r="AN55" s="188" t="s">
        <v>2970</v>
      </c>
      <c r="AO55" s="188" t="s">
        <v>2860</v>
      </c>
      <c r="AP55" s="188" t="s">
        <v>2860</v>
      </c>
      <c r="AQ55" s="188" t="s">
        <v>2970</v>
      </c>
      <c r="AR55" s="188" t="s">
        <v>2860</v>
      </c>
      <c r="AS55" s="188" t="s">
        <v>2860</v>
      </c>
      <c r="AT55" s="188" t="s">
        <v>2970</v>
      </c>
      <c r="AU55" s="188" t="s">
        <v>2860</v>
      </c>
      <c r="AV55" s="188" t="s">
        <v>2860</v>
      </c>
      <c r="AW55" s="188" t="s">
        <v>2970</v>
      </c>
      <c r="AX55" s="188" t="s">
        <v>2860</v>
      </c>
      <c r="AY55" s="188" t="s">
        <v>2860</v>
      </c>
      <c r="AZ55" s="188" t="s">
        <v>2970</v>
      </c>
      <c r="BA55" s="188" t="s">
        <v>2860</v>
      </c>
      <c r="BB55" s="188" t="s">
        <v>2860</v>
      </c>
      <c r="BC55" s="188" t="s">
        <v>2970</v>
      </c>
      <c r="BD55" s="188" t="s">
        <v>2860</v>
      </c>
      <c r="BE55" s="188" t="s">
        <v>2860</v>
      </c>
      <c r="BF55" s="188" t="s">
        <v>2970</v>
      </c>
      <c r="BG55" s="188" t="s">
        <v>2860</v>
      </c>
      <c r="BH55" s="188" t="s">
        <v>2860</v>
      </c>
      <c r="BI55" s="188" t="s">
        <v>2970</v>
      </c>
      <c r="BJ55" s="188" t="s">
        <v>2860</v>
      </c>
      <c r="BK55" s="188" t="s">
        <v>2860</v>
      </c>
      <c r="BL55" s="188" t="s">
        <v>2970</v>
      </c>
      <c r="BM55" s="188" t="s">
        <v>2860</v>
      </c>
      <c r="BN55" s="188" t="s">
        <v>2860</v>
      </c>
      <c r="BO55" s="188" t="s">
        <v>2970</v>
      </c>
      <c r="BP55" s="188" t="s">
        <v>2860</v>
      </c>
      <c r="BQ55" s="188" t="s">
        <v>2860</v>
      </c>
      <c r="BR55" s="188" t="s">
        <v>2970</v>
      </c>
      <c r="BS55" s="188" t="s">
        <v>2860</v>
      </c>
      <c r="BT55" s="188" t="s">
        <v>2860</v>
      </c>
      <c r="BU55" s="188" t="s">
        <v>2970</v>
      </c>
      <c r="BV55" s="188" t="s">
        <v>2860</v>
      </c>
      <c r="BW55" s="188" t="s">
        <v>2860</v>
      </c>
      <c r="BX55" s="188" t="s">
        <v>2970</v>
      </c>
      <c r="BY55" s="188" t="s">
        <v>2860</v>
      </c>
      <c r="BZ55" s="188" t="s">
        <v>2860</v>
      </c>
      <c r="CA55" s="188" t="s">
        <v>2970</v>
      </c>
      <c r="CB55" s="188" t="s">
        <v>2860</v>
      </c>
      <c r="CC55" s="188" t="s">
        <v>2860</v>
      </c>
      <c r="CD55" s="188" t="s">
        <v>2970</v>
      </c>
      <c r="CE55" s="188" t="s">
        <v>2860</v>
      </c>
      <c r="CF55" s="188" t="s">
        <v>2860</v>
      </c>
      <c r="CG55" s="188" t="s">
        <v>2970</v>
      </c>
      <c r="CH55" s="188" t="s">
        <v>2860</v>
      </c>
      <c r="CI55" s="188" t="s">
        <v>2860</v>
      </c>
      <c r="CJ55" s="188" t="s">
        <v>2970</v>
      </c>
      <c r="CK55" s="188" t="s">
        <v>2860</v>
      </c>
      <c r="CL55" s="188" t="s">
        <v>2860</v>
      </c>
      <c r="CM55" s="188" t="s">
        <v>2970</v>
      </c>
      <c r="CN55" s="188" t="s">
        <v>2860</v>
      </c>
      <c r="CO55" s="188" t="s">
        <v>2860</v>
      </c>
      <c r="CP55" s="188" t="s">
        <v>2970</v>
      </c>
      <c r="CQ55" s="188" t="s">
        <v>2860</v>
      </c>
      <c r="CR55" s="188" t="s">
        <v>2860</v>
      </c>
      <c r="CS55" s="188" t="s">
        <v>2970</v>
      </c>
      <c r="CT55" s="188" t="s">
        <v>2860</v>
      </c>
      <c r="CU55" s="188" t="s">
        <v>2860</v>
      </c>
      <c r="CV55" s="188" t="s">
        <v>2970</v>
      </c>
      <c r="CW55" s="188" t="s">
        <v>2860</v>
      </c>
      <c r="CX55" s="188" t="s">
        <v>2860</v>
      </c>
      <c r="CY55" s="188" t="s">
        <v>2970</v>
      </c>
      <c r="CZ55" s="188" t="s">
        <v>2860</v>
      </c>
      <c r="DA55" s="188" t="s">
        <v>2860</v>
      </c>
      <c r="DB55" s="188" t="s">
        <v>2970</v>
      </c>
      <c r="DC55" s="188" t="s">
        <v>2860</v>
      </c>
      <c r="DD55" s="188" t="s">
        <v>2860</v>
      </c>
      <c r="DE55" s="188" t="s">
        <v>2970</v>
      </c>
      <c r="DF55" s="188" t="s">
        <v>2860</v>
      </c>
      <c r="DG55" s="188" t="s">
        <v>2860</v>
      </c>
      <c r="DH55" s="188" t="s">
        <v>2970</v>
      </c>
      <c r="DI55" s="188" t="s">
        <v>2860</v>
      </c>
      <c r="DJ55" s="188" t="s">
        <v>2860</v>
      </c>
      <c r="DK55" s="188" t="s">
        <v>2970</v>
      </c>
      <c r="DL55" s="188" t="s">
        <v>2860</v>
      </c>
      <c r="DM55" s="188" t="s">
        <v>2860</v>
      </c>
      <c r="DN55" s="188" t="s">
        <v>2970</v>
      </c>
      <c r="DO55" s="188" t="s">
        <v>2860</v>
      </c>
      <c r="DP55" s="188" t="s">
        <v>2860</v>
      </c>
      <c r="DQ55" s="188" t="s">
        <v>2970</v>
      </c>
      <c r="DR55" s="188" t="s">
        <v>2860</v>
      </c>
      <c r="DS55" s="188" t="s">
        <v>2860</v>
      </c>
      <c r="DT55" s="188" t="s">
        <v>2970</v>
      </c>
      <c r="DU55" s="188" t="s">
        <v>2860</v>
      </c>
      <c r="DV55" s="188" t="s">
        <v>2860</v>
      </c>
      <c r="DW55" s="188" t="s">
        <v>2970</v>
      </c>
      <c r="DX55" s="188" t="s">
        <v>2860</v>
      </c>
      <c r="DY55" s="188" t="s">
        <v>2860</v>
      </c>
      <c r="DZ55" s="188" t="s">
        <v>2970</v>
      </c>
      <c r="EA55" s="188" t="s">
        <v>2860</v>
      </c>
      <c r="EB55" s="188" t="s">
        <v>2860</v>
      </c>
      <c r="EC55" s="188" t="s">
        <v>2970</v>
      </c>
      <c r="ED55" s="188" t="s">
        <v>2860</v>
      </c>
      <c r="EE55" s="188" t="s">
        <v>2860</v>
      </c>
      <c r="EF55" s="188" t="s">
        <v>2970</v>
      </c>
      <c r="EG55" s="188" t="s">
        <v>2860</v>
      </c>
      <c r="EH55" s="188" t="s">
        <v>2860</v>
      </c>
      <c r="EI55" s="188" t="s">
        <v>2970</v>
      </c>
      <c r="EJ55" s="188" t="s">
        <v>2860</v>
      </c>
      <c r="EK55" s="188" t="s">
        <v>2860</v>
      </c>
      <c r="EL55" s="188" t="s">
        <v>2970</v>
      </c>
      <c r="EM55" s="188" t="s">
        <v>2860</v>
      </c>
      <c r="EN55" s="188" t="s">
        <v>2860</v>
      </c>
      <c r="EO55" s="188" t="s">
        <v>2970</v>
      </c>
      <c r="EP55" s="188" t="s">
        <v>2860</v>
      </c>
      <c r="EQ55" s="188" t="s">
        <v>2860</v>
      </c>
      <c r="ER55" s="188" t="s">
        <v>2970</v>
      </c>
      <c r="ES55" s="188" t="s">
        <v>2860</v>
      </c>
      <c r="ET55" s="188" t="s">
        <v>2860</v>
      </c>
    </row>
    <row r="56" spans="1:150" x14ac:dyDescent="0.3">
      <c r="A56" s="1"/>
      <c r="B56" s="187" t="s">
        <v>3258</v>
      </c>
      <c r="C56" s="187" t="s">
        <v>130</v>
      </c>
      <c r="D56" s="187" t="s">
        <v>133</v>
      </c>
      <c r="E56" s="187" t="s">
        <v>3259</v>
      </c>
      <c r="F56" s="187" t="s">
        <v>3260</v>
      </c>
      <c r="G56" s="188" t="s">
        <v>2970</v>
      </c>
      <c r="H56" s="188" t="s">
        <v>3249</v>
      </c>
      <c r="I56" s="188" t="s">
        <v>3250</v>
      </c>
      <c r="J56" s="188" t="s">
        <v>2970</v>
      </c>
      <c r="K56" s="188" t="s">
        <v>3249</v>
      </c>
      <c r="L56" s="188" t="s">
        <v>3250</v>
      </c>
      <c r="M56" s="188" t="s">
        <v>2970</v>
      </c>
      <c r="N56" s="188" t="s">
        <v>3249</v>
      </c>
      <c r="O56" s="188" t="s">
        <v>3250</v>
      </c>
      <c r="P56" s="188" t="s">
        <v>2970</v>
      </c>
      <c r="Q56" s="188" t="s">
        <v>3249</v>
      </c>
      <c r="R56" s="188" t="s">
        <v>3250</v>
      </c>
      <c r="S56" s="188" t="s">
        <v>2970</v>
      </c>
      <c r="T56" s="188" t="s">
        <v>3249</v>
      </c>
      <c r="U56" s="188" t="s">
        <v>3251</v>
      </c>
      <c r="V56" s="188" t="s">
        <v>2970</v>
      </c>
      <c r="W56" s="188" t="s">
        <v>3252</v>
      </c>
      <c r="X56" s="188" t="s">
        <v>3250</v>
      </c>
      <c r="Y56" s="188" t="s">
        <v>2970</v>
      </c>
      <c r="Z56" s="188" t="s">
        <v>3249</v>
      </c>
      <c r="AA56" s="188" t="s">
        <v>2860</v>
      </c>
      <c r="AB56" s="188" t="s">
        <v>2970</v>
      </c>
      <c r="AC56" s="188" t="s">
        <v>3249</v>
      </c>
      <c r="AD56" s="188" t="s">
        <v>3250</v>
      </c>
      <c r="AE56" s="188" t="s">
        <v>2970</v>
      </c>
      <c r="AF56" s="188" t="s">
        <v>3249</v>
      </c>
      <c r="AG56" s="188" t="s">
        <v>3250</v>
      </c>
      <c r="AH56" s="188" t="s">
        <v>2970</v>
      </c>
      <c r="AI56" s="188" t="s">
        <v>3249</v>
      </c>
      <c r="AJ56" s="188" t="s">
        <v>3250</v>
      </c>
      <c r="AK56" s="188" t="s">
        <v>2970</v>
      </c>
      <c r="AL56" s="188" t="s">
        <v>3249</v>
      </c>
      <c r="AM56" s="188" t="s">
        <v>3250</v>
      </c>
      <c r="AN56" s="188" t="s">
        <v>2970</v>
      </c>
      <c r="AO56" s="188" t="s">
        <v>3249</v>
      </c>
      <c r="AP56" s="188" t="s">
        <v>3250</v>
      </c>
      <c r="AQ56" s="188" t="s">
        <v>2970</v>
      </c>
      <c r="AR56" s="188" t="s">
        <v>3249</v>
      </c>
      <c r="AS56" s="188" t="s">
        <v>3250</v>
      </c>
      <c r="AT56" s="188" t="s">
        <v>2970</v>
      </c>
      <c r="AU56" s="188" t="s">
        <v>3249</v>
      </c>
      <c r="AV56" s="188" t="s">
        <v>3250</v>
      </c>
      <c r="AW56" s="188" t="s">
        <v>2970</v>
      </c>
      <c r="AX56" s="188" t="s">
        <v>3249</v>
      </c>
      <c r="AY56" s="188" t="s">
        <v>3250</v>
      </c>
      <c r="AZ56" s="188" t="s">
        <v>2970</v>
      </c>
      <c r="BA56" s="188" t="s">
        <v>3249</v>
      </c>
      <c r="BB56" s="188" t="s">
        <v>3250</v>
      </c>
      <c r="BC56" s="188" t="s">
        <v>2970</v>
      </c>
      <c r="BD56" s="188" t="s">
        <v>3249</v>
      </c>
      <c r="BE56" s="188" t="s">
        <v>3250</v>
      </c>
      <c r="BF56" s="188" t="s">
        <v>2970</v>
      </c>
      <c r="BG56" s="188" t="s">
        <v>3249</v>
      </c>
      <c r="BH56" s="188" t="s">
        <v>3250</v>
      </c>
      <c r="BI56" s="188" t="s">
        <v>2970</v>
      </c>
      <c r="BJ56" s="188" t="s">
        <v>3249</v>
      </c>
      <c r="BK56" s="188" t="s">
        <v>3250</v>
      </c>
      <c r="BL56" s="188" t="s">
        <v>2970</v>
      </c>
      <c r="BM56" s="188" t="s">
        <v>3249</v>
      </c>
      <c r="BN56" s="188" t="s">
        <v>3250</v>
      </c>
      <c r="BO56" s="188" t="s">
        <v>2970</v>
      </c>
      <c r="BP56" s="188" t="s">
        <v>3249</v>
      </c>
      <c r="BQ56" s="188" t="s">
        <v>3250</v>
      </c>
      <c r="BR56" s="188" t="s">
        <v>2970</v>
      </c>
      <c r="BS56" s="188" t="s">
        <v>3249</v>
      </c>
      <c r="BT56" s="188" t="s">
        <v>3250</v>
      </c>
      <c r="BU56" s="188" t="s">
        <v>2970</v>
      </c>
      <c r="BV56" s="188" t="s">
        <v>3249</v>
      </c>
      <c r="BW56" s="188" t="s">
        <v>3250</v>
      </c>
      <c r="BX56" s="188" t="s">
        <v>2970</v>
      </c>
      <c r="BY56" s="188" t="s">
        <v>3249</v>
      </c>
      <c r="BZ56" s="188" t="s">
        <v>3250</v>
      </c>
      <c r="CA56" s="188" t="s">
        <v>2970</v>
      </c>
      <c r="CB56" s="188" t="s">
        <v>3249</v>
      </c>
      <c r="CC56" s="188" t="s">
        <v>3250</v>
      </c>
      <c r="CD56" s="188" t="s">
        <v>2970</v>
      </c>
      <c r="CE56" s="188" t="s">
        <v>3249</v>
      </c>
      <c r="CF56" s="188" t="s">
        <v>3250</v>
      </c>
      <c r="CG56" s="188" t="s">
        <v>2970</v>
      </c>
      <c r="CH56" s="188" t="s">
        <v>3249</v>
      </c>
      <c r="CI56" s="188" t="s">
        <v>3250</v>
      </c>
      <c r="CJ56" s="188" t="s">
        <v>2970</v>
      </c>
      <c r="CK56" s="188" t="s">
        <v>3249</v>
      </c>
      <c r="CL56" s="188" t="s">
        <v>3250</v>
      </c>
      <c r="CM56" s="188" t="s">
        <v>2970</v>
      </c>
      <c r="CN56" s="188" t="s">
        <v>3253</v>
      </c>
      <c r="CO56" s="188" t="s">
        <v>3250</v>
      </c>
      <c r="CP56" s="188" t="s">
        <v>2970</v>
      </c>
      <c r="CQ56" s="188" t="s">
        <v>3249</v>
      </c>
      <c r="CR56" s="188" t="s">
        <v>2860</v>
      </c>
      <c r="CS56" s="188" t="s">
        <v>2970</v>
      </c>
      <c r="CT56" s="188" t="s">
        <v>3249</v>
      </c>
      <c r="CU56" s="188" t="s">
        <v>3250</v>
      </c>
      <c r="CV56" s="188" t="s">
        <v>2970</v>
      </c>
      <c r="CW56" s="188" t="s">
        <v>3249</v>
      </c>
      <c r="CX56" s="188" t="s">
        <v>3250</v>
      </c>
      <c r="CY56" s="188" t="s">
        <v>2970</v>
      </c>
      <c r="CZ56" s="188" t="s">
        <v>3249</v>
      </c>
      <c r="DA56" s="188" t="s">
        <v>3250</v>
      </c>
      <c r="DB56" s="188" t="s">
        <v>2970</v>
      </c>
      <c r="DC56" s="188" t="s">
        <v>3249</v>
      </c>
      <c r="DD56" s="188" t="s">
        <v>3250</v>
      </c>
      <c r="DE56" s="188" t="s">
        <v>2970</v>
      </c>
      <c r="DF56" s="188" t="s">
        <v>3249</v>
      </c>
      <c r="DG56" s="188" t="s">
        <v>3250</v>
      </c>
      <c r="DH56" s="188" t="s">
        <v>2970</v>
      </c>
      <c r="DI56" s="188" t="s">
        <v>3249</v>
      </c>
      <c r="DJ56" s="188" t="s">
        <v>3250</v>
      </c>
      <c r="DK56" s="188" t="s">
        <v>2970</v>
      </c>
      <c r="DL56" s="188" t="s">
        <v>3249</v>
      </c>
      <c r="DM56" s="188" t="s">
        <v>3250</v>
      </c>
      <c r="DN56" s="188" t="s">
        <v>2970</v>
      </c>
      <c r="DO56" s="188" t="s">
        <v>3249</v>
      </c>
      <c r="DP56" s="188" t="s">
        <v>3250</v>
      </c>
      <c r="DQ56" s="188" t="s">
        <v>2970</v>
      </c>
      <c r="DR56" s="188" t="s">
        <v>3249</v>
      </c>
      <c r="DS56" s="188" t="s">
        <v>3250</v>
      </c>
      <c r="DT56" s="188" t="s">
        <v>2970</v>
      </c>
      <c r="DU56" s="188" t="s">
        <v>3249</v>
      </c>
      <c r="DV56" s="188" t="s">
        <v>3250</v>
      </c>
      <c r="DW56" s="188" t="s">
        <v>2970</v>
      </c>
      <c r="DX56" s="188" t="s">
        <v>3249</v>
      </c>
      <c r="DY56" s="188" t="s">
        <v>3250</v>
      </c>
      <c r="DZ56" s="188" t="s">
        <v>2970</v>
      </c>
      <c r="EA56" s="188" t="s">
        <v>3249</v>
      </c>
      <c r="EB56" s="188" t="s">
        <v>3250</v>
      </c>
      <c r="EC56" s="188" t="s">
        <v>2970</v>
      </c>
      <c r="ED56" s="188" t="s">
        <v>3014</v>
      </c>
      <c r="EE56" s="188" t="s">
        <v>3250</v>
      </c>
      <c r="EF56" s="188" t="s">
        <v>2970</v>
      </c>
      <c r="EG56" s="188" t="s">
        <v>2860</v>
      </c>
      <c r="EH56" s="188" t="s">
        <v>3250</v>
      </c>
      <c r="EI56" s="188" t="s">
        <v>2970</v>
      </c>
      <c r="EJ56" s="188" t="s">
        <v>2860</v>
      </c>
      <c r="EK56" s="188" t="s">
        <v>2860</v>
      </c>
      <c r="EL56" s="188" t="s">
        <v>2970</v>
      </c>
      <c r="EM56" s="188" t="s">
        <v>2860</v>
      </c>
      <c r="EN56" s="188" t="s">
        <v>2860</v>
      </c>
      <c r="EO56" s="188" t="s">
        <v>2970</v>
      </c>
      <c r="EP56" s="188" t="s">
        <v>3249</v>
      </c>
      <c r="EQ56" s="188" t="s">
        <v>2860</v>
      </c>
      <c r="ER56" s="188" t="s">
        <v>2970</v>
      </c>
      <c r="ES56" s="188" t="s">
        <v>3249</v>
      </c>
      <c r="ET56" s="188" t="s">
        <v>3254</v>
      </c>
    </row>
    <row r="57" spans="1:150" x14ac:dyDescent="0.3">
      <c r="A57" s="1"/>
      <c r="B57" s="186" t="s">
        <v>3261</v>
      </c>
      <c r="C57" s="186" t="s">
        <v>93</v>
      </c>
      <c r="D57" s="186" t="s">
        <v>3262</v>
      </c>
      <c r="E57" s="186" t="s">
        <v>3263</v>
      </c>
      <c r="F57" s="186" t="s">
        <v>3264</v>
      </c>
      <c r="G57" s="186" t="s">
        <v>2970</v>
      </c>
      <c r="H57" s="186" t="s">
        <v>2860</v>
      </c>
      <c r="I57" s="186" t="s">
        <v>2860</v>
      </c>
      <c r="J57" s="186" t="s">
        <v>2970</v>
      </c>
      <c r="K57" s="186" t="s">
        <v>3126</v>
      </c>
      <c r="L57" s="186" t="s">
        <v>2860</v>
      </c>
      <c r="M57" s="186" t="s">
        <v>2970</v>
      </c>
      <c r="N57" s="186" t="s">
        <v>2860</v>
      </c>
      <c r="O57" s="186" t="s">
        <v>2860</v>
      </c>
      <c r="P57" s="186" t="s">
        <v>2970</v>
      </c>
      <c r="Q57" s="186" t="s">
        <v>2860</v>
      </c>
      <c r="R57" s="186" t="s">
        <v>2860</v>
      </c>
      <c r="S57" s="186" t="s">
        <v>2970</v>
      </c>
      <c r="T57" s="186" t="s">
        <v>3265</v>
      </c>
      <c r="U57" s="186" t="s">
        <v>3266</v>
      </c>
      <c r="V57" s="186" t="s">
        <v>2970</v>
      </c>
      <c r="W57" s="186" t="s">
        <v>2860</v>
      </c>
      <c r="X57" s="186" t="s">
        <v>2860</v>
      </c>
      <c r="Y57" s="186" t="s">
        <v>2970</v>
      </c>
      <c r="Z57" s="186" t="s">
        <v>3112</v>
      </c>
      <c r="AA57" s="186" t="s">
        <v>2860</v>
      </c>
      <c r="AB57" s="186" t="s">
        <v>2970</v>
      </c>
      <c r="AC57" s="186" t="s">
        <v>3267</v>
      </c>
      <c r="AD57" s="186" t="s">
        <v>2860</v>
      </c>
      <c r="AE57" s="186" t="s">
        <v>2970</v>
      </c>
      <c r="AF57" s="186" t="s">
        <v>3126</v>
      </c>
      <c r="AG57" s="186" t="s">
        <v>3268</v>
      </c>
      <c r="AH57" s="186" t="s">
        <v>2970</v>
      </c>
      <c r="AI57" s="186" t="s">
        <v>3126</v>
      </c>
      <c r="AJ57" s="186" t="s">
        <v>3268</v>
      </c>
      <c r="AK57" s="186" t="s">
        <v>2970</v>
      </c>
      <c r="AL57" s="186" t="s">
        <v>3126</v>
      </c>
      <c r="AM57" s="186" t="s">
        <v>3268</v>
      </c>
      <c r="AN57" s="186" t="s">
        <v>2970</v>
      </c>
      <c r="AO57" s="186" t="s">
        <v>3269</v>
      </c>
      <c r="AP57" s="186" t="s">
        <v>2860</v>
      </c>
      <c r="AQ57" s="186" t="s">
        <v>2970</v>
      </c>
      <c r="AR57" s="186" t="s">
        <v>3270</v>
      </c>
      <c r="AS57" s="186" t="s">
        <v>3271</v>
      </c>
      <c r="AT57" s="186" t="s">
        <v>2970</v>
      </c>
      <c r="AU57" s="186" t="s">
        <v>2860</v>
      </c>
      <c r="AV57" s="186" t="s">
        <v>3272</v>
      </c>
      <c r="AW57" s="186" t="s">
        <v>2970</v>
      </c>
      <c r="AX57" s="186" t="s">
        <v>2860</v>
      </c>
      <c r="AY57" s="186" t="s">
        <v>3272</v>
      </c>
      <c r="AZ57" s="186" t="s">
        <v>2970</v>
      </c>
      <c r="BA57" s="186" t="s">
        <v>3273</v>
      </c>
      <c r="BB57" s="186" t="s">
        <v>3274</v>
      </c>
      <c r="BC57" s="186" t="s">
        <v>2970</v>
      </c>
      <c r="BD57" s="186" t="s">
        <v>2860</v>
      </c>
      <c r="BE57" s="186" t="s">
        <v>3275</v>
      </c>
      <c r="BF57" s="186" t="s">
        <v>2970</v>
      </c>
      <c r="BG57" s="186" t="s">
        <v>2860</v>
      </c>
      <c r="BH57" s="186" t="s">
        <v>3276</v>
      </c>
      <c r="BI57" s="186" t="s">
        <v>2970</v>
      </c>
      <c r="BJ57" s="186" t="s">
        <v>2860</v>
      </c>
      <c r="BK57" s="186" t="s">
        <v>3277</v>
      </c>
      <c r="BL57" s="186" t="s">
        <v>2970</v>
      </c>
      <c r="BM57" s="186" t="s">
        <v>3278</v>
      </c>
      <c r="BN57" s="186" t="s">
        <v>2860</v>
      </c>
      <c r="BO57" s="186" t="s">
        <v>2970</v>
      </c>
      <c r="BP57" s="186" t="s">
        <v>2860</v>
      </c>
      <c r="BQ57" s="186" t="s">
        <v>3277</v>
      </c>
      <c r="BR57" s="186" t="s">
        <v>2970</v>
      </c>
      <c r="BS57" s="186" t="s">
        <v>3279</v>
      </c>
      <c r="BT57" s="186" t="s">
        <v>3280</v>
      </c>
      <c r="BU57" s="186" t="s">
        <v>2970</v>
      </c>
      <c r="BV57" s="186" t="s">
        <v>2860</v>
      </c>
      <c r="BW57" s="186" t="s">
        <v>3281</v>
      </c>
      <c r="BX57" s="186" t="s">
        <v>2970</v>
      </c>
      <c r="BY57" s="186" t="s">
        <v>2860</v>
      </c>
      <c r="BZ57" s="186" t="s">
        <v>3281</v>
      </c>
      <c r="CA57" s="186" t="s">
        <v>2970</v>
      </c>
      <c r="CB57" s="186" t="s">
        <v>2860</v>
      </c>
      <c r="CC57" s="186" t="s">
        <v>3282</v>
      </c>
      <c r="CD57" s="186" t="s">
        <v>2970</v>
      </c>
      <c r="CE57" s="186" t="s">
        <v>2860</v>
      </c>
      <c r="CF57" s="186" t="s">
        <v>3283</v>
      </c>
      <c r="CG57" s="186" t="s">
        <v>2970</v>
      </c>
      <c r="CH57" s="186" t="s">
        <v>2860</v>
      </c>
      <c r="CI57" s="186" t="s">
        <v>3284</v>
      </c>
      <c r="CJ57" s="186" t="s">
        <v>2970</v>
      </c>
      <c r="CK57" s="186" t="s">
        <v>2860</v>
      </c>
      <c r="CL57" s="186" t="s">
        <v>3284</v>
      </c>
      <c r="CM57" s="186" t="s">
        <v>2970</v>
      </c>
      <c r="CN57" s="186" t="s">
        <v>2860</v>
      </c>
      <c r="CO57" s="186" t="s">
        <v>3285</v>
      </c>
      <c r="CP57" s="186" t="s">
        <v>2970</v>
      </c>
      <c r="CQ57" s="186" t="s">
        <v>2860</v>
      </c>
      <c r="CR57" s="186" t="s">
        <v>3286</v>
      </c>
      <c r="CS57" s="186" t="s">
        <v>2970</v>
      </c>
      <c r="CT57" s="186" t="s">
        <v>2860</v>
      </c>
      <c r="CU57" s="186" t="s">
        <v>3287</v>
      </c>
      <c r="CV57" s="186" t="s">
        <v>2970</v>
      </c>
      <c r="CW57" s="186" t="s">
        <v>2860</v>
      </c>
      <c r="CX57" s="186" t="s">
        <v>3284</v>
      </c>
      <c r="CY57" s="186" t="s">
        <v>2970</v>
      </c>
      <c r="CZ57" s="186" t="s">
        <v>2860</v>
      </c>
      <c r="DA57" s="186" t="s">
        <v>3288</v>
      </c>
      <c r="DB57" s="186" t="s">
        <v>2970</v>
      </c>
      <c r="DC57" s="186" t="s">
        <v>2860</v>
      </c>
      <c r="DD57" s="186" t="s">
        <v>3289</v>
      </c>
      <c r="DE57" s="186" t="s">
        <v>2970</v>
      </c>
      <c r="DF57" s="186" t="s">
        <v>2860</v>
      </c>
      <c r="DG57" s="186" t="s">
        <v>2860</v>
      </c>
      <c r="DH57" s="186" t="s">
        <v>2970</v>
      </c>
      <c r="DI57" s="186" t="s">
        <v>2860</v>
      </c>
      <c r="DJ57" s="186" t="s">
        <v>3290</v>
      </c>
      <c r="DK57" s="186" t="s">
        <v>2970</v>
      </c>
      <c r="DL57" s="186" t="s">
        <v>2860</v>
      </c>
      <c r="DM57" s="186" t="s">
        <v>3291</v>
      </c>
      <c r="DN57" s="186" t="s">
        <v>2970</v>
      </c>
      <c r="DO57" s="186" t="s">
        <v>2860</v>
      </c>
      <c r="DP57" s="186" t="s">
        <v>2860</v>
      </c>
      <c r="DQ57" s="186" t="s">
        <v>2970</v>
      </c>
      <c r="DR57" s="186" t="s">
        <v>2860</v>
      </c>
      <c r="DS57" s="186" t="s">
        <v>2860</v>
      </c>
      <c r="DT57" s="186" t="s">
        <v>2970</v>
      </c>
      <c r="DU57" s="186" t="s">
        <v>2860</v>
      </c>
      <c r="DV57" s="186" t="s">
        <v>2860</v>
      </c>
      <c r="DW57" s="186" t="s">
        <v>2970</v>
      </c>
      <c r="DX57" s="186" t="s">
        <v>2860</v>
      </c>
      <c r="DY57" s="186" t="s">
        <v>2860</v>
      </c>
      <c r="DZ57" s="186" t="s">
        <v>2970</v>
      </c>
      <c r="EA57" s="186" t="s">
        <v>2860</v>
      </c>
      <c r="EB57" s="186" t="s">
        <v>2860</v>
      </c>
      <c r="EC57" s="186" t="s">
        <v>2970</v>
      </c>
      <c r="ED57" s="186" t="s">
        <v>2860</v>
      </c>
      <c r="EE57" s="186" t="s">
        <v>2860</v>
      </c>
      <c r="EF57" s="186" t="s">
        <v>2970</v>
      </c>
      <c r="EG57" s="186" t="s">
        <v>2860</v>
      </c>
      <c r="EH57" s="186" t="s">
        <v>2860</v>
      </c>
      <c r="EI57" s="186" t="s">
        <v>2970</v>
      </c>
      <c r="EJ57" s="186" t="s">
        <v>3292</v>
      </c>
      <c r="EK57" s="186" t="s">
        <v>2860</v>
      </c>
      <c r="EL57" s="186" t="s">
        <v>2970</v>
      </c>
      <c r="EM57" s="186" t="s">
        <v>3293</v>
      </c>
      <c r="EN57" s="186" t="s">
        <v>2860</v>
      </c>
      <c r="EO57" s="186" t="s">
        <v>2970</v>
      </c>
      <c r="EP57" s="186" t="s">
        <v>3294</v>
      </c>
      <c r="EQ57" s="186" t="s">
        <v>2860</v>
      </c>
      <c r="ER57" s="186" t="s">
        <v>2970</v>
      </c>
      <c r="ES57" s="186" t="s">
        <v>2860</v>
      </c>
      <c r="ET57" s="186" t="s">
        <v>2860</v>
      </c>
    </row>
    <row r="58" spans="1:150" x14ac:dyDescent="0.3">
      <c r="A58" s="1"/>
      <c r="B58" s="187" t="s">
        <v>3295</v>
      </c>
      <c r="C58" s="187" t="s">
        <v>93</v>
      </c>
      <c r="D58" s="187" t="s">
        <v>3262</v>
      </c>
      <c r="E58" s="187" t="s">
        <v>3296</v>
      </c>
      <c r="F58" s="187" t="s">
        <v>3297</v>
      </c>
      <c r="G58" s="188" t="s">
        <v>2970</v>
      </c>
      <c r="H58" s="188" t="s">
        <v>965</v>
      </c>
      <c r="I58" s="188" t="s">
        <v>965</v>
      </c>
      <c r="J58" s="188" t="s">
        <v>2970</v>
      </c>
      <c r="K58" s="188" t="s">
        <v>965</v>
      </c>
      <c r="L58" s="188" t="s">
        <v>965</v>
      </c>
      <c r="M58" s="188" t="s">
        <v>2970</v>
      </c>
      <c r="N58" s="188" t="s">
        <v>965</v>
      </c>
      <c r="O58" s="188" t="s">
        <v>965</v>
      </c>
      <c r="P58" s="188" t="s">
        <v>2970</v>
      </c>
      <c r="Q58" s="188" t="s">
        <v>965</v>
      </c>
      <c r="R58" s="188" t="s">
        <v>965</v>
      </c>
      <c r="S58" s="188" t="s">
        <v>2970</v>
      </c>
      <c r="T58" s="188" t="s">
        <v>965</v>
      </c>
      <c r="U58" s="188" t="s">
        <v>965</v>
      </c>
      <c r="V58" s="188" t="s">
        <v>2970</v>
      </c>
      <c r="W58" s="188" t="s">
        <v>965</v>
      </c>
      <c r="X58" s="188" t="s">
        <v>965</v>
      </c>
      <c r="Y58" s="188" t="s">
        <v>2970</v>
      </c>
      <c r="Z58" s="188" t="s">
        <v>965</v>
      </c>
      <c r="AA58" s="188" t="s">
        <v>965</v>
      </c>
      <c r="AB58" s="188" t="s">
        <v>2970</v>
      </c>
      <c r="AC58" s="188" t="s">
        <v>965</v>
      </c>
      <c r="AD58" s="188" t="s">
        <v>965</v>
      </c>
      <c r="AE58" s="188" t="s">
        <v>2970</v>
      </c>
      <c r="AF58" s="188" t="s">
        <v>965</v>
      </c>
      <c r="AG58" s="188" t="s">
        <v>965</v>
      </c>
      <c r="AH58" s="188" t="s">
        <v>2970</v>
      </c>
      <c r="AI58" s="188" t="s">
        <v>965</v>
      </c>
      <c r="AJ58" s="188" t="s">
        <v>965</v>
      </c>
      <c r="AK58" s="188" t="s">
        <v>2970</v>
      </c>
      <c r="AL58" s="188" t="s">
        <v>965</v>
      </c>
      <c r="AM58" s="188" t="s">
        <v>965</v>
      </c>
      <c r="AN58" s="188" t="s">
        <v>2970</v>
      </c>
      <c r="AO58" s="188" t="s">
        <v>965</v>
      </c>
      <c r="AP58" s="188" t="s">
        <v>965</v>
      </c>
      <c r="AQ58" s="188" t="s">
        <v>2970</v>
      </c>
      <c r="AR58" s="188" t="s">
        <v>965</v>
      </c>
      <c r="AS58" s="188" t="s">
        <v>965</v>
      </c>
      <c r="AT58" s="188" t="s">
        <v>2970</v>
      </c>
      <c r="AU58" s="188" t="s">
        <v>965</v>
      </c>
      <c r="AV58" s="188" t="s">
        <v>965</v>
      </c>
      <c r="AW58" s="188" t="s">
        <v>2970</v>
      </c>
      <c r="AX58" s="188" t="s">
        <v>965</v>
      </c>
      <c r="AY58" s="188" t="s">
        <v>965</v>
      </c>
      <c r="AZ58" s="188" t="s">
        <v>2970</v>
      </c>
      <c r="BA58" s="188" t="s">
        <v>965</v>
      </c>
      <c r="BB58" s="188" t="s">
        <v>965</v>
      </c>
      <c r="BC58" s="188" t="s">
        <v>2970</v>
      </c>
      <c r="BD58" s="188" t="s">
        <v>965</v>
      </c>
      <c r="BE58" s="188" t="s">
        <v>965</v>
      </c>
      <c r="BF58" s="188" t="s">
        <v>2970</v>
      </c>
      <c r="BG58" s="188" t="s">
        <v>965</v>
      </c>
      <c r="BH58" s="188" t="s">
        <v>965</v>
      </c>
      <c r="BI58" s="188" t="s">
        <v>2970</v>
      </c>
      <c r="BJ58" s="188" t="s">
        <v>965</v>
      </c>
      <c r="BK58" s="188" t="s">
        <v>965</v>
      </c>
      <c r="BL58" s="188" t="s">
        <v>2970</v>
      </c>
      <c r="BM58" s="188" t="s">
        <v>965</v>
      </c>
      <c r="BN58" s="188" t="s">
        <v>965</v>
      </c>
      <c r="BO58" s="188" t="s">
        <v>2970</v>
      </c>
      <c r="BP58" s="188" t="s">
        <v>965</v>
      </c>
      <c r="BQ58" s="188" t="s">
        <v>965</v>
      </c>
      <c r="BR58" s="188" t="s">
        <v>2970</v>
      </c>
      <c r="BS58" s="188" t="s">
        <v>965</v>
      </c>
      <c r="BT58" s="188" t="s">
        <v>965</v>
      </c>
      <c r="BU58" s="188" t="s">
        <v>2970</v>
      </c>
      <c r="BV58" s="188" t="s">
        <v>965</v>
      </c>
      <c r="BW58" s="188" t="s">
        <v>965</v>
      </c>
      <c r="BX58" s="188" t="s">
        <v>2970</v>
      </c>
      <c r="BY58" s="188" t="s">
        <v>965</v>
      </c>
      <c r="BZ58" s="188" t="s">
        <v>965</v>
      </c>
      <c r="CA58" s="188" t="s">
        <v>2970</v>
      </c>
      <c r="CB58" s="188" t="s">
        <v>965</v>
      </c>
      <c r="CC58" s="188" t="s">
        <v>965</v>
      </c>
      <c r="CD58" s="188" t="s">
        <v>2970</v>
      </c>
      <c r="CE58" s="188" t="s">
        <v>965</v>
      </c>
      <c r="CF58" s="188" t="s">
        <v>965</v>
      </c>
      <c r="CG58" s="188" t="s">
        <v>2970</v>
      </c>
      <c r="CH58" s="188" t="s">
        <v>965</v>
      </c>
      <c r="CI58" s="188" t="s">
        <v>965</v>
      </c>
      <c r="CJ58" s="188" t="s">
        <v>2970</v>
      </c>
      <c r="CK58" s="188" t="s">
        <v>965</v>
      </c>
      <c r="CL58" s="188" t="s">
        <v>965</v>
      </c>
      <c r="CM58" s="188" t="s">
        <v>2970</v>
      </c>
      <c r="CN58" s="188" t="s">
        <v>965</v>
      </c>
      <c r="CO58" s="188" t="s">
        <v>965</v>
      </c>
      <c r="CP58" s="188" t="s">
        <v>2970</v>
      </c>
      <c r="CQ58" s="188" t="s">
        <v>965</v>
      </c>
      <c r="CR58" s="188" t="s">
        <v>965</v>
      </c>
      <c r="CS58" s="188" t="s">
        <v>2970</v>
      </c>
      <c r="CT58" s="188" t="s">
        <v>965</v>
      </c>
      <c r="CU58" s="188" t="s">
        <v>965</v>
      </c>
      <c r="CV58" s="188" t="s">
        <v>2970</v>
      </c>
      <c r="CW58" s="188" t="s">
        <v>965</v>
      </c>
      <c r="CX58" s="188" t="s">
        <v>965</v>
      </c>
      <c r="CY58" s="188" t="s">
        <v>2970</v>
      </c>
      <c r="CZ58" s="188" t="s">
        <v>965</v>
      </c>
      <c r="DA58" s="188" t="s">
        <v>965</v>
      </c>
      <c r="DB58" s="188" t="s">
        <v>2970</v>
      </c>
      <c r="DC58" s="188" t="s">
        <v>965</v>
      </c>
      <c r="DD58" s="188" t="s">
        <v>965</v>
      </c>
      <c r="DE58" s="188" t="s">
        <v>2970</v>
      </c>
      <c r="DF58" s="188" t="s">
        <v>965</v>
      </c>
      <c r="DG58" s="188" t="s">
        <v>965</v>
      </c>
      <c r="DH58" s="188" t="s">
        <v>2970</v>
      </c>
      <c r="DI58" s="188" t="s">
        <v>965</v>
      </c>
      <c r="DJ58" s="188" t="s">
        <v>965</v>
      </c>
      <c r="DK58" s="188" t="s">
        <v>2970</v>
      </c>
      <c r="DL58" s="188" t="s">
        <v>965</v>
      </c>
      <c r="DM58" s="188" t="s">
        <v>965</v>
      </c>
      <c r="DN58" s="188" t="s">
        <v>2970</v>
      </c>
      <c r="DO58" s="188" t="s">
        <v>965</v>
      </c>
      <c r="DP58" s="188" t="s">
        <v>965</v>
      </c>
      <c r="DQ58" s="188" t="s">
        <v>2970</v>
      </c>
      <c r="DR58" s="188" t="s">
        <v>965</v>
      </c>
      <c r="DS58" s="188" t="s">
        <v>965</v>
      </c>
      <c r="DT58" s="188" t="s">
        <v>2970</v>
      </c>
      <c r="DU58" s="188" t="s">
        <v>965</v>
      </c>
      <c r="DV58" s="188" t="s">
        <v>965</v>
      </c>
      <c r="DW58" s="188" t="s">
        <v>2970</v>
      </c>
      <c r="DX58" s="188" t="s">
        <v>965</v>
      </c>
      <c r="DY58" s="188" t="s">
        <v>965</v>
      </c>
      <c r="DZ58" s="188" t="s">
        <v>2970</v>
      </c>
      <c r="EA58" s="188" t="s">
        <v>965</v>
      </c>
      <c r="EB58" s="188" t="s">
        <v>965</v>
      </c>
      <c r="EC58" s="188" t="s">
        <v>2970</v>
      </c>
      <c r="ED58" s="188" t="s">
        <v>965</v>
      </c>
      <c r="EE58" s="188" t="s">
        <v>965</v>
      </c>
      <c r="EF58" s="188" t="s">
        <v>2970</v>
      </c>
      <c r="EG58" s="188" t="s">
        <v>965</v>
      </c>
      <c r="EH58" s="188" t="s">
        <v>965</v>
      </c>
      <c r="EI58" s="188" t="s">
        <v>2970</v>
      </c>
      <c r="EJ58" s="188" t="s">
        <v>965</v>
      </c>
      <c r="EK58" s="188" t="s">
        <v>965</v>
      </c>
      <c r="EL58" s="188" t="s">
        <v>2970</v>
      </c>
      <c r="EM58" s="188" t="s">
        <v>965</v>
      </c>
      <c r="EN58" s="188" t="s">
        <v>965</v>
      </c>
      <c r="EO58" s="188" t="s">
        <v>2970</v>
      </c>
      <c r="EP58" s="188" t="s">
        <v>965</v>
      </c>
      <c r="EQ58" s="188" t="s">
        <v>965</v>
      </c>
      <c r="ER58" s="188" t="s">
        <v>2970</v>
      </c>
      <c r="ES58" s="188" t="s">
        <v>965</v>
      </c>
      <c r="ET58" s="188" t="s">
        <v>965</v>
      </c>
    </row>
    <row r="59" spans="1:150" x14ac:dyDescent="0.3">
      <c r="A59" s="1"/>
      <c r="B59" s="187" t="s">
        <v>3298</v>
      </c>
      <c r="C59" s="187" t="s">
        <v>93</v>
      </c>
      <c r="D59" s="187" t="s">
        <v>3262</v>
      </c>
      <c r="E59" s="187" t="s">
        <v>3299</v>
      </c>
      <c r="F59" s="187" t="s">
        <v>3300</v>
      </c>
      <c r="G59" s="188" t="s">
        <v>2970</v>
      </c>
      <c r="H59" s="188" t="s">
        <v>965</v>
      </c>
      <c r="I59" s="188" t="s">
        <v>965</v>
      </c>
      <c r="J59" s="188" t="s">
        <v>2970</v>
      </c>
      <c r="K59" s="188" t="s">
        <v>965</v>
      </c>
      <c r="L59" s="188" t="s">
        <v>965</v>
      </c>
      <c r="M59" s="188" t="s">
        <v>2970</v>
      </c>
      <c r="N59" s="188" t="s">
        <v>965</v>
      </c>
      <c r="O59" s="188" t="s">
        <v>965</v>
      </c>
      <c r="P59" s="188" t="s">
        <v>2970</v>
      </c>
      <c r="Q59" s="188" t="s">
        <v>965</v>
      </c>
      <c r="R59" s="188" t="s">
        <v>965</v>
      </c>
      <c r="S59" s="188" t="s">
        <v>2970</v>
      </c>
      <c r="T59" s="188" t="s">
        <v>965</v>
      </c>
      <c r="U59" s="188" t="s">
        <v>965</v>
      </c>
      <c r="V59" s="188" t="s">
        <v>2970</v>
      </c>
      <c r="W59" s="188" t="s">
        <v>965</v>
      </c>
      <c r="X59" s="188" t="s">
        <v>965</v>
      </c>
      <c r="Y59" s="188" t="s">
        <v>2970</v>
      </c>
      <c r="Z59" s="188" t="s">
        <v>965</v>
      </c>
      <c r="AA59" s="188" t="s">
        <v>965</v>
      </c>
      <c r="AB59" s="188" t="s">
        <v>2970</v>
      </c>
      <c r="AC59" s="188" t="s">
        <v>965</v>
      </c>
      <c r="AD59" s="188" t="s">
        <v>965</v>
      </c>
      <c r="AE59" s="188" t="s">
        <v>2970</v>
      </c>
      <c r="AF59" s="188" t="s">
        <v>965</v>
      </c>
      <c r="AG59" s="188" t="s">
        <v>965</v>
      </c>
      <c r="AH59" s="188" t="s">
        <v>2970</v>
      </c>
      <c r="AI59" s="188" t="s">
        <v>965</v>
      </c>
      <c r="AJ59" s="188" t="s">
        <v>965</v>
      </c>
      <c r="AK59" s="188" t="s">
        <v>2970</v>
      </c>
      <c r="AL59" s="188" t="s">
        <v>965</v>
      </c>
      <c r="AM59" s="188" t="s">
        <v>965</v>
      </c>
      <c r="AN59" s="188" t="s">
        <v>2970</v>
      </c>
      <c r="AO59" s="188" t="s">
        <v>965</v>
      </c>
      <c r="AP59" s="188" t="s">
        <v>965</v>
      </c>
      <c r="AQ59" s="188" t="s">
        <v>2970</v>
      </c>
      <c r="AR59" s="188" t="s">
        <v>965</v>
      </c>
      <c r="AS59" s="188" t="s">
        <v>965</v>
      </c>
      <c r="AT59" s="188" t="s">
        <v>2970</v>
      </c>
      <c r="AU59" s="188" t="s">
        <v>965</v>
      </c>
      <c r="AV59" s="188" t="s">
        <v>965</v>
      </c>
      <c r="AW59" s="188" t="s">
        <v>2970</v>
      </c>
      <c r="AX59" s="188" t="s">
        <v>965</v>
      </c>
      <c r="AY59" s="188" t="s">
        <v>965</v>
      </c>
      <c r="AZ59" s="188" t="s">
        <v>2970</v>
      </c>
      <c r="BA59" s="188" t="s">
        <v>965</v>
      </c>
      <c r="BB59" s="188" t="s">
        <v>965</v>
      </c>
      <c r="BC59" s="188" t="s">
        <v>2970</v>
      </c>
      <c r="BD59" s="188" t="s">
        <v>965</v>
      </c>
      <c r="BE59" s="188" t="s">
        <v>965</v>
      </c>
      <c r="BF59" s="188" t="s">
        <v>2970</v>
      </c>
      <c r="BG59" s="188" t="s">
        <v>965</v>
      </c>
      <c r="BH59" s="188" t="s">
        <v>965</v>
      </c>
      <c r="BI59" s="188" t="s">
        <v>2970</v>
      </c>
      <c r="BJ59" s="188" t="s">
        <v>965</v>
      </c>
      <c r="BK59" s="188" t="s">
        <v>965</v>
      </c>
      <c r="BL59" s="188" t="s">
        <v>2970</v>
      </c>
      <c r="BM59" s="188" t="s">
        <v>965</v>
      </c>
      <c r="BN59" s="188" t="s">
        <v>965</v>
      </c>
      <c r="BO59" s="188" t="s">
        <v>2970</v>
      </c>
      <c r="BP59" s="188" t="s">
        <v>965</v>
      </c>
      <c r="BQ59" s="188" t="s">
        <v>965</v>
      </c>
      <c r="BR59" s="188" t="s">
        <v>2970</v>
      </c>
      <c r="BS59" s="188" t="s">
        <v>965</v>
      </c>
      <c r="BT59" s="188" t="s">
        <v>965</v>
      </c>
      <c r="BU59" s="188" t="s">
        <v>2970</v>
      </c>
      <c r="BV59" s="188" t="s">
        <v>965</v>
      </c>
      <c r="BW59" s="188" t="s">
        <v>965</v>
      </c>
      <c r="BX59" s="188" t="s">
        <v>2970</v>
      </c>
      <c r="BY59" s="188" t="s">
        <v>965</v>
      </c>
      <c r="BZ59" s="188" t="s">
        <v>965</v>
      </c>
      <c r="CA59" s="188" t="s">
        <v>2970</v>
      </c>
      <c r="CB59" s="188" t="s">
        <v>965</v>
      </c>
      <c r="CC59" s="188" t="s">
        <v>965</v>
      </c>
      <c r="CD59" s="188" t="s">
        <v>2970</v>
      </c>
      <c r="CE59" s="188" t="s">
        <v>965</v>
      </c>
      <c r="CF59" s="188" t="s">
        <v>965</v>
      </c>
      <c r="CG59" s="188" t="s">
        <v>2970</v>
      </c>
      <c r="CH59" s="188" t="s">
        <v>965</v>
      </c>
      <c r="CI59" s="188" t="s">
        <v>965</v>
      </c>
      <c r="CJ59" s="188" t="s">
        <v>2970</v>
      </c>
      <c r="CK59" s="188" t="s">
        <v>965</v>
      </c>
      <c r="CL59" s="188" t="s">
        <v>965</v>
      </c>
      <c r="CM59" s="188" t="s">
        <v>2970</v>
      </c>
      <c r="CN59" s="188" t="s">
        <v>965</v>
      </c>
      <c r="CO59" s="188" t="s">
        <v>965</v>
      </c>
      <c r="CP59" s="188" t="s">
        <v>2970</v>
      </c>
      <c r="CQ59" s="188" t="s">
        <v>965</v>
      </c>
      <c r="CR59" s="188" t="s">
        <v>965</v>
      </c>
      <c r="CS59" s="188" t="s">
        <v>2970</v>
      </c>
      <c r="CT59" s="188" t="s">
        <v>965</v>
      </c>
      <c r="CU59" s="188" t="s">
        <v>965</v>
      </c>
      <c r="CV59" s="188" t="s">
        <v>2970</v>
      </c>
      <c r="CW59" s="188" t="s">
        <v>965</v>
      </c>
      <c r="CX59" s="188" t="s">
        <v>965</v>
      </c>
      <c r="CY59" s="188" t="s">
        <v>2970</v>
      </c>
      <c r="CZ59" s="188" t="s">
        <v>965</v>
      </c>
      <c r="DA59" s="188" t="s">
        <v>965</v>
      </c>
      <c r="DB59" s="188" t="s">
        <v>2970</v>
      </c>
      <c r="DC59" s="188" t="s">
        <v>965</v>
      </c>
      <c r="DD59" s="188" t="s">
        <v>965</v>
      </c>
      <c r="DE59" s="188" t="s">
        <v>2970</v>
      </c>
      <c r="DF59" s="188" t="s">
        <v>965</v>
      </c>
      <c r="DG59" s="188" t="s">
        <v>965</v>
      </c>
      <c r="DH59" s="188" t="s">
        <v>2970</v>
      </c>
      <c r="DI59" s="188" t="s">
        <v>965</v>
      </c>
      <c r="DJ59" s="188" t="s">
        <v>965</v>
      </c>
      <c r="DK59" s="188" t="s">
        <v>2970</v>
      </c>
      <c r="DL59" s="188" t="s">
        <v>965</v>
      </c>
      <c r="DM59" s="188" t="s">
        <v>965</v>
      </c>
      <c r="DN59" s="188" t="s">
        <v>2970</v>
      </c>
      <c r="DO59" s="188" t="s">
        <v>965</v>
      </c>
      <c r="DP59" s="188" t="s">
        <v>965</v>
      </c>
      <c r="DQ59" s="188" t="s">
        <v>2970</v>
      </c>
      <c r="DR59" s="188" t="s">
        <v>965</v>
      </c>
      <c r="DS59" s="188" t="s">
        <v>965</v>
      </c>
      <c r="DT59" s="188" t="s">
        <v>2970</v>
      </c>
      <c r="DU59" s="188" t="s">
        <v>965</v>
      </c>
      <c r="DV59" s="188" t="s">
        <v>965</v>
      </c>
      <c r="DW59" s="188" t="s">
        <v>2970</v>
      </c>
      <c r="DX59" s="188" t="s">
        <v>965</v>
      </c>
      <c r="DY59" s="188" t="s">
        <v>965</v>
      </c>
      <c r="DZ59" s="188" t="s">
        <v>2970</v>
      </c>
      <c r="EA59" s="188" t="s">
        <v>965</v>
      </c>
      <c r="EB59" s="188" t="s">
        <v>965</v>
      </c>
      <c r="EC59" s="188" t="s">
        <v>2970</v>
      </c>
      <c r="ED59" s="188" t="s">
        <v>965</v>
      </c>
      <c r="EE59" s="188" t="s">
        <v>965</v>
      </c>
      <c r="EF59" s="188" t="s">
        <v>2970</v>
      </c>
      <c r="EG59" s="188" t="s">
        <v>965</v>
      </c>
      <c r="EH59" s="188" t="s">
        <v>965</v>
      </c>
      <c r="EI59" s="188" t="s">
        <v>2970</v>
      </c>
      <c r="EJ59" s="188" t="s">
        <v>965</v>
      </c>
      <c r="EK59" s="188" t="s">
        <v>965</v>
      </c>
      <c r="EL59" s="188" t="s">
        <v>2970</v>
      </c>
      <c r="EM59" s="188" t="s">
        <v>965</v>
      </c>
      <c r="EN59" s="188" t="s">
        <v>965</v>
      </c>
      <c r="EO59" s="188" t="s">
        <v>2970</v>
      </c>
      <c r="EP59" s="188" t="s">
        <v>965</v>
      </c>
      <c r="EQ59" s="188" t="s">
        <v>965</v>
      </c>
      <c r="ER59" s="188" t="s">
        <v>2970</v>
      </c>
      <c r="ES59" s="188" t="s">
        <v>965</v>
      </c>
      <c r="ET59" s="188" t="s">
        <v>965</v>
      </c>
    </row>
    <row r="60" spans="1:150" x14ac:dyDescent="0.3">
      <c r="A60" s="1"/>
      <c r="B60" s="187" t="s">
        <v>3301</v>
      </c>
      <c r="C60" s="187" t="s">
        <v>93</v>
      </c>
      <c r="D60" s="187" t="s">
        <v>3262</v>
      </c>
      <c r="E60" s="187" t="s">
        <v>3302</v>
      </c>
      <c r="F60" s="187" t="s">
        <v>3303</v>
      </c>
      <c r="G60" s="188" t="s">
        <v>2970</v>
      </c>
      <c r="H60" s="188" t="s">
        <v>965</v>
      </c>
      <c r="I60" s="188" t="s">
        <v>965</v>
      </c>
      <c r="J60" s="188" t="s">
        <v>2970</v>
      </c>
      <c r="K60" s="188" t="s">
        <v>965</v>
      </c>
      <c r="L60" s="188" t="s">
        <v>965</v>
      </c>
      <c r="M60" s="188" t="s">
        <v>2970</v>
      </c>
      <c r="N60" s="188" t="s">
        <v>965</v>
      </c>
      <c r="O60" s="188" t="s">
        <v>965</v>
      </c>
      <c r="P60" s="188" t="s">
        <v>2970</v>
      </c>
      <c r="Q60" s="188" t="s">
        <v>965</v>
      </c>
      <c r="R60" s="188" t="s">
        <v>965</v>
      </c>
      <c r="S60" s="188" t="s">
        <v>2970</v>
      </c>
      <c r="T60" s="188" t="s">
        <v>965</v>
      </c>
      <c r="U60" s="188" t="s">
        <v>965</v>
      </c>
      <c r="V60" s="188" t="s">
        <v>2970</v>
      </c>
      <c r="W60" s="188" t="s">
        <v>965</v>
      </c>
      <c r="X60" s="188" t="s">
        <v>965</v>
      </c>
      <c r="Y60" s="188" t="s">
        <v>2970</v>
      </c>
      <c r="Z60" s="188" t="s">
        <v>965</v>
      </c>
      <c r="AA60" s="188" t="s">
        <v>965</v>
      </c>
      <c r="AB60" s="188" t="s">
        <v>2970</v>
      </c>
      <c r="AC60" s="188" t="s">
        <v>965</v>
      </c>
      <c r="AD60" s="188" t="s">
        <v>965</v>
      </c>
      <c r="AE60" s="188" t="s">
        <v>2970</v>
      </c>
      <c r="AF60" s="188" t="s">
        <v>965</v>
      </c>
      <c r="AG60" s="188" t="s">
        <v>965</v>
      </c>
      <c r="AH60" s="188" t="s">
        <v>2970</v>
      </c>
      <c r="AI60" s="188" t="s">
        <v>965</v>
      </c>
      <c r="AJ60" s="188" t="s">
        <v>965</v>
      </c>
      <c r="AK60" s="188" t="s">
        <v>2970</v>
      </c>
      <c r="AL60" s="188" t="s">
        <v>965</v>
      </c>
      <c r="AM60" s="188" t="s">
        <v>965</v>
      </c>
      <c r="AN60" s="188" t="s">
        <v>2970</v>
      </c>
      <c r="AO60" s="188" t="s">
        <v>965</v>
      </c>
      <c r="AP60" s="188" t="s">
        <v>965</v>
      </c>
      <c r="AQ60" s="188" t="s">
        <v>2970</v>
      </c>
      <c r="AR60" s="188" t="s">
        <v>965</v>
      </c>
      <c r="AS60" s="188" t="s">
        <v>965</v>
      </c>
      <c r="AT60" s="188" t="s">
        <v>2970</v>
      </c>
      <c r="AU60" s="188" t="s">
        <v>965</v>
      </c>
      <c r="AV60" s="188" t="s">
        <v>965</v>
      </c>
      <c r="AW60" s="188" t="s">
        <v>2970</v>
      </c>
      <c r="AX60" s="188" t="s">
        <v>965</v>
      </c>
      <c r="AY60" s="188" t="s">
        <v>965</v>
      </c>
      <c r="AZ60" s="188" t="s">
        <v>2970</v>
      </c>
      <c r="BA60" s="188" t="s">
        <v>965</v>
      </c>
      <c r="BB60" s="188" t="s">
        <v>965</v>
      </c>
      <c r="BC60" s="188" t="s">
        <v>2970</v>
      </c>
      <c r="BD60" s="188" t="s">
        <v>965</v>
      </c>
      <c r="BE60" s="188" t="s">
        <v>965</v>
      </c>
      <c r="BF60" s="188" t="s">
        <v>2970</v>
      </c>
      <c r="BG60" s="188" t="s">
        <v>965</v>
      </c>
      <c r="BH60" s="188" t="s">
        <v>965</v>
      </c>
      <c r="BI60" s="188" t="s">
        <v>2970</v>
      </c>
      <c r="BJ60" s="188" t="s">
        <v>965</v>
      </c>
      <c r="BK60" s="188" t="s">
        <v>965</v>
      </c>
      <c r="BL60" s="188" t="s">
        <v>2970</v>
      </c>
      <c r="BM60" s="188" t="s">
        <v>965</v>
      </c>
      <c r="BN60" s="188" t="s">
        <v>965</v>
      </c>
      <c r="BO60" s="188" t="s">
        <v>2970</v>
      </c>
      <c r="BP60" s="188" t="s">
        <v>965</v>
      </c>
      <c r="BQ60" s="188" t="s">
        <v>965</v>
      </c>
      <c r="BR60" s="188" t="s">
        <v>2970</v>
      </c>
      <c r="BS60" s="188" t="s">
        <v>965</v>
      </c>
      <c r="BT60" s="188" t="s">
        <v>965</v>
      </c>
      <c r="BU60" s="188" t="s">
        <v>2970</v>
      </c>
      <c r="BV60" s="188" t="s">
        <v>965</v>
      </c>
      <c r="BW60" s="188" t="s">
        <v>965</v>
      </c>
      <c r="BX60" s="188" t="s">
        <v>2970</v>
      </c>
      <c r="BY60" s="188" t="s">
        <v>965</v>
      </c>
      <c r="BZ60" s="188" t="s">
        <v>965</v>
      </c>
      <c r="CA60" s="188" t="s">
        <v>2970</v>
      </c>
      <c r="CB60" s="188" t="s">
        <v>965</v>
      </c>
      <c r="CC60" s="188" t="s">
        <v>965</v>
      </c>
      <c r="CD60" s="188" t="s">
        <v>2970</v>
      </c>
      <c r="CE60" s="188" t="s">
        <v>965</v>
      </c>
      <c r="CF60" s="188" t="s">
        <v>965</v>
      </c>
      <c r="CG60" s="188" t="s">
        <v>2970</v>
      </c>
      <c r="CH60" s="188" t="s">
        <v>965</v>
      </c>
      <c r="CI60" s="188" t="s">
        <v>965</v>
      </c>
      <c r="CJ60" s="188" t="s">
        <v>2970</v>
      </c>
      <c r="CK60" s="188" t="s">
        <v>965</v>
      </c>
      <c r="CL60" s="188" t="s">
        <v>965</v>
      </c>
      <c r="CM60" s="188" t="s">
        <v>2970</v>
      </c>
      <c r="CN60" s="188" t="s">
        <v>965</v>
      </c>
      <c r="CO60" s="188" t="s">
        <v>965</v>
      </c>
      <c r="CP60" s="188" t="s">
        <v>2970</v>
      </c>
      <c r="CQ60" s="188" t="s">
        <v>965</v>
      </c>
      <c r="CR60" s="188" t="s">
        <v>965</v>
      </c>
      <c r="CS60" s="188" t="s">
        <v>2970</v>
      </c>
      <c r="CT60" s="188" t="s">
        <v>965</v>
      </c>
      <c r="CU60" s="188" t="s">
        <v>965</v>
      </c>
      <c r="CV60" s="188" t="s">
        <v>2970</v>
      </c>
      <c r="CW60" s="188" t="s">
        <v>965</v>
      </c>
      <c r="CX60" s="188" t="s">
        <v>965</v>
      </c>
      <c r="CY60" s="188" t="s">
        <v>2970</v>
      </c>
      <c r="CZ60" s="188" t="s">
        <v>965</v>
      </c>
      <c r="DA60" s="188" t="s">
        <v>965</v>
      </c>
      <c r="DB60" s="188" t="s">
        <v>2970</v>
      </c>
      <c r="DC60" s="188" t="s">
        <v>965</v>
      </c>
      <c r="DD60" s="188" t="s">
        <v>965</v>
      </c>
      <c r="DE60" s="188" t="s">
        <v>2970</v>
      </c>
      <c r="DF60" s="188" t="s">
        <v>965</v>
      </c>
      <c r="DG60" s="188" t="s">
        <v>965</v>
      </c>
      <c r="DH60" s="188" t="s">
        <v>2970</v>
      </c>
      <c r="DI60" s="188" t="s">
        <v>965</v>
      </c>
      <c r="DJ60" s="188" t="s">
        <v>965</v>
      </c>
      <c r="DK60" s="188" t="s">
        <v>2970</v>
      </c>
      <c r="DL60" s="188" t="s">
        <v>965</v>
      </c>
      <c r="DM60" s="188" t="s">
        <v>965</v>
      </c>
      <c r="DN60" s="188" t="s">
        <v>2970</v>
      </c>
      <c r="DO60" s="188" t="s">
        <v>965</v>
      </c>
      <c r="DP60" s="188" t="s">
        <v>965</v>
      </c>
      <c r="DQ60" s="188" t="s">
        <v>2970</v>
      </c>
      <c r="DR60" s="188" t="s">
        <v>965</v>
      </c>
      <c r="DS60" s="188" t="s">
        <v>965</v>
      </c>
      <c r="DT60" s="188" t="s">
        <v>2970</v>
      </c>
      <c r="DU60" s="188" t="s">
        <v>965</v>
      </c>
      <c r="DV60" s="188" t="s">
        <v>965</v>
      </c>
      <c r="DW60" s="188" t="s">
        <v>2970</v>
      </c>
      <c r="DX60" s="188" t="s">
        <v>965</v>
      </c>
      <c r="DY60" s="188" t="s">
        <v>965</v>
      </c>
      <c r="DZ60" s="188" t="s">
        <v>2970</v>
      </c>
      <c r="EA60" s="188" t="s">
        <v>965</v>
      </c>
      <c r="EB60" s="188" t="s">
        <v>965</v>
      </c>
      <c r="EC60" s="188" t="s">
        <v>2970</v>
      </c>
      <c r="ED60" s="188" t="s">
        <v>965</v>
      </c>
      <c r="EE60" s="188" t="s">
        <v>965</v>
      </c>
      <c r="EF60" s="188" t="s">
        <v>2970</v>
      </c>
      <c r="EG60" s="188" t="s">
        <v>965</v>
      </c>
      <c r="EH60" s="188" t="s">
        <v>965</v>
      </c>
      <c r="EI60" s="188" t="s">
        <v>2970</v>
      </c>
      <c r="EJ60" s="188" t="s">
        <v>965</v>
      </c>
      <c r="EK60" s="188" t="s">
        <v>965</v>
      </c>
      <c r="EL60" s="188" t="s">
        <v>2970</v>
      </c>
      <c r="EM60" s="188" t="s">
        <v>965</v>
      </c>
      <c r="EN60" s="188" t="s">
        <v>965</v>
      </c>
      <c r="EO60" s="188" t="s">
        <v>2970</v>
      </c>
      <c r="EP60" s="188" t="s">
        <v>965</v>
      </c>
      <c r="EQ60" s="188" t="s">
        <v>965</v>
      </c>
      <c r="ER60" s="188" t="s">
        <v>2970</v>
      </c>
      <c r="ES60" s="188" t="s">
        <v>965</v>
      </c>
      <c r="ET60" s="188" t="s">
        <v>965</v>
      </c>
    </row>
    <row r="61" spans="1:150" x14ac:dyDescent="0.3">
      <c r="A61" s="1"/>
      <c r="B61" s="187" t="s">
        <v>3304</v>
      </c>
      <c r="C61" s="187" t="s">
        <v>93</v>
      </c>
      <c r="D61" s="187" t="s">
        <v>3262</v>
      </c>
      <c r="E61" s="187" t="s">
        <v>3305</v>
      </c>
      <c r="F61" s="187" t="s">
        <v>3306</v>
      </c>
      <c r="G61" s="188" t="s">
        <v>2970</v>
      </c>
      <c r="H61" s="188" t="s">
        <v>2860</v>
      </c>
      <c r="I61" s="188" t="s">
        <v>2860</v>
      </c>
      <c r="J61" s="188" t="s">
        <v>2970</v>
      </c>
      <c r="K61" s="188" t="s">
        <v>3126</v>
      </c>
      <c r="L61" s="188" t="s">
        <v>2860</v>
      </c>
      <c r="M61" s="188" t="s">
        <v>2970</v>
      </c>
      <c r="N61" s="188" t="s">
        <v>2860</v>
      </c>
      <c r="O61" s="188" t="s">
        <v>2860</v>
      </c>
      <c r="P61" s="188" t="s">
        <v>2970</v>
      </c>
      <c r="Q61" s="188" t="s">
        <v>2860</v>
      </c>
      <c r="R61" s="188" t="s">
        <v>2860</v>
      </c>
      <c r="S61" s="188" t="s">
        <v>2970</v>
      </c>
      <c r="T61" s="188" t="s">
        <v>3265</v>
      </c>
      <c r="U61" s="188" t="s">
        <v>3266</v>
      </c>
      <c r="V61" s="188" t="s">
        <v>2970</v>
      </c>
      <c r="W61" s="188" t="s">
        <v>2860</v>
      </c>
      <c r="X61" s="188" t="s">
        <v>2860</v>
      </c>
      <c r="Y61" s="188" t="s">
        <v>2970</v>
      </c>
      <c r="Z61" s="188" t="s">
        <v>3112</v>
      </c>
      <c r="AA61" s="188" t="s">
        <v>2860</v>
      </c>
      <c r="AB61" s="188" t="s">
        <v>2970</v>
      </c>
      <c r="AC61" s="188" t="s">
        <v>3267</v>
      </c>
      <c r="AD61" s="188" t="s">
        <v>2860</v>
      </c>
      <c r="AE61" s="188" t="s">
        <v>2970</v>
      </c>
      <c r="AF61" s="188" t="s">
        <v>3126</v>
      </c>
      <c r="AG61" s="188" t="s">
        <v>3268</v>
      </c>
      <c r="AH61" s="188" t="s">
        <v>2970</v>
      </c>
      <c r="AI61" s="188" t="s">
        <v>3126</v>
      </c>
      <c r="AJ61" s="188" t="s">
        <v>3268</v>
      </c>
      <c r="AK61" s="188" t="s">
        <v>2970</v>
      </c>
      <c r="AL61" s="188" t="s">
        <v>3126</v>
      </c>
      <c r="AM61" s="188" t="s">
        <v>3268</v>
      </c>
      <c r="AN61" s="188" t="s">
        <v>2970</v>
      </c>
      <c r="AO61" s="188" t="s">
        <v>3269</v>
      </c>
      <c r="AP61" s="188" t="s">
        <v>2860</v>
      </c>
      <c r="AQ61" s="188" t="s">
        <v>2970</v>
      </c>
      <c r="AR61" s="188" t="s">
        <v>3270</v>
      </c>
      <c r="AS61" s="188" t="s">
        <v>3271</v>
      </c>
      <c r="AT61" s="188" t="s">
        <v>2970</v>
      </c>
      <c r="AU61" s="188" t="s">
        <v>2860</v>
      </c>
      <c r="AV61" s="188" t="s">
        <v>3272</v>
      </c>
      <c r="AW61" s="188" t="s">
        <v>2970</v>
      </c>
      <c r="AX61" s="188" t="s">
        <v>2860</v>
      </c>
      <c r="AY61" s="188" t="s">
        <v>3272</v>
      </c>
      <c r="AZ61" s="188" t="s">
        <v>2970</v>
      </c>
      <c r="BA61" s="188" t="s">
        <v>3273</v>
      </c>
      <c r="BB61" s="188" t="s">
        <v>3274</v>
      </c>
      <c r="BC61" s="188" t="s">
        <v>2970</v>
      </c>
      <c r="BD61" s="188" t="s">
        <v>2860</v>
      </c>
      <c r="BE61" s="188" t="s">
        <v>3275</v>
      </c>
      <c r="BF61" s="188" t="s">
        <v>2970</v>
      </c>
      <c r="BG61" s="188" t="s">
        <v>2860</v>
      </c>
      <c r="BH61" s="188" t="s">
        <v>3276</v>
      </c>
      <c r="BI61" s="188" t="s">
        <v>2970</v>
      </c>
      <c r="BJ61" s="188" t="s">
        <v>2860</v>
      </c>
      <c r="BK61" s="188" t="s">
        <v>3277</v>
      </c>
      <c r="BL61" s="188" t="s">
        <v>2970</v>
      </c>
      <c r="BM61" s="188" t="s">
        <v>3278</v>
      </c>
      <c r="BN61" s="188" t="s">
        <v>2860</v>
      </c>
      <c r="BO61" s="188" t="s">
        <v>2970</v>
      </c>
      <c r="BP61" s="188" t="s">
        <v>2860</v>
      </c>
      <c r="BQ61" s="188" t="s">
        <v>3277</v>
      </c>
      <c r="BR61" s="188" t="s">
        <v>2970</v>
      </c>
      <c r="BS61" s="188" t="s">
        <v>3279</v>
      </c>
      <c r="BT61" s="188" t="s">
        <v>3280</v>
      </c>
      <c r="BU61" s="188" t="s">
        <v>2970</v>
      </c>
      <c r="BV61" s="188" t="s">
        <v>2860</v>
      </c>
      <c r="BW61" s="188" t="s">
        <v>3281</v>
      </c>
      <c r="BX61" s="188" t="s">
        <v>2970</v>
      </c>
      <c r="BY61" s="188" t="s">
        <v>2860</v>
      </c>
      <c r="BZ61" s="188" t="s">
        <v>3281</v>
      </c>
      <c r="CA61" s="188" t="s">
        <v>2970</v>
      </c>
      <c r="CB61" s="188" t="s">
        <v>2860</v>
      </c>
      <c r="CC61" s="188" t="s">
        <v>3282</v>
      </c>
      <c r="CD61" s="188" t="s">
        <v>2970</v>
      </c>
      <c r="CE61" s="188" t="s">
        <v>2860</v>
      </c>
      <c r="CF61" s="188" t="s">
        <v>3283</v>
      </c>
      <c r="CG61" s="188" t="s">
        <v>2970</v>
      </c>
      <c r="CH61" s="188" t="s">
        <v>2860</v>
      </c>
      <c r="CI61" s="188" t="s">
        <v>3284</v>
      </c>
      <c r="CJ61" s="188" t="s">
        <v>2970</v>
      </c>
      <c r="CK61" s="188" t="s">
        <v>2860</v>
      </c>
      <c r="CL61" s="188" t="s">
        <v>3284</v>
      </c>
      <c r="CM61" s="188" t="s">
        <v>2970</v>
      </c>
      <c r="CN61" s="188" t="s">
        <v>2860</v>
      </c>
      <c r="CO61" s="188" t="s">
        <v>3285</v>
      </c>
      <c r="CP61" s="188" t="s">
        <v>2970</v>
      </c>
      <c r="CQ61" s="188" t="s">
        <v>2860</v>
      </c>
      <c r="CR61" s="188" t="s">
        <v>3286</v>
      </c>
      <c r="CS61" s="188" t="s">
        <v>2970</v>
      </c>
      <c r="CT61" s="188" t="s">
        <v>2860</v>
      </c>
      <c r="CU61" s="188" t="s">
        <v>3287</v>
      </c>
      <c r="CV61" s="188" t="s">
        <v>2970</v>
      </c>
      <c r="CW61" s="188" t="s">
        <v>2860</v>
      </c>
      <c r="CX61" s="188" t="s">
        <v>3284</v>
      </c>
      <c r="CY61" s="188" t="s">
        <v>2970</v>
      </c>
      <c r="CZ61" s="188" t="s">
        <v>2860</v>
      </c>
      <c r="DA61" s="188" t="s">
        <v>3288</v>
      </c>
      <c r="DB61" s="188" t="s">
        <v>2970</v>
      </c>
      <c r="DC61" s="188" t="s">
        <v>2860</v>
      </c>
      <c r="DD61" s="188" t="s">
        <v>3289</v>
      </c>
      <c r="DE61" s="188" t="s">
        <v>2970</v>
      </c>
      <c r="DF61" s="188" t="s">
        <v>2860</v>
      </c>
      <c r="DG61" s="188" t="s">
        <v>2860</v>
      </c>
      <c r="DH61" s="188" t="s">
        <v>2970</v>
      </c>
      <c r="DI61" s="188" t="s">
        <v>2860</v>
      </c>
      <c r="DJ61" s="188" t="s">
        <v>3290</v>
      </c>
      <c r="DK61" s="188" t="s">
        <v>2970</v>
      </c>
      <c r="DL61" s="188" t="s">
        <v>2860</v>
      </c>
      <c r="DM61" s="188" t="s">
        <v>3291</v>
      </c>
      <c r="DN61" s="188" t="s">
        <v>2970</v>
      </c>
      <c r="DO61" s="188" t="s">
        <v>2860</v>
      </c>
      <c r="DP61" s="188" t="s">
        <v>2860</v>
      </c>
      <c r="DQ61" s="188" t="s">
        <v>2970</v>
      </c>
      <c r="DR61" s="188" t="s">
        <v>2860</v>
      </c>
      <c r="DS61" s="188" t="s">
        <v>2860</v>
      </c>
      <c r="DT61" s="188" t="s">
        <v>2970</v>
      </c>
      <c r="DU61" s="188" t="s">
        <v>2860</v>
      </c>
      <c r="DV61" s="188" t="s">
        <v>2860</v>
      </c>
      <c r="DW61" s="188" t="s">
        <v>2970</v>
      </c>
      <c r="DX61" s="188" t="s">
        <v>2860</v>
      </c>
      <c r="DY61" s="188" t="s">
        <v>2860</v>
      </c>
      <c r="DZ61" s="188" t="s">
        <v>2970</v>
      </c>
      <c r="EA61" s="188" t="s">
        <v>2860</v>
      </c>
      <c r="EB61" s="188" t="s">
        <v>2860</v>
      </c>
      <c r="EC61" s="188" t="s">
        <v>2970</v>
      </c>
      <c r="ED61" s="188" t="s">
        <v>2860</v>
      </c>
      <c r="EE61" s="188" t="s">
        <v>2860</v>
      </c>
      <c r="EF61" s="188" t="s">
        <v>2970</v>
      </c>
      <c r="EG61" s="188" t="s">
        <v>2860</v>
      </c>
      <c r="EH61" s="188" t="s">
        <v>2860</v>
      </c>
      <c r="EI61" s="188" t="s">
        <v>2970</v>
      </c>
      <c r="EJ61" s="188" t="s">
        <v>3292</v>
      </c>
      <c r="EK61" s="188" t="s">
        <v>2860</v>
      </c>
      <c r="EL61" s="188" t="s">
        <v>2970</v>
      </c>
      <c r="EM61" s="188" t="s">
        <v>3293</v>
      </c>
      <c r="EN61" s="188" t="s">
        <v>2860</v>
      </c>
      <c r="EO61" s="188" t="s">
        <v>2970</v>
      </c>
      <c r="EP61" s="188" t="s">
        <v>3294</v>
      </c>
      <c r="EQ61" s="188" t="s">
        <v>2860</v>
      </c>
      <c r="ER61" s="188" t="s">
        <v>2970</v>
      </c>
      <c r="ES61" s="188" t="s">
        <v>2860</v>
      </c>
      <c r="ET61" s="188" t="s">
        <v>2860</v>
      </c>
    </row>
    <row r="62" spans="1:150" x14ac:dyDescent="0.3">
      <c r="A62" s="1"/>
      <c r="B62" s="186" t="s">
        <v>3307</v>
      </c>
      <c r="C62" s="186" t="s">
        <v>106</v>
      </c>
      <c r="D62" s="186" t="s">
        <v>107</v>
      </c>
      <c r="E62" s="186" t="s">
        <v>3308</v>
      </c>
      <c r="F62" s="186" t="s">
        <v>3309</v>
      </c>
      <c r="G62" s="186" t="s">
        <v>2970</v>
      </c>
      <c r="H62" s="186" t="s">
        <v>2860</v>
      </c>
      <c r="I62" s="186" t="s">
        <v>2860</v>
      </c>
      <c r="J62" s="186" t="s">
        <v>2970</v>
      </c>
      <c r="K62" s="186" t="s">
        <v>2860</v>
      </c>
      <c r="L62" s="186" t="s">
        <v>2860</v>
      </c>
      <c r="M62" s="186" t="s">
        <v>2970</v>
      </c>
      <c r="N62" s="186" t="s">
        <v>2860</v>
      </c>
      <c r="O62" s="186" t="s">
        <v>2860</v>
      </c>
      <c r="P62" s="186" t="s">
        <v>2970</v>
      </c>
      <c r="Q62" s="186" t="s">
        <v>2860</v>
      </c>
      <c r="R62" s="186" t="s">
        <v>2860</v>
      </c>
      <c r="S62" s="186" t="s">
        <v>2970</v>
      </c>
      <c r="T62" s="186" t="s">
        <v>2860</v>
      </c>
      <c r="U62" s="186" t="s">
        <v>2860</v>
      </c>
      <c r="V62" s="186" t="s">
        <v>2970</v>
      </c>
      <c r="W62" s="186" t="s">
        <v>2860</v>
      </c>
      <c r="X62" s="186" t="s">
        <v>2860</v>
      </c>
      <c r="Y62" s="186" t="s">
        <v>2970</v>
      </c>
      <c r="Z62" s="186" t="s">
        <v>2860</v>
      </c>
      <c r="AA62" s="186" t="s">
        <v>2860</v>
      </c>
      <c r="AB62" s="186" t="s">
        <v>2970</v>
      </c>
      <c r="AC62" s="186" t="s">
        <v>2860</v>
      </c>
      <c r="AD62" s="186" t="s">
        <v>2860</v>
      </c>
      <c r="AE62" s="186" t="s">
        <v>2970</v>
      </c>
      <c r="AF62" s="186" t="s">
        <v>2860</v>
      </c>
      <c r="AG62" s="186" t="s">
        <v>2860</v>
      </c>
      <c r="AH62" s="186" t="s">
        <v>2970</v>
      </c>
      <c r="AI62" s="186" t="s">
        <v>2860</v>
      </c>
      <c r="AJ62" s="186" t="s">
        <v>2860</v>
      </c>
      <c r="AK62" s="186" t="s">
        <v>2970</v>
      </c>
      <c r="AL62" s="186" t="s">
        <v>2860</v>
      </c>
      <c r="AM62" s="186" t="s">
        <v>2860</v>
      </c>
      <c r="AN62" s="186" t="s">
        <v>2970</v>
      </c>
      <c r="AO62" s="186" t="s">
        <v>2860</v>
      </c>
      <c r="AP62" s="186" t="s">
        <v>2860</v>
      </c>
      <c r="AQ62" s="186" t="s">
        <v>2970</v>
      </c>
      <c r="AR62" s="186" t="s">
        <v>2860</v>
      </c>
      <c r="AS62" s="186" t="s">
        <v>2860</v>
      </c>
      <c r="AT62" s="186" t="s">
        <v>2970</v>
      </c>
      <c r="AU62" s="186" t="s">
        <v>2860</v>
      </c>
      <c r="AV62" s="186" t="s">
        <v>2860</v>
      </c>
      <c r="AW62" s="186" t="s">
        <v>2970</v>
      </c>
      <c r="AX62" s="186" t="s">
        <v>2860</v>
      </c>
      <c r="AY62" s="186" t="s">
        <v>2860</v>
      </c>
      <c r="AZ62" s="186" t="s">
        <v>2970</v>
      </c>
      <c r="BA62" s="186" t="s">
        <v>2860</v>
      </c>
      <c r="BB62" s="186" t="s">
        <v>2860</v>
      </c>
      <c r="BC62" s="186" t="s">
        <v>2970</v>
      </c>
      <c r="BD62" s="186" t="s">
        <v>2860</v>
      </c>
      <c r="BE62" s="186" t="s">
        <v>2860</v>
      </c>
      <c r="BF62" s="186" t="s">
        <v>2970</v>
      </c>
      <c r="BG62" s="186" t="s">
        <v>2860</v>
      </c>
      <c r="BH62" s="186" t="s">
        <v>2860</v>
      </c>
      <c r="BI62" s="186" t="s">
        <v>2970</v>
      </c>
      <c r="BJ62" s="186" t="s">
        <v>2860</v>
      </c>
      <c r="BK62" s="186" t="s">
        <v>2860</v>
      </c>
      <c r="BL62" s="186" t="s">
        <v>2970</v>
      </c>
      <c r="BM62" s="186" t="s">
        <v>2860</v>
      </c>
      <c r="BN62" s="186" t="s">
        <v>2860</v>
      </c>
      <c r="BO62" s="186" t="s">
        <v>2970</v>
      </c>
      <c r="BP62" s="186" t="s">
        <v>2860</v>
      </c>
      <c r="BQ62" s="186" t="s">
        <v>2860</v>
      </c>
      <c r="BR62" s="186" t="s">
        <v>2970</v>
      </c>
      <c r="BS62" s="186" t="s">
        <v>2860</v>
      </c>
      <c r="BT62" s="186" t="s">
        <v>2860</v>
      </c>
      <c r="BU62" s="186" t="s">
        <v>2970</v>
      </c>
      <c r="BV62" s="186" t="s">
        <v>2860</v>
      </c>
      <c r="BW62" s="186" t="s">
        <v>2860</v>
      </c>
      <c r="BX62" s="186" t="s">
        <v>2970</v>
      </c>
      <c r="BY62" s="186" t="s">
        <v>2860</v>
      </c>
      <c r="BZ62" s="186" t="s">
        <v>2860</v>
      </c>
      <c r="CA62" s="186" t="s">
        <v>2970</v>
      </c>
      <c r="CB62" s="186" t="s">
        <v>2860</v>
      </c>
      <c r="CC62" s="186" t="s">
        <v>2860</v>
      </c>
      <c r="CD62" s="186" t="s">
        <v>2970</v>
      </c>
      <c r="CE62" s="186" t="s">
        <v>2860</v>
      </c>
      <c r="CF62" s="186" t="s">
        <v>2860</v>
      </c>
      <c r="CG62" s="186" t="s">
        <v>2970</v>
      </c>
      <c r="CH62" s="186" t="s">
        <v>2860</v>
      </c>
      <c r="CI62" s="186" t="s">
        <v>2860</v>
      </c>
      <c r="CJ62" s="186" t="s">
        <v>2970</v>
      </c>
      <c r="CK62" s="186" t="s">
        <v>2860</v>
      </c>
      <c r="CL62" s="186" t="s">
        <v>2860</v>
      </c>
      <c r="CM62" s="186" t="s">
        <v>2970</v>
      </c>
      <c r="CN62" s="186" t="s">
        <v>2860</v>
      </c>
      <c r="CO62" s="186" t="s">
        <v>2860</v>
      </c>
      <c r="CP62" s="186" t="s">
        <v>2970</v>
      </c>
      <c r="CQ62" s="186" t="s">
        <v>2860</v>
      </c>
      <c r="CR62" s="186" t="s">
        <v>2860</v>
      </c>
      <c r="CS62" s="186" t="s">
        <v>2970</v>
      </c>
      <c r="CT62" s="186" t="s">
        <v>2860</v>
      </c>
      <c r="CU62" s="186" t="s">
        <v>2860</v>
      </c>
      <c r="CV62" s="186" t="s">
        <v>2970</v>
      </c>
      <c r="CW62" s="186" t="s">
        <v>2860</v>
      </c>
      <c r="CX62" s="186" t="s">
        <v>2860</v>
      </c>
      <c r="CY62" s="186" t="s">
        <v>2970</v>
      </c>
      <c r="CZ62" s="186" t="s">
        <v>2860</v>
      </c>
      <c r="DA62" s="186" t="s">
        <v>2860</v>
      </c>
      <c r="DB62" s="186" t="s">
        <v>2970</v>
      </c>
      <c r="DC62" s="186" t="s">
        <v>2860</v>
      </c>
      <c r="DD62" s="186" t="s">
        <v>2860</v>
      </c>
      <c r="DE62" s="186" t="s">
        <v>2970</v>
      </c>
      <c r="DF62" s="186" t="s">
        <v>2860</v>
      </c>
      <c r="DG62" s="186" t="s">
        <v>2860</v>
      </c>
      <c r="DH62" s="186" t="s">
        <v>2970</v>
      </c>
      <c r="DI62" s="186" t="s">
        <v>2860</v>
      </c>
      <c r="DJ62" s="186" t="s">
        <v>2860</v>
      </c>
      <c r="DK62" s="186" t="s">
        <v>2970</v>
      </c>
      <c r="DL62" s="186" t="s">
        <v>2860</v>
      </c>
      <c r="DM62" s="186" t="s">
        <v>2860</v>
      </c>
      <c r="DN62" s="186" t="s">
        <v>2970</v>
      </c>
      <c r="DO62" s="186" t="s">
        <v>2860</v>
      </c>
      <c r="DP62" s="186" t="s">
        <v>2860</v>
      </c>
      <c r="DQ62" s="186" t="s">
        <v>2970</v>
      </c>
      <c r="DR62" s="186" t="s">
        <v>2860</v>
      </c>
      <c r="DS62" s="186" t="s">
        <v>2860</v>
      </c>
      <c r="DT62" s="186" t="s">
        <v>2970</v>
      </c>
      <c r="DU62" s="186" t="s">
        <v>2860</v>
      </c>
      <c r="DV62" s="186" t="s">
        <v>2860</v>
      </c>
      <c r="DW62" s="186" t="s">
        <v>2970</v>
      </c>
      <c r="DX62" s="186" t="s">
        <v>2860</v>
      </c>
      <c r="DY62" s="186" t="s">
        <v>2860</v>
      </c>
      <c r="DZ62" s="186" t="s">
        <v>2970</v>
      </c>
      <c r="EA62" s="186" t="s">
        <v>2860</v>
      </c>
      <c r="EB62" s="186" t="s">
        <v>2860</v>
      </c>
      <c r="EC62" s="186" t="s">
        <v>2970</v>
      </c>
      <c r="ED62" s="186" t="s">
        <v>2860</v>
      </c>
      <c r="EE62" s="186" t="s">
        <v>2860</v>
      </c>
      <c r="EF62" s="186" t="s">
        <v>2970</v>
      </c>
      <c r="EG62" s="186" t="s">
        <v>2860</v>
      </c>
      <c r="EH62" s="186" t="s">
        <v>2860</v>
      </c>
      <c r="EI62" s="186" t="s">
        <v>2970</v>
      </c>
      <c r="EJ62" s="186" t="s">
        <v>2860</v>
      </c>
      <c r="EK62" s="186" t="s">
        <v>2860</v>
      </c>
      <c r="EL62" s="186" t="s">
        <v>2970</v>
      </c>
      <c r="EM62" s="186" t="s">
        <v>2860</v>
      </c>
      <c r="EN62" s="186" t="s">
        <v>2860</v>
      </c>
      <c r="EO62" s="186" t="s">
        <v>2970</v>
      </c>
      <c r="EP62" s="186" t="s">
        <v>2860</v>
      </c>
      <c r="EQ62" s="186" t="s">
        <v>2860</v>
      </c>
      <c r="ER62" s="186" t="s">
        <v>2970</v>
      </c>
      <c r="ES62" s="186" t="s">
        <v>2860</v>
      </c>
      <c r="ET62" s="186" t="s">
        <v>2860</v>
      </c>
    </row>
    <row r="63" spans="1:150" x14ac:dyDescent="0.3">
      <c r="A63" s="1"/>
      <c r="B63" s="187" t="s">
        <v>3310</v>
      </c>
      <c r="C63" s="187" t="s">
        <v>106</v>
      </c>
      <c r="D63" s="187" t="s">
        <v>107</v>
      </c>
      <c r="E63" s="187" t="s">
        <v>3311</v>
      </c>
      <c r="F63" s="187" t="s">
        <v>3312</v>
      </c>
      <c r="G63" s="188" t="s">
        <v>2970</v>
      </c>
      <c r="H63" s="188" t="s">
        <v>2860</v>
      </c>
      <c r="I63" s="188" t="s">
        <v>2860</v>
      </c>
      <c r="J63" s="188" t="s">
        <v>2970</v>
      </c>
      <c r="K63" s="188" t="s">
        <v>2860</v>
      </c>
      <c r="L63" s="188" t="s">
        <v>2860</v>
      </c>
      <c r="M63" s="188" t="s">
        <v>2970</v>
      </c>
      <c r="N63" s="188" t="s">
        <v>2860</v>
      </c>
      <c r="O63" s="188" t="s">
        <v>2860</v>
      </c>
      <c r="P63" s="188" t="s">
        <v>2970</v>
      </c>
      <c r="Q63" s="188" t="s">
        <v>2860</v>
      </c>
      <c r="R63" s="188" t="s">
        <v>2860</v>
      </c>
      <c r="S63" s="188" t="s">
        <v>2970</v>
      </c>
      <c r="T63" s="188" t="s">
        <v>2860</v>
      </c>
      <c r="U63" s="188" t="s">
        <v>2860</v>
      </c>
      <c r="V63" s="188" t="s">
        <v>2970</v>
      </c>
      <c r="W63" s="188" t="s">
        <v>2860</v>
      </c>
      <c r="X63" s="188" t="s">
        <v>2860</v>
      </c>
      <c r="Y63" s="188" t="s">
        <v>2970</v>
      </c>
      <c r="Z63" s="188" t="s">
        <v>2860</v>
      </c>
      <c r="AA63" s="188" t="s">
        <v>2860</v>
      </c>
      <c r="AB63" s="188" t="s">
        <v>2970</v>
      </c>
      <c r="AC63" s="188" t="s">
        <v>2860</v>
      </c>
      <c r="AD63" s="188" t="s">
        <v>2860</v>
      </c>
      <c r="AE63" s="188" t="s">
        <v>2970</v>
      </c>
      <c r="AF63" s="188" t="s">
        <v>2860</v>
      </c>
      <c r="AG63" s="188" t="s">
        <v>2860</v>
      </c>
      <c r="AH63" s="188" t="s">
        <v>2970</v>
      </c>
      <c r="AI63" s="188" t="s">
        <v>2860</v>
      </c>
      <c r="AJ63" s="188" t="s">
        <v>2860</v>
      </c>
      <c r="AK63" s="188" t="s">
        <v>2970</v>
      </c>
      <c r="AL63" s="188" t="s">
        <v>2860</v>
      </c>
      <c r="AM63" s="188" t="s">
        <v>2860</v>
      </c>
      <c r="AN63" s="188" t="s">
        <v>2970</v>
      </c>
      <c r="AO63" s="188" t="s">
        <v>2860</v>
      </c>
      <c r="AP63" s="188" t="s">
        <v>2860</v>
      </c>
      <c r="AQ63" s="188" t="s">
        <v>2970</v>
      </c>
      <c r="AR63" s="188" t="s">
        <v>2860</v>
      </c>
      <c r="AS63" s="188" t="s">
        <v>2860</v>
      </c>
      <c r="AT63" s="188" t="s">
        <v>2970</v>
      </c>
      <c r="AU63" s="188" t="s">
        <v>2860</v>
      </c>
      <c r="AV63" s="188" t="s">
        <v>2860</v>
      </c>
      <c r="AW63" s="188" t="s">
        <v>2970</v>
      </c>
      <c r="AX63" s="188" t="s">
        <v>2860</v>
      </c>
      <c r="AY63" s="188" t="s">
        <v>2860</v>
      </c>
      <c r="AZ63" s="188" t="s">
        <v>2970</v>
      </c>
      <c r="BA63" s="188" t="s">
        <v>2860</v>
      </c>
      <c r="BB63" s="188" t="s">
        <v>2860</v>
      </c>
      <c r="BC63" s="188" t="s">
        <v>2970</v>
      </c>
      <c r="BD63" s="188" t="s">
        <v>2860</v>
      </c>
      <c r="BE63" s="188" t="s">
        <v>2860</v>
      </c>
      <c r="BF63" s="188" t="s">
        <v>2970</v>
      </c>
      <c r="BG63" s="188" t="s">
        <v>2860</v>
      </c>
      <c r="BH63" s="188" t="s">
        <v>2860</v>
      </c>
      <c r="BI63" s="188" t="s">
        <v>2970</v>
      </c>
      <c r="BJ63" s="188" t="s">
        <v>2860</v>
      </c>
      <c r="BK63" s="188" t="s">
        <v>2860</v>
      </c>
      <c r="BL63" s="188" t="s">
        <v>2970</v>
      </c>
      <c r="BM63" s="188" t="s">
        <v>2860</v>
      </c>
      <c r="BN63" s="188" t="s">
        <v>2860</v>
      </c>
      <c r="BO63" s="188" t="s">
        <v>2970</v>
      </c>
      <c r="BP63" s="188" t="s">
        <v>2860</v>
      </c>
      <c r="BQ63" s="188" t="s">
        <v>2860</v>
      </c>
      <c r="BR63" s="188" t="s">
        <v>2970</v>
      </c>
      <c r="BS63" s="188" t="s">
        <v>2860</v>
      </c>
      <c r="BT63" s="188" t="s">
        <v>2860</v>
      </c>
      <c r="BU63" s="188" t="s">
        <v>2970</v>
      </c>
      <c r="BV63" s="188" t="s">
        <v>2860</v>
      </c>
      <c r="BW63" s="188" t="s">
        <v>2860</v>
      </c>
      <c r="BX63" s="188" t="s">
        <v>2970</v>
      </c>
      <c r="BY63" s="188" t="s">
        <v>2860</v>
      </c>
      <c r="BZ63" s="188" t="s">
        <v>2860</v>
      </c>
      <c r="CA63" s="188" t="s">
        <v>2970</v>
      </c>
      <c r="CB63" s="188" t="s">
        <v>2860</v>
      </c>
      <c r="CC63" s="188" t="s">
        <v>2860</v>
      </c>
      <c r="CD63" s="188" t="s">
        <v>2970</v>
      </c>
      <c r="CE63" s="188" t="s">
        <v>2860</v>
      </c>
      <c r="CF63" s="188" t="s">
        <v>2860</v>
      </c>
      <c r="CG63" s="188" t="s">
        <v>2970</v>
      </c>
      <c r="CH63" s="188" t="s">
        <v>2860</v>
      </c>
      <c r="CI63" s="188" t="s">
        <v>2860</v>
      </c>
      <c r="CJ63" s="188" t="s">
        <v>2970</v>
      </c>
      <c r="CK63" s="188" t="s">
        <v>2860</v>
      </c>
      <c r="CL63" s="188" t="s">
        <v>2860</v>
      </c>
      <c r="CM63" s="188" t="s">
        <v>2970</v>
      </c>
      <c r="CN63" s="188" t="s">
        <v>2860</v>
      </c>
      <c r="CO63" s="188" t="s">
        <v>2860</v>
      </c>
      <c r="CP63" s="188" t="s">
        <v>2970</v>
      </c>
      <c r="CQ63" s="188" t="s">
        <v>2860</v>
      </c>
      <c r="CR63" s="188" t="s">
        <v>2860</v>
      </c>
      <c r="CS63" s="188" t="s">
        <v>2970</v>
      </c>
      <c r="CT63" s="188" t="s">
        <v>2860</v>
      </c>
      <c r="CU63" s="188" t="s">
        <v>2860</v>
      </c>
      <c r="CV63" s="188" t="s">
        <v>2970</v>
      </c>
      <c r="CW63" s="188" t="s">
        <v>2860</v>
      </c>
      <c r="CX63" s="188" t="s">
        <v>2860</v>
      </c>
      <c r="CY63" s="188" t="s">
        <v>2970</v>
      </c>
      <c r="CZ63" s="188" t="s">
        <v>2860</v>
      </c>
      <c r="DA63" s="188" t="s">
        <v>2860</v>
      </c>
      <c r="DB63" s="188" t="s">
        <v>2970</v>
      </c>
      <c r="DC63" s="188" t="s">
        <v>2860</v>
      </c>
      <c r="DD63" s="188" t="s">
        <v>2860</v>
      </c>
      <c r="DE63" s="188" t="s">
        <v>2970</v>
      </c>
      <c r="DF63" s="188" t="s">
        <v>2860</v>
      </c>
      <c r="DG63" s="188" t="s">
        <v>2860</v>
      </c>
      <c r="DH63" s="188" t="s">
        <v>2970</v>
      </c>
      <c r="DI63" s="188" t="s">
        <v>2860</v>
      </c>
      <c r="DJ63" s="188" t="s">
        <v>2860</v>
      </c>
      <c r="DK63" s="188" t="s">
        <v>2970</v>
      </c>
      <c r="DL63" s="188" t="s">
        <v>2860</v>
      </c>
      <c r="DM63" s="188" t="s">
        <v>2860</v>
      </c>
      <c r="DN63" s="188" t="s">
        <v>2970</v>
      </c>
      <c r="DO63" s="188" t="s">
        <v>2860</v>
      </c>
      <c r="DP63" s="188" t="s">
        <v>2860</v>
      </c>
      <c r="DQ63" s="188" t="s">
        <v>2970</v>
      </c>
      <c r="DR63" s="188" t="s">
        <v>2860</v>
      </c>
      <c r="DS63" s="188" t="s">
        <v>2860</v>
      </c>
      <c r="DT63" s="188" t="s">
        <v>2970</v>
      </c>
      <c r="DU63" s="188" t="s">
        <v>2860</v>
      </c>
      <c r="DV63" s="188" t="s">
        <v>2860</v>
      </c>
      <c r="DW63" s="188" t="s">
        <v>2970</v>
      </c>
      <c r="DX63" s="188" t="s">
        <v>2860</v>
      </c>
      <c r="DY63" s="188" t="s">
        <v>2860</v>
      </c>
      <c r="DZ63" s="188" t="s">
        <v>2970</v>
      </c>
      <c r="EA63" s="188" t="s">
        <v>2860</v>
      </c>
      <c r="EB63" s="188" t="s">
        <v>2860</v>
      </c>
      <c r="EC63" s="188" t="s">
        <v>2970</v>
      </c>
      <c r="ED63" s="188" t="s">
        <v>2860</v>
      </c>
      <c r="EE63" s="188" t="s">
        <v>2860</v>
      </c>
      <c r="EF63" s="188" t="s">
        <v>2970</v>
      </c>
      <c r="EG63" s="188" t="s">
        <v>2860</v>
      </c>
      <c r="EH63" s="188" t="s">
        <v>2860</v>
      </c>
      <c r="EI63" s="188" t="s">
        <v>2970</v>
      </c>
      <c r="EJ63" s="188" t="s">
        <v>2860</v>
      </c>
      <c r="EK63" s="188" t="s">
        <v>2860</v>
      </c>
      <c r="EL63" s="188" t="s">
        <v>2970</v>
      </c>
      <c r="EM63" s="188" t="s">
        <v>2860</v>
      </c>
      <c r="EN63" s="188" t="s">
        <v>2860</v>
      </c>
      <c r="EO63" s="188" t="s">
        <v>2970</v>
      </c>
      <c r="EP63" s="188" t="s">
        <v>2860</v>
      </c>
      <c r="EQ63" s="188" t="s">
        <v>2860</v>
      </c>
      <c r="ER63" s="188" t="s">
        <v>2970</v>
      </c>
      <c r="ES63" s="188" t="s">
        <v>2860</v>
      </c>
      <c r="ET63" s="188" t="s">
        <v>2860</v>
      </c>
    </row>
    <row r="64" spans="1:150" x14ac:dyDescent="0.3">
      <c r="A64" s="1"/>
      <c r="B64" s="187" t="s">
        <v>3313</v>
      </c>
      <c r="C64" s="187" t="s">
        <v>106</v>
      </c>
      <c r="D64" s="187" t="s">
        <v>107</v>
      </c>
      <c r="E64" s="187" t="s">
        <v>3314</v>
      </c>
      <c r="F64" s="187" t="s">
        <v>3315</v>
      </c>
      <c r="G64" s="188" t="s">
        <v>2970</v>
      </c>
      <c r="H64" s="188" t="s">
        <v>2860</v>
      </c>
      <c r="I64" s="188" t="s">
        <v>2860</v>
      </c>
      <c r="J64" s="188" t="s">
        <v>2970</v>
      </c>
      <c r="K64" s="188" t="s">
        <v>2860</v>
      </c>
      <c r="L64" s="188" t="s">
        <v>2860</v>
      </c>
      <c r="M64" s="188" t="s">
        <v>2970</v>
      </c>
      <c r="N64" s="188" t="s">
        <v>2860</v>
      </c>
      <c r="O64" s="188" t="s">
        <v>2860</v>
      </c>
      <c r="P64" s="188" t="s">
        <v>2970</v>
      </c>
      <c r="Q64" s="188" t="s">
        <v>2860</v>
      </c>
      <c r="R64" s="188" t="s">
        <v>2860</v>
      </c>
      <c r="S64" s="188" t="s">
        <v>2970</v>
      </c>
      <c r="T64" s="188" t="s">
        <v>2860</v>
      </c>
      <c r="U64" s="188" t="s">
        <v>2860</v>
      </c>
      <c r="V64" s="188" t="s">
        <v>2970</v>
      </c>
      <c r="W64" s="188" t="s">
        <v>2860</v>
      </c>
      <c r="X64" s="188" t="s">
        <v>2860</v>
      </c>
      <c r="Y64" s="188" t="s">
        <v>2970</v>
      </c>
      <c r="Z64" s="188" t="s">
        <v>2860</v>
      </c>
      <c r="AA64" s="188" t="s">
        <v>2860</v>
      </c>
      <c r="AB64" s="188" t="s">
        <v>2970</v>
      </c>
      <c r="AC64" s="188" t="s">
        <v>2860</v>
      </c>
      <c r="AD64" s="188" t="s">
        <v>2860</v>
      </c>
      <c r="AE64" s="188" t="s">
        <v>2970</v>
      </c>
      <c r="AF64" s="188" t="s">
        <v>2860</v>
      </c>
      <c r="AG64" s="188" t="s">
        <v>2860</v>
      </c>
      <c r="AH64" s="188" t="s">
        <v>2970</v>
      </c>
      <c r="AI64" s="188" t="s">
        <v>2860</v>
      </c>
      <c r="AJ64" s="188" t="s">
        <v>2860</v>
      </c>
      <c r="AK64" s="188" t="s">
        <v>2970</v>
      </c>
      <c r="AL64" s="188" t="s">
        <v>2860</v>
      </c>
      <c r="AM64" s="188" t="s">
        <v>2860</v>
      </c>
      <c r="AN64" s="188" t="s">
        <v>2970</v>
      </c>
      <c r="AO64" s="188" t="s">
        <v>2860</v>
      </c>
      <c r="AP64" s="188" t="s">
        <v>2860</v>
      </c>
      <c r="AQ64" s="188" t="s">
        <v>2970</v>
      </c>
      <c r="AR64" s="188" t="s">
        <v>2860</v>
      </c>
      <c r="AS64" s="188" t="s">
        <v>2860</v>
      </c>
      <c r="AT64" s="188" t="s">
        <v>2970</v>
      </c>
      <c r="AU64" s="188" t="s">
        <v>2860</v>
      </c>
      <c r="AV64" s="188" t="s">
        <v>2860</v>
      </c>
      <c r="AW64" s="188" t="s">
        <v>2970</v>
      </c>
      <c r="AX64" s="188" t="s">
        <v>2860</v>
      </c>
      <c r="AY64" s="188" t="s">
        <v>2860</v>
      </c>
      <c r="AZ64" s="188" t="s">
        <v>2970</v>
      </c>
      <c r="BA64" s="188" t="s">
        <v>2860</v>
      </c>
      <c r="BB64" s="188" t="s">
        <v>2860</v>
      </c>
      <c r="BC64" s="188" t="s">
        <v>2970</v>
      </c>
      <c r="BD64" s="188" t="s">
        <v>2860</v>
      </c>
      <c r="BE64" s="188" t="s">
        <v>2860</v>
      </c>
      <c r="BF64" s="188" t="s">
        <v>2970</v>
      </c>
      <c r="BG64" s="188" t="s">
        <v>2860</v>
      </c>
      <c r="BH64" s="188" t="s">
        <v>2860</v>
      </c>
      <c r="BI64" s="188" t="s">
        <v>2970</v>
      </c>
      <c r="BJ64" s="188" t="s">
        <v>2860</v>
      </c>
      <c r="BK64" s="188" t="s">
        <v>2860</v>
      </c>
      <c r="BL64" s="188" t="s">
        <v>2970</v>
      </c>
      <c r="BM64" s="188" t="s">
        <v>2860</v>
      </c>
      <c r="BN64" s="188" t="s">
        <v>2860</v>
      </c>
      <c r="BO64" s="188" t="s">
        <v>2970</v>
      </c>
      <c r="BP64" s="188" t="s">
        <v>2860</v>
      </c>
      <c r="BQ64" s="188" t="s">
        <v>2860</v>
      </c>
      <c r="BR64" s="188" t="s">
        <v>2970</v>
      </c>
      <c r="BS64" s="188" t="s">
        <v>2860</v>
      </c>
      <c r="BT64" s="188" t="s">
        <v>2860</v>
      </c>
      <c r="BU64" s="188" t="s">
        <v>2970</v>
      </c>
      <c r="BV64" s="188" t="s">
        <v>2860</v>
      </c>
      <c r="BW64" s="188" t="s">
        <v>2860</v>
      </c>
      <c r="BX64" s="188" t="s">
        <v>2970</v>
      </c>
      <c r="BY64" s="188" t="s">
        <v>2860</v>
      </c>
      <c r="BZ64" s="188" t="s">
        <v>2860</v>
      </c>
      <c r="CA64" s="188" t="s">
        <v>2970</v>
      </c>
      <c r="CB64" s="188" t="s">
        <v>2860</v>
      </c>
      <c r="CC64" s="188" t="s">
        <v>2860</v>
      </c>
      <c r="CD64" s="188" t="s">
        <v>2970</v>
      </c>
      <c r="CE64" s="188" t="s">
        <v>2860</v>
      </c>
      <c r="CF64" s="188" t="s">
        <v>2860</v>
      </c>
      <c r="CG64" s="188" t="s">
        <v>2970</v>
      </c>
      <c r="CH64" s="188" t="s">
        <v>2860</v>
      </c>
      <c r="CI64" s="188" t="s">
        <v>2860</v>
      </c>
      <c r="CJ64" s="188" t="s">
        <v>2970</v>
      </c>
      <c r="CK64" s="188" t="s">
        <v>2860</v>
      </c>
      <c r="CL64" s="188" t="s">
        <v>2860</v>
      </c>
      <c r="CM64" s="188" t="s">
        <v>2970</v>
      </c>
      <c r="CN64" s="188" t="s">
        <v>2860</v>
      </c>
      <c r="CO64" s="188" t="s">
        <v>2860</v>
      </c>
      <c r="CP64" s="188" t="s">
        <v>2970</v>
      </c>
      <c r="CQ64" s="188" t="s">
        <v>2860</v>
      </c>
      <c r="CR64" s="188" t="s">
        <v>2860</v>
      </c>
      <c r="CS64" s="188" t="s">
        <v>2970</v>
      </c>
      <c r="CT64" s="188" t="s">
        <v>2860</v>
      </c>
      <c r="CU64" s="188" t="s">
        <v>2860</v>
      </c>
      <c r="CV64" s="188" t="s">
        <v>2970</v>
      </c>
      <c r="CW64" s="188" t="s">
        <v>2860</v>
      </c>
      <c r="CX64" s="188" t="s">
        <v>2860</v>
      </c>
      <c r="CY64" s="188" t="s">
        <v>2970</v>
      </c>
      <c r="CZ64" s="188" t="s">
        <v>2860</v>
      </c>
      <c r="DA64" s="188" t="s">
        <v>2860</v>
      </c>
      <c r="DB64" s="188" t="s">
        <v>2970</v>
      </c>
      <c r="DC64" s="188" t="s">
        <v>2860</v>
      </c>
      <c r="DD64" s="188" t="s">
        <v>2860</v>
      </c>
      <c r="DE64" s="188" t="s">
        <v>2970</v>
      </c>
      <c r="DF64" s="188" t="s">
        <v>2860</v>
      </c>
      <c r="DG64" s="188" t="s">
        <v>2860</v>
      </c>
      <c r="DH64" s="188" t="s">
        <v>2970</v>
      </c>
      <c r="DI64" s="188" t="s">
        <v>2860</v>
      </c>
      <c r="DJ64" s="188" t="s">
        <v>2860</v>
      </c>
      <c r="DK64" s="188" t="s">
        <v>2970</v>
      </c>
      <c r="DL64" s="188" t="s">
        <v>2860</v>
      </c>
      <c r="DM64" s="188" t="s">
        <v>2860</v>
      </c>
      <c r="DN64" s="188" t="s">
        <v>2970</v>
      </c>
      <c r="DO64" s="188" t="s">
        <v>2860</v>
      </c>
      <c r="DP64" s="188" t="s">
        <v>2860</v>
      </c>
      <c r="DQ64" s="188" t="s">
        <v>2970</v>
      </c>
      <c r="DR64" s="188" t="s">
        <v>2860</v>
      </c>
      <c r="DS64" s="188" t="s">
        <v>2860</v>
      </c>
      <c r="DT64" s="188" t="s">
        <v>2970</v>
      </c>
      <c r="DU64" s="188" t="s">
        <v>2860</v>
      </c>
      <c r="DV64" s="188" t="s">
        <v>2860</v>
      </c>
      <c r="DW64" s="188" t="s">
        <v>2970</v>
      </c>
      <c r="DX64" s="188" t="s">
        <v>2860</v>
      </c>
      <c r="DY64" s="188" t="s">
        <v>2860</v>
      </c>
      <c r="DZ64" s="188" t="s">
        <v>2970</v>
      </c>
      <c r="EA64" s="188" t="s">
        <v>2860</v>
      </c>
      <c r="EB64" s="188" t="s">
        <v>2860</v>
      </c>
      <c r="EC64" s="188" t="s">
        <v>2970</v>
      </c>
      <c r="ED64" s="188" t="s">
        <v>2860</v>
      </c>
      <c r="EE64" s="188" t="s">
        <v>2860</v>
      </c>
      <c r="EF64" s="188" t="s">
        <v>2970</v>
      </c>
      <c r="EG64" s="188" t="s">
        <v>2860</v>
      </c>
      <c r="EH64" s="188" t="s">
        <v>2860</v>
      </c>
      <c r="EI64" s="188" t="s">
        <v>2970</v>
      </c>
      <c r="EJ64" s="188" t="s">
        <v>2860</v>
      </c>
      <c r="EK64" s="188" t="s">
        <v>2860</v>
      </c>
      <c r="EL64" s="188" t="s">
        <v>2970</v>
      </c>
      <c r="EM64" s="188" t="s">
        <v>2860</v>
      </c>
      <c r="EN64" s="188" t="s">
        <v>2860</v>
      </c>
      <c r="EO64" s="188" t="s">
        <v>2970</v>
      </c>
      <c r="EP64" s="188" t="s">
        <v>2860</v>
      </c>
      <c r="EQ64" s="188" t="s">
        <v>2860</v>
      </c>
      <c r="ER64" s="188" t="s">
        <v>2970</v>
      </c>
      <c r="ES64" s="188" t="s">
        <v>2860</v>
      </c>
      <c r="ET64" s="188" t="s">
        <v>2860</v>
      </c>
    </row>
    <row r="65" spans="1:150" x14ac:dyDescent="0.3">
      <c r="A65" s="1"/>
      <c r="B65" s="187" t="s">
        <v>3316</v>
      </c>
      <c r="C65" s="187" t="s">
        <v>106</v>
      </c>
      <c r="D65" s="187" t="s">
        <v>107</v>
      </c>
      <c r="E65" s="187" t="s">
        <v>3317</v>
      </c>
      <c r="F65" s="187" t="s">
        <v>3318</v>
      </c>
      <c r="G65" s="188" t="s">
        <v>2970</v>
      </c>
      <c r="H65" s="188" t="s">
        <v>2860</v>
      </c>
      <c r="I65" s="188" t="s">
        <v>2860</v>
      </c>
      <c r="J65" s="188" t="s">
        <v>2970</v>
      </c>
      <c r="K65" s="188" t="s">
        <v>2860</v>
      </c>
      <c r="L65" s="188" t="s">
        <v>2860</v>
      </c>
      <c r="M65" s="188" t="s">
        <v>2970</v>
      </c>
      <c r="N65" s="188" t="s">
        <v>2860</v>
      </c>
      <c r="O65" s="188" t="s">
        <v>2860</v>
      </c>
      <c r="P65" s="188" t="s">
        <v>2970</v>
      </c>
      <c r="Q65" s="188" t="s">
        <v>2860</v>
      </c>
      <c r="R65" s="188" t="s">
        <v>2860</v>
      </c>
      <c r="S65" s="188" t="s">
        <v>2970</v>
      </c>
      <c r="T65" s="188" t="s">
        <v>2860</v>
      </c>
      <c r="U65" s="188" t="s">
        <v>2860</v>
      </c>
      <c r="V65" s="188" t="s">
        <v>2970</v>
      </c>
      <c r="W65" s="188" t="s">
        <v>2860</v>
      </c>
      <c r="X65" s="188" t="s">
        <v>2860</v>
      </c>
      <c r="Y65" s="188" t="s">
        <v>2970</v>
      </c>
      <c r="Z65" s="188" t="s">
        <v>2860</v>
      </c>
      <c r="AA65" s="188" t="s">
        <v>2860</v>
      </c>
      <c r="AB65" s="188" t="s">
        <v>2970</v>
      </c>
      <c r="AC65" s="188" t="s">
        <v>2860</v>
      </c>
      <c r="AD65" s="188" t="s">
        <v>2860</v>
      </c>
      <c r="AE65" s="188" t="s">
        <v>2970</v>
      </c>
      <c r="AF65" s="188" t="s">
        <v>2860</v>
      </c>
      <c r="AG65" s="188" t="s">
        <v>2860</v>
      </c>
      <c r="AH65" s="188" t="s">
        <v>2970</v>
      </c>
      <c r="AI65" s="188" t="s">
        <v>2860</v>
      </c>
      <c r="AJ65" s="188" t="s">
        <v>2860</v>
      </c>
      <c r="AK65" s="188" t="s">
        <v>2970</v>
      </c>
      <c r="AL65" s="188" t="s">
        <v>2860</v>
      </c>
      <c r="AM65" s="188" t="s">
        <v>2860</v>
      </c>
      <c r="AN65" s="188" t="s">
        <v>2970</v>
      </c>
      <c r="AO65" s="188" t="s">
        <v>2860</v>
      </c>
      <c r="AP65" s="188" t="s">
        <v>2860</v>
      </c>
      <c r="AQ65" s="188" t="s">
        <v>2970</v>
      </c>
      <c r="AR65" s="188" t="s">
        <v>2860</v>
      </c>
      <c r="AS65" s="188" t="s">
        <v>2860</v>
      </c>
      <c r="AT65" s="188" t="s">
        <v>2970</v>
      </c>
      <c r="AU65" s="188" t="s">
        <v>2860</v>
      </c>
      <c r="AV65" s="188" t="s">
        <v>2860</v>
      </c>
      <c r="AW65" s="188" t="s">
        <v>2970</v>
      </c>
      <c r="AX65" s="188" t="s">
        <v>2860</v>
      </c>
      <c r="AY65" s="188" t="s">
        <v>2860</v>
      </c>
      <c r="AZ65" s="188" t="s">
        <v>2970</v>
      </c>
      <c r="BA65" s="188" t="s">
        <v>2860</v>
      </c>
      <c r="BB65" s="188" t="s">
        <v>2860</v>
      </c>
      <c r="BC65" s="188" t="s">
        <v>2970</v>
      </c>
      <c r="BD65" s="188" t="s">
        <v>2860</v>
      </c>
      <c r="BE65" s="188" t="s">
        <v>2860</v>
      </c>
      <c r="BF65" s="188" t="s">
        <v>2970</v>
      </c>
      <c r="BG65" s="188" t="s">
        <v>2860</v>
      </c>
      <c r="BH65" s="188" t="s">
        <v>2860</v>
      </c>
      <c r="BI65" s="188" t="s">
        <v>2970</v>
      </c>
      <c r="BJ65" s="188" t="s">
        <v>2860</v>
      </c>
      <c r="BK65" s="188" t="s">
        <v>2860</v>
      </c>
      <c r="BL65" s="188" t="s">
        <v>2970</v>
      </c>
      <c r="BM65" s="188" t="s">
        <v>2860</v>
      </c>
      <c r="BN65" s="188" t="s">
        <v>2860</v>
      </c>
      <c r="BO65" s="188" t="s">
        <v>2970</v>
      </c>
      <c r="BP65" s="188" t="s">
        <v>2860</v>
      </c>
      <c r="BQ65" s="188" t="s">
        <v>2860</v>
      </c>
      <c r="BR65" s="188" t="s">
        <v>2970</v>
      </c>
      <c r="BS65" s="188" t="s">
        <v>2860</v>
      </c>
      <c r="BT65" s="188" t="s">
        <v>2860</v>
      </c>
      <c r="BU65" s="188" t="s">
        <v>2970</v>
      </c>
      <c r="BV65" s="188" t="s">
        <v>2860</v>
      </c>
      <c r="BW65" s="188" t="s">
        <v>2860</v>
      </c>
      <c r="BX65" s="188" t="s">
        <v>2970</v>
      </c>
      <c r="BY65" s="188" t="s">
        <v>2860</v>
      </c>
      <c r="BZ65" s="188" t="s">
        <v>2860</v>
      </c>
      <c r="CA65" s="188" t="s">
        <v>2970</v>
      </c>
      <c r="CB65" s="188" t="s">
        <v>2860</v>
      </c>
      <c r="CC65" s="188" t="s">
        <v>2860</v>
      </c>
      <c r="CD65" s="188" t="s">
        <v>2970</v>
      </c>
      <c r="CE65" s="188" t="s">
        <v>2860</v>
      </c>
      <c r="CF65" s="188" t="s">
        <v>2860</v>
      </c>
      <c r="CG65" s="188" t="s">
        <v>2970</v>
      </c>
      <c r="CH65" s="188" t="s">
        <v>2860</v>
      </c>
      <c r="CI65" s="188" t="s">
        <v>2860</v>
      </c>
      <c r="CJ65" s="188" t="s">
        <v>2970</v>
      </c>
      <c r="CK65" s="188" t="s">
        <v>2860</v>
      </c>
      <c r="CL65" s="188" t="s">
        <v>2860</v>
      </c>
      <c r="CM65" s="188" t="s">
        <v>2970</v>
      </c>
      <c r="CN65" s="188" t="s">
        <v>2860</v>
      </c>
      <c r="CO65" s="188" t="s">
        <v>2860</v>
      </c>
      <c r="CP65" s="188" t="s">
        <v>2970</v>
      </c>
      <c r="CQ65" s="188" t="s">
        <v>2860</v>
      </c>
      <c r="CR65" s="188" t="s">
        <v>2860</v>
      </c>
      <c r="CS65" s="188" t="s">
        <v>2970</v>
      </c>
      <c r="CT65" s="188" t="s">
        <v>2860</v>
      </c>
      <c r="CU65" s="188" t="s">
        <v>2860</v>
      </c>
      <c r="CV65" s="188" t="s">
        <v>2970</v>
      </c>
      <c r="CW65" s="188" t="s">
        <v>2860</v>
      </c>
      <c r="CX65" s="188" t="s">
        <v>2860</v>
      </c>
      <c r="CY65" s="188" t="s">
        <v>2970</v>
      </c>
      <c r="CZ65" s="188" t="s">
        <v>2860</v>
      </c>
      <c r="DA65" s="188" t="s">
        <v>2860</v>
      </c>
      <c r="DB65" s="188" t="s">
        <v>2970</v>
      </c>
      <c r="DC65" s="188" t="s">
        <v>2860</v>
      </c>
      <c r="DD65" s="188" t="s">
        <v>2860</v>
      </c>
      <c r="DE65" s="188" t="s">
        <v>2970</v>
      </c>
      <c r="DF65" s="188" t="s">
        <v>2860</v>
      </c>
      <c r="DG65" s="188" t="s">
        <v>2860</v>
      </c>
      <c r="DH65" s="188" t="s">
        <v>2970</v>
      </c>
      <c r="DI65" s="188" t="s">
        <v>2860</v>
      </c>
      <c r="DJ65" s="188" t="s">
        <v>2860</v>
      </c>
      <c r="DK65" s="188" t="s">
        <v>2970</v>
      </c>
      <c r="DL65" s="188" t="s">
        <v>2860</v>
      </c>
      <c r="DM65" s="188" t="s">
        <v>2860</v>
      </c>
      <c r="DN65" s="188" t="s">
        <v>2970</v>
      </c>
      <c r="DO65" s="188" t="s">
        <v>2860</v>
      </c>
      <c r="DP65" s="188" t="s">
        <v>2860</v>
      </c>
      <c r="DQ65" s="188" t="s">
        <v>2970</v>
      </c>
      <c r="DR65" s="188" t="s">
        <v>2860</v>
      </c>
      <c r="DS65" s="188" t="s">
        <v>2860</v>
      </c>
      <c r="DT65" s="188" t="s">
        <v>2970</v>
      </c>
      <c r="DU65" s="188" t="s">
        <v>2860</v>
      </c>
      <c r="DV65" s="188" t="s">
        <v>2860</v>
      </c>
      <c r="DW65" s="188" t="s">
        <v>2970</v>
      </c>
      <c r="DX65" s="188" t="s">
        <v>2860</v>
      </c>
      <c r="DY65" s="188" t="s">
        <v>2860</v>
      </c>
      <c r="DZ65" s="188" t="s">
        <v>2970</v>
      </c>
      <c r="EA65" s="188" t="s">
        <v>2860</v>
      </c>
      <c r="EB65" s="188" t="s">
        <v>2860</v>
      </c>
      <c r="EC65" s="188" t="s">
        <v>2970</v>
      </c>
      <c r="ED65" s="188" t="s">
        <v>2860</v>
      </c>
      <c r="EE65" s="188" t="s">
        <v>2860</v>
      </c>
      <c r="EF65" s="188" t="s">
        <v>2970</v>
      </c>
      <c r="EG65" s="188" t="s">
        <v>2860</v>
      </c>
      <c r="EH65" s="188" t="s">
        <v>2860</v>
      </c>
      <c r="EI65" s="188" t="s">
        <v>2970</v>
      </c>
      <c r="EJ65" s="188" t="s">
        <v>2860</v>
      </c>
      <c r="EK65" s="188" t="s">
        <v>2860</v>
      </c>
      <c r="EL65" s="188" t="s">
        <v>2970</v>
      </c>
      <c r="EM65" s="188" t="s">
        <v>2860</v>
      </c>
      <c r="EN65" s="188" t="s">
        <v>2860</v>
      </c>
      <c r="EO65" s="188" t="s">
        <v>2970</v>
      </c>
      <c r="EP65" s="188" t="s">
        <v>2860</v>
      </c>
      <c r="EQ65" s="188" t="s">
        <v>2860</v>
      </c>
      <c r="ER65" s="188" t="s">
        <v>2970</v>
      </c>
      <c r="ES65" s="188" t="s">
        <v>2860</v>
      </c>
      <c r="ET65" s="188" t="s">
        <v>2860</v>
      </c>
    </row>
    <row r="66" spans="1:150" x14ac:dyDescent="0.3">
      <c r="A66" s="1"/>
      <c r="B66" s="186" t="s">
        <v>3319</v>
      </c>
      <c r="C66" s="186" t="s">
        <v>70</v>
      </c>
      <c r="D66" s="186" t="s">
        <v>3320</v>
      </c>
      <c r="E66" s="186" t="s">
        <v>3321</v>
      </c>
      <c r="F66" s="186" t="s">
        <v>3322</v>
      </c>
      <c r="G66" s="186" t="s">
        <v>2970</v>
      </c>
      <c r="H66" s="186" t="s">
        <v>2860</v>
      </c>
      <c r="I66" s="186" t="s">
        <v>3323</v>
      </c>
      <c r="J66" s="186" t="s">
        <v>2970</v>
      </c>
      <c r="K66" s="186" t="s">
        <v>2860</v>
      </c>
      <c r="L66" s="186" t="s">
        <v>3323</v>
      </c>
      <c r="M66" s="186" t="s">
        <v>2970</v>
      </c>
      <c r="N66" s="186" t="s">
        <v>2860</v>
      </c>
      <c r="O66" s="186" t="s">
        <v>3323</v>
      </c>
      <c r="P66" s="186" t="s">
        <v>2970</v>
      </c>
      <c r="Q66" s="186" t="s">
        <v>2860</v>
      </c>
      <c r="R66" s="186" t="s">
        <v>3323</v>
      </c>
      <c r="S66" s="186" t="s">
        <v>2970</v>
      </c>
      <c r="T66" s="186" t="s">
        <v>2860</v>
      </c>
      <c r="U66" s="186" t="s">
        <v>2860</v>
      </c>
      <c r="V66" s="186" t="s">
        <v>2970</v>
      </c>
      <c r="W66" s="186" t="s">
        <v>3324</v>
      </c>
      <c r="X66" s="186" t="s">
        <v>2860</v>
      </c>
      <c r="Y66" s="186" t="s">
        <v>2970</v>
      </c>
      <c r="Z66" s="186" t="s">
        <v>2860</v>
      </c>
      <c r="AA66" s="186" t="s">
        <v>3325</v>
      </c>
      <c r="AB66" s="186" t="s">
        <v>2970</v>
      </c>
      <c r="AC66" s="186" t="s">
        <v>2860</v>
      </c>
      <c r="AD66" s="186" t="s">
        <v>3323</v>
      </c>
      <c r="AE66" s="186" t="s">
        <v>2970</v>
      </c>
      <c r="AF66" s="186" t="s">
        <v>2860</v>
      </c>
      <c r="AG66" s="186" t="s">
        <v>3323</v>
      </c>
      <c r="AH66" s="186" t="s">
        <v>2970</v>
      </c>
      <c r="AI66" s="186" t="s">
        <v>2860</v>
      </c>
      <c r="AJ66" s="186" t="s">
        <v>3323</v>
      </c>
      <c r="AK66" s="186" t="s">
        <v>2970</v>
      </c>
      <c r="AL66" s="186" t="s">
        <v>2860</v>
      </c>
      <c r="AM66" s="186" t="s">
        <v>3323</v>
      </c>
      <c r="AN66" s="186" t="s">
        <v>2970</v>
      </c>
      <c r="AO66" s="186" t="s">
        <v>2860</v>
      </c>
      <c r="AP66" s="186" t="s">
        <v>3323</v>
      </c>
      <c r="AQ66" s="186" t="s">
        <v>2970</v>
      </c>
      <c r="AR66" s="186" t="s">
        <v>2860</v>
      </c>
      <c r="AS66" s="186" t="s">
        <v>3323</v>
      </c>
      <c r="AT66" s="186" t="s">
        <v>2970</v>
      </c>
      <c r="AU66" s="186" t="s">
        <v>3273</v>
      </c>
      <c r="AV66" s="186" t="s">
        <v>3326</v>
      </c>
      <c r="AW66" s="186" t="s">
        <v>2970</v>
      </c>
      <c r="AX66" s="186" t="s">
        <v>3273</v>
      </c>
      <c r="AY66" s="186" t="s">
        <v>3326</v>
      </c>
      <c r="AZ66" s="186" t="s">
        <v>2970</v>
      </c>
      <c r="BA66" s="186" t="s">
        <v>2860</v>
      </c>
      <c r="BB66" s="186" t="s">
        <v>3323</v>
      </c>
      <c r="BC66" s="186" t="s">
        <v>2970</v>
      </c>
      <c r="BD66" s="186" t="s">
        <v>2860</v>
      </c>
      <c r="BE66" s="186" t="s">
        <v>3323</v>
      </c>
      <c r="BF66" s="186" t="s">
        <v>2970</v>
      </c>
      <c r="BG66" s="186" t="s">
        <v>3327</v>
      </c>
      <c r="BH66" s="186" t="s">
        <v>3328</v>
      </c>
      <c r="BI66" s="186" t="s">
        <v>2970</v>
      </c>
      <c r="BJ66" s="186" t="s">
        <v>2860</v>
      </c>
      <c r="BK66" s="186" t="s">
        <v>3323</v>
      </c>
      <c r="BL66" s="186" t="s">
        <v>2970</v>
      </c>
      <c r="BM66" s="186" t="s">
        <v>2860</v>
      </c>
      <c r="BN66" s="186" t="s">
        <v>3323</v>
      </c>
      <c r="BO66" s="186" t="s">
        <v>2970</v>
      </c>
      <c r="BP66" s="186" t="s">
        <v>2860</v>
      </c>
      <c r="BQ66" s="186" t="s">
        <v>3323</v>
      </c>
      <c r="BR66" s="186" t="s">
        <v>2970</v>
      </c>
      <c r="BS66" s="186" t="s">
        <v>2860</v>
      </c>
      <c r="BT66" s="186" t="s">
        <v>3323</v>
      </c>
      <c r="BU66" s="186" t="s">
        <v>2970</v>
      </c>
      <c r="BV66" s="186" t="s">
        <v>2860</v>
      </c>
      <c r="BW66" s="186" t="s">
        <v>3323</v>
      </c>
      <c r="BX66" s="186" t="s">
        <v>2970</v>
      </c>
      <c r="BY66" s="186" t="s">
        <v>2860</v>
      </c>
      <c r="BZ66" s="186" t="s">
        <v>3323</v>
      </c>
      <c r="CA66" s="186" t="s">
        <v>2970</v>
      </c>
      <c r="CB66" s="186" t="s">
        <v>2860</v>
      </c>
      <c r="CC66" s="186" t="s">
        <v>3323</v>
      </c>
      <c r="CD66" s="186" t="s">
        <v>2970</v>
      </c>
      <c r="CE66" s="186" t="s">
        <v>2860</v>
      </c>
      <c r="CF66" s="186" t="s">
        <v>3323</v>
      </c>
      <c r="CG66" s="186" t="s">
        <v>2970</v>
      </c>
      <c r="CH66" s="186" t="s">
        <v>3329</v>
      </c>
      <c r="CI66" s="186" t="s">
        <v>3330</v>
      </c>
      <c r="CJ66" s="186" t="s">
        <v>2970</v>
      </c>
      <c r="CK66" s="186" t="s">
        <v>3329</v>
      </c>
      <c r="CL66" s="186" t="s">
        <v>3330</v>
      </c>
      <c r="CM66" s="186" t="s">
        <v>2970</v>
      </c>
      <c r="CN66" s="186" t="s">
        <v>3331</v>
      </c>
      <c r="CO66" s="186" t="s">
        <v>2860</v>
      </c>
      <c r="CP66" s="186" t="s">
        <v>2970</v>
      </c>
      <c r="CQ66" s="186" t="s">
        <v>3332</v>
      </c>
      <c r="CR66" s="186" t="s">
        <v>2860</v>
      </c>
      <c r="CS66" s="186" t="s">
        <v>2970</v>
      </c>
      <c r="CT66" s="186" t="s">
        <v>3333</v>
      </c>
      <c r="CU66" s="186" t="s">
        <v>3334</v>
      </c>
      <c r="CV66" s="186" t="s">
        <v>2970</v>
      </c>
      <c r="CW66" s="186" t="s">
        <v>3329</v>
      </c>
      <c r="CX66" s="186" t="s">
        <v>3330</v>
      </c>
      <c r="CY66" s="186" t="s">
        <v>2970</v>
      </c>
      <c r="CZ66" s="186" t="s">
        <v>3332</v>
      </c>
      <c r="DA66" s="186" t="s">
        <v>2860</v>
      </c>
      <c r="DB66" s="186" t="s">
        <v>2970</v>
      </c>
      <c r="DC66" s="186" t="s">
        <v>3130</v>
      </c>
      <c r="DD66" s="186" t="s">
        <v>3335</v>
      </c>
      <c r="DE66" s="186" t="s">
        <v>2970</v>
      </c>
      <c r="DF66" s="186" t="s">
        <v>3130</v>
      </c>
      <c r="DG66" s="186" t="s">
        <v>3335</v>
      </c>
      <c r="DH66" s="186" t="s">
        <v>2970</v>
      </c>
      <c r="DI66" s="186" t="s">
        <v>3147</v>
      </c>
      <c r="DJ66" s="186" t="s">
        <v>3110</v>
      </c>
      <c r="DK66" s="186" t="s">
        <v>2970</v>
      </c>
      <c r="DL66" s="186" t="s">
        <v>3336</v>
      </c>
      <c r="DM66" s="186" t="s">
        <v>3135</v>
      </c>
      <c r="DN66" s="186" t="s">
        <v>2970</v>
      </c>
      <c r="DO66" s="186" t="s">
        <v>2860</v>
      </c>
      <c r="DP66" s="186" t="s">
        <v>3323</v>
      </c>
      <c r="DQ66" s="186" t="s">
        <v>2970</v>
      </c>
      <c r="DR66" s="186" t="s">
        <v>2860</v>
      </c>
      <c r="DS66" s="186" t="s">
        <v>3323</v>
      </c>
      <c r="DT66" s="186" t="s">
        <v>2970</v>
      </c>
      <c r="DU66" s="186" t="s">
        <v>3337</v>
      </c>
      <c r="DV66" s="186" t="s">
        <v>3338</v>
      </c>
      <c r="DW66" s="186" t="s">
        <v>2970</v>
      </c>
      <c r="DX66" s="186" t="s">
        <v>2860</v>
      </c>
      <c r="DY66" s="186" t="s">
        <v>3323</v>
      </c>
      <c r="DZ66" s="186" t="s">
        <v>2970</v>
      </c>
      <c r="EA66" s="186" t="s">
        <v>2860</v>
      </c>
      <c r="EB66" s="186" t="s">
        <v>3323</v>
      </c>
      <c r="EC66" s="186" t="s">
        <v>2970</v>
      </c>
      <c r="ED66" s="186" t="s">
        <v>2860</v>
      </c>
      <c r="EE66" s="186" t="s">
        <v>3323</v>
      </c>
      <c r="EF66" s="186" t="s">
        <v>2970</v>
      </c>
      <c r="EG66" s="186" t="s">
        <v>2860</v>
      </c>
      <c r="EH66" s="186" t="s">
        <v>3323</v>
      </c>
      <c r="EI66" s="186" t="s">
        <v>2970</v>
      </c>
      <c r="EJ66" s="186" t="s">
        <v>3014</v>
      </c>
      <c r="EK66" s="186" t="s">
        <v>3339</v>
      </c>
      <c r="EL66" s="186" t="s">
        <v>2970</v>
      </c>
      <c r="EM66" s="186" t="s">
        <v>3340</v>
      </c>
      <c r="EN66" s="186" t="s">
        <v>3341</v>
      </c>
      <c r="EO66" s="186" t="s">
        <v>2970</v>
      </c>
      <c r="EP66" s="186" t="s">
        <v>3332</v>
      </c>
      <c r="EQ66" s="186" t="s">
        <v>2860</v>
      </c>
      <c r="ER66" s="186" t="s">
        <v>2970</v>
      </c>
      <c r="ES66" s="186" t="s">
        <v>3342</v>
      </c>
      <c r="ET66" s="186" t="s">
        <v>3014</v>
      </c>
    </row>
    <row r="67" spans="1:150" x14ac:dyDescent="0.3">
      <c r="A67" s="1"/>
      <c r="B67" s="187" t="s">
        <v>3343</v>
      </c>
      <c r="C67" s="187" t="s">
        <v>70</v>
      </c>
      <c r="D67" s="187" t="s">
        <v>3320</v>
      </c>
      <c r="E67" s="187" t="s">
        <v>3344</v>
      </c>
      <c r="F67" s="187" t="s">
        <v>3345</v>
      </c>
      <c r="G67" s="188" t="s">
        <v>2970</v>
      </c>
      <c r="H67" s="188" t="s">
        <v>2860</v>
      </c>
      <c r="I67" s="188" t="s">
        <v>3323</v>
      </c>
      <c r="J67" s="188" t="s">
        <v>2970</v>
      </c>
      <c r="K67" s="188" t="s">
        <v>2860</v>
      </c>
      <c r="L67" s="188" t="s">
        <v>3323</v>
      </c>
      <c r="M67" s="188" t="s">
        <v>2970</v>
      </c>
      <c r="N67" s="188" t="s">
        <v>2860</v>
      </c>
      <c r="O67" s="188" t="s">
        <v>3323</v>
      </c>
      <c r="P67" s="188" t="s">
        <v>2970</v>
      </c>
      <c r="Q67" s="188" t="s">
        <v>2860</v>
      </c>
      <c r="R67" s="188" t="s">
        <v>3323</v>
      </c>
      <c r="S67" s="188" t="s">
        <v>2970</v>
      </c>
      <c r="T67" s="188" t="s">
        <v>2860</v>
      </c>
      <c r="U67" s="188" t="s">
        <v>2860</v>
      </c>
      <c r="V67" s="188" t="s">
        <v>2970</v>
      </c>
      <c r="W67" s="188" t="s">
        <v>3324</v>
      </c>
      <c r="X67" s="188" t="s">
        <v>2860</v>
      </c>
      <c r="Y67" s="188" t="s">
        <v>2970</v>
      </c>
      <c r="Z67" s="188" t="s">
        <v>2860</v>
      </c>
      <c r="AA67" s="188" t="s">
        <v>3325</v>
      </c>
      <c r="AB67" s="188" t="s">
        <v>2970</v>
      </c>
      <c r="AC67" s="188" t="s">
        <v>2860</v>
      </c>
      <c r="AD67" s="188" t="s">
        <v>3323</v>
      </c>
      <c r="AE67" s="188" t="s">
        <v>2970</v>
      </c>
      <c r="AF67" s="188" t="s">
        <v>2860</v>
      </c>
      <c r="AG67" s="188" t="s">
        <v>3323</v>
      </c>
      <c r="AH67" s="188" t="s">
        <v>2970</v>
      </c>
      <c r="AI67" s="188" t="s">
        <v>2860</v>
      </c>
      <c r="AJ67" s="188" t="s">
        <v>3323</v>
      </c>
      <c r="AK67" s="188" t="s">
        <v>2970</v>
      </c>
      <c r="AL67" s="188" t="s">
        <v>2860</v>
      </c>
      <c r="AM67" s="188" t="s">
        <v>3323</v>
      </c>
      <c r="AN67" s="188" t="s">
        <v>2970</v>
      </c>
      <c r="AO67" s="188" t="s">
        <v>2860</v>
      </c>
      <c r="AP67" s="188" t="s">
        <v>3323</v>
      </c>
      <c r="AQ67" s="188" t="s">
        <v>2970</v>
      </c>
      <c r="AR67" s="188" t="s">
        <v>2860</v>
      </c>
      <c r="AS67" s="188" t="s">
        <v>3323</v>
      </c>
      <c r="AT67" s="188" t="s">
        <v>2970</v>
      </c>
      <c r="AU67" s="188" t="s">
        <v>3273</v>
      </c>
      <c r="AV67" s="188" t="s">
        <v>3326</v>
      </c>
      <c r="AW67" s="188" t="s">
        <v>2970</v>
      </c>
      <c r="AX67" s="188" t="s">
        <v>3273</v>
      </c>
      <c r="AY67" s="188" t="s">
        <v>3326</v>
      </c>
      <c r="AZ67" s="188" t="s">
        <v>2970</v>
      </c>
      <c r="BA67" s="188" t="s">
        <v>2860</v>
      </c>
      <c r="BB67" s="188" t="s">
        <v>3323</v>
      </c>
      <c r="BC67" s="188" t="s">
        <v>2970</v>
      </c>
      <c r="BD67" s="188" t="s">
        <v>2860</v>
      </c>
      <c r="BE67" s="188" t="s">
        <v>3323</v>
      </c>
      <c r="BF67" s="188" t="s">
        <v>2970</v>
      </c>
      <c r="BG67" s="188" t="s">
        <v>3327</v>
      </c>
      <c r="BH67" s="188" t="s">
        <v>3328</v>
      </c>
      <c r="BI67" s="188" t="s">
        <v>2970</v>
      </c>
      <c r="BJ67" s="188" t="s">
        <v>2860</v>
      </c>
      <c r="BK67" s="188" t="s">
        <v>3323</v>
      </c>
      <c r="BL67" s="188" t="s">
        <v>2970</v>
      </c>
      <c r="BM67" s="188" t="s">
        <v>2860</v>
      </c>
      <c r="BN67" s="188" t="s">
        <v>3323</v>
      </c>
      <c r="BO67" s="188" t="s">
        <v>2970</v>
      </c>
      <c r="BP67" s="188" t="s">
        <v>2860</v>
      </c>
      <c r="BQ67" s="188" t="s">
        <v>3323</v>
      </c>
      <c r="BR67" s="188" t="s">
        <v>2970</v>
      </c>
      <c r="BS67" s="188" t="s">
        <v>2860</v>
      </c>
      <c r="BT67" s="188" t="s">
        <v>3323</v>
      </c>
      <c r="BU67" s="188" t="s">
        <v>2970</v>
      </c>
      <c r="BV67" s="188" t="s">
        <v>2860</v>
      </c>
      <c r="BW67" s="188" t="s">
        <v>3323</v>
      </c>
      <c r="BX67" s="188" t="s">
        <v>2970</v>
      </c>
      <c r="BY67" s="188" t="s">
        <v>2860</v>
      </c>
      <c r="BZ67" s="188" t="s">
        <v>3323</v>
      </c>
      <c r="CA67" s="188" t="s">
        <v>2970</v>
      </c>
      <c r="CB67" s="188" t="s">
        <v>2860</v>
      </c>
      <c r="CC67" s="188" t="s">
        <v>3323</v>
      </c>
      <c r="CD67" s="188" t="s">
        <v>2970</v>
      </c>
      <c r="CE67" s="188" t="s">
        <v>2860</v>
      </c>
      <c r="CF67" s="188" t="s">
        <v>3323</v>
      </c>
      <c r="CG67" s="188" t="s">
        <v>2970</v>
      </c>
      <c r="CH67" s="188" t="s">
        <v>3329</v>
      </c>
      <c r="CI67" s="188" t="s">
        <v>3330</v>
      </c>
      <c r="CJ67" s="188" t="s">
        <v>2970</v>
      </c>
      <c r="CK67" s="188" t="s">
        <v>3329</v>
      </c>
      <c r="CL67" s="188" t="s">
        <v>3330</v>
      </c>
      <c r="CM67" s="188" t="s">
        <v>2970</v>
      </c>
      <c r="CN67" s="188" t="s">
        <v>3331</v>
      </c>
      <c r="CO67" s="188" t="s">
        <v>2860</v>
      </c>
      <c r="CP67" s="188" t="s">
        <v>2970</v>
      </c>
      <c r="CQ67" s="188" t="s">
        <v>3332</v>
      </c>
      <c r="CR67" s="188" t="s">
        <v>2860</v>
      </c>
      <c r="CS67" s="188" t="s">
        <v>2970</v>
      </c>
      <c r="CT67" s="188" t="s">
        <v>3333</v>
      </c>
      <c r="CU67" s="188" t="s">
        <v>3334</v>
      </c>
      <c r="CV67" s="188" t="s">
        <v>2970</v>
      </c>
      <c r="CW67" s="188" t="s">
        <v>3329</v>
      </c>
      <c r="CX67" s="188" t="s">
        <v>3330</v>
      </c>
      <c r="CY67" s="188" t="s">
        <v>2970</v>
      </c>
      <c r="CZ67" s="188" t="s">
        <v>3332</v>
      </c>
      <c r="DA67" s="188" t="s">
        <v>2860</v>
      </c>
      <c r="DB67" s="188" t="s">
        <v>2970</v>
      </c>
      <c r="DC67" s="188" t="s">
        <v>3130</v>
      </c>
      <c r="DD67" s="188" t="s">
        <v>3335</v>
      </c>
      <c r="DE67" s="188" t="s">
        <v>2970</v>
      </c>
      <c r="DF67" s="188" t="s">
        <v>3130</v>
      </c>
      <c r="DG67" s="188" t="s">
        <v>3335</v>
      </c>
      <c r="DH67" s="188" t="s">
        <v>2970</v>
      </c>
      <c r="DI67" s="188" t="s">
        <v>3147</v>
      </c>
      <c r="DJ67" s="188" t="s">
        <v>3110</v>
      </c>
      <c r="DK67" s="188" t="s">
        <v>2970</v>
      </c>
      <c r="DL67" s="188" t="s">
        <v>3336</v>
      </c>
      <c r="DM67" s="188" t="s">
        <v>3135</v>
      </c>
      <c r="DN67" s="188" t="s">
        <v>2970</v>
      </c>
      <c r="DO67" s="188" t="s">
        <v>2860</v>
      </c>
      <c r="DP67" s="188" t="s">
        <v>3323</v>
      </c>
      <c r="DQ67" s="188" t="s">
        <v>2970</v>
      </c>
      <c r="DR67" s="188" t="s">
        <v>2860</v>
      </c>
      <c r="DS67" s="188" t="s">
        <v>3323</v>
      </c>
      <c r="DT67" s="188" t="s">
        <v>2970</v>
      </c>
      <c r="DU67" s="188" t="s">
        <v>3337</v>
      </c>
      <c r="DV67" s="188" t="s">
        <v>3338</v>
      </c>
      <c r="DW67" s="188" t="s">
        <v>2970</v>
      </c>
      <c r="DX67" s="188" t="s">
        <v>2860</v>
      </c>
      <c r="DY67" s="188" t="s">
        <v>3323</v>
      </c>
      <c r="DZ67" s="188" t="s">
        <v>2970</v>
      </c>
      <c r="EA67" s="188" t="s">
        <v>2860</v>
      </c>
      <c r="EB67" s="188" t="s">
        <v>3323</v>
      </c>
      <c r="EC67" s="188" t="s">
        <v>2970</v>
      </c>
      <c r="ED67" s="188" t="s">
        <v>2860</v>
      </c>
      <c r="EE67" s="188" t="s">
        <v>3323</v>
      </c>
      <c r="EF67" s="188" t="s">
        <v>2970</v>
      </c>
      <c r="EG67" s="188" t="s">
        <v>2860</v>
      </c>
      <c r="EH67" s="188" t="s">
        <v>3323</v>
      </c>
      <c r="EI67" s="188" t="s">
        <v>2970</v>
      </c>
      <c r="EJ67" s="188" t="s">
        <v>3014</v>
      </c>
      <c r="EK67" s="188" t="s">
        <v>3339</v>
      </c>
      <c r="EL67" s="188" t="s">
        <v>2970</v>
      </c>
      <c r="EM67" s="188" t="s">
        <v>3340</v>
      </c>
      <c r="EN67" s="188" t="s">
        <v>3341</v>
      </c>
      <c r="EO67" s="188" t="s">
        <v>2970</v>
      </c>
      <c r="EP67" s="188" t="s">
        <v>3332</v>
      </c>
      <c r="EQ67" s="188" t="s">
        <v>2860</v>
      </c>
      <c r="ER67" s="188" t="s">
        <v>2970</v>
      </c>
      <c r="ES67" s="188" t="s">
        <v>3342</v>
      </c>
      <c r="ET67" s="188" t="s">
        <v>3014</v>
      </c>
    </row>
    <row r="68" spans="1:150" x14ac:dyDescent="0.3">
      <c r="A68" s="1"/>
      <c r="B68" s="187" t="s">
        <v>3346</v>
      </c>
      <c r="C68" s="187" t="s">
        <v>70</v>
      </c>
      <c r="D68" s="187" t="s">
        <v>3320</v>
      </c>
      <c r="E68" s="187" t="s">
        <v>3347</v>
      </c>
      <c r="F68" s="187" t="s">
        <v>3348</v>
      </c>
      <c r="G68" s="188" t="s">
        <v>2970</v>
      </c>
      <c r="H68" s="188" t="s">
        <v>2860</v>
      </c>
      <c r="I68" s="188" t="s">
        <v>2860</v>
      </c>
      <c r="J68" s="188" t="s">
        <v>2970</v>
      </c>
      <c r="K68" s="188" t="s">
        <v>2860</v>
      </c>
      <c r="L68" s="188" t="s">
        <v>2860</v>
      </c>
      <c r="M68" s="188" t="s">
        <v>2970</v>
      </c>
      <c r="N68" s="188" t="s">
        <v>2860</v>
      </c>
      <c r="O68" s="188" t="s">
        <v>2860</v>
      </c>
      <c r="P68" s="188" t="s">
        <v>2970</v>
      </c>
      <c r="Q68" s="188" t="s">
        <v>2860</v>
      </c>
      <c r="R68" s="188" t="s">
        <v>2860</v>
      </c>
      <c r="S68" s="188" t="s">
        <v>2970</v>
      </c>
      <c r="T68" s="188" t="s">
        <v>2860</v>
      </c>
      <c r="U68" s="188" t="s">
        <v>2860</v>
      </c>
      <c r="V68" s="188" t="s">
        <v>2970</v>
      </c>
      <c r="W68" s="188" t="s">
        <v>2860</v>
      </c>
      <c r="X68" s="188" t="s">
        <v>2860</v>
      </c>
      <c r="Y68" s="188" t="s">
        <v>2970</v>
      </c>
      <c r="Z68" s="188" t="s">
        <v>2860</v>
      </c>
      <c r="AA68" s="188" t="s">
        <v>2860</v>
      </c>
      <c r="AB68" s="188" t="s">
        <v>2970</v>
      </c>
      <c r="AC68" s="188" t="s">
        <v>2860</v>
      </c>
      <c r="AD68" s="188" t="s">
        <v>2860</v>
      </c>
      <c r="AE68" s="188" t="s">
        <v>2970</v>
      </c>
      <c r="AF68" s="188" t="s">
        <v>2860</v>
      </c>
      <c r="AG68" s="188" t="s">
        <v>2860</v>
      </c>
      <c r="AH68" s="188" t="s">
        <v>2970</v>
      </c>
      <c r="AI68" s="188" t="s">
        <v>2860</v>
      </c>
      <c r="AJ68" s="188" t="s">
        <v>2860</v>
      </c>
      <c r="AK68" s="188" t="s">
        <v>2970</v>
      </c>
      <c r="AL68" s="188" t="s">
        <v>2860</v>
      </c>
      <c r="AM68" s="188" t="s">
        <v>2860</v>
      </c>
      <c r="AN68" s="188" t="s">
        <v>2970</v>
      </c>
      <c r="AO68" s="188" t="s">
        <v>2860</v>
      </c>
      <c r="AP68" s="188" t="s">
        <v>2860</v>
      </c>
      <c r="AQ68" s="188" t="s">
        <v>2970</v>
      </c>
      <c r="AR68" s="188" t="s">
        <v>2860</v>
      </c>
      <c r="AS68" s="188" t="s">
        <v>2860</v>
      </c>
      <c r="AT68" s="188" t="s">
        <v>2970</v>
      </c>
      <c r="AU68" s="188" t="s">
        <v>2860</v>
      </c>
      <c r="AV68" s="188" t="s">
        <v>2860</v>
      </c>
      <c r="AW68" s="188" t="s">
        <v>2970</v>
      </c>
      <c r="AX68" s="188" t="s">
        <v>2860</v>
      </c>
      <c r="AY68" s="188" t="s">
        <v>2860</v>
      </c>
      <c r="AZ68" s="188" t="s">
        <v>2970</v>
      </c>
      <c r="BA68" s="188" t="s">
        <v>2860</v>
      </c>
      <c r="BB68" s="188" t="s">
        <v>2860</v>
      </c>
      <c r="BC68" s="188" t="s">
        <v>2970</v>
      </c>
      <c r="BD68" s="188" t="s">
        <v>2860</v>
      </c>
      <c r="BE68" s="188" t="s">
        <v>2860</v>
      </c>
      <c r="BF68" s="188" t="s">
        <v>2970</v>
      </c>
      <c r="BG68" s="188" t="s">
        <v>2860</v>
      </c>
      <c r="BH68" s="188" t="s">
        <v>2860</v>
      </c>
      <c r="BI68" s="188" t="s">
        <v>2970</v>
      </c>
      <c r="BJ68" s="188" t="s">
        <v>2860</v>
      </c>
      <c r="BK68" s="188" t="s">
        <v>2860</v>
      </c>
      <c r="BL68" s="188" t="s">
        <v>2970</v>
      </c>
      <c r="BM68" s="188" t="s">
        <v>2860</v>
      </c>
      <c r="BN68" s="188" t="s">
        <v>2860</v>
      </c>
      <c r="BO68" s="188" t="s">
        <v>2970</v>
      </c>
      <c r="BP68" s="188" t="s">
        <v>2860</v>
      </c>
      <c r="BQ68" s="188" t="s">
        <v>2860</v>
      </c>
      <c r="BR68" s="188" t="s">
        <v>2970</v>
      </c>
      <c r="BS68" s="188" t="s">
        <v>2860</v>
      </c>
      <c r="BT68" s="188" t="s">
        <v>2860</v>
      </c>
      <c r="BU68" s="188" t="s">
        <v>2970</v>
      </c>
      <c r="BV68" s="188" t="s">
        <v>2860</v>
      </c>
      <c r="BW68" s="188" t="s">
        <v>2860</v>
      </c>
      <c r="BX68" s="188" t="s">
        <v>2970</v>
      </c>
      <c r="BY68" s="188" t="s">
        <v>2860</v>
      </c>
      <c r="BZ68" s="188" t="s">
        <v>2860</v>
      </c>
      <c r="CA68" s="188" t="s">
        <v>2970</v>
      </c>
      <c r="CB68" s="188" t="s">
        <v>2860</v>
      </c>
      <c r="CC68" s="188" t="s">
        <v>2860</v>
      </c>
      <c r="CD68" s="188" t="s">
        <v>2970</v>
      </c>
      <c r="CE68" s="188" t="s">
        <v>2860</v>
      </c>
      <c r="CF68" s="188" t="s">
        <v>2860</v>
      </c>
      <c r="CG68" s="188" t="s">
        <v>2970</v>
      </c>
      <c r="CH68" s="188" t="s">
        <v>2860</v>
      </c>
      <c r="CI68" s="188" t="s">
        <v>2860</v>
      </c>
      <c r="CJ68" s="188" t="s">
        <v>2970</v>
      </c>
      <c r="CK68" s="188" t="s">
        <v>2860</v>
      </c>
      <c r="CL68" s="188" t="s">
        <v>2860</v>
      </c>
      <c r="CM68" s="188" t="s">
        <v>2970</v>
      </c>
      <c r="CN68" s="188" t="s">
        <v>2860</v>
      </c>
      <c r="CO68" s="188" t="s">
        <v>2860</v>
      </c>
      <c r="CP68" s="188" t="s">
        <v>2970</v>
      </c>
      <c r="CQ68" s="188" t="s">
        <v>2860</v>
      </c>
      <c r="CR68" s="188" t="s">
        <v>2860</v>
      </c>
      <c r="CS68" s="188" t="s">
        <v>2970</v>
      </c>
      <c r="CT68" s="188" t="s">
        <v>2860</v>
      </c>
      <c r="CU68" s="188" t="s">
        <v>2860</v>
      </c>
      <c r="CV68" s="188" t="s">
        <v>2970</v>
      </c>
      <c r="CW68" s="188" t="s">
        <v>2860</v>
      </c>
      <c r="CX68" s="188" t="s">
        <v>2860</v>
      </c>
      <c r="CY68" s="188" t="s">
        <v>2970</v>
      </c>
      <c r="CZ68" s="188" t="s">
        <v>2860</v>
      </c>
      <c r="DA68" s="188" t="s">
        <v>2860</v>
      </c>
      <c r="DB68" s="188" t="s">
        <v>2970</v>
      </c>
      <c r="DC68" s="188" t="s">
        <v>2860</v>
      </c>
      <c r="DD68" s="188" t="s">
        <v>2860</v>
      </c>
      <c r="DE68" s="188" t="s">
        <v>2970</v>
      </c>
      <c r="DF68" s="188" t="s">
        <v>2860</v>
      </c>
      <c r="DG68" s="188" t="s">
        <v>2860</v>
      </c>
      <c r="DH68" s="188" t="s">
        <v>2970</v>
      </c>
      <c r="DI68" s="188" t="s">
        <v>2860</v>
      </c>
      <c r="DJ68" s="188" t="s">
        <v>2860</v>
      </c>
      <c r="DK68" s="188" t="s">
        <v>2970</v>
      </c>
      <c r="DL68" s="188" t="s">
        <v>2860</v>
      </c>
      <c r="DM68" s="188" t="s">
        <v>2860</v>
      </c>
      <c r="DN68" s="188" t="s">
        <v>2970</v>
      </c>
      <c r="DO68" s="188" t="s">
        <v>2860</v>
      </c>
      <c r="DP68" s="188" t="s">
        <v>2860</v>
      </c>
      <c r="DQ68" s="188" t="s">
        <v>2970</v>
      </c>
      <c r="DR68" s="188" t="s">
        <v>2860</v>
      </c>
      <c r="DS68" s="188" t="s">
        <v>2860</v>
      </c>
      <c r="DT68" s="188" t="s">
        <v>2970</v>
      </c>
      <c r="DU68" s="188" t="s">
        <v>2860</v>
      </c>
      <c r="DV68" s="188" t="s">
        <v>2860</v>
      </c>
      <c r="DW68" s="188" t="s">
        <v>2970</v>
      </c>
      <c r="DX68" s="188" t="s">
        <v>2860</v>
      </c>
      <c r="DY68" s="188" t="s">
        <v>2860</v>
      </c>
      <c r="DZ68" s="188" t="s">
        <v>2970</v>
      </c>
      <c r="EA68" s="188" t="s">
        <v>2860</v>
      </c>
      <c r="EB68" s="188" t="s">
        <v>2860</v>
      </c>
      <c r="EC68" s="188" t="s">
        <v>2970</v>
      </c>
      <c r="ED68" s="188" t="s">
        <v>2860</v>
      </c>
      <c r="EE68" s="188" t="s">
        <v>2860</v>
      </c>
      <c r="EF68" s="188" t="s">
        <v>2970</v>
      </c>
      <c r="EG68" s="188" t="s">
        <v>2860</v>
      </c>
      <c r="EH68" s="188" t="s">
        <v>2860</v>
      </c>
      <c r="EI68" s="188" t="s">
        <v>2970</v>
      </c>
      <c r="EJ68" s="188" t="s">
        <v>2860</v>
      </c>
      <c r="EK68" s="188" t="s">
        <v>2860</v>
      </c>
      <c r="EL68" s="188" t="s">
        <v>2970</v>
      </c>
      <c r="EM68" s="188" t="s">
        <v>2860</v>
      </c>
      <c r="EN68" s="188" t="s">
        <v>2860</v>
      </c>
      <c r="EO68" s="188" t="s">
        <v>2970</v>
      </c>
      <c r="EP68" s="188" t="s">
        <v>2860</v>
      </c>
      <c r="EQ68" s="188" t="s">
        <v>2860</v>
      </c>
      <c r="ER68" s="188" t="s">
        <v>2970</v>
      </c>
      <c r="ES68" s="188" t="s">
        <v>2860</v>
      </c>
      <c r="ET68" s="188" t="s">
        <v>2860</v>
      </c>
    </row>
    <row r="69" spans="1:150" x14ac:dyDescent="0.3">
      <c r="A69" s="1"/>
      <c r="B69" s="186" t="s">
        <v>3349</v>
      </c>
      <c r="C69" s="186" t="s">
        <v>606</v>
      </c>
      <c r="D69" s="186" t="s">
        <v>969</v>
      </c>
      <c r="E69" s="186" t="s">
        <v>3350</v>
      </c>
      <c r="F69" s="186" t="s">
        <v>3351</v>
      </c>
      <c r="G69" s="186" t="s">
        <v>2970</v>
      </c>
      <c r="H69" s="186" t="s">
        <v>3249</v>
      </c>
      <c r="I69" s="186" t="s">
        <v>3352</v>
      </c>
      <c r="J69" s="186" t="s">
        <v>2970</v>
      </c>
      <c r="K69" s="186" t="s">
        <v>3249</v>
      </c>
      <c r="L69" s="186" t="s">
        <v>3352</v>
      </c>
      <c r="M69" s="186" t="s">
        <v>2970</v>
      </c>
      <c r="N69" s="186" t="s">
        <v>3249</v>
      </c>
      <c r="O69" s="186" t="s">
        <v>3352</v>
      </c>
      <c r="P69" s="186" t="s">
        <v>2970</v>
      </c>
      <c r="Q69" s="186" t="s">
        <v>3249</v>
      </c>
      <c r="R69" s="186" t="s">
        <v>3352</v>
      </c>
      <c r="S69" s="186" t="s">
        <v>2970</v>
      </c>
      <c r="T69" s="186" t="s">
        <v>2860</v>
      </c>
      <c r="U69" s="186" t="s">
        <v>2860</v>
      </c>
      <c r="V69" s="186" t="s">
        <v>2970</v>
      </c>
      <c r="W69" s="186" t="s">
        <v>3353</v>
      </c>
      <c r="X69" s="186" t="s">
        <v>3352</v>
      </c>
      <c r="Y69" s="186" t="s">
        <v>2970</v>
      </c>
      <c r="Z69" s="186" t="s">
        <v>2860</v>
      </c>
      <c r="AA69" s="186" t="s">
        <v>2860</v>
      </c>
      <c r="AB69" s="186" t="s">
        <v>2970</v>
      </c>
      <c r="AC69" s="186" t="s">
        <v>3249</v>
      </c>
      <c r="AD69" s="186" t="s">
        <v>3352</v>
      </c>
      <c r="AE69" s="186" t="s">
        <v>2970</v>
      </c>
      <c r="AF69" s="186" t="s">
        <v>3249</v>
      </c>
      <c r="AG69" s="186" t="s">
        <v>2860</v>
      </c>
      <c r="AH69" s="186" t="s">
        <v>2970</v>
      </c>
      <c r="AI69" s="186" t="s">
        <v>3249</v>
      </c>
      <c r="AJ69" s="186" t="s">
        <v>2860</v>
      </c>
      <c r="AK69" s="186" t="s">
        <v>2970</v>
      </c>
      <c r="AL69" s="186" t="s">
        <v>3249</v>
      </c>
      <c r="AM69" s="186" t="s">
        <v>2860</v>
      </c>
      <c r="AN69" s="186" t="s">
        <v>2970</v>
      </c>
      <c r="AO69" s="186" t="s">
        <v>3249</v>
      </c>
      <c r="AP69" s="186" t="s">
        <v>2860</v>
      </c>
      <c r="AQ69" s="186" t="s">
        <v>2970</v>
      </c>
      <c r="AR69" s="186" t="s">
        <v>3249</v>
      </c>
      <c r="AS69" s="186" t="s">
        <v>3352</v>
      </c>
      <c r="AT69" s="186" t="s">
        <v>2970</v>
      </c>
      <c r="AU69" s="186" t="s">
        <v>3249</v>
      </c>
      <c r="AV69" s="186" t="s">
        <v>2860</v>
      </c>
      <c r="AW69" s="186" t="s">
        <v>2970</v>
      </c>
      <c r="AX69" s="186" t="s">
        <v>3249</v>
      </c>
      <c r="AY69" s="186" t="s">
        <v>2860</v>
      </c>
      <c r="AZ69" s="186" t="s">
        <v>2970</v>
      </c>
      <c r="BA69" s="186" t="s">
        <v>3249</v>
      </c>
      <c r="BB69" s="186" t="s">
        <v>2860</v>
      </c>
      <c r="BC69" s="186" t="s">
        <v>2970</v>
      </c>
      <c r="BD69" s="186" t="s">
        <v>3327</v>
      </c>
      <c r="BE69" s="186" t="s">
        <v>3352</v>
      </c>
      <c r="BF69" s="186" t="s">
        <v>2970</v>
      </c>
      <c r="BG69" s="186" t="s">
        <v>2860</v>
      </c>
      <c r="BH69" s="186" t="s">
        <v>3352</v>
      </c>
      <c r="BI69" s="186" t="s">
        <v>2970</v>
      </c>
      <c r="BJ69" s="186" t="s">
        <v>3327</v>
      </c>
      <c r="BK69" s="186" t="s">
        <v>3352</v>
      </c>
      <c r="BL69" s="186" t="s">
        <v>2970</v>
      </c>
      <c r="BM69" s="186" t="s">
        <v>2860</v>
      </c>
      <c r="BN69" s="186" t="s">
        <v>3352</v>
      </c>
      <c r="BO69" s="186" t="s">
        <v>2970</v>
      </c>
      <c r="BP69" s="186" t="s">
        <v>3327</v>
      </c>
      <c r="BQ69" s="186" t="s">
        <v>3352</v>
      </c>
      <c r="BR69" s="186" t="s">
        <v>2970</v>
      </c>
      <c r="BS69" s="186" t="s">
        <v>3014</v>
      </c>
      <c r="BT69" s="186" t="s">
        <v>3352</v>
      </c>
      <c r="BU69" s="186" t="s">
        <v>2970</v>
      </c>
      <c r="BV69" s="186" t="s">
        <v>3249</v>
      </c>
      <c r="BW69" s="186" t="s">
        <v>3352</v>
      </c>
      <c r="BX69" s="186" t="s">
        <v>2970</v>
      </c>
      <c r="BY69" s="186" t="s">
        <v>3249</v>
      </c>
      <c r="BZ69" s="186" t="s">
        <v>3352</v>
      </c>
      <c r="CA69" s="186" t="s">
        <v>2970</v>
      </c>
      <c r="CB69" s="186" t="s">
        <v>3014</v>
      </c>
      <c r="CC69" s="186" t="s">
        <v>3352</v>
      </c>
      <c r="CD69" s="186" t="s">
        <v>2970</v>
      </c>
      <c r="CE69" s="186" t="s">
        <v>3354</v>
      </c>
      <c r="CF69" s="186" t="s">
        <v>3352</v>
      </c>
      <c r="CG69" s="186" t="s">
        <v>2970</v>
      </c>
      <c r="CH69" s="186" t="s">
        <v>2860</v>
      </c>
      <c r="CI69" s="186" t="s">
        <v>2860</v>
      </c>
      <c r="CJ69" s="186" t="s">
        <v>2970</v>
      </c>
      <c r="CK69" s="186" t="s">
        <v>2860</v>
      </c>
      <c r="CL69" s="186" t="s">
        <v>2860</v>
      </c>
      <c r="CM69" s="186" t="s">
        <v>2970</v>
      </c>
      <c r="CN69" s="186" t="s">
        <v>3355</v>
      </c>
      <c r="CO69" s="186" t="s">
        <v>3352</v>
      </c>
      <c r="CP69" s="186" t="s">
        <v>2970</v>
      </c>
      <c r="CQ69" s="186" t="s">
        <v>3249</v>
      </c>
      <c r="CR69" s="186" t="s">
        <v>2860</v>
      </c>
      <c r="CS69" s="186" t="s">
        <v>2970</v>
      </c>
      <c r="CT69" s="186" t="s">
        <v>3249</v>
      </c>
      <c r="CU69" s="186" t="s">
        <v>3352</v>
      </c>
      <c r="CV69" s="186" t="s">
        <v>2970</v>
      </c>
      <c r="CW69" s="186" t="s">
        <v>2860</v>
      </c>
      <c r="CX69" s="186" t="s">
        <v>2860</v>
      </c>
      <c r="CY69" s="186" t="s">
        <v>2970</v>
      </c>
      <c r="CZ69" s="186" t="s">
        <v>2860</v>
      </c>
      <c r="DA69" s="186" t="s">
        <v>2860</v>
      </c>
      <c r="DB69" s="186" t="s">
        <v>2970</v>
      </c>
      <c r="DC69" s="186" t="s">
        <v>3249</v>
      </c>
      <c r="DD69" s="186" t="s">
        <v>3356</v>
      </c>
      <c r="DE69" s="186" t="s">
        <v>2970</v>
      </c>
      <c r="DF69" s="186" t="s">
        <v>3249</v>
      </c>
      <c r="DG69" s="186" t="s">
        <v>3352</v>
      </c>
      <c r="DH69" s="186" t="s">
        <v>2970</v>
      </c>
      <c r="DI69" s="186" t="s">
        <v>3249</v>
      </c>
      <c r="DJ69" s="186" t="s">
        <v>3352</v>
      </c>
      <c r="DK69" s="186" t="s">
        <v>2970</v>
      </c>
      <c r="DL69" s="186" t="s">
        <v>2860</v>
      </c>
      <c r="DM69" s="186" t="s">
        <v>2860</v>
      </c>
      <c r="DN69" s="186" t="s">
        <v>2970</v>
      </c>
      <c r="DO69" s="186" t="s">
        <v>3249</v>
      </c>
      <c r="DP69" s="186" t="s">
        <v>3352</v>
      </c>
      <c r="DQ69" s="186" t="s">
        <v>2970</v>
      </c>
      <c r="DR69" s="186" t="s">
        <v>3249</v>
      </c>
      <c r="DS69" s="186" t="s">
        <v>3352</v>
      </c>
      <c r="DT69" s="186" t="s">
        <v>2970</v>
      </c>
      <c r="DU69" s="186" t="s">
        <v>2860</v>
      </c>
      <c r="DV69" s="186" t="s">
        <v>2860</v>
      </c>
      <c r="DW69" s="186" t="s">
        <v>2970</v>
      </c>
      <c r="DX69" s="186" t="s">
        <v>2860</v>
      </c>
      <c r="DY69" s="186" t="s">
        <v>3352</v>
      </c>
      <c r="DZ69" s="186" t="s">
        <v>2970</v>
      </c>
      <c r="EA69" s="186" t="s">
        <v>2860</v>
      </c>
      <c r="EB69" s="186" t="s">
        <v>2860</v>
      </c>
      <c r="EC69" s="186" t="s">
        <v>2970</v>
      </c>
      <c r="ED69" s="186" t="s">
        <v>2860</v>
      </c>
      <c r="EE69" s="186" t="s">
        <v>2860</v>
      </c>
      <c r="EF69" s="186" t="s">
        <v>2970</v>
      </c>
      <c r="EG69" s="186" t="s">
        <v>2860</v>
      </c>
      <c r="EH69" s="186" t="s">
        <v>2860</v>
      </c>
      <c r="EI69" s="186" t="s">
        <v>2970</v>
      </c>
      <c r="EJ69" s="186" t="s">
        <v>2860</v>
      </c>
      <c r="EK69" s="186" t="s">
        <v>2860</v>
      </c>
      <c r="EL69" s="186" t="s">
        <v>2970</v>
      </c>
      <c r="EM69" s="186" t="s">
        <v>3249</v>
      </c>
      <c r="EN69" s="186" t="s">
        <v>3352</v>
      </c>
      <c r="EO69" s="186" t="s">
        <v>2970</v>
      </c>
      <c r="EP69" s="186" t="s">
        <v>3249</v>
      </c>
      <c r="EQ69" s="186" t="s">
        <v>2860</v>
      </c>
      <c r="ER69" s="186" t="s">
        <v>2970</v>
      </c>
      <c r="ES69" s="186" t="s">
        <v>3249</v>
      </c>
      <c r="ET69" s="186" t="s">
        <v>3357</v>
      </c>
    </row>
    <row r="70" spans="1:150" x14ac:dyDescent="0.3">
      <c r="A70" s="1"/>
      <c r="B70" s="187" t="s">
        <v>3358</v>
      </c>
      <c r="C70" s="187" t="s">
        <v>606</v>
      </c>
      <c r="D70" s="187" t="s">
        <v>969</v>
      </c>
      <c r="E70" s="187" t="s">
        <v>3359</v>
      </c>
      <c r="F70" s="187" t="s">
        <v>3360</v>
      </c>
      <c r="G70" s="188" t="s">
        <v>2970</v>
      </c>
      <c r="H70" s="188" t="s">
        <v>2860</v>
      </c>
      <c r="I70" s="188" t="s">
        <v>2860</v>
      </c>
      <c r="J70" s="188" t="s">
        <v>2970</v>
      </c>
      <c r="K70" s="188" t="s">
        <v>2860</v>
      </c>
      <c r="L70" s="188" t="s">
        <v>2860</v>
      </c>
      <c r="M70" s="188" t="s">
        <v>2970</v>
      </c>
      <c r="N70" s="188" t="s">
        <v>2860</v>
      </c>
      <c r="O70" s="188" t="s">
        <v>2860</v>
      </c>
      <c r="P70" s="188" t="s">
        <v>2970</v>
      </c>
      <c r="Q70" s="188" t="s">
        <v>2860</v>
      </c>
      <c r="R70" s="188" t="s">
        <v>2860</v>
      </c>
      <c r="S70" s="188" t="s">
        <v>2970</v>
      </c>
      <c r="T70" s="188" t="s">
        <v>2860</v>
      </c>
      <c r="U70" s="188" t="s">
        <v>2860</v>
      </c>
      <c r="V70" s="188" t="s">
        <v>2970</v>
      </c>
      <c r="W70" s="188" t="s">
        <v>2860</v>
      </c>
      <c r="X70" s="188" t="s">
        <v>2860</v>
      </c>
      <c r="Y70" s="188" t="s">
        <v>2970</v>
      </c>
      <c r="Z70" s="188" t="s">
        <v>2860</v>
      </c>
      <c r="AA70" s="188" t="s">
        <v>2860</v>
      </c>
      <c r="AB70" s="188" t="s">
        <v>2970</v>
      </c>
      <c r="AC70" s="188" t="s">
        <v>2860</v>
      </c>
      <c r="AD70" s="188" t="s">
        <v>2860</v>
      </c>
      <c r="AE70" s="188" t="s">
        <v>2970</v>
      </c>
      <c r="AF70" s="188" t="s">
        <v>2860</v>
      </c>
      <c r="AG70" s="188" t="s">
        <v>2860</v>
      </c>
      <c r="AH70" s="188" t="s">
        <v>2970</v>
      </c>
      <c r="AI70" s="188" t="s">
        <v>2860</v>
      </c>
      <c r="AJ70" s="188" t="s">
        <v>2860</v>
      </c>
      <c r="AK70" s="188" t="s">
        <v>2970</v>
      </c>
      <c r="AL70" s="188" t="s">
        <v>2860</v>
      </c>
      <c r="AM70" s="188" t="s">
        <v>2860</v>
      </c>
      <c r="AN70" s="188" t="s">
        <v>2970</v>
      </c>
      <c r="AO70" s="188" t="s">
        <v>2860</v>
      </c>
      <c r="AP70" s="188" t="s">
        <v>2860</v>
      </c>
      <c r="AQ70" s="188" t="s">
        <v>2970</v>
      </c>
      <c r="AR70" s="188" t="s">
        <v>2860</v>
      </c>
      <c r="AS70" s="188" t="s">
        <v>2860</v>
      </c>
      <c r="AT70" s="188" t="s">
        <v>2970</v>
      </c>
      <c r="AU70" s="188" t="s">
        <v>2860</v>
      </c>
      <c r="AV70" s="188" t="s">
        <v>2860</v>
      </c>
      <c r="AW70" s="188" t="s">
        <v>2970</v>
      </c>
      <c r="AX70" s="188" t="s">
        <v>2860</v>
      </c>
      <c r="AY70" s="188" t="s">
        <v>2860</v>
      </c>
      <c r="AZ70" s="188" t="s">
        <v>2970</v>
      </c>
      <c r="BA70" s="188" t="s">
        <v>2860</v>
      </c>
      <c r="BB70" s="188" t="s">
        <v>2860</v>
      </c>
      <c r="BC70" s="188" t="s">
        <v>2970</v>
      </c>
      <c r="BD70" s="188" t="s">
        <v>2860</v>
      </c>
      <c r="BE70" s="188" t="s">
        <v>2860</v>
      </c>
      <c r="BF70" s="188" t="s">
        <v>2970</v>
      </c>
      <c r="BG70" s="188" t="s">
        <v>2860</v>
      </c>
      <c r="BH70" s="188" t="s">
        <v>2860</v>
      </c>
      <c r="BI70" s="188" t="s">
        <v>2970</v>
      </c>
      <c r="BJ70" s="188" t="s">
        <v>2860</v>
      </c>
      <c r="BK70" s="188" t="s">
        <v>2860</v>
      </c>
      <c r="BL70" s="188" t="s">
        <v>2970</v>
      </c>
      <c r="BM70" s="188" t="s">
        <v>2860</v>
      </c>
      <c r="BN70" s="188" t="s">
        <v>2860</v>
      </c>
      <c r="BO70" s="188" t="s">
        <v>2970</v>
      </c>
      <c r="BP70" s="188" t="s">
        <v>2860</v>
      </c>
      <c r="BQ70" s="188" t="s">
        <v>2860</v>
      </c>
      <c r="BR70" s="188" t="s">
        <v>2970</v>
      </c>
      <c r="BS70" s="188" t="s">
        <v>2860</v>
      </c>
      <c r="BT70" s="188" t="s">
        <v>2860</v>
      </c>
      <c r="BU70" s="188" t="s">
        <v>2970</v>
      </c>
      <c r="BV70" s="188" t="s">
        <v>2860</v>
      </c>
      <c r="BW70" s="188" t="s">
        <v>2860</v>
      </c>
      <c r="BX70" s="188" t="s">
        <v>2970</v>
      </c>
      <c r="BY70" s="188" t="s">
        <v>2860</v>
      </c>
      <c r="BZ70" s="188" t="s">
        <v>2860</v>
      </c>
      <c r="CA70" s="188" t="s">
        <v>2970</v>
      </c>
      <c r="CB70" s="188" t="s">
        <v>2860</v>
      </c>
      <c r="CC70" s="188" t="s">
        <v>2860</v>
      </c>
      <c r="CD70" s="188" t="s">
        <v>2970</v>
      </c>
      <c r="CE70" s="188" t="s">
        <v>2860</v>
      </c>
      <c r="CF70" s="188" t="s">
        <v>2860</v>
      </c>
      <c r="CG70" s="188" t="s">
        <v>2970</v>
      </c>
      <c r="CH70" s="188" t="s">
        <v>2860</v>
      </c>
      <c r="CI70" s="188" t="s">
        <v>2860</v>
      </c>
      <c r="CJ70" s="188" t="s">
        <v>2970</v>
      </c>
      <c r="CK70" s="188" t="s">
        <v>2860</v>
      </c>
      <c r="CL70" s="188" t="s">
        <v>2860</v>
      </c>
      <c r="CM70" s="188" t="s">
        <v>2970</v>
      </c>
      <c r="CN70" s="188" t="s">
        <v>2860</v>
      </c>
      <c r="CO70" s="188" t="s">
        <v>2860</v>
      </c>
      <c r="CP70" s="188" t="s">
        <v>2970</v>
      </c>
      <c r="CQ70" s="188" t="s">
        <v>2860</v>
      </c>
      <c r="CR70" s="188" t="s">
        <v>2860</v>
      </c>
      <c r="CS70" s="188" t="s">
        <v>2970</v>
      </c>
      <c r="CT70" s="188" t="s">
        <v>2860</v>
      </c>
      <c r="CU70" s="188" t="s">
        <v>2860</v>
      </c>
      <c r="CV70" s="188" t="s">
        <v>2970</v>
      </c>
      <c r="CW70" s="188" t="s">
        <v>2860</v>
      </c>
      <c r="CX70" s="188" t="s">
        <v>2860</v>
      </c>
      <c r="CY70" s="188" t="s">
        <v>2970</v>
      </c>
      <c r="CZ70" s="188" t="s">
        <v>2860</v>
      </c>
      <c r="DA70" s="188" t="s">
        <v>2860</v>
      </c>
      <c r="DB70" s="188" t="s">
        <v>2970</v>
      </c>
      <c r="DC70" s="188" t="s">
        <v>2860</v>
      </c>
      <c r="DD70" s="188" t="s">
        <v>2860</v>
      </c>
      <c r="DE70" s="188" t="s">
        <v>2970</v>
      </c>
      <c r="DF70" s="188" t="s">
        <v>2860</v>
      </c>
      <c r="DG70" s="188" t="s">
        <v>2860</v>
      </c>
      <c r="DH70" s="188" t="s">
        <v>2970</v>
      </c>
      <c r="DI70" s="188" t="s">
        <v>2860</v>
      </c>
      <c r="DJ70" s="188" t="s">
        <v>2860</v>
      </c>
      <c r="DK70" s="188" t="s">
        <v>2970</v>
      </c>
      <c r="DL70" s="188" t="s">
        <v>2860</v>
      </c>
      <c r="DM70" s="188" t="s">
        <v>2860</v>
      </c>
      <c r="DN70" s="188" t="s">
        <v>2970</v>
      </c>
      <c r="DO70" s="188" t="s">
        <v>2860</v>
      </c>
      <c r="DP70" s="188" t="s">
        <v>2860</v>
      </c>
      <c r="DQ70" s="188" t="s">
        <v>2970</v>
      </c>
      <c r="DR70" s="188" t="s">
        <v>2860</v>
      </c>
      <c r="DS70" s="188" t="s">
        <v>2860</v>
      </c>
      <c r="DT70" s="188" t="s">
        <v>2970</v>
      </c>
      <c r="DU70" s="188" t="s">
        <v>2860</v>
      </c>
      <c r="DV70" s="188" t="s">
        <v>2860</v>
      </c>
      <c r="DW70" s="188" t="s">
        <v>2970</v>
      </c>
      <c r="DX70" s="188" t="s">
        <v>2860</v>
      </c>
      <c r="DY70" s="188" t="s">
        <v>2860</v>
      </c>
      <c r="DZ70" s="188" t="s">
        <v>2970</v>
      </c>
      <c r="EA70" s="188" t="s">
        <v>2860</v>
      </c>
      <c r="EB70" s="188" t="s">
        <v>2860</v>
      </c>
      <c r="EC70" s="188" t="s">
        <v>2970</v>
      </c>
      <c r="ED70" s="188" t="s">
        <v>2860</v>
      </c>
      <c r="EE70" s="188" t="s">
        <v>2860</v>
      </c>
      <c r="EF70" s="188" t="s">
        <v>2970</v>
      </c>
      <c r="EG70" s="188" t="s">
        <v>2860</v>
      </c>
      <c r="EH70" s="188" t="s">
        <v>2860</v>
      </c>
      <c r="EI70" s="188" t="s">
        <v>2970</v>
      </c>
      <c r="EJ70" s="188" t="s">
        <v>2860</v>
      </c>
      <c r="EK70" s="188" t="s">
        <v>2860</v>
      </c>
      <c r="EL70" s="188" t="s">
        <v>2970</v>
      </c>
      <c r="EM70" s="188" t="s">
        <v>2860</v>
      </c>
      <c r="EN70" s="188" t="s">
        <v>2860</v>
      </c>
      <c r="EO70" s="188" t="s">
        <v>2970</v>
      </c>
      <c r="EP70" s="188" t="s">
        <v>2860</v>
      </c>
      <c r="EQ70" s="188" t="s">
        <v>2860</v>
      </c>
      <c r="ER70" s="188" t="s">
        <v>2970</v>
      </c>
      <c r="ES70" s="188" t="s">
        <v>2860</v>
      </c>
      <c r="ET70" s="188" t="s">
        <v>2860</v>
      </c>
    </row>
    <row r="71" spans="1:150" x14ac:dyDescent="0.3">
      <c r="A71" s="1"/>
      <c r="B71" s="187" t="s">
        <v>3361</v>
      </c>
      <c r="C71" s="187" t="s">
        <v>606</v>
      </c>
      <c r="D71" s="187" t="s">
        <v>969</v>
      </c>
      <c r="E71" s="187" t="s">
        <v>3362</v>
      </c>
      <c r="F71" s="187" t="s">
        <v>3363</v>
      </c>
      <c r="G71" s="188" t="s">
        <v>2970</v>
      </c>
      <c r="H71" s="188" t="s">
        <v>3249</v>
      </c>
      <c r="I71" s="188" t="s">
        <v>3352</v>
      </c>
      <c r="J71" s="188" t="s">
        <v>2970</v>
      </c>
      <c r="K71" s="188" t="s">
        <v>3249</v>
      </c>
      <c r="L71" s="188" t="s">
        <v>3352</v>
      </c>
      <c r="M71" s="188" t="s">
        <v>2970</v>
      </c>
      <c r="N71" s="188" t="s">
        <v>3249</v>
      </c>
      <c r="O71" s="188" t="s">
        <v>3352</v>
      </c>
      <c r="P71" s="188" t="s">
        <v>2970</v>
      </c>
      <c r="Q71" s="188" t="s">
        <v>3249</v>
      </c>
      <c r="R71" s="188" t="s">
        <v>3352</v>
      </c>
      <c r="S71" s="188" t="s">
        <v>2970</v>
      </c>
      <c r="T71" s="188" t="s">
        <v>2860</v>
      </c>
      <c r="U71" s="188" t="s">
        <v>2860</v>
      </c>
      <c r="V71" s="188" t="s">
        <v>2970</v>
      </c>
      <c r="W71" s="188" t="s">
        <v>3353</v>
      </c>
      <c r="X71" s="188" t="s">
        <v>3352</v>
      </c>
      <c r="Y71" s="188" t="s">
        <v>2970</v>
      </c>
      <c r="Z71" s="188" t="s">
        <v>2860</v>
      </c>
      <c r="AA71" s="188" t="s">
        <v>2860</v>
      </c>
      <c r="AB71" s="188" t="s">
        <v>2970</v>
      </c>
      <c r="AC71" s="188" t="s">
        <v>3249</v>
      </c>
      <c r="AD71" s="188" t="s">
        <v>3352</v>
      </c>
      <c r="AE71" s="188" t="s">
        <v>2970</v>
      </c>
      <c r="AF71" s="188" t="s">
        <v>3249</v>
      </c>
      <c r="AG71" s="188" t="s">
        <v>2860</v>
      </c>
      <c r="AH71" s="188" t="s">
        <v>2970</v>
      </c>
      <c r="AI71" s="188" t="s">
        <v>3249</v>
      </c>
      <c r="AJ71" s="188" t="s">
        <v>2860</v>
      </c>
      <c r="AK71" s="188" t="s">
        <v>2970</v>
      </c>
      <c r="AL71" s="188" t="s">
        <v>3249</v>
      </c>
      <c r="AM71" s="188" t="s">
        <v>2860</v>
      </c>
      <c r="AN71" s="188" t="s">
        <v>2970</v>
      </c>
      <c r="AO71" s="188" t="s">
        <v>3249</v>
      </c>
      <c r="AP71" s="188" t="s">
        <v>2860</v>
      </c>
      <c r="AQ71" s="188" t="s">
        <v>2970</v>
      </c>
      <c r="AR71" s="188" t="s">
        <v>3249</v>
      </c>
      <c r="AS71" s="188" t="s">
        <v>3352</v>
      </c>
      <c r="AT71" s="188" t="s">
        <v>2970</v>
      </c>
      <c r="AU71" s="188" t="s">
        <v>3249</v>
      </c>
      <c r="AV71" s="188" t="s">
        <v>2860</v>
      </c>
      <c r="AW71" s="188" t="s">
        <v>2970</v>
      </c>
      <c r="AX71" s="188" t="s">
        <v>3249</v>
      </c>
      <c r="AY71" s="188" t="s">
        <v>2860</v>
      </c>
      <c r="AZ71" s="188" t="s">
        <v>2970</v>
      </c>
      <c r="BA71" s="188" t="s">
        <v>3249</v>
      </c>
      <c r="BB71" s="188" t="s">
        <v>2860</v>
      </c>
      <c r="BC71" s="188" t="s">
        <v>2970</v>
      </c>
      <c r="BD71" s="188" t="s">
        <v>3327</v>
      </c>
      <c r="BE71" s="188" t="s">
        <v>3352</v>
      </c>
      <c r="BF71" s="188" t="s">
        <v>2970</v>
      </c>
      <c r="BG71" s="188" t="s">
        <v>2860</v>
      </c>
      <c r="BH71" s="188" t="s">
        <v>3352</v>
      </c>
      <c r="BI71" s="188" t="s">
        <v>2970</v>
      </c>
      <c r="BJ71" s="188" t="s">
        <v>3327</v>
      </c>
      <c r="BK71" s="188" t="s">
        <v>3352</v>
      </c>
      <c r="BL71" s="188" t="s">
        <v>2970</v>
      </c>
      <c r="BM71" s="188" t="s">
        <v>2860</v>
      </c>
      <c r="BN71" s="188" t="s">
        <v>3352</v>
      </c>
      <c r="BO71" s="188" t="s">
        <v>2970</v>
      </c>
      <c r="BP71" s="188" t="s">
        <v>3327</v>
      </c>
      <c r="BQ71" s="188" t="s">
        <v>3352</v>
      </c>
      <c r="BR71" s="188" t="s">
        <v>2970</v>
      </c>
      <c r="BS71" s="188" t="s">
        <v>3014</v>
      </c>
      <c r="BT71" s="188" t="s">
        <v>3352</v>
      </c>
      <c r="BU71" s="188" t="s">
        <v>2970</v>
      </c>
      <c r="BV71" s="188" t="s">
        <v>3249</v>
      </c>
      <c r="BW71" s="188" t="s">
        <v>3352</v>
      </c>
      <c r="BX71" s="188" t="s">
        <v>2970</v>
      </c>
      <c r="BY71" s="188" t="s">
        <v>3249</v>
      </c>
      <c r="BZ71" s="188" t="s">
        <v>3352</v>
      </c>
      <c r="CA71" s="188" t="s">
        <v>2970</v>
      </c>
      <c r="CB71" s="188" t="s">
        <v>3014</v>
      </c>
      <c r="CC71" s="188" t="s">
        <v>3352</v>
      </c>
      <c r="CD71" s="188" t="s">
        <v>2970</v>
      </c>
      <c r="CE71" s="188" t="s">
        <v>3354</v>
      </c>
      <c r="CF71" s="188" t="s">
        <v>3352</v>
      </c>
      <c r="CG71" s="188" t="s">
        <v>2970</v>
      </c>
      <c r="CH71" s="188" t="s">
        <v>2860</v>
      </c>
      <c r="CI71" s="188" t="s">
        <v>2860</v>
      </c>
      <c r="CJ71" s="188" t="s">
        <v>2970</v>
      </c>
      <c r="CK71" s="188" t="s">
        <v>2860</v>
      </c>
      <c r="CL71" s="188" t="s">
        <v>2860</v>
      </c>
      <c r="CM71" s="188" t="s">
        <v>2970</v>
      </c>
      <c r="CN71" s="188" t="s">
        <v>3355</v>
      </c>
      <c r="CO71" s="188" t="s">
        <v>3352</v>
      </c>
      <c r="CP71" s="188" t="s">
        <v>2970</v>
      </c>
      <c r="CQ71" s="188" t="s">
        <v>3249</v>
      </c>
      <c r="CR71" s="188" t="s">
        <v>2860</v>
      </c>
      <c r="CS71" s="188" t="s">
        <v>2970</v>
      </c>
      <c r="CT71" s="188" t="s">
        <v>3249</v>
      </c>
      <c r="CU71" s="188" t="s">
        <v>3352</v>
      </c>
      <c r="CV71" s="188" t="s">
        <v>2970</v>
      </c>
      <c r="CW71" s="188" t="s">
        <v>2860</v>
      </c>
      <c r="CX71" s="188" t="s">
        <v>2860</v>
      </c>
      <c r="CY71" s="188" t="s">
        <v>2970</v>
      </c>
      <c r="CZ71" s="188" t="s">
        <v>2860</v>
      </c>
      <c r="DA71" s="188" t="s">
        <v>2860</v>
      </c>
      <c r="DB71" s="188" t="s">
        <v>2970</v>
      </c>
      <c r="DC71" s="188" t="s">
        <v>3249</v>
      </c>
      <c r="DD71" s="188" t="s">
        <v>3356</v>
      </c>
      <c r="DE71" s="188" t="s">
        <v>2970</v>
      </c>
      <c r="DF71" s="188" t="s">
        <v>3249</v>
      </c>
      <c r="DG71" s="188" t="s">
        <v>3352</v>
      </c>
      <c r="DH71" s="188" t="s">
        <v>2970</v>
      </c>
      <c r="DI71" s="188" t="s">
        <v>3249</v>
      </c>
      <c r="DJ71" s="188" t="s">
        <v>3352</v>
      </c>
      <c r="DK71" s="188" t="s">
        <v>2970</v>
      </c>
      <c r="DL71" s="188" t="s">
        <v>2860</v>
      </c>
      <c r="DM71" s="188" t="s">
        <v>2860</v>
      </c>
      <c r="DN71" s="188" t="s">
        <v>2970</v>
      </c>
      <c r="DO71" s="188" t="s">
        <v>3249</v>
      </c>
      <c r="DP71" s="188" t="s">
        <v>3352</v>
      </c>
      <c r="DQ71" s="188" t="s">
        <v>2970</v>
      </c>
      <c r="DR71" s="188" t="s">
        <v>3249</v>
      </c>
      <c r="DS71" s="188" t="s">
        <v>3352</v>
      </c>
      <c r="DT71" s="188" t="s">
        <v>2970</v>
      </c>
      <c r="DU71" s="188" t="s">
        <v>2860</v>
      </c>
      <c r="DV71" s="188" t="s">
        <v>2860</v>
      </c>
      <c r="DW71" s="188" t="s">
        <v>2970</v>
      </c>
      <c r="DX71" s="188" t="s">
        <v>2860</v>
      </c>
      <c r="DY71" s="188" t="s">
        <v>3352</v>
      </c>
      <c r="DZ71" s="188" t="s">
        <v>2970</v>
      </c>
      <c r="EA71" s="188" t="s">
        <v>2860</v>
      </c>
      <c r="EB71" s="188" t="s">
        <v>2860</v>
      </c>
      <c r="EC71" s="188" t="s">
        <v>2970</v>
      </c>
      <c r="ED71" s="188" t="s">
        <v>2860</v>
      </c>
      <c r="EE71" s="188" t="s">
        <v>2860</v>
      </c>
      <c r="EF71" s="188" t="s">
        <v>2970</v>
      </c>
      <c r="EG71" s="188" t="s">
        <v>2860</v>
      </c>
      <c r="EH71" s="188" t="s">
        <v>2860</v>
      </c>
      <c r="EI71" s="188" t="s">
        <v>2970</v>
      </c>
      <c r="EJ71" s="188" t="s">
        <v>2860</v>
      </c>
      <c r="EK71" s="188" t="s">
        <v>2860</v>
      </c>
      <c r="EL71" s="188" t="s">
        <v>2970</v>
      </c>
      <c r="EM71" s="188" t="s">
        <v>3249</v>
      </c>
      <c r="EN71" s="188" t="s">
        <v>3352</v>
      </c>
      <c r="EO71" s="188" t="s">
        <v>2970</v>
      </c>
      <c r="EP71" s="188" t="s">
        <v>3249</v>
      </c>
      <c r="EQ71" s="188" t="s">
        <v>2860</v>
      </c>
      <c r="ER71" s="188" t="s">
        <v>2970</v>
      </c>
      <c r="ES71" s="188" t="s">
        <v>3249</v>
      </c>
      <c r="ET71" s="188" t="s">
        <v>3357</v>
      </c>
    </row>
    <row r="72" spans="1:150" x14ac:dyDescent="0.3">
      <c r="A72" s="1"/>
      <c r="B72" s="186" t="s">
        <v>3364</v>
      </c>
      <c r="C72" s="186" t="s">
        <v>130</v>
      </c>
      <c r="D72" s="186" t="s">
        <v>3365</v>
      </c>
      <c r="E72" s="186" t="s">
        <v>3366</v>
      </c>
      <c r="F72" s="186" t="s">
        <v>3367</v>
      </c>
      <c r="G72" s="186" t="s">
        <v>2970</v>
      </c>
      <c r="H72" s="186" t="s">
        <v>2860</v>
      </c>
      <c r="I72" s="186" t="s">
        <v>2860</v>
      </c>
      <c r="J72" s="186" t="s">
        <v>2970</v>
      </c>
      <c r="K72" s="186" t="s">
        <v>2860</v>
      </c>
      <c r="L72" s="186" t="s">
        <v>2860</v>
      </c>
      <c r="M72" s="186" t="s">
        <v>2970</v>
      </c>
      <c r="N72" s="186" t="s">
        <v>2860</v>
      </c>
      <c r="O72" s="186" t="s">
        <v>2860</v>
      </c>
      <c r="P72" s="186" t="s">
        <v>2970</v>
      </c>
      <c r="Q72" s="186" t="s">
        <v>2860</v>
      </c>
      <c r="R72" s="186" t="s">
        <v>2860</v>
      </c>
      <c r="S72" s="186" t="s">
        <v>2970</v>
      </c>
      <c r="T72" s="186" t="s">
        <v>2860</v>
      </c>
      <c r="U72" s="186" t="s">
        <v>2860</v>
      </c>
      <c r="V72" s="186" t="s">
        <v>2970</v>
      </c>
      <c r="W72" s="186" t="s">
        <v>2860</v>
      </c>
      <c r="X72" s="186" t="s">
        <v>2860</v>
      </c>
      <c r="Y72" s="186" t="s">
        <v>2970</v>
      </c>
      <c r="Z72" s="186" t="s">
        <v>2860</v>
      </c>
      <c r="AA72" s="186" t="s">
        <v>2860</v>
      </c>
      <c r="AB72" s="186" t="s">
        <v>2970</v>
      </c>
      <c r="AC72" s="186" t="s">
        <v>2860</v>
      </c>
      <c r="AD72" s="186" t="s">
        <v>2860</v>
      </c>
      <c r="AE72" s="186" t="s">
        <v>2970</v>
      </c>
      <c r="AF72" s="186" t="s">
        <v>2860</v>
      </c>
      <c r="AG72" s="186" t="s">
        <v>2860</v>
      </c>
      <c r="AH72" s="186" t="s">
        <v>2970</v>
      </c>
      <c r="AI72" s="186" t="s">
        <v>2860</v>
      </c>
      <c r="AJ72" s="186" t="s">
        <v>2860</v>
      </c>
      <c r="AK72" s="186" t="s">
        <v>2970</v>
      </c>
      <c r="AL72" s="186" t="s">
        <v>2860</v>
      </c>
      <c r="AM72" s="186" t="s">
        <v>2860</v>
      </c>
      <c r="AN72" s="186" t="s">
        <v>2970</v>
      </c>
      <c r="AO72" s="186" t="s">
        <v>2860</v>
      </c>
      <c r="AP72" s="186" t="s">
        <v>2860</v>
      </c>
      <c r="AQ72" s="186" t="s">
        <v>2970</v>
      </c>
      <c r="AR72" s="186" t="s">
        <v>2860</v>
      </c>
      <c r="AS72" s="186" t="s">
        <v>2860</v>
      </c>
      <c r="AT72" s="186" t="s">
        <v>2970</v>
      </c>
      <c r="AU72" s="186" t="s">
        <v>2860</v>
      </c>
      <c r="AV72" s="186" t="s">
        <v>2860</v>
      </c>
      <c r="AW72" s="186" t="s">
        <v>2970</v>
      </c>
      <c r="AX72" s="186" t="s">
        <v>2860</v>
      </c>
      <c r="AY72" s="186" t="s">
        <v>2860</v>
      </c>
      <c r="AZ72" s="186" t="s">
        <v>2970</v>
      </c>
      <c r="BA72" s="186" t="s">
        <v>2860</v>
      </c>
      <c r="BB72" s="186" t="s">
        <v>2860</v>
      </c>
      <c r="BC72" s="186" t="s">
        <v>2970</v>
      </c>
      <c r="BD72" s="186" t="s">
        <v>2860</v>
      </c>
      <c r="BE72" s="186" t="s">
        <v>2860</v>
      </c>
      <c r="BF72" s="186" t="s">
        <v>2970</v>
      </c>
      <c r="BG72" s="186" t="s">
        <v>2860</v>
      </c>
      <c r="BH72" s="186" t="s">
        <v>2860</v>
      </c>
      <c r="BI72" s="186" t="s">
        <v>2970</v>
      </c>
      <c r="BJ72" s="186" t="s">
        <v>2860</v>
      </c>
      <c r="BK72" s="186" t="s">
        <v>2860</v>
      </c>
      <c r="BL72" s="186" t="s">
        <v>2970</v>
      </c>
      <c r="BM72" s="186" t="s">
        <v>2860</v>
      </c>
      <c r="BN72" s="186" t="s">
        <v>2860</v>
      </c>
      <c r="BO72" s="186" t="s">
        <v>2970</v>
      </c>
      <c r="BP72" s="186" t="s">
        <v>2860</v>
      </c>
      <c r="BQ72" s="186" t="s">
        <v>2860</v>
      </c>
      <c r="BR72" s="186" t="s">
        <v>2970</v>
      </c>
      <c r="BS72" s="186" t="s">
        <v>2860</v>
      </c>
      <c r="BT72" s="186" t="s">
        <v>2860</v>
      </c>
      <c r="BU72" s="186" t="s">
        <v>2970</v>
      </c>
      <c r="BV72" s="186" t="s">
        <v>2860</v>
      </c>
      <c r="BW72" s="186" t="s">
        <v>2860</v>
      </c>
      <c r="BX72" s="186" t="s">
        <v>2970</v>
      </c>
      <c r="BY72" s="186" t="s">
        <v>2860</v>
      </c>
      <c r="BZ72" s="186" t="s">
        <v>2860</v>
      </c>
      <c r="CA72" s="186" t="s">
        <v>2970</v>
      </c>
      <c r="CB72" s="186" t="s">
        <v>2860</v>
      </c>
      <c r="CC72" s="186" t="s">
        <v>2860</v>
      </c>
      <c r="CD72" s="186" t="s">
        <v>2970</v>
      </c>
      <c r="CE72" s="186" t="s">
        <v>2860</v>
      </c>
      <c r="CF72" s="186" t="s">
        <v>2860</v>
      </c>
      <c r="CG72" s="186" t="s">
        <v>2970</v>
      </c>
      <c r="CH72" s="186" t="s">
        <v>2860</v>
      </c>
      <c r="CI72" s="186" t="s">
        <v>2860</v>
      </c>
      <c r="CJ72" s="186" t="s">
        <v>2970</v>
      </c>
      <c r="CK72" s="186" t="s">
        <v>2860</v>
      </c>
      <c r="CL72" s="186" t="s">
        <v>2860</v>
      </c>
      <c r="CM72" s="186" t="s">
        <v>2970</v>
      </c>
      <c r="CN72" s="186" t="s">
        <v>2860</v>
      </c>
      <c r="CO72" s="186" t="s">
        <v>2860</v>
      </c>
      <c r="CP72" s="186" t="s">
        <v>2970</v>
      </c>
      <c r="CQ72" s="186" t="s">
        <v>2860</v>
      </c>
      <c r="CR72" s="186" t="s">
        <v>2860</v>
      </c>
      <c r="CS72" s="186" t="s">
        <v>2970</v>
      </c>
      <c r="CT72" s="186" t="s">
        <v>2860</v>
      </c>
      <c r="CU72" s="186" t="s">
        <v>2860</v>
      </c>
      <c r="CV72" s="186" t="s">
        <v>2970</v>
      </c>
      <c r="CW72" s="186" t="s">
        <v>2860</v>
      </c>
      <c r="CX72" s="186" t="s">
        <v>2860</v>
      </c>
      <c r="CY72" s="186" t="s">
        <v>2970</v>
      </c>
      <c r="CZ72" s="186" t="s">
        <v>2860</v>
      </c>
      <c r="DA72" s="186" t="s">
        <v>2860</v>
      </c>
      <c r="DB72" s="186" t="s">
        <v>2970</v>
      </c>
      <c r="DC72" s="186" t="s">
        <v>2860</v>
      </c>
      <c r="DD72" s="186" t="s">
        <v>2860</v>
      </c>
      <c r="DE72" s="186" t="s">
        <v>2970</v>
      </c>
      <c r="DF72" s="186" t="s">
        <v>2860</v>
      </c>
      <c r="DG72" s="186" t="s">
        <v>2860</v>
      </c>
      <c r="DH72" s="186" t="s">
        <v>2970</v>
      </c>
      <c r="DI72" s="186" t="s">
        <v>2860</v>
      </c>
      <c r="DJ72" s="186" t="s">
        <v>2860</v>
      </c>
      <c r="DK72" s="186" t="s">
        <v>2970</v>
      </c>
      <c r="DL72" s="186" t="s">
        <v>2860</v>
      </c>
      <c r="DM72" s="186" t="s">
        <v>2860</v>
      </c>
      <c r="DN72" s="186" t="s">
        <v>2970</v>
      </c>
      <c r="DO72" s="186" t="s">
        <v>2860</v>
      </c>
      <c r="DP72" s="186" t="s">
        <v>2860</v>
      </c>
      <c r="DQ72" s="186" t="s">
        <v>2970</v>
      </c>
      <c r="DR72" s="186" t="s">
        <v>2860</v>
      </c>
      <c r="DS72" s="186" t="s">
        <v>2860</v>
      </c>
      <c r="DT72" s="186" t="s">
        <v>2970</v>
      </c>
      <c r="DU72" s="186" t="s">
        <v>2860</v>
      </c>
      <c r="DV72" s="186" t="s">
        <v>2860</v>
      </c>
      <c r="DW72" s="186" t="s">
        <v>2970</v>
      </c>
      <c r="DX72" s="186" t="s">
        <v>2860</v>
      </c>
      <c r="DY72" s="186" t="s">
        <v>2860</v>
      </c>
      <c r="DZ72" s="186" t="s">
        <v>2970</v>
      </c>
      <c r="EA72" s="186" t="s">
        <v>2860</v>
      </c>
      <c r="EB72" s="186" t="s">
        <v>2860</v>
      </c>
      <c r="EC72" s="186" t="s">
        <v>2970</v>
      </c>
      <c r="ED72" s="186" t="s">
        <v>2860</v>
      </c>
      <c r="EE72" s="186" t="s">
        <v>2860</v>
      </c>
      <c r="EF72" s="186" t="s">
        <v>2970</v>
      </c>
      <c r="EG72" s="186" t="s">
        <v>2860</v>
      </c>
      <c r="EH72" s="186" t="s">
        <v>2860</v>
      </c>
      <c r="EI72" s="186" t="s">
        <v>2970</v>
      </c>
      <c r="EJ72" s="186" t="s">
        <v>2860</v>
      </c>
      <c r="EK72" s="186" t="s">
        <v>2860</v>
      </c>
      <c r="EL72" s="186" t="s">
        <v>2970</v>
      </c>
      <c r="EM72" s="186" t="s">
        <v>2860</v>
      </c>
      <c r="EN72" s="186" t="s">
        <v>2860</v>
      </c>
      <c r="EO72" s="186" t="s">
        <v>2970</v>
      </c>
      <c r="EP72" s="186" t="s">
        <v>2860</v>
      </c>
      <c r="EQ72" s="186" t="s">
        <v>2860</v>
      </c>
      <c r="ER72" s="186" t="s">
        <v>2970</v>
      </c>
      <c r="ES72" s="186" t="s">
        <v>2860</v>
      </c>
      <c r="ET72" s="186" t="s">
        <v>2860</v>
      </c>
    </row>
    <row r="73" spans="1:150" x14ac:dyDescent="0.3">
      <c r="A73" s="1"/>
      <c r="B73" s="187" t="s">
        <v>3368</v>
      </c>
      <c r="C73" s="187" t="s">
        <v>130</v>
      </c>
      <c r="D73" s="187" t="s">
        <v>3365</v>
      </c>
      <c r="E73" s="187" t="s">
        <v>3369</v>
      </c>
      <c r="F73" s="187" t="s">
        <v>3370</v>
      </c>
      <c r="G73" s="188" t="s">
        <v>2970</v>
      </c>
      <c r="H73" s="188" t="s">
        <v>2860</v>
      </c>
      <c r="I73" s="188" t="s">
        <v>2860</v>
      </c>
      <c r="J73" s="188" t="s">
        <v>2970</v>
      </c>
      <c r="K73" s="188" t="s">
        <v>2860</v>
      </c>
      <c r="L73" s="188" t="s">
        <v>2860</v>
      </c>
      <c r="M73" s="188" t="s">
        <v>2970</v>
      </c>
      <c r="N73" s="188" t="s">
        <v>2860</v>
      </c>
      <c r="O73" s="188" t="s">
        <v>2860</v>
      </c>
      <c r="P73" s="188" t="s">
        <v>2970</v>
      </c>
      <c r="Q73" s="188" t="s">
        <v>2860</v>
      </c>
      <c r="R73" s="188" t="s">
        <v>2860</v>
      </c>
      <c r="S73" s="188" t="s">
        <v>2970</v>
      </c>
      <c r="T73" s="188" t="s">
        <v>2860</v>
      </c>
      <c r="U73" s="188" t="s">
        <v>2860</v>
      </c>
      <c r="V73" s="188" t="s">
        <v>2970</v>
      </c>
      <c r="W73" s="188" t="s">
        <v>2860</v>
      </c>
      <c r="X73" s="188" t="s">
        <v>2860</v>
      </c>
      <c r="Y73" s="188" t="s">
        <v>2970</v>
      </c>
      <c r="Z73" s="188" t="s">
        <v>2860</v>
      </c>
      <c r="AA73" s="188" t="s">
        <v>2860</v>
      </c>
      <c r="AB73" s="188" t="s">
        <v>2970</v>
      </c>
      <c r="AC73" s="188" t="s">
        <v>2860</v>
      </c>
      <c r="AD73" s="188" t="s">
        <v>2860</v>
      </c>
      <c r="AE73" s="188" t="s">
        <v>2970</v>
      </c>
      <c r="AF73" s="188" t="s">
        <v>2860</v>
      </c>
      <c r="AG73" s="188" t="s">
        <v>2860</v>
      </c>
      <c r="AH73" s="188" t="s">
        <v>2970</v>
      </c>
      <c r="AI73" s="188" t="s">
        <v>2860</v>
      </c>
      <c r="AJ73" s="188" t="s">
        <v>2860</v>
      </c>
      <c r="AK73" s="188" t="s">
        <v>2970</v>
      </c>
      <c r="AL73" s="188" t="s">
        <v>2860</v>
      </c>
      <c r="AM73" s="188" t="s">
        <v>2860</v>
      </c>
      <c r="AN73" s="188" t="s">
        <v>2970</v>
      </c>
      <c r="AO73" s="188" t="s">
        <v>2860</v>
      </c>
      <c r="AP73" s="188" t="s">
        <v>2860</v>
      </c>
      <c r="AQ73" s="188" t="s">
        <v>2970</v>
      </c>
      <c r="AR73" s="188" t="s">
        <v>2860</v>
      </c>
      <c r="AS73" s="188" t="s">
        <v>2860</v>
      </c>
      <c r="AT73" s="188" t="s">
        <v>2970</v>
      </c>
      <c r="AU73" s="188" t="s">
        <v>2860</v>
      </c>
      <c r="AV73" s="188" t="s">
        <v>2860</v>
      </c>
      <c r="AW73" s="188" t="s">
        <v>2970</v>
      </c>
      <c r="AX73" s="188" t="s">
        <v>2860</v>
      </c>
      <c r="AY73" s="188" t="s">
        <v>2860</v>
      </c>
      <c r="AZ73" s="188" t="s">
        <v>2970</v>
      </c>
      <c r="BA73" s="188" t="s">
        <v>2860</v>
      </c>
      <c r="BB73" s="188" t="s">
        <v>2860</v>
      </c>
      <c r="BC73" s="188" t="s">
        <v>2970</v>
      </c>
      <c r="BD73" s="188" t="s">
        <v>2860</v>
      </c>
      <c r="BE73" s="188" t="s">
        <v>2860</v>
      </c>
      <c r="BF73" s="188" t="s">
        <v>2970</v>
      </c>
      <c r="BG73" s="188" t="s">
        <v>2860</v>
      </c>
      <c r="BH73" s="188" t="s">
        <v>2860</v>
      </c>
      <c r="BI73" s="188" t="s">
        <v>2970</v>
      </c>
      <c r="BJ73" s="188" t="s">
        <v>2860</v>
      </c>
      <c r="BK73" s="188" t="s">
        <v>2860</v>
      </c>
      <c r="BL73" s="188" t="s">
        <v>2970</v>
      </c>
      <c r="BM73" s="188" t="s">
        <v>2860</v>
      </c>
      <c r="BN73" s="188" t="s">
        <v>2860</v>
      </c>
      <c r="BO73" s="188" t="s">
        <v>2970</v>
      </c>
      <c r="BP73" s="188" t="s">
        <v>2860</v>
      </c>
      <c r="BQ73" s="188" t="s">
        <v>2860</v>
      </c>
      <c r="BR73" s="188" t="s">
        <v>2970</v>
      </c>
      <c r="BS73" s="188" t="s">
        <v>2860</v>
      </c>
      <c r="BT73" s="188" t="s">
        <v>2860</v>
      </c>
      <c r="BU73" s="188" t="s">
        <v>2970</v>
      </c>
      <c r="BV73" s="188" t="s">
        <v>2860</v>
      </c>
      <c r="BW73" s="188" t="s">
        <v>2860</v>
      </c>
      <c r="BX73" s="188" t="s">
        <v>2970</v>
      </c>
      <c r="BY73" s="188" t="s">
        <v>2860</v>
      </c>
      <c r="BZ73" s="188" t="s">
        <v>2860</v>
      </c>
      <c r="CA73" s="188" t="s">
        <v>2970</v>
      </c>
      <c r="CB73" s="188" t="s">
        <v>2860</v>
      </c>
      <c r="CC73" s="188" t="s">
        <v>2860</v>
      </c>
      <c r="CD73" s="188" t="s">
        <v>2970</v>
      </c>
      <c r="CE73" s="188" t="s">
        <v>2860</v>
      </c>
      <c r="CF73" s="188" t="s">
        <v>2860</v>
      </c>
      <c r="CG73" s="188" t="s">
        <v>2970</v>
      </c>
      <c r="CH73" s="188" t="s">
        <v>2860</v>
      </c>
      <c r="CI73" s="188" t="s">
        <v>2860</v>
      </c>
      <c r="CJ73" s="188" t="s">
        <v>2970</v>
      </c>
      <c r="CK73" s="188" t="s">
        <v>2860</v>
      </c>
      <c r="CL73" s="188" t="s">
        <v>2860</v>
      </c>
      <c r="CM73" s="188" t="s">
        <v>2970</v>
      </c>
      <c r="CN73" s="188" t="s">
        <v>2860</v>
      </c>
      <c r="CO73" s="188" t="s">
        <v>2860</v>
      </c>
      <c r="CP73" s="188" t="s">
        <v>2970</v>
      </c>
      <c r="CQ73" s="188" t="s">
        <v>2860</v>
      </c>
      <c r="CR73" s="188" t="s">
        <v>2860</v>
      </c>
      <c r="CS73" s="188" t="s">
        <v>2970</v>
      </c>
      <c r="CT73" s="188" t="s">
        <v>2860</v>
      </c>
      <c r="CU73" s="188" t="s">
        <v>2860</v>
      </c>
      <c r="CV73" s="188" t="s">
        <v>2970</v>
      </c>
      <c r="CW73" s="188" t="s">
        <v>2860</v>
      </c>
      <c r="CX73" s="188" t="s">
        <v>2860</v>
      </c>
      <c r="CY73" s="188" t="s">
        <v>2970</v>
      </c>
      <c r="CZ73" s="188" t="s">
        <v>2860</v>
      </c>
      <c r="DA73" s="188" t="s">
        <v>2860</v>
      </c>
      <c r="DB73" s="188" t="s">
        <v>2970</v>
      </c>
      <c r="DC73" s="188" t="s">
        <v>2860</v>
      </c>
      <c r="DD73" s="188" t="s">
        <v>2860</v>
      </c>
      <c r="DE73" s="188" t="s">
        <v>2970</v>
      </c>
      <c r="DF73" s="188" t="s">
        <v>2860</v>
      </c>
      <c r="DG73" s="188" t="s">
        <v>2860</v>
      </c>
      <c r="DH73" s="188" t="s">
        <v>2970</v>
      </c>
      <c r="DI73" s="188" t="s">
        <v>2860</v>
      </c>
      <c r="DJ73" s="188" t="s">
        <v>2860</v>
      </c>
      <c r="DK73" s="188" t="s">
        <v>2970</v>
      </c>
      <c r="DL73" s="188" t="s">
        <v>2860</v>
      </c>
      <c r="DM73" s="188" t="s">
        <v>2860</v>
      </c>
      <c r="DN73" s="188" t="s">
        <v>2970</v>
      </c>
      <c r="DO73" s="188" t="s">
        <v>2860</v>
      </c>
      <c r="DP73" s="188" t="s">
        <v>2860</v>
      </c>
      <c r="DQ73" s="188" t="s">
        <v>2970</v>
      </c>
      <c r="DR73" s="188" t="s">
        <v>2860</v>
      </c>
      <c r="DS73" s="188" t="s">
        <v>2860</v>
      </c>
      <c r="DT73" s="188" t="s">
        <v>2970</v>
      </c>
      <c r="DU73" s="188" t="s">
        <v>2860</v>
      </c>
      <c r="DV73" s="188" t="s">
        <v>2860</v>
      </c>
      <c r="DW73" s="188" t="s">
        <v>2970</v>
      </c>
      <c r="DX73" s="188" t="s">
        <v>2860</v>
      </c>
      <c r="DY73" s="188" t="s">
        <v>2860</v>
      </c>
      <c r="DZ73" s="188" t="s">
        <v>2970</v>
      </c>
      <c r="EA73" s="188" t="s">
        <v>2860</v>
      </c>
      <c r="EB73" s="188" t="s">
        <v>2860</v>
      </c>
      <c r="EC73" s="188" t="s">
        <v>2970</v>
      </c>
      <c r="ED73" s="188" t="s">
        <v>2860</v>
      </c>
      <c r="EE73" s="188" t="s">
        <v>2860</v>
      </c>
      <c r="EF73" s="188" t="s">
        <v>2970</v>
      </c>
      <c r="EG73" s="188" t="s">
        <v>2860</v>
      </c>
      <c r="EH73" s="188" t="s">
        <v>2860</v>
      </c>
      <c r="EI73" s="188" t="s">
        <v>2970</v>
      </c>
      <c r="EJ73" s="188" t="s">
        <v>2860</v>
      </c>
      <c r="EK73" s="188" t="s">
        <v>2860</v>
      </c>
      <c r="EL73" s="188" t="s">
        <v>2970</v>
      </c>
      <c r="EM73" s="188" t="s">
        <v>2860</v>
      </c>
      <c r="EN73" s="188" t="s">
        <v>2860</v>
      </c>
      <c r="EO73" s="188" t="s">
        <v>2970</v>
      </c>
      <c r="EP73" s="188" t="s">
        <v>2860</v>
      </c>
      <c r="EQ73" s="188" t="s">
        <v>2860</v>
      </c>
      <c r="ER73" s="188" t="s">
        <v>2970</v>
      </c>
      <c r="ES73" s="188" t="s">
        <v>2860</v>
      </c>
      <c r="ET73" s="188" t="s">
        <v>2860</v>
      </c>
    </row>
    <row r="74" spans="1:150" x14ac:dyDescent="0.3">
      <c r="A74" s="1"/>
      <c r="B74" s="186" t="s">
        <v>3371</v>
      </c>
      <c r="C74" s="186" t="s">
        <v>83</v>
      </c>
      <c r="D74" s="186" t="s">
        <v>84</v>
      </c>
      <c r="E74" s="186" t="s">
        <v>3372</v>
      </c>
      <c r="F74" s="186" t="s">
        <v>3373</v>
      </c>
      <c r="G74" s="186" t="s">
        <v>2970</v>
      </c>
      <c r="H74" s="186" t="s">
        <v>2860</v>
      </c>
      <c r="I74" s="186" t="s">
        <v>3374</v>
      </c>
      <c r="J74" s="186" t="s">
        <v>2970</v>
      </c>
      <c r="K74" s="186" t="s">
        <v>2860</v>
      </c>
      <c r="L74" s="186" t="s">
        <v>2860</v>
      </c>
      <c r="M74" s="186" t="s">
        <v>2970</v>
      </c>
      <c r="N74" s="186" t="s">
        <v>2860</v>
      </c>
      <c r="O74" s="186" t="s">
        <v>3375</v>
      </c>
      <c r="P74" s="186" t="s">
        <v>2970</v>
      </c>
      <c r="Q74" s="186" t="s">
        <v>2860</v>
      </c>
      <c r="R74" s="186" t="s">
        <v>3376</v>
      </c>
      <c r="S74" s="186" t="s">
        <v>2970</v>
      </c>
      <c r="T74" s="186" t="s">
        <v>2860</v>
      </c>
      <c r="U74" s="186" t="s">
        <v>3377</v>
      </c>
      <c r="V74" s="186" t="s">
        <v>2970</v>
      </c>
      <c r="W74" s="186" t="s">
        <v>2860</v>
      </c>
      <c r="X74" s="186" t="s">
        <v>2860</v>
      </c>
      <c r="Y74" s="186" t="s">
        <v>2970</v>
      </c>
      <c r="Z74" s="186" t="s">
        <v>2860</v>
      </c>
      <c r="AA74" s="186" t="s">
        <v>2860</v>
      </c>
      <c r="AB74" s="186" t="s">
        <v>2970</v>
      </c>
      <c r="AC74" s="186" t="s">
        <v>2860</v>
      </c>
      <c r="AD74" s="186" t="s">
        <v>2860</v>
      </c>
      <c r="AE74" s="186" t="s">
        <v>2970</v>
      </c>
      <c r="AF74" s="186" t="s">
        <v>2860</v>
      </c>
      <c r="AG74" s="186" t="s">
        <v>3378</v>
      </c>
      <c r="AH74" s="186" t="s">
        <v>2970</v>
      </c>
      <c r="AI74" s="186" t="s">
        <v>2860</v>
      </c>
      <c r="AJ74" s="186" t="s">
        <v>3378</v>
      </c>
      <c r="AK74" s="186" t="s">
        <v>2970</v>
      </c>
      <c r="AL74" s="186" t="s">
        <v>2860</v>
      </c>
      <c r="AM74" s="186" t="s">
        <v>3378</v>
      </c>
      <c r="AN74" s="186" t="s">
        <v>2970</v>
      </c>
      <c r="AO74" s="186" t="s">
        <v>2860</v>
      </c>
      <c r="AP74" s="186" t="s">
        <v>3379</v>
      </c>
      <c r="AQ74" s="186" t="s">
        <v>2970</v>
      </c>
      <c r="AR74" s="186" t="s">
        <v>2860</v>
      </c>
      <c r="AS74" s="186" t="s">
        <v>3380</v>
      </c>
      <c r="AT74" s="186" t="s">
        <v>2970</v>
      </c>
      <c r="AU74" s="186" t="s">
        <v>2860</v>
      </c>
      <c r="AV74" s="186" t="s">
        <v>3381</v>
      </c>
      <c r="AW74" s="186" t="s">
        <v>2970</v>
      </c>
      <c r="AX74" s="186" t="s">
        <v>2860</v>
      </c>
      <c r="AY74" s="186" t="s">
        <v>3381</v>
      </c>
      <c r="AZ74" s="186" t="s">
        <v>2970</v>
      </c>
      <c r="BA74" s="186" t="s">
        <v>2860</v>
      </c>
      <c r="BB74" s="186" t="s">
        <v>3382</v>
      </c>
      <c r="BC74" s="186" t="s">
        <v>2970</v>
      </c>
      <c r="BD74" s="186" t="s">
        <v>2860</v>
      </c>
      <c r="BE74" s="186" t="s">
        <v>3383</v>
      </c>
      <c r="BF74" s="186" t="s">
        <v>2970</v>
      </c>
      <c r="BG74" s="186" t="s">
        <v>2860</v>
      </c>
      <c r="BH74" s="186" t="s">
        <v>3384</v>
      </c>
      <c r="BI74" s="186" t="s">
        <v>2970</v>
      </c>
      <c r="BJ74" s="186" t="s">
        <v>2860</v>
      </c>
      <c r="BK74" s="186" t="s">
        <v>3385</v>
      </c>
      <c r="BL74" s="186" t="s">
        <v>2970</v>
      </c>
      <c r="BM74" s="186" t="s">
        <v>2860</v>
      </c>
      <c r="BN74" s="186" t="s">
        <v>3386</v>
      </c>
      <c r="BO74" s="186" t="s">
        <v>2970</v>
      </c>
      <c r="BP74" s="186" t="s">
        <v>2860</v>
      </c>
      <c r="BQ74" s="186" t="s">
        <v>3385</v>
      </c>
      <c r="BR74" s="186" t="s">
        <v>2970</v>
      </c>
      <c r="BS74" s="186" t="s">
        <v>2860</v>
      </c>
      <c r="BT74" s="186" t="s">
        <v>3387</v>
      </c>
      <c r="BU74" s="186" t="s">
        <v>2970</v>
      </c>
      <c r="BV74" s="186" t="s">
        <v>2860</v>
      </c>
      <c r="BW74" s="186" t="s">
        <v>3388</v>
      </c>
      <c r="BX74" s="186" t="s">
        <v>2970</v>
      </c>
      <c r="BY74" s="186" t="s">
        <v>2860</v>
      </c>
      <c r="BZ74" s="186" t="s">
        <v>3388</v>
      </c>
      <c r="CA74" s="186" t="s">
        <v>2970</v>
      </c>
      <c r="CB74" s="186" t="s">
        <v>2860</v>
      </c>
      <c r="CC74" s="186" t="s">
        <v>3389</v>
      </c>
      <c r="CD74" s="186" t="s">
        <v>2970</v>
      </c>
      <c r="CE74" s="186" t="s">
        <v>2860</v>
      </c>
      <c r="CF74" s="186" t="s">
        <v>3390</v>
      </c>
      <c r="CG74" s="186" t="s">
        <v>2970</v>
      </c>
      <c r="CH74" s="186" t="s">
        <v>2860</v>
      </c>
      <c r="CI74" s="186" t="s">
        <v>2860</v>
      </c>
      <c r="CJ74" s="186" t="s">
        <v>2970</v>
      </c>
      <c r="CK74" s="186" t="s">
        <v>2860</v>
      </c>
      <c r="CL74" s="186" t="s">
        <v>2860</v>
      </c>
      <c r="CM74" s="186" t="s">
        <v>2970</v>
      </c>
      <c r="CN74" s="186" t="s">
        <v>2860</v>
      </c>
      <c r="CO74" s="186" t="s">
        <v>2860</v>
      </c>
      <c r="CP74" s="186" t="s">
        <v>2970</v>
      </c>
      <c r="CQ74" s="186" t="s">
        <v>2860</v>
      </c>
      <c r="CR74" s="186" t="s">
        <v>2860</v>
      </c>
      <c r="CS74" s="186" t="s">
        <v>2970</v>
      </c>
      <c r="CT74" s="186" t="s">
        <v>2860</v>
      </c>
      <c r="CU74" s="186" t="s">
        <v>2860</v>
      </c>
      <c r="CV74" s="186" t="s">
        <v>2970</v>
      </c>
      <c r="CW74" s="186" t="s">
        <v>2860</v>
      </c>
      <c r="CX74" s="186" t="s">
        <v>2860</v>
      </c>
      <c r="CY74" s="186" t="s">
        <v>2970</v>
      </c>
      <c r="CZ74" s="186" t="s">
        <v>2860</v>
      </c>
      <c r="DA74" s="186" t="s">
        <v>2860</v>
      </c>
      <c r="DB74" s="186" t="s">
        <v>2970</v>
      </c>
      <c r="DC74" s="186" t="s">
        <v>2860</v>
      </c>
      <c r="DD74" s="186" t="s">
        <v>3391</v>
      </c>
      <c r="DE74" s="186" t="s">
        <v>2970</v>
      </c>
      <c r="DF74" s="186" t="s">
        <v>2860</v>
      </c>
      <c r="DG74" s="186" t="s">
        <v>3392</v>
      </c>
      <c r="DH74" s="186" t="s">
        <v>2970</v>
      </c>
      <c r="DI74" s="186" t="s">
        <v>2860</v>
      </c>
      <c r="DJ74" s="186" t="s">
        <v>3393</v>
      </c>
      <c r="DK74" s="186" t="s">
        <v>2970</v>
      </c>
      <c r="DL74" s="186" t="s">
        <v>2860</v>
      </c>
      <c r="DM74" s="186" t="s">
        <v>3394</v>
      </c>
      <c r="DN74" s="186" t="s">
        <v>2970</v>
      </c>
      <c r="DO74" s="186" t="s">
        <v>2860</v>
      </c>
      <c r="DP74" s="186" t="s">
        <v>3392</v>
      </c>
      <c r="DQ74" s="186" t="s">
        <v>2970</v>
      </c>
      <c r="DR74" s="186" t="s">
        <v>2860</v>
      </c>
      <c r="DS74" s="186" t="s">
        <v>2860</v>
      </c>
      <c r="DT74" s="186" t="s">
        <v>2970</v>
      </c>
      <c r="DU74" s="186" t="s">
        <v>2860</v>
      </c>
      <c r="DV74" s="186" t="s">
        <v>2860</v>
      </c>
      <c r="DW74" s="186" t="s">
        <v>2970</v>
      </c>
      <c r="DX74" s="186" t="s">
        <v>2860</v>
      </c>
      <c r="DY74" s="186" t="s">
        <v>2860</v>
      </c>
      <c r="DZ74" s="186" t="s">
        <v>2970</v>
      </c>
      <c r="EA74" s="186" t="s">
        <v>2860</v>
      </c>
      <c r="EB74" s="186" t="s">
        <v>3395</v>
      </c>
      <c r="EC74" s="186" t="s">
        <v>2970</v>
      </c>
      <c r="ED74" s="186" t="s">
        <v>2860</v>
      </c>
      <c r="EE74" s="186" t="s">
        <v>3396</v>
      </c>
      <c r="EF74" s="186" t="s">
        <v>2970</v>
      </c>
      <c r="EG74" s="186" t="s">
        <v>2860</v>
      </c>
      <c r="EH74" s="186" t="s">
        <v>2860</v>
      </c>
      <c r="EI74" s="186" t="s">
        <v>2970</v>
      </c>
      <c r="EJ74" s="186" t="s">
        <v>2860</v>
      </c>
      <c r="EK74" s="186" t="s">
        <v>2860</v>
      </c>
      <c r="EL74" s="186" t="s">
        <v>2970</v>
      </c>
      <c r="EM74" s="186" t="s">
        <v>2860</v>
      </c>
      <c r="EN74" s="186" t="s">
        <v>2860</v>
      </c>
      <c r="EO74" s="186" t="s">
        <v>2970</v>
      </c>
      <c r="EP74" s="186" t="s">
        <v>2860</v>
      </c>
      <c r="EQ74" s="186" t="s">
        <v>3397</v>
      </c>
      <c r="ER74" s="186" t="s">
        <v>2970</v>
      </c>
      <c r="ES74" s="186" t="s">
        <v>2860</v>
      </c>
      <c r="ET74" s="186" t="s">
        <v>2860</v>
      </c>
    </row>
    <row r="75" spans="1:150" x14ac:dyDescent="0.3">
      <c r="A75" s="1"/>
      <c r="B75" s="187" t="s">
        <v>3398</v>
      </c>
      <c r="C75" s="187" t="s">
        <v>83</v>
      </c>
      <c r="D75" s="187" t="s">
        <v>84</v>
      </c>
      <c r="E75" s="187" t="s">
        <v>3399</v>
      </c>
      <c r="F75" s="187" t="s">
        <v>3400</v>
      </c>
      <c r="G75" s="188" t="s">
        <v>2970</v>
      </c>
      <c r="H75" s="188" t="s">
        <v>2860</v>
      </c>
      <c r="I75" s="188" t="s">
        <v>3374</v>
      </c>
      <c r="J75" s="188" t="s">
        <v>2970</v>
      </c>
      <c r="K75" s="188" t="s">
        <v>2860</v>
      </c>
      <c r="L75" s="188" t="s">
        <v>2860</v>
      </c>
      <c r="M75" s="188" t="s">
        <v>2970</v>
      </c>
      <c r="N75" s="188" t="s">
        <v>2860</v>
      </c>
      <c r="O75" s="188" t="s">
        <v>3375</v>
      </c>
      <c r="P75" s="188" t="s">
        <v>2970</v>
      </c>
      <c r="Q75" s="188" t="s">
        <v>2860</v>
      </c>
      <c r="R75" s="188" t="s">
        <v>3376</v>
      </c>
      <c r="S75" s="188" t="s">
        <v>2970</v>
      </c>
      <c r="T75" s="188" t="s">
        <v>2860</v>
      </c>
      <c r="U75" s="188" t="s">
        <v>3377</v>
      </c>
      <c r="V75" s="188" t="s">
        <v>2970</v>
      </c>
      <c r="W75" s="188" t="s">
        <v>2860</v>
      </c>
      <c r="X75" s="188" t="s">
        <v>2860</v>
      </c>
      <c r="Y75" s="188" t="s">
        <v>2970</v>
      </c>
      <c r="Z75" s="188" t="s">
        <v>2860</v>
      </c>
      <c r="AA75" s="188" t="s">
        <v>2860</v>
      </c>
      <c r="AB75" s="188" t="s">
        <v>2970</v>
      </c>
      <c r="AC75" s="188" t="s">
        <v>2860</v>
      </c>
      <c r="AD75" s="188" t="s">
        <v>2860</v>
      </c>
      <c r="AE75" s="188" t="s">
        <v>2970</v>
      </c>
      <c r="AF75" s="188" t="s">
        <v>2860</v>
      </c>
      <c r="AG75" s="188" t="s">
        <v>3378</v>
      </c>
      <c r="AH75" s="188" t="s">
        <v>2970</v>
      </c>
      <c r="AI75" s="188" t="s">
        <v>2860</v>
      </c>
      <c r="AJ75" s="188" t="s">
        <v>3378</v>
      </c>
      <c r="AK75" s="188" t="s">
        <v>2970</v>
      </c>
      <c r="AL75" s="188" t="s">
        <v>2860</v>
      </c>
      <c r="AM75" s="188" t="s">
        <v>3378</v>
      </c>
      <c r="AN75" s="188" t="s">
        <v>2970</v>
      </c>
      <c r="AO75" s="188" t="s">
        <v>2860</v>
      </c>
      <c r="AP75" s="188" t="s">
        <v>3379</v>
      </c>
      <c r="AQ75" s="188" t="s">
        <v>2970</v>
      </c>
      <c r="AR75" s="188" t="s">
        <v>2860</v>
      </c>
      <c r="AS75" s="188" t="s">
        <v>3380</v>
      </c>
      <c r="AT75" s="188" t="s">
        <v>2970</v>
      </c>
      <c r="AU75" s="188" t="s">
        <v>2860</v>
      </c>
      <c r="AV75" s="188" t="s">
        <v>3381</v>
      </c>
      <c r="AW75" s="188" t="s">
        <v>2970</v>
      </c>
      <c r="AX75" s="188" t="s">
        <v>2860</v>
      </c>
      <c r="AY75" s="188" t="s">
        <v>3381</v>
      </c>
      <c r="AZ75" s="188" t="s">
        <v>2970</v>
      </c>
      <c r="BA75" s="188" t="s">
        <v>2860</v>
      </c>
      <c r="BB75" s="188" t="s">
        <v>3382</v>
      </c>
      <c r="BC75" s="188" t="s">
        <v>2970</v>
      </c>
      <c r="BD75" s="188" t="s">
        <v>2860</v>
      </c>
      <c r="BE75" s="188" t="s">
        <v>3383</v>
      </c>
      <c r="BF75" s="188" t="s">
        <v>2970</v>
      </c>
      <c r="BG75" s="188" t="s">
        <v>2860</v>
      </c>
      <c r="BH75" s="188" t="s">
        <v>3384</v>
      </c>
      <c r="BI75" s="188" t="s">
        <v>2970</v>
      </c>
      <c r="BJ75" s="188" t="s">
        <v>2860</v>
      </c>
      <c r="BK75" s="188" t="s">
        <v>3385</v>
      </c>
      <c r="BL75" s="188" t="s">
        <v>2970</v>
      </c>
      <c r="BM75" s="188" t="s">
        <v>2860</v>
      </c>
      <c r="BN75" s="188" t="s">
        <v>3386</v>
      </c>
      <c r="BO75" s="188" t="s">
        <v>2970</v>
      </c>
      <c r="BP75" s="188" t="s">
        <v>2860</v>
      </c>
      <c r="BQ75" s="188" t="s">
        <v>3385</v>
      </c>
      <c r="BR75" s="188" t="s">
        <v>2970</v>
      </c>
      <c r="BS75" s="188" t="s">
        <v>2860</v>
      </c>
      <c r="BT75" s="188" t="s">
        <v>3387</v>
      </c>
      <c r="BU75" s="188" t="s">
        <v>2970</v>
      </c>
      <c r="BV75" s="188" t="s">
        <v>2860</v>
      </c>
      <c r="BW75" s="188" t="s">
        <v>3388</v>
      </c>
      <c r="BX75" s="188" t="s">
        <v>2970</v>
      </c>
      <c r="BY75" s="188" t="s">
        <v>2860</v>
      </c>
      <c r="BZ75" s="188" t="s">
        <v>3388</v>
      </c>
      <c r="CA75" s="188" t="s">
        <v>2970</v>
      </c>
      <c r="CB75" s="188" t="s">
        <v>2860</v>
      </c>
      <c r="CC75" s="188" t="s">
        <v>3389</v>
      </c>
      <c r="CD75" s="188" t="s">
        <v>2970</v>
      </c>
      <c r="CE75" s="188" t="s">
        <v>2860</v>
      </c>
      <c r="CF75" s="188" t="s">
        <v>3390</v>
      </c>
      <c r="CG75" s="188" t="s">
        <v>2970</v>
      </c>
      <c r="CH75" s="188" t="s">
        <v>2860</v>
      </c>
      <c r="CI75" s="188" t="s">
        <v>2860</v>
      </c>
      <c r="CJ75" s="188" t="s">
        <v>2970</v>
      </c>
      <c r="CK75" s="188" t="s">
        <v>2860</v>
      </c>
      <c r="CL75" s="188" t="s">
        <v>2860</v>
      </c>
      <c r="CM75" s="188" t="s">
        <v>2970</v>
      </c>
      <c r="CN75" s="188" t="s">
        <v>2860</v>
      </c>
      <c r="CO75" s="188" t="s">
        <v>2860</v>
      </c>
      <c r="CP75" s="188" t="s">
        <v>2970</v>
      </c>
      <c r="CQ75" s="188" t="s">
        <v>2860</v>
      </c>
      <c r="CR75" s="188" t="s">
        <v>2860</v>
      </c>
      <c r="CS75" s="188" t="s">
        <v>2970</v>
      </c>
      <c r="CT75" s="188" t="s">
        <v>2860</v>
      </c>
      <c r="CU75" s="188" t="s">
        <v>2860</v>
      </c>
      <c r="CV75" s="188" t="s">
        <v>2970</v>
      </c>
      <c r="CW75" s="188" t="s">
        <v>2860</v>
      </c>
      <c r="CX75" s="188" t="s">
        <v>2860</v>
      </c>
      <c r="CY75" s="188" t="s">
        <v>2970</v>
      </c>
      <c r="CZ75" s="188" t="s">
        <v>2860</v>
      </c>
      <c r="DA75" s="188" t="s">
        <v>2860</v>
      </c>
      <c r="DB75" s="188" t="s">
        <v>2970</v>
      </c>
      <c r="DC75" s="188" t="s">
        <v>2860</v>
      </c>
      <c r="DD75" s="188" t="s">
        <v>3391</v>
      </c>
      <c r="DE75" s="188" t="s">
        <v>2970</v>
      </c>
      <c r="DF75" s="188" t="s">
        <v>2860</v>
      </c>
      <c r="DG75" s="188" t="s">
        <v>3392</v>
      </c>
      <c r="DH75" s="188" t="s">
        <v>2970</v>
      </c>
      <c r="DI75" s="188" t="s">
        <v>2860</v>
      </c>
      <c r="DJ75" s="188" t="s">
        <v>3393</v>
      </c>
      <c r="DK75" s="188" t="s">
        <v>2970</v>
      </c>
      <c r="DL75" s="188" t="s">
        <v>2860</v>
      </c>
      <c r="DM75" s="188" t="s">
        <v>3394</v>
      </c>
      <c r="DN75" s="188" t="s">
        <v>2970</v>
      </c>
      <c r="DO75" s="188" t="s">
        <v>2860</v>
      </c>
      <c r="DP75" s="188" t="s">
        <v>3392</v>
      </c>
      <c r="DQ75" s="188" t="s">
        <v>2970</v>
      </c>
      <c r="DR75" s="188" t="s">
        <v>2860</v>
      </c>
      <c r="DS75" s="188" t="s">
        <v>2860</v>
      </c>
      <c r="DT75" s="188" t="s">
        <v>2970</v>
      </c>
      <c r="DU75" s="188" t="s">
        <v>2860</v>
      </c>
      <c r="DV75" s="188" t="s">
        <v>2860</v>
      </c>
      <c r="DW75" s="188" t="s">
        <v>2970</v>
      </c>
      <c r="DX75" s="188" t="s">
        <v>2860</v>
      </c>
      <c r="DY75" s="188" t="s">
        <v>2860</v>
      </c>
      <c r="DZ75" s="188" t="s">
        <v>2970</v>
      </c>
      <c r="EA75" s="188" t="s">
        <v>2860</v>
      </c>
      <c r="EB75" s="188" t="s">
        <v>3395</v>
      </c>
      <c r="EC75" s="188" t="s">
        <v>2970</v>
      </c>
      <c r="ED75" s="188" t="s">
        <v>2860</v>
      </c>
      <c r="EE75" s="188" t="s">
        <v>3396</v>
      </c>
      <c r="EF75" s="188" t="s">
        <v>2970</v>
      </c>
      <c r="EG75" s="188" t="s">
        <v>2860</v>
      </c>
      <c r="EH75" s="188" t="s">
        <v>2860</v>
      </c>
      <c r="EI75" s="188" t="s">
        <v>2970</v>
      </c>
      <c r="EJ75" s="188" t="s">
        <v>2860</v>
      </c>
      <c r="EK75" s="188" t="s">
        <v>2860</v>
      </c>
      <c r="EL75" s="188" t="s">
        <v>2970</v>
      </c>
      <c r="EM75" s="188" t="s">
        <v>2860</v>
      </c>
      <c r="EN75" s="188" t="s">
        <v>2860</v>
      </c>
      <c r="EO75" s="188" t="s">
        <v>2970</v>
      </c>
      <c r="EP75" s="188" t="s">
        <v>2860</v>
      </c>
      <c r="EQ75" s="188" t="s">
        <v>3397</v>
      </c>
      <c r="ER75" s="188" t="s">
        <v>2970</v>
      </c>
      <c r="ES75" s="188" t="s">
        <v>2860</v>
      </c>
      <c r="ET75" s="188" t="s">
        <v>2860</v>
      </c>
    </row>
    <row r="76" spans="1:150" x14ac:dyDescent="0.3">
      <c r="A76" s="1"/>
      <c r="B76" s="187" t="s">
        <v>3401</v>
      </c>
      <c r="C76" s="187" t="s">
        <v>83</v>
      </c>
      <c r="D76" s="187" t="s">
        <v>84</v>
      </c>
      <c r="E76" s="187" t="s">
        <v>3402</v>
      </c>
      <c r="F76" s="187" t="s">
        <v>3403</v>
      </c>
      <c r="G76" s="188" t="s">
        <v>2970</v>
      </c>
      <c r="H76" s="188" t="s">
        <v>2860</v>
      </c>
      <c r="I76" s="188" t="s">
        <v>2860</v>
      </c>
      <c r="J76" s="188" t="s">
        <v>2970</v>
      </c>
      <c r="K76" s="188" t="s">
        <v>2860</v>
      </c>
      <c r="L76" s="188" t="s">
        <v>2860</v>
      </c>
      <c r="M76" s="188" t="s">
        <v>2970</v>
      </c>
      <c r="N76" s="188" t="s">
        <v>2860</v>
      </c>
      <c r="O76" s="188" t="s">
        <v>2860</v>
      </c>
      <c r="P76" s="188" t="s">
        <v>2970</v>
      </c>
      <c r="Q76" s="188" t="s">
        <v>2860</v>
      </c>
      <c r="R76" s="188" t="s">
        <v>2860</v>
      </c>
      <c r="S76" s="188" t="s">
        <v>2970</v>
      </c>
      <c r="T76" s="188" t="s">
        <v>2860</v>
      </c>
      <c r="U76" s="188" t="s">
        <v>2860</v>
      </c>
      <c r="V76" s="188" t="s">
        <v>2970</v>
      </c>
      <c r="W76" s="188" t="s">
        <v>2860</v>
      </c>
      <c r="X76" s="188" t="s">
        <v>2860</v>
      </c>
      <c r="Y76" s="188" t="s">
        <v>2970</v>
      </c>
      <c r="Z76" s="188" t="s">
        <v>2860</v>
      </c>
      <c r="AA76" s="188" t="s">
        <v>2860</v>
      </c>
      <c r="AB76" s="188" t="s">
        <v>2970</v>
      </c>
      <c r="AC76" s="188" t="s">
        <v>2860</v>
      </c>
      <c r="AD76" s="188" t="s">
        <v>2860</v>
      </c>
      <c r="AE76" s="188" t="s">
        <v>2970</v>
      </c>
      <c r="AF76" s="188" t="s">
        <v>2860</v>
      </c>
      <c r="AG76" s="188" t="s">
        <v>2860</v>
      </c>
      <c r="AH76" s="188" t="s">
        <v>2970</v>
      </c>
      <c r="AI76" s="188" t="s">
        <v>2860</v>
      </c>
      <c r="AJ76" s="188" t="s">
        <v>2860</v>
      </c>
      <c r="AK76" s="188" t="s">
        <v>2970</v>
      </c>
      <c r="AL76" s="188" t="s">
        <v>2860</v>
      </c>
      <c r="AM76" s="188" t="s">
        <v>2860</v>
      </c>
      <c r="AN76" s="188" t="s">
        <v>2970</v>
      </c>
      <c r="AO76" s="188" t="s">
        <v>2860</v>
      </c>
      <c r="AP76" s="188" t="s">
        <v>2860</v>
      </c>
      <c r="AQ76" s="188" t="s">
        <v>2970</v>
      </c>
      <c r="AR76" s="188" t="s">
        <v>2860</v>
      </c>
      <c r="AS76" s="188" t="s">
        <v>2860</v>
      </c>
      <c r="AT76" s="188" t="s">
        <v>2970</v>
      </c>
      <c r="AU76" s="188" t="s">
        <v>2860</v>
      </c>
      <c r="AV76" s="188" t="s">
        <v>2860</v>
      </c>
      <c r="AW76" s="188" t="s">
        <v>2970</v>
      </c>
      <c r="AX76" s="188" t="s">
        <v>2860</v>
      </c>
      <c r="AY76" s="188" t="s">
        <v>2860</v>
      </c>
      <c r="AZ76" s="188" t="s">
        <v>2970</v>
      </c>
      <c r="BA76" s="188" t="s">
        <v>2860</v>
      </c>
      <c r="BB76" s="188" t="s">
        <v>2860</v>
      </c>
      <c r="BC76" s="188" t="s">
        <v>2970</v>
      </c>
      <c r="BD76" s="188" t="s">
        <v>2860</v>
      </c>
      <c r="BE76" s="188" t="s">
        <v>2860</v>
      </c>
      <c r="BF76" s="188" t="s">
        <v>2970</v>
      </c>
      <c r="BG76" s="188" t="s">
        <v>2860</v>
      </c>
      <c r="BH76" s="188" t="s">
        <v>2860</v>
      </c>
      <c r="BI76" s="188" t="s">
        <v>2970</v>
      </c>
      <c r="BJ76" s="188" t="s">
        <v>2860</v>
      </c>
      <c r="BK76" s="188" t="s">
        <v>2860</v>
      </c>
      <c r="BL76" s="188" t="s">
        <v>2970</v>
      </c>
      <c r="BM76" s="188" t="s">
        <v>2860</v>
      </c>
      <c r="BN76" s="188" t="s">
        <v>2860</v>
      </c>
      <c r="BO76" s="188" t="s">
        <v>2970</v>
      </c>
      <c r="BP76" s="188" t="s">
        <v>2860</v>
      </c>
      <c r="BQ76" s="188" t="s">
        <v>2860</v>
      </c>
      <c r="BR76" s="188" t="s">
        <v>2970</v>
      </c>
      <c r="BS76" s="188" t="s">
        <v>2860</v>
      </c>
      <c r="BT76" s="188" t="s">
        <v>2860</v>
      </c>
      <c r="BU76" s="188" t="s">
        <v>2970</v>
      </c>
      <c r="BV76" s="188" t="s">
        <v>2860</v>
      </c>
      <c r="BW76" s="188" t="s">
        <v>2860</v>
      </c>
      <c r="BX76" s="188" t="s">
        <v>2970</v>
      </c>
      <c r="BY76" s="188" t="s">
        <v>2860</v>
      </c>
      <c r="BZ76" s="188" t="s">
        <v>2860</v>
      </c>
      <c r="CA76" s="188" t="s">
        <v>2970</v>
      </c>
      <c r="CB76" s="188" t="s">
        <v>2860</v>
      </c>
      <c r="CC76" s="188" t="s">
        <v>2860</v>
      </c>
      <c r="CD76" s="188" t="s">
        <v>2970</v>
      </c>
      <c r="CE76" s="188" t="s">
        <v>2860</v>
      </c>
      <c r="CF76" s="188" t="s">
        <v>2860</v>
      </c>
      <c r="CG76" s="188" t="s">
        <v>2970</v>
      </c>
      <c r="CH76" s="188" t="s">
        <v>2860</v>
      </c>
      <c r="CI76" s="188" t="s">
        <v>2860</v>
      </c>
      <c r="CJ76" s="188" t="s">
        <v>2970</v>
      </c>
      <c r="CK76" s="188" t="s">
        <v>2860</v>
      </c>
      <c r="CL76" s="188" t="s">
        <v>2860</v>
      </c>
      <c r="CM76" s="188" t="s">
        <v>2970</v>
      </c>
      <c r="CN76" s="188" t="s">
        <v>2860</v>
      </c>
      <c r="CO76" s="188" t="s">
        <v>2860</v>
      </c>
      <c r="CP76" s="188" t="s">
        <v>2970</v>
      </c>
      <c r="CQ76" s="188" t="s">
        <v>2860</v>
      </c>
      <c r="CR76" s="188" t="s">
        <v>2860</v>
      </c>
      <c r="CS76" s="188" t="s">
        <v>2970</v>
      </c>
      <c r="CT76" s="188" t="s">
        <v>2860</v>
      </c>
      <c r="CU76" s="188" t="s">
        <v>2860</v>
      </c>
      <c r="CV76" s="188" t="s">
        <v>2970</v>
      </c>
      <c r="CW76" s="188" t="s">
        <v>2860</v>
      </c>
      <c r="CX76" s="188" t="s">
        <v>2860</v>
      </c>
      <c r="CY76" s="188" t="s">
        <v>2970</v>
      </c>
      <c r="CZ76" s="188" t="s">
        <v>2860</v>
      </c>
      <c r="DA76" s="188" t="s">
        <v>2860</v>
      </c>
      <c r="DB76" s="188" t="s">
        <v>2970</v>
      </c>
      <c r="DC76" s="188" t="s">
        <v>2860</v>
      </c>
      <c r="DD76" s="188" t="s">
        <v>2860</v>
      </c>
      <c r="DE76" s="188" t="s">
        <v>2970</v>
      </c>
      <c r="DF76" s="188" t="s">
        <v>2860</v>
      </c>
      <c r="DG76" s="188" t="s">
        <v>2860</v>
      </c>
      <c r="DH76" s="188" t="s">
        <v>2970</v>
      </c>
      <c r="DI76" s="188" t="s">
        <v>2860</v>
      </c>
      <c r="DJ76" s="188" t="s">
        <v>2860</v>
      </c>
      <c r="DK76" s="188" t="s">
        <v>2970</v>
      </c>
      <c r="DL76" s="188" t="s">
        <v>2860</v>
      </c>
      <c r="DM76" s="188" t="s">
        <v>2860</v>
      </c>
      <c r="DN76" s="188" t="s">
        <v>2970</v>
      </c>
      <c r="DO76" s="188" t="s">
        <v>2860</v>
      </c>
      <c r="DP76" s="188" t="s">
        <v>2860</v>
      </c>
      <c r="DQ76" s="188" t="s">
        <v>2970</v>
      </c>
      <c r="DR76" s="188" t="s">
        <v>2860</v>
      </c>
      <c r="DS76" s="188" t="s">
        <v>2860</v>
      </c>
      <c r="DT76" s="188" t="s">
        <v>2970</v>
      </c>
      <c r="DU76" s="188" t="s">
        <v>2860</v>
      </c>
      <c r="DV76" s="188" t="s">
        <v>2860</v>
      </c>
      <c r="DW76" s="188" t="s">
        <v>2970</v>
      </c>
      <c r="DX76" s="188" t="s">
        <v>2860</v>
      </c>
      <c r="DY76" s="188" t="s">
        <v>2860</v>
      </c>
      <c r="DZ76" s="188" t="s">
        <v>2970</v>
      </c>
      <c r="EA76" s="188" t="s">
        <v>2860</v>
      </c>
      <c r="EB76" s="188" t="s">
        <v>2860</v>
      </c>
      <c r="EC76" s="188" t="s">
        <v>2970</v>
      </c>
      <c r="ED76" s="188" t="s">
        <v>2860</v>
      </c>
      <c r="EE76" s="188" t="s">
        <v>2860</v>
      </c>
      <c r="EF76" s="188" t="s">
        <v>2970</v>
      </c>
      <c r="EG76" s="188" t="s">
        <v>2860</v>
      </c>
      <c r="EH76" s="188" t="s">
        <v>2860</v>
      </c>
      <c r="EI76" s="188" t="s">
        <v>2970</v>
      </c>
      <c r="EJ76" s="188" t="s">
        <v>2860</v>
      </c>
      <c r="EK76" s="188" t="s">
        <v>2860</v>
      </c>
      <c r="EL76" s="188" t="s">
        <v>2970</v>
      </c>
      <c r="EM76" s="188" t="s">
        <v>2860</v>
      </c>
      <c r="EN76" s="188" t="s">
        <v>2860</v>
      </c>
      <c r="EO76" s="188" t="s">
        <v>2970</v>
      </c>
      <c r="EP76" s="188" t="s">
        <v>2860</v>
      </c>
      <c r="EQ76" s="188" t="s">
        <v>2860</v>
      </c>
      <c r="ER76" s="188" t="s">
        <v>2970</v>
      </c>
      <c r="ES76" s="188" t="s">
        <v>2860</v>
      </c>
      <c r="ET76" s="188" t="s">
        <v>2860</v>
      </c>
    </row>
    <row r="77" spans="1:150" x14ac:dyDescent="0.3">
      <c r="A77" s="1"/>
      <c r="B77" s="186" t="s">
        <v>3404</v>
      </c>
      <c r="C77" s="186" t="s">
        <v>103</v>
      </c>
      <c r="D77" s="186" t="s">
        <v>104</v>
      </c>
      <c r="E77" s="186" t="s">
        <v>3405</v>
      </c>
      <c r="F77" s="186" t="s">
        <v>3406</v>
      </c>
      <c r="G77" s="186" t="s">
        <v>2970</v>
      </c>
      <c r="H77" s="186" t="s">
        <v>2860</v>
      </c>
      <c r="I77" s="186" t="s">
        <v>2860</v>
      </c>
      <c r="J77" s="186" t="s">
        <v>2970</v>
      </c>
      <c r="K77" s="186" t="s">
        <v>2860</v>
      </c>
      <c r="L77" s="186" t="s">
        <v>2860</v>
      </c>
      <c r="M77" s="186" t="s">
        <v>2970</v>
      </c>
      <c r="N77" s="186" t="s">
        <v>2860</v>
      </c>
      <c r="O77" s="186" t="s">
        <v>2860</v>
      </c>
      <c r="P77" s="186" t="s">
        <v>2970</v>
      </c>
      <c r="Q77" s="186" t="s">
        <v>2860</v>
      </c>
      <c r="R77" s="186" t="s">
        <v>2860</v>
      </c>
      <c r="S77" s="186" t="s">
        <v>2970</v>
      </c>
      <c r="T77" s="186" t="s">
        <v>2860</v>
      </c>
      <c r="U77" s="186" t="s">
        <v>2860</v>
      </c>
      <c r="V77" s="186" t="s">
        <v>2970</v>
      </c>
      <c r="W77" s="186" t="s">
        <v>3014</v>
      </c>
      <c r="X77" s="186" t="s">
        <v>3014</v>
      </c>
      <c r="Y77" s="186" t="s">
        <v>2970</v>
      </c>
      <c r="Z77" s="186" t="s">
        <v>2860</v>
      </c>
      <c r="AA77" s="186" t="s">
        <v>2860</v>
      </c>
      <c r="AB77" s="186" t="s">
        <v>2970</v>
      </c>
      <c r="AC77" s="186" t="s">
        <v>2860</v>
      </c>
      <c r="AD77" s="186" t="s">
        <v>2860</v>
      </c>
      <c r="AE77" s="186" t="s">
        <v>2970</v>
      </c>
      <c r="AF77" s="186" t="s">
        <v>2860</v>
      </c>
      <c r="AG77" s="186" t="s">
        <v>2860</v>
      </c>
      <c r="AH77" s="186" t="s">
        <v>2970</v>
      </c>
      <c r="AI77" s="186" t="s">
        <v>2860</v>
      </c>
      <c r="AJ77" s="186" t="s">
        <v>2860</v>
      </c>
      <c r="AK77" s="186" t="s">
        <v>2970</v>
      </c>
      <c r="AL77" s="186" t="s">
        <v>2860</v>
      </c>
      <c r="AM77" s="186" t="s">
        <v>2860</v>
      </c>
      <c r="AN77" s="186" t="s">
        <v>2970</v>
      </c>
      <c r="AO77" s="186" t="s">
        <v>2860</v>
      </c>
      <c r="AP77" s="186" t="s">
        <v>2860</v>
      </c>
      <c r="AQ77" s="186" t="s">
        <v>2970</v>
      </c>
      <c r="AR77" s="186" t="s">
        <v>2860</v>
      </c>
      <c r="AS77" s="186" t="s">
        <v>2860</v>
      </c>
      <c r="AT77" s="186" t="s">
        <v>2970</v>
      </c>
      <c r="AU77" s="186" t="s">
        <v>2860</v>
      </c>
      <c r="AV77" s="186" t="s">
        <v>2860</v>
      </c>
      <c r="AW77" s="186" t="s">
        <v>2970</v>
      </c>
      <c r="AX77" s="186" t="s">
        <v>2860</v>
      </c>
      <c r="AY77" s="186" t="s">
        <v>2860</v>
      </c>
      <c r="AZ77" s="186" t="s">
        <v>2970</v>
      </c>
      <c r="BA77" s="186" t="s">
        <v>2860</v>
      </c>
      <c r="BB77" s="186" t="s">
        <v>2860</v>
      </c>
      <c r="BC77" s="186" t="s">
        <v>2970</v>
      </c>
      <c r="BD77" s="186" t="s">
        <v>2860</v>
      </c>
      <c r="BE77" s="186" t="s">
        <v>2860</v>
      </c>
      <c r="BF77" s="186" t="s">
        <v>2970</v>
      </c>
      <c r="BG77" s="186" t="s">
        <v>2860</v>
      </c>
      <c r="BH77" s="186" t="s">
        <v>2860</v>
      </c>
      <c r="BI77" s="186" t="s">
        <v>2970</v>
      </c>
      <c r="BJ77" s="186" t="s">
        <v>2860</v>
      </c>
      <c r="BK77" s="186" t="s">
        <v>2860</v>
      </c>
      <c r="BL77" s="186" t="s">
        <v>2970</v>
      </c>
      <c r="BM77" s="186" t="s">
        <v>2860</v>
      </c>
      <c r="BN77" s="186" t="s">
        <v>2860</v>
      </c>
      <c r="BO77" s="186" t="s">
        <v>2970</v>
      </c>
      <c r="BP77" s="186" t="s">
        <v>2860</v>
      </c>
      <c r="BQ77" s="186" t="s">
        <v>2860</v>
      </c>
      <c r="BR77" s="186" t="s">
        <v>2970</v>
      </c>
      <c r="BS77" s="186" t="s">
        <v>2860</v>
      </c>
      <c r="BT77" s="186" t="s">
        <v>2860</v>
      </c>
      <c r="BU77" s="186" t="s">
        <v>2970</v>
      </c>
      <c r="BV77" s="186" t="s">
        <v>2860</v>
      </c>
      <c r="BW77" s="186" t="s">
        <v>2860</v>
      </c>
      <c r="BX77" s="186" t="s">
        <v>2970</v>
      </c>
      <c r="BY77" s="186" t="s">
        <v>2860</v>
      </c>
      <c r="BZ77" s="186" t="s">
        <v>2860</v>
      </c>
      <c r="CA77" s="186" t="s">
        <v>2970</v>
      </c>
      <c r="CB77" s="186" t="s">
        <v>2860</v>
      </c>
      <c r="CC77" s="186" t="s">
        <v>2860</v>
      </c>
      <c r="CD77" s="186" t="s">
        <v>2970</v>
      </c>
      <c r="CE77" s="186" t="s">
        <v>2860</v>
      </c>
      <c r="CF77" s="186" t="s">
        <v>2860</v>
      </c>
      <c r="CG77" s="186" t="s">
        <v>2970</v>
      </c>
      <c r="CH77" s="186" t="s">
        <v>2860</v>
      </c>
      <c r="CI77" s="186" t="s">
        <v>2860</v>
      </c>
      <c r="CJ77" s="186" t="s">
        <v>2970</v>
      </c>
      <c r="CK77" s="186" t="s">
        <v>2860</v>
      </c>
      <c r="CL77" s="186" t="s">
        <v>2860</v>
      </c>
      <c r="CM77" s="186" t="s">
        <v>2970</v>
      </c>
      <c r="CN77" s="186" t="s">
        <v>2860</v>
      </c>
      <c r="CO77" s="186" t="s">
        <v>2860</v>
      </c>
      <c r="CP77" s="186" t="s">
        <v>2970</v>
      </c>
      <c r="CQ77" s="186" t="s">
        <v>2860</v>
      </c>
      <c r="CR77" s="186" t="s">
        <v>2860</v>
      </c>
      <c r="CS77" s="186" t="s">
        <v>2970</v>
      </c>
      <c r="CT77" s="186" t="s">
        <v>2860</v>
      </c>
      <c r="CU77" s="186" t="s">
        <v>2860</v>
      </c>
      <c r="CV77" s="186" t="s">
        <v>2970</v>
      </c>
      <c r="CW77" s="186" t="s">
        <v>2860</v>
      </c>
      <c r="CX77" s="186" t="s">
        <v>2860</v>
      </c>
      <c r="CY77" s="186" t="s">
        <v>2970</v>
      </c>
      <c r="CZ77" s="186" t="s">
        <v>2860</v>
      </c>
      <c r="DA77" s="186" t="s">
        <v>2860</v>
      </c>
      <c r="DB77" s="186" t="s">
        <v>2970</v>
      </c>
      <c r="DC77" s="186" t="s">
        <v>2860</v>
      </c>
      <c r="DD77" s="186" t="s">
        <v>2860</v>
      </c>
      <c r="DE77" s="186" t="s">
        <v>2970</v>
      </c>
      <c r="DF77" s="186" t="s">
        <v>2860</v>
      </c>
      <c r="DG77" s="186" t="s">
        <v>2860</v>
      </c>
      <c r="DH77" s="186" t="s">
        <v>2970</v>
      </c>
      <c r="DI77" s="186" t="s">
        <v>2860</v>
      </c>
      <c r="DJ77" s="186" t="s">
        <v>2860</v>
      </c>
      <c r="DK77" s="186" t="s">
        <v>2970</v>
      </c>
      <c r="DL77" s="186" t="s">
        <v>2860</v>
      </c>
      <c r="DM77" s="186" t="s">
        <v>2860</v>
      </c>
      <c r="DN77" s="186" t="s">
        <v>2970</v>
      </c>
      <c r="DO77" s="186" t="s">
        <v>2860</v>
      </c>
      <c r="DP77" s="186" t="s">
        <v>2860</v>
      </c>
      <c r="DQ77" s="186" t="s">
        <v>2970</v>
      </c>
      <c r="DR77" s="186" t="s">
        <v>2860</v>
      </c>
      <c r="DS77" s="186" t="s">
        <v>2860</v>
      </c>
      <c r="DT77" s="186" t="s">
        <v>2970</v>
      </c>
      <c r="DU77" s="186" t="s">
        <v>2860</v>
      </c>
      <c r="DV77" s="186" t="s">
        <v>2860</v>
      </c>
      <c r="DW77" s="186" t="s">
        <v>2970</v>
      </c>
      <c r="DX77" s="186" t="s">
        <v>2860</v>
      </c>
      <c r="DY77" s="186" t="s">
        <v>2860</v>
      </c>
      <c r="DZ77" s="186" t="s">
        <v>2970</v>
      </c>
      <c r="EA77" s="186" t="s">
        <v>2860</v>
      </c>
      <c r="EB77" s="186" t="s">
        <v>2860</v>
      </c>
      <c r="EC77" s="186" t="s">
        <v>2970</v>
      </c>
      <c r="ED77" s="186" t="s">
        <v>2860</v>
      </c>
      <c r="EE77" s="186" t="s">
        <v>2860</v>
      </c>
      <c r="EF77" s="186" t="s">
        <v>2970</v>
      </c>
      <c r="EG77" s="186" t="s">
        <v>2860</v>
      </c>
      <c r="EH77" s="186" t="s">
        <v>2860</v>
      </c>
      <c r="EI77" s="186" t="s">
        <v>2970</v>
      </c>
      <c r="EJ77" s="186" t="s">
        <v>2860</v>
      </c>
      <c r="EK77" s="186" t="s">
        <v>2860</v>
      </c>
      <c r="EL77" s="186" t="s">
        <v>2970</v>
      </c>
      <c r="EM77" s="186" t="s">
        <v>2860</v>
      </c>
      <c r="EN77" s="186" t="s">
        <v>2860</v>
      </c>
      <c r="EO77" s="186" t="s">
        <v>2970</v>
      </c>
      <c r="EP77" s="186" t="s">
        <v>2860</v>
      </c>
      <c r="EQ77" s="186" t="s">
        <v>2860</v>
      </c>
      <c r="ER77" s="186" t="s">
        <v>2970</v>
      </c>
      <c r="ES77" s="186" t="s">
        <v>2860</v>
      </c>
      <c r="ET77" s="186" t="s">
        <v>2860</v>
      </c>
    </row>
    <row r="78" spans="1:150" x14ac:dyDescent="0.3">
      <c r="A78" s="1"/>
      <c r="B78" s="187" t="s">
        <v>3407</v>
      </c>
      <c r="C78" s="187" t="s">
        <v>103</v>
      </c>
      <c r="D78" s="187" t="s">
        <v>104</v>
      </c>
      <c r="E78" s="187" t="s">
        <v>3408</v>
      </c>
      <c r="F78" s="187" t="s">
        <v>3409</v>
      </c>
      <c r="G78" s="188" t="s">
        <v>2970</v>
      </c>
      <c r="H78" s="188" t="s">
        <v>965</v>
      </c>
      <c r="I78" s="188" t="s">
        <v>965</v>
      </c>
      <c r="J78" s="188" t="s">
        <v>2970</v>
      </c>
      <c r="K78" s="188" t="s">
        <v>965</v>
      </c>
      <c r="L78" s="188" t="s">
        <v>965</v>
      </c>
      <c r="M78" s="188" t="s">
        <v>2970</v>
      </c>
      <c r="N78" s="188" t="s">
        <v>965</v>
      </c>
      <c r="O78" s="188" t="s">
        <v>965</v>
      </c>
      <c r="P78" s="188" t="s">
        <v>2970</v>
      </c>
      <c r="Q78" s="188" t="s">
        <v>965</v>
      </c>
      <c r="R78" s="188" t="s">
        <v>965</v>
      </c>
      <c r="S78" s="188" t="s">
        <v>2970</v>
      </c>
      <c r="T78" s="188" t="s">
        <v>965</v>
      </c>
      <c r="U78" s="188" t="s">
        <v>965</v>
      </c>
      <c r="V78" s="188" t="s">
        <v>2970</v>
      </c>
      <c r="W78" s="188" t="s">
        <v>965</v>
      </c>
      <c r="X78" s="188" t="s">
        <v>965</v>
      </c>
      <c r="Y78" s="188" t="s">
        <v>2970</v>
      </c>
      <c r="Z78" s="188" t="s">
        <v>965</v>
      </c>
      <c r="AA78" s="188" t="s">
        <v>965</v>
      </c>
      <c r="AB78" s="188" t="s">
        <v>2970</v>
      </c>
      <c r="AC78" s="188" t="s">
        <v>965</v>
      </c>
      <c r="AD78" s="188" t="s">
        <v>965</v>
      </c>
      <c r="AE78" s="188" t="s">
        <v>2970</v>
      </c>
      <c r="AF78" s="188" t="s">
        <v>965</v>
      </c>
      <c r="AG78" s="188" t="s">
        <v>965</v>
      </c>
      <c r="AH78" s="188" t="s">
        <v>2970</v>
      </c>
      <c r="AI78" s="188" t="s">
        <v>965</v>
      </c>
      <c r="AJ78" s="188" t="s">
        <v>965</v>
      </c>
      <c r="AK78" s="188" t="s">
        <v>2970</v>
      </c>
      <c r="AL78" s="188" t="s">
        <v>965</v>
      </c>
      <c r="AM78" s="188" t="s">
        <v>965</v>
      </c>
      <c r="AN78" s="188" t="s">
        <v>2970</v>
      </c>
      <c r="AO78" s="188" t="s">
        <v>965</v>
      </c>
      <c r="AP78" s="188" t="s">
        <v>965</v>
      </c>
      <c r="AQ78" s="188" t="s">
        <v>2970</v>
      </c>
      <c r="AR78" s="188" t="s">
        <v>965</v>
      </c>
      <c r="AS78" s="188" t="s">
        <v>965</v>
      </c>
      <c r="AT78" s="188" t="s">
        <v>2970</v>
      </c>
      <c r="AU78" s="188" t="s">
        <v>965</v>
      </c>
      <c r="AV78" s="188" t="s">
        <v>965</v>
      </c>
      <c r="AW78" s="188" t="s">
        <v>2970</v>
      </c>
      <c r="AX78" s="188" t="s">
        <v>965</v>
      </c>
      <c r="AY78" s="188" t="s">
        <v>965</v>
      </c>
      <c r="AZ78" s="188" t="s">
        <v>2970</v>
      </c>
      <c r="BA78" s="188" t="s">
        <v>965</v>
      </c>
      <c r="BB78" s="188" t="s">
        <v>965</v>
      </c>
      <c r="BC78" s="188" t="s">
        <v>2970</v>
      </c>
      <c r="BD78" s="188" t="s">
        <v>965</v>
      </c>
      <c r="BE78" s="188" t="s">
        <v>965</v>
      </c>
      <c r="BF78" s="188" t="s">
        <v>2970</v>
      </c>
      <c r="BG78" s="188" t="s">
        <v>965</v>
      </c>
      <c r="BH78" s="188" t="s">
        <v>965</v>
      </c>
      <c r="BI78" s="188" t="s">
        <v>2970</v>
      </c>
      <c r="BJ78" s="188" t="s">
        <v>965</v>
      </c>
      <c r="BK78" s="188" t="s">
        <v>965</v>
      </c>
      <c r="BL78" s="188" t="s">
        <v>2970</v>
      </c>
      <c r="BM78" s="188" t="s">
        <v>965</v>
      </c>
      <c r="BN78" s="188" t="s">
        <v>965</v>
      </c>
      <c r="BO78" s="188" t="s">
        <v>2970</v>
      </c>
      <c r="BP78" s="188" t="s">
        <v>965</v>
      </c>
      <c r="BQ78" s="188" t="s">
        <v>965</v>
      </c>
      <c r="BR78" s="188" t="s">
        <v>2970</v>
      </c>
      <c r="BS78" s="188" t="s">
        <v>965</v>
      </c>
      <c r="BT78" s="188" t="s">
        <v>965</v>
      </c>
      <c r="BU78" s="188" t="s">
        <v>2970</v>
      </c>
      <c r="BV78" s="188" t="s">
        <v>965</v>
      </c>
      <c r="BW78" s="188" t="s">
        <v>965</v>
      </c>
      <c r="BX78" s="188" t="s">
        <v>2970</v>
      </c>
      <c r="BY78" s="188" t="s">
        <v>965</v>
      </c>
      <c r="BZ78" s="188" t="s">
        <v>965</v>
      </c>
      <c r="CA78" s="188" t="s">
        <v>2970</v>
      </c>
      <c r="CB78" s="188" t="s">
        <v>965</v>
      </c>
      <c r="CC78" s="188" t="s">
        <v>965</v>
      </c>
      <c r="CD78" s="188" t="s">
        <v>2970</v>
      </c>
      <c r="CE78" s="188" t="s">
        <v>965</v>
      </c>
      <c r="CF78" s="188" t="s">
        <v>965</v>
      </c>
      <c r="CG78" s="188" t="s">
        <v>2970</v>
      </c>
      <c r="CH78" s="188" t="s">
        <v>965</v>
      </c>
      <c r="CI78" s="188" t="s">
        <v>965</v>
      </c>
      <c r="CJ78" s="188" t="s">
        <v>2970</v>
      </c>
      <c r="CK78" s="188" t="s">
        <v>965</v>
      </c>
      <c r="CL78" s="188" t="s">
        <v>965</v>
      </c>
      <c r="CM78" s="188" t="s">
        <v>2970</v>
      </c>
      <c r="CN78" s="188" t="s">
        <v>965</v>
      </c>
      <c r="CO78" s="188" t="s">
        <v>965</v>
      </c>
      <c r="CP78" s="188" t="s">
        <v>2970</v>
      </c>
      <c r="CQ78" s="188" t="s">
        <v>965</v>
      </c>
      <c r="CR78" s="188" t="s">
        <v>965</v>
      </c>
      <c r="CS78" s="188" t="s">
        <v>2970</v>
      </c>
      <c r="CT78" s="188" t="s">
        <v>965</v>
      </c>
      <c r="CU78" s="188" t="s">
        <v>965</v>
      </c>
      <c r="CV78" s="188" t="s">
        <v>2970</v>
      </c>
      <c r="CW78" s="188" t="s">
        <v>965</v>
      </c>
      <c r="CX78" s="188" t="s">
        <v>965</v>
      </c>
      <c r="CY78" s="188" t="s">
        <v>2970</v>
      </c>
      <c r="CZ78" s="188" t="s">
        <v>965</v>
      </c>
      <c r="DA78" s="188" t="s">
        <v>965</v>
      </c>
      <c r="DB78" s="188" t="s">
        <v>2970</v>
      </c>
      <c r="DC78" s="188" t="s">
        <v>965</v>
      </c>
      <c r="DD78" s="188" t="s">
        <v>965</v>
      </c>
      <c r="DE78" s="188" t="s">
        <v>2970</v>
      </c>
      <c r="DF78" s="188" t="s">
        <v>965</v>
      </c>
      <c r="DG78" s="188" t="s">
        <v>965</v>
      </c>
      <c r="DH78" s="188" t="s">
        <v>2970</v>
      </c>
      <c r="DI78" s="188" t="s">
        <v>965</v>
      </c>
      <c r="DJ78" s="188" t="s">
        <v>965</v>
      </c>
      <c r="DK78" s="188" t="s">
        <v>2970</v>
      </c>
      <c r="DL78" s="188" t="s">
        <v>965</v>
      </c>
      <c r="DM78" s="188" t="s">
        <v>965</v>
      </c>
      <c r="DN78" s="188" t="s">
        <v>2970</v>
      </c>
      <c r="DO78" s="188" t="s">
        <v>965</v>
      </c>
      <c r="DP78" s="188" t="s">
        <v>965</v>
      </c>
      <c r="DQ78" s="188" t="s">
        <v>2970</v>
      </c>
      <c r="DR78" s="188" t="s">
        <v>965</v>
      </c>
      <c r="DS78" s="188" t="s">
        <v>965</v>
      </c>
      <c r="DT78" s="188" t="s">
        <v>2970</v>
      </c>
      <c r="DU78" s="188" t="s">
        <v>965</v>
      </c>
      <c r="DV78" s="188" t="s">
        <v>965</v>
      </c>
      <c r="DW78" s="188" t="s">
        <v>2970</v>
      </c>
      <c r="DX78" s="188" t="s">
        <v>965</v>
      </c>
      <c r="DY78" s="188" t="s">
        <v>965</v>
      </c>
      <c r="DZ78" s="188" t="s">
        <v>2970</v>
      </c>
      <c r="EA78" s="188" t="s">
        <v>965</v>
      </c>
      <c r="EB78" s="188" t="s">
        <v>965</v>
      </c>
      <c r="EC78" s="188" t="s">
        <v>2970</v>
      </c>
      <c r="ED78" s="188" t="s">
        <v>965</v>
      </c>
      <c r="EE78" s="188" t="s">
        <v>965</v>
      </c>
      <c r="EF78" s="188" t="s">
        <v>2970</v>
      </c>
      <c r="EG78" s="188" t="s">
        <v>965</v>
      </c>
      <c r="EH78" s="188" t="s">
        <v>965</v>
      </c>
      <c r="EI78" s="188" t="s">
        <v>2970</v>
      </c>
      <c r="EJ78" s="188" t="s">
        <v>965</v>
      </c>
      <c r="EK78" s="188" t="s">
        <v>965</v>
      </c>
      <c r="EL78" s="188" t="s">
        <v>2970</v>
      </c>
      <c r="EM78" s="188" t="s">
        <v>965</v>
      </c>
      <c r="EN78" s="188" t="s">
        <v>965</v>
      </c>
      <c r="EO78" s="188" t="s">
        <v>2970</v>
      </c>
      <c r="EP78" s="188" t="s">
        <v>965</v>
      </c>
      <c r="EQ78" s="188" t="s">
        <v>965</v>
      </c>
      <c r="ER78" s="188" t="s">
        <v>2970</v>
      </c>
      <c r="ES78" s="188" t="s">
        <v>965</v>
      </c>
      <c r="ET78" s="188" t="s">
        <v>965</v>
      </c>
    </row>
    <row r="79" spans="1:150" x14ac:dyDescent="0.3">
      <c r="A79" s="1"/>
      <c r="B79" s="187" t="s">
        <v>3410</v>
      </c>
      <c r="C79" s="187" t="s">
        <v>103</v>
      </c>
      <c r="D79" s="187" t="s">
        <v>104</v>
      </c>
      <c r="E79" s="187" t="s">
        <v>3411</v>
      </c>
      <c r="F79" s="187" t="s">
        <v>3412</v>
      </c>
      <c r="G79" s="188" t="s">
        <v>2970</v>
      </c>
      <c r="H79" s="188" t="s">
        <v>965</v>
      </c>
      <c r="I79" s="188" t="s">
        <v>965</v>
      </c>
      <c r="J79" s="188" t="s">
        <v>2970</v>
      </c>
      <c r="K79" s="188" t="s">
        <v>965</v>
      </c>
      <c r="L79" s="188" t="s">
        <v>965</v>
      </c>
      <c r="M79" s="188" t="s">
        <v>2970</v>
      </c>
      <c r="N79" s="188" t="s">
        <v>965</v>
      </c>
      <c r="O79" s="188" t="s">
        <v>965</v>
      </c>
      <c r="P79" s="188" t="s">
        <v>2970</v>
      </c>
      <c r="Q79" s="188" t="s">
        <v>965</v>
      </c>
      <c r="R79" s="188" t="s">
        <v>965</v>
      </c>
      <c r="S79" s="188" t="s">
        <v>2970</v>
      </c>
      <c r="T79" s="188" t="s">
        <v>965</v>
      </c>
      <c r="U79" s="188" t="s">
        <v>965</v>
      </c>
      <c r="V79" s="188" t="s">
        <v>2970</v>
      </c>
      <c r="W79" s="188" t="s">
        <v>965</v>
      </c>
      <c r="X79" s="188" t="s">
        <v>965</v>
      </c>
      <c r="Y79" s="188" t="s">
        <v>2970</v>
      </c>
      <c r="Z79" s="188" t="s">
        <v>965</v>
      </c>
      <c r="AA79" s="188" t="s">
        <v>965</v>
      </c>
      <c r="AB79" s="188" t="s">
        <v>2970</v>
      </c>
      <c r="AC79" s="188" t="s">
        <v>965</v>
      </c>
      <c r="AD79" s="188" t="s">
        <v>965</v>
      </c>
      <c r="AE79" s="188" t="s">
        <v>2970</v>
      </c>
      <c r="AF79" s="188" t="s">
        <v>965</v>
      </c>
      <c r="AG79" s="188" t="s">
        <v>965</v>
      </c>
      <c r="AH79" s="188" t="s">
        <v>2970</v>
      </c>
      <c r="AI79" s="188" t="s">
        <v>965</v>
      </c>
      <c r="AJ79" s="188" t="s">
        <v>965</v>
      </c>
      <c r="AK79" s="188" t="s">
        <v>2970</v>
      </c>
      <c r="AL79" s="188" t="s">
        <v>965</v>
      </c>
      <c r="AM79" s="188" t="s">
        <v>965</v>
      </c>
      <c r="AN79" s="188" t="s">
        <v>2970</v>
      </c>
      <c r="AO79" s="188" t="s">
        <v>965</v>
      </c>
      <c r="AP79" s="188" t="s">
        <v>965</v>
      </c>
      <c r="AQ79" s="188" t="s">
        <v>2970</v>
      </c>
      <c r="AR79" s="188" t="s">
        <v>965</v>
      </c>
      <c r="AS79" s="188" t="s">
        <v>965</v>
      </c>
      <c r="AT79" s="188" t="s">
        <v>2970</v>
      </c>
      <c r="AU79" s="188" t="s">
        <v>965</v>
      </c>
      <c r="AV79" s="188" t="s">
        <v>965</v>
      </c>
      <c r="AW79" s="188" t="s">
        <v>2970</v>
      </c>
      <c r="AX79" s="188" t="s">
        <v>965</v>
      </c>
      <c r="AY79" s="188" t="s">
        <v>965</v>
      </c>
      <c r="AZ79" s="188" t="s">
        <v>2970</v>
      </c>
      <c r="BA79" s="188" t="s">
        <v>965</v>
      </c>
      <c r="BB79" s="188" t="s">
        <v>965</v>
      </c>
      <c r="BC79" s="188" t="s">
        <v>2970</v>
      </c>
      <c r="BD79" s="188" t="s">
        <v>965</v>
      </c>
      <c r="BE79" s="188" t="s">
        <v>965</v>
      </c>
      <c r="BF79" s="188" t="s">
        <v>2970</v>
      </c>
      <c r="BG79" s="188" t="s">
        <v>965</v>
      </c>
      <c r="BH79" s="188" t="s">
        <v>965</v>
      </c>
      <c r="BI79" s="188" t="s">
        <v>2970</v>
      </c>
      <c r="BJ79" s="188" t="s">
        <v>965</v>
      </c>
      <c r="BK79" s="188" t="s">
        <v>965</v>
      </c>
      <c r="BL79" s="188" t="s">
        <v>2970</v>
      </c>
      <c r="BM79" s="188" t="s">
        <v>965</v>
      </c>
      <c r="BN79" s="188" t="s">
        <v>965</v>
      </c>
      <c r="BO79" s="188" t="s">
        <v>2970</v>
      </c>
      <c r="BP79" s="188" t="s">
        <v>965</v>
      </c>
      <c r="BQ79" s="188" t="s">
        <v>965</v>
      </c>
      <c r="BR79" s="188" t="s">
        <v>2970</v>
      </c>
      <c r="BS79" s="188" t="s">
        <v>965</v>
      </c>
      <c r="BT79" s="188" t="s">
        <v>965</v>
      </c>
      <c r="BU79" s="188" t="s">
        <v>2970</v>
      </c>
      <c r="BV79" s="188" t="s">
        <v>965</v>
      </c>
      <c r="BW79" s="188" t="s">
        <v>965</v>
      </c>
      <c r="BX79" s="188" t="s">
        <v>2970</v>
      </c>
      <c r="BY79" s="188" t="s">
        <v>965</v>
      </c>
      <c r="BZ79" s="188" t="s">
        <v>965</v>
      </c>
      <c r="CA79" s="188" t="s">
        <v>2970</v>
      </c>
      <c r="CB79" s="188" t="s">
        <v>965</v>
      </c>
      <c r="CC79" s="188" t="s">
        <v>965</v>
      </c>
      <c r="CD79" s="188" t="s">
        <v>2970</v>
      </c>
      <c r="CE79" s="188" t="s">
        <v>965</v>
      </c>
      <c r="CF79" s="188" t="s">
        <v>965</v>
      </c>
      <c r="CG79" s="188" t="s">
        <v>2970</v>
      </c>
      <c r="CH79" s="188" t="s">
        <v>965</v>
      </c>
      <c r="CI79" s="188" t="s">
        <v>965</v>
      </c>
      <c r="CJ79" s="188" t="s">
        <v>2970</v>
      </c>
      <c r="CK79" s="188" t="s">
        <v>965</v>
      </c>
      <c r="CL79" s="188" t="s">
        <v>965</v>
      </c>
      <c r="CM79" s="188" t="s">
        <v>2970</v>
      </c>
      <c r="CN79" s="188" t="s">
        <v>965</v>
      </c>
      <c r="CO79" s="188" t="s">
        <v>965</v>
      </c>
      <c r="CP79" s="188" t="s">
        <v>2970</v>
      </c>
      <c r="CQ79" s="188" t="s">
        <v>965</v>
      </c>
      <c r="CR79" s="188" t="s">
        <v>965</v>
      </c>
      <c r="CS79" s="188" t="s">
        <v>2970</v>
      </c>
      <c r="CT79" s="188" t="s">
        <v>965</v>
      </c>
      <c r="CU79" s="188" t="s">
        <v>965</v>
      </c>
      <c r="CV79" s="188" t="s">
        <v>2970</v>
      </c>
      <c r="CW79" s="188" t="s">
        <v>965</v>
      </c>
      <c r="CX79" s="188" t="s">
        <v>965</v>
      </c>
      <c r="CY79" s="188" t="s">
        <v>2970</v>
      </c>
      <c r="CZ79" s="188" t="s">
        <v>965</v>
      </c>
      <c r="DA79" s="188" t="s">
        <v>965</v>
      </c>
      <c r="DB79" s="188" t="s">
        <v>2970</v>
      </c>
      <c r="DC79" s="188" t="s">
        <v>965</v>
      </c>
      <c r="DD79" s="188" t="s">
        <v>965</v>
      </c>
      <c r="DE79" s="188" t="s">
        <v>2970</v>
      </c>
      <c r="DF79" s="188" t="s">
        <v>965</v>
      </c>
      <c r="DG79" s="188" t="s">
        <v>965</v>
      </c>
      <c r="DH79" s="188" t="s">
        <v>2970</v>
      </c>
      <c r="DI79" s="188" t="s">
        <v>965</v>
      </c>
      <c r="DJ79" s="188" t="s">
        <v>965</v>
      </c>
      <c r="DK79" s="188" t="s">
        <v>2970</v>
      </c>
      <c r="DL79" s="188" t="s">
        <v>965</v>
      </c>
      <c r="DM79" s="188" t="s">
        <v>965</v>
      </c>
      <c r="DN79" s="188" t="s">
        <v>2970</v>
      </c>
      <c r="DO79" s="188" t="s">
        <v>965</v>
      </c>
      <c r="DP79" s="188" t="s">
        <v>965</v>
      </c>
      <c r="DQ79" s="188" t="s">
        <v>2970</v>
      </c>
      <c r="DR79" s="188" t="s">
        <v>965</v>
      </c>
      <c r="DS79" s="188" t="s">
        <v>965</v>
      </c>
      <c r="DT79" s="188" t="s">
        <v>2970</v>
      </c>
      <c r="DU79" s="188" t="s">
        <v>965</v>
      </c>
      <c r="DV79" s="188" t="s">
        <v>965</v>
      </c>
      <c r="DW79" s="188" t="s">
        <v>2970</v>
      </c>
      <c r="DX79" s="188" t="s">
        <v>965</v>
      </c>
      <c r="DY79" s="188" t="s">
        <v>965</v>
      </c>
      <c r="DZ79" s="188" t="s">
        <v>2970</v>
      </c>
      <c r="EA79" s="188" t="s">
        <v>965</v>
      </c>
      <c r="EB79" s="188" t="s">
        <v>965</v>
      </c>
      <c r="EC79" s="188" t="s">
        <v>2970</v>
      </c>
      <c r="ED79" s="188" t="s">
        <v>965</v>
      </c>
      <c r="EE79" s="188" t="s">
        <v>965</v>
      </c>
      <c r="EF79" s="188" t="s">
        <v>2970</v>
      </c>
      <c r="EG79" s="188" t="s">
        <v>965</v>
      </c>
      <c r="EH79" s="188" t="s">
        <v>965</v>
      </c>
      <c r="EI79" s="188" t="s">
        <v>2970</v>
      </c>
      <c r="EJ79" s="188" t="s">
        <v>965</v>
      </c>
      <c r="EK79" s="188" t="s">
        <v>965</v>
      </c>
      <c r="EL79" s="188" t="s">
        <v>2970</v>
      </c>
      <c r="EM79" s="188" t="s">
        <v>965</v>
      </c>
      <c r="EN79" s="188" t="s">
        <v>965</v>
      </c>
      <c r="EO79" s="188" t="s">
        <v>2970</v>
      </c>
      <c r="EP79" s="188" t="s">
        <v>965</v>
      </c>
      <c r="EQ79" s="188" t="s">
        <v>965</v>
      </c>
      <c r="ER79" s="188" t="s">
        <v>2970</v>
      </c>
      <c r="ES79" s="188" t="s">
        <v>965</v>
      </c>
      <c r="ET79" s="188" t="s">
        <v>965</v>
      </c>
    </row>
    <row r="80" spans="1:150" x14ac:dyDescent="0.3">
      <c r="A80" s="1"/>
      <c r="B80" s="187" t="s">
        <v>3413</v>
      </c>
      <c r="C80" s="187" t="s">
        <v>103</v>
      </c>
      <c r="D80" s="187" t="s">
        <v>104</v>
      </c>
      <c r="E80" s="187" t="s">
        <v>3414</v>
      </c>
      <c r="F80" s="187" t="s">
        <v>3415</v>
      </c>
      <c r="G80" s="188" t="s">
        <v>2970</v>
      </c>
      <c r="H80" s="188" t="s">
        <v>2860</v>
      </c>
      <c r="I80" s="188" t="s">
        <v>2860</v>
      </c>
      <c r="J80" s="188" t="s">
        <v>2970</v>
      </c>
      <c r="K80" s="188" t="s">
        <v>2860</v>
      </c>
      <c r="L80" s="188" t="s">
        <v>2860</v>
      </c>
      <c r="M80" s="188" t="s">
        <v>2970</v>
      </c>
      <c r="N80" s="188" t="s">
        <v>2860</v>
      </c>
      <c r="O80" s="188" t="s">
        <v>2860</v>
      </c>
      <c r="P80" s="188" t="s">
        <v>2970</v>
      </c>
      <c r="Q80" s="188" t="s">
        <v>2860</v>
      </c>
      <c r="R80" s="188" t="s">
        <v>2860</v>
      </c>
      <c r="S80" s="188" t="s">
        <v>2970</v>
      </c>
      <c r="T80" s="188" t="s">
        <v>2860</v>
      </c>
      <c r="U80" s="188" t="s">
        <v>2860</v>
      </c>
      <c r="V80" s="188" t="s">
        <v>2970</v>
      </c>
      <c r="W80" s="188" t="s">
        <v>3014</v>
      </c>
      <c r="X80" s="188" t="s">
        <v>3014</v>
      </c>
      <c r="Y80" s="188" t="s">
        <v>2970</v>
      </c>
      <c r="Z80" s="188" t="s">
        <v>2860</v>
      </c>
      <c r="AA80" s="188" t="s">
        <v>2860</v>
      </c>
      <c r="AB80" s="188" t="s">
        <v>2970</v>
      </c>
      <c r="AC80" s="188" t="s">
        <v>2860</v>
      </c>
      <c r="AD80" s="188" t="s">
        <v>2860</v>
      </c>
      <c r="AE80" s="188" t="s">
        <v>2970</v>
      </c>
      <c r="AF80" s="188" t="s">
        <v>2860</v>
      </c>
      <c r="AG80" s="188" t="s">
        <v>2860</v>
      </c>
      <c r="AH80" s="188" t="s">
        <v>2970</v>
      </c>
      <c r="AI80" s="188" t="s">
        <v>2860</v>
      </c>
      <c r="AJ80" s="188" t="s">
        <v>2860</v>
      </c>
      <c r="AK80" s="188" t="s">
        <v>2970</v>
      </c>
      <c r="AL80" s="188" t="s">
        <v>2860</v>
      </c>
      <c r="AM80" s="188" t="s">
        <v>2860</v>
      </c>
      <c r="AN80" s="188" t="s">
        <v>2970</v>
      </c>
      <c r="AO80" s="188" t="s">
        <v>2860</v>
      </c>
      <c r="AP80" s="188" t="s">
        <v>2860</v>
      </c>
      <c r="AQ80" s="188" t="s">
        <v>2970</v>
      </c>
      <c r="AR80" s="188" t="s">
        <v>2860</v>
      </c>
      <c r="AS80" s="188" t="s">
        <v>2860</v>
      </c>
      <c r="AT80" s="188" t="s">
        <v>2970</v>
      </c>
      <c r="AU80" s="188" t="s">
        <v>2860</v>
      </c>
      <c r="AV80" s="188" t="s">
        <v>2860</v>
      </c>
      <c r="AW80" s="188" t="s">
        <v>2970</v>
      </c>
      <c r="AX80" s="188" t="s">
        <v>2860</v>
      </c>
      <c r="AY80" s="188" t="s">
        <v>2860</v>
      </c>
      <c r="AZ80" s="188" t="s">
        <v>2970</v>
      </c>
      <c r="BA80" s="188" t="s">
        <v>2860</v>
      </c>
      <c r="BB80" s="188" t="s">
        <v>2860</v>
      </c>
      <c r="BC80" s="188" t="s">
        <v>2970</v>
      </c>
      <c r="BD80" s="188" t="s">
        <v>2860</v>
      </c>
      <c r="BE80" s="188" t="s">
        <v>2860</v>
      </c>
      <c r="BF80" s="188" t="s">
        <v>2970</v>
      </c>
      <c r="BG80" s="188" t="s">
        <v>2860</v>
      </c>
      <c r="BH80" s="188" t="s">
        <v>2860</v>
      </c>
      <c r="BI80" s="188" t="s">
        <v>2970</v>
      </c>
      <c r="BJ80" s="188" t="s">
        <v>2860</v>
      </c>
      <c r="BK80" s="188" t="s">
        <v>2860</v>
      </c>
      <c r="BL80" s="188" t="s">
        <v>2970</v>
      </c>
      <c r="BM80" s="188" t="s">
        <v>2860</v>
      </c>
      <c r="BN80" s="188" t="s">
        <v>2860</v>
      </c>
      <c r="BO80" s="188" t="s">
        <v>2970</v>
      </c>
      <c r="BP80" s="188" t="s">
        <v>2860</v>
      </c>
      <c r="BQ80" s="188" t="s">
        <v>2860</v>
      </c>
      <c r="BR80" s="188" t="s">
        <v>2970</v>
      </c>
      <c r="BS80" s="188" t="s">
        <v>2860</v>
      </c>
      <c r="BT80" s="188" t="s">
        <v>2860</v>
      </c>
      <c r="BU80" s="188" t="s">
        <v>2970</v>
      </c>
      <c r="BV80" s="188" t="s">
        <v>2860</v>
      </c>
      <c r="BW80" s="188" t="s">
        <v>2860</v>
      </c>
      <c r="BX80" s="188" t="s">
        <v>2970</v>
      </c>
      <c r="BY80" s="188" t="s">
        <v>2860</v>
      </c>
      <c r="BZ80" s="188" t="s">
        <v>2860</v>
      </c>
      <c r="CA80" s="188" t="s">
        <v>2970</v>
      </c>
      <c r="CB80" s="188" t="s">
        <v>2860</v>
      </c>
      <c r="CC80" s="188" t="s">
        <v>2860</v>
      </c>
      <c r="CD80" s="188" t="s">
        <v>2970</v>
      </c>
      <c r="CE80" s="188" t="s">
        <v>2860</v>
      </c>
      <c r="CF80" s="188" t="s">
        <v>2860</v>
      </c>
      <c r="CG80" s="188" t="s">
        <v>2970</v>
      </c>
      <c r="CH80" s="188" t="s">
        <v>2860</v>
      </c>
      <c r="CI80" s="188" t="s">
        <v>2860</v>
      </c>
      <c r="CJ80" s="188" t="s">
        <v>2970</v>
      </c>
      <c r="CK80" s="188" t="s">
        <v>2860</v>
      </c>
      <c r="CL80" s="188" t="s">
        <v>2860</v>
      </c>
      <c r="CM80" s="188" t="s">
        <v>2970</v>
      </c>
      <c r="CN80" s="188" t="s">
        <v>2860</v>
      </c>
      <c r="CO80" s="188" t="s">
        <v>2860</v>
      </c>
      <c r="CP80" s="188" t="s">
        <v>2970</v>
      </c>
      <c r="CQ80" s="188" t="s">
        <v>2860</v>
      </c>
      <c r="CR80" s="188" t="s">
        <v>2860</v>
      </c>
      <c r="CS80" s="188" t="s">
        <v>2970</v>
      </c>
      <c r="CT80" s="188" t="s">
        <v>2860</v>
      </c>
      <c r="CU80" s="188" t="s">
        <v>2860</v>
      </c>
      <c r="CV80" s="188" t="s">
        <v>2970</v>
      </c>
      <c r="CW80" s="188" t="s">
        <v>2860</v>
      </c>
      <c r="CX80" s="188" t="s">
        <v>2860</v>
      </c>
      <c r="CY80" s="188" t="s">
        <v>2970</v>
      </c>
      <c r="CZ80" s="188" t="s">
        <v>2860</v>
      </c>
      <c r="DA80" s="188" t="s">
        <v>2860</v>
      </c>
      <c r="DB80" s="188" t="s">
        <v>2970</v>
      </c>
      <c r="DC80" s="188" t="s">
        <v>2860</v>
      </c>
      <c r="DD80" s="188" t="s">
        <v>2860</v>
      </c>
      <c r="DE80" s="188" t="s">
        <v>2970</v>
      </c>
      <c r="DF80" s="188" t="s">
        <v>2860</v>
      </c>
      <c r="DG80" s="188" t="s">
        <v>2860</v>
      </c>
      <c r="DH80" s="188" t="s">
        <v>2970</v>
      </c>
      <c r="DI80" s="188" t="s">
        <v>2860</v>
      </c>
      <c r="DJ80" s="188" t="s">
        <v>2860</v>
      </c>
      <c r="DK80" s="188" t="s">
        <v>2970</v>
      </c>
      <c r="DL80" s="188" t="s">
        <v>2860</v>
      </c>
      <c r="DM80" s="188" t="s">
        <v>2860</v>
      </c>
      <c r="DN80" s="188" t="s">
        <v>2970</v>
      </c>
      <c r="DO80" s="188" t="s">
        <v>2860</v>
      </c>
      <c r="DP80" s="188" t="s">
        <v>2860</v>
      </c>
      <c r="DQ80" s="188" t="s">
        <v>2970</v>
      </c>
      <c r="DR80" s="188" t="s">
        <v>2860</v>
      </c>
      <c r="DS80" s="188" t="s">
        <v>2860</v>
      </c>
      <c r="DT80" s="188" t="s">
        <v>2970</v>
      </c>
      <c r="DU80" s="188" t="s">
        <v>2860</v>
      </c>
      <c r="DV80" s="188" t="s">
        <v>2860</v>
      </c>
      <c r="DW80" s="188" t="s">
        <v>2970</v>
      </c>
      <c r="DX80" s="188" t="s">
        <v>2860</v>
      </c>
      <c r="DY80" s="188" t="s">
        <v>2860</v>
      </c>
      <c r="DZ80" s="188" t="s">
        <v>2970</v>
      </c>
      <c r="EA80" s="188" t="s">
        <v>2860</v>
      </c>
      <c r="EB80" s="188" t="s">
        <v>2860</v>
      </c>
      <c r="EC80" s="188" t="s">
        <v>2970</v>
      </c>
      <c r="ED80" s="188" t="s">
        <v>2860</v>
      </c>
      <c r="EE80" s="188" t="s">
        <v>2860</v>
      </c>
      <c r="EF80" s="188" t="s">
        <v>2970</v>
      </c>
      <c r="EG80" s="188" t="s">
        <v>2860</v>
      </c>
      <c r="EH80" s="188" t="s">
        <v>2860</v>
      </c>
      <c r="EI80" s="188" t="s">
        <v>2970</v>
      </c>
      <c r="EJ80" s="188" t="s">
        <v>2860</v>
      </c>
      <c r="EK80" s="188" t="s">
        <v>2860</v>
      </c>
      <c r="EL80" s="188" t="s">
        <v>2970</v>
      </c>
      <c r="EM80" s="188" t="s">
        <v>2860</v>
      </c>
      <c r="EN80" s="188" t="s">
        <v>2860</v>
      </c>
      <c r="EO80" s="188" t="s">
        <v>2970</v>
      </c>
      <c r="EP80" s="188" t="s">
        <v>2860</v>
      </c>
      <c r="EQ80" s="188" t="s">
        <v>2860</v>
      </c>
      <c r="ER80" s="188" t="s">
        <v>2970</v>
      </c>
      <c r="ES80" s="188" t="s">
        <v>2860</v>
      </c>
      <c r="ET80" s="188" t="s">
        <v>2860</v>
      </c>
    </row>
    <row r="81" spans="1:150" x14ac:dyDescent="0.3">
      <c r="A81" s="1"/>
      <c r="B81" s="186" t="s">
        <v>3416</v>
      </c>
      <c r="C81" s="186" t="s">
        <v>130</v>
      </c>
      <c r="D81" s="186" t="s">
        <v>145</v>
      </c>
      <c r="E81" s="186" t="s">
        <v>3417</v>
      </c>
      <c r="F81" s="186" t="s">
        <v>3418</v>
      </c>
      <c r="G81" s="186" t="s">
        <v>2970</v>
      </c>
      <c r="H81" s="186" t="s">
        <v>2860</v>
      </c>
      <c r="I81" s="186" t="s">
        <v>2860</v>
      </c>
      <c r="J81" s="186" t="s">
        <v>2970</v>
      </c>
      <c r="K81" s="186" t="s">
        <v>2860</v>
      </c>
      <c r="L81" s="186" t="s">
        <v>2860</v>
      </c>
      <c r="M81" s="186" t="s">
        <v>2970</v>
      </c>
      <c r="N81" s="186" t="s">
        <v>2860</v>
      </c>
      <c r="O81" s="186" t="s">
        <v>2860</v>
      </c>
      <c r="P81" s="186" t="s">
        <v>2970</v>
      </c>
      <c r="Q81" s="186" t="s">
        <v>2860</v>
      </c>
      <c r="R81" s="186" t="s">
        <v>2860</v>
      </c>
      <c r="S81" s="186" t="s">
        <v>2970</v>
      </c>
      <c r="T81" s="186" t="s">
        <v>2860</v>
      </c>
      <c r="U81" s="186" t="s">
        <v>2860</v>
      </c>
      <c r="V81" s="186" t="s">
        <v>2970</v>
      </c>
      <c r="W81" s="186" t="s">
        <v>2860</v>
      </c>
      <c r="X81" s="186" t="s">
        <v>2860</v>
      </c>
      <c r="Y81" s="186" t="s">
        <v>2970</v>
      </c>
      <c r="Z81" s="186" t="s">
        <v>2860</v>
      </c>
      <c r="AA81" s="186" t="s">
        <v>2860</v>
      </c>
      <c r="AB81" s="186" t="s">
        <v>2970</v>
      </c>
      <c r="AC81" s="186" t="s">
        <v>2860</v>
      </c>
      <c r="AD81" s="186" t="s">
        <v>2860</v>
      </c>
      <c r="AE81" s="186" t="s">
        <v>2970</v>
      </c>
      <c r="AF81" s="186" t="s">
        <v>2860</v>
      </c>
      <c r="AG81" s="186" t="s">
        <v>2860</v>
      </c>
      <c r="AH81" s="186" t="s">
        <v>2970</v>
      </c>
      <c r="AI81" s="186" t="s">
        <v>2860</v>
      </c>
      <c r="AJ81" s="186" t="s">
        <v>2860</v>
      </c>
      <c r="AK81" s="186" t="s">
        <v>2970</v>
      </c>
      <c r="AL81" s="186" t="s">
        <v>2860</v>
      </c>
      <c r="AM81" s="186" t="s">
        <v>2860</v>
      </c>
      <c r="AN81" s="186" t="s">
        <v>2970</v>
      </c>
      <c r="AO81" s="186" t="s">
        <v>2860</v>
      </c>
      <c r="AP81" s="186" t="s">
        <v>2860</v>
      </c>
      <c r="AQ81" s="186" t="s">
        <v>2970</v>
      </c>
      <c r="AR81" s="186" t="s">
        <v>2860</v>
      </c>
      <c r="AS81" s="186" t="s">
        <v>2860</v>
      </c>
      <c r="AT81" s="186" t="s">
        <v>2970</v>
      </c>
      <c r="AU81" s="186" t="s">
        <v>2860</v>
      </c>
      <c r="AV81" s="186" t="s">
        <v>2860</v>
      </c>
      <c r="AW81" s="186" t="s">
        <v>2970</v>
      </c>
      <c r="AX81" s="186" t="s">
        <v>2860</v>
      </c>
      <c r="AY81" s="186" t="s">
        <v>2860</v>
      </c>
      <c r="AZ81" s="186" t="s">
        <v>2970</v>
      </c>
      <c r="BA81" s="186" t="s">
        <v>2860</v>
      </c>
      <c r="BB81" s="186" t="s">
        <v>2860</v>
      </c>
      <c r="BC81" s="186" t="s">
        <v>2970</v>
      </c>
      <c r="BD81" s="186" t="s">
        <v>2860</v>
      </c>
      <c r="BE81" s="186" t="s">
        <v>2860</v>
      </c>
      <c r="BF81" s="186" t="s">
        <v>2970</v>
      </c>
      <c r="BG81" s="186" t="s">
        <v>2860</v>
      </c>
      <c r="BH81" s="186" t="s">
        <v>2860</v>
      </c>
      <c r="BI81" s="186" t="s">
        <v>2970</v>
      </c>
      <c r="BJ81" s="186" t="s">
        <v>2860</v>
      </c>
      <c r="BK81" s="186" t="s">
        <v>2860</v>
      </c>
      <c r="BL81" s="186" t="s">
        <v>2970</v>
      </c>
      <c r="BM81" s="186" t="s">
        <v>2860</v>
      </c>
      <c r="BN81" s="186" t="s">
        <v>2860</v>
      </c>
      <c r="BO81" s="186" t="s">
        <v>2970</v>
      </c>
      <c r="BP81" s="186" t="s">
        <v>2860</v>
      </c>
      <c r="BQ81" s="186" t="s">
        <v>2860</v>
      </c>
      <c r="BR81" s="186" t="s">
        <v>2970</v>
      </c>
      <c r="BS81" s="186" t="s">
        <v>2860</v>
      </c>
      <c r="BT81" s="186" t="s">
        <v>2860</v>
      </c>
      <c r="BU81" s="186" t="s">
        <v>2970</v>
      </c>
      <c r="BV81" s="186" t="s">
        <v>2860</v>
      </c>
      <c r="BW81" s="186" t="s">
        <v>2860</v>
      </c>
      <c r="BX81" s="186" t="s">
        <v>2970</v>
      </c>
      <c r="BY81" s="186" t="s">
        <v>2860</v>
      </c>
      <c r="BZ81" s="186" t="s">
        <v>2860</v>
      </c>
      <c r="CA81" s="186" t="s">
        <v>2970</v>
      </c>
      <c r="CB81" s="186" t="s">
        <v>2860</v>
      </c>
      <c r="CC81" s="186" t="s">
        <v>2860</v>
      </c>
      <c r="CD81" s="186" t="s">
        <v>2970</v>
      </c>
      <c r="CE81" s="186" t="s">
        <v>2860</v>
      </c>
      <c r="CF81" s="186" t="s">
        <v>2860</v>
      </c>
      <c r="CG81" s="186" t="s">
        <v>2970</v>
      </c>
      <c r="CH81" s="186" t="s">
        <v>2860</v>
      </c>
      <c r="CI81" s="186" t="s">
        <v>2860</v>
      </c>
      <c r="CJ81" s="186" t="s">
        <v>2970</v>
      </c>
      <c r="CK81" s="186" t="s">
        <v>2860</v>
      </c>
      <c r="CL81" s="186" t="s">
        <v>2860</v>
      </c>
      <c r="CM81" s="186" t="s">
        <v>2970</v>
      </c>
      <c r="CN81" s="186" t="s">
        <v>2860</v>
      </c>
      <c r="CO81" s="186" t="s">
        <v>2860</v>
      </c>
      <c r="CP81" s="186" t="s">
        <v>2970</v>
      </c>
      <c r="CQ81" s="186" t="s">
        <v>2860</v>
      </c>
      <c r="CR81" s="186" t="s">
        <v>2860</v>
      </c>
      <c r="CS81" s="186" t="s">
        <v>2970</v>
      </c>
      <c r="CT81" s="186" t="s">
        <v>2860</v>
      </c>
      <c r="CU81" s="186" t="s">
        <v>2860</v>
      </c>
      <c r="CV81" s="186" t="s">
        <v>2970</v>
      </c>
      <c r="CW81" s="186" t="s">
        <v>2860</v>
      </c>
      <c r="CX81" s="186" t="s">
        <v>2860</v>
      </c>
      <c r="CY81" s="186" t="s">
        <v>2970</v>
      </c>
      <c r="CZ81" s="186" t="s">
        <v>2860</v>
      </c>
      <c r="DA81" s="186" t="s">
        <v>2860</v>
      </c>
      <c r="DB81" s="186" t="s">
        <v>2970</v>
      </c>
      <c r="DC81" s="186" t="s">
        <v>2860</v>
      </c>
      <c r="DD81" s="186" t="s">
        <v>2860</v>
      </c>
      <c r="DE81" s="186" t="s">
        <v>2970</v>
      </c>
      <c r="DF81" s="186" t="s">
        <v>2860</v>
      </c>
      <c r="DG81" s="186" t="s">
        <v>2860</v>
      </c>
      <c r="DH81" s="186" t="s">
        <v>2970</v>
      </c>
      <c r="DI81" s="186" t="s">
        <v>2860</v>
      </c>
      <c r="DJ81" s="186" t="s">
        <v>2860</v>
      </c>
      <c r="DK81" s="186" t="s">
        <v>2970</v>
      </c>
      <c r="DL81" s="186" t="s">
        <v>2860</v>
      </c>
      <c r="DM81" s="186" t="s">
        <v>2860</v>
      </c>
      <c r="DN81" s="186" t="s">
        <v>2970</v>
      </c>
      <c r="DO81" s="186" t="s">
        <v>2860</v>
      </c>
      <c r="DP81" s="186" t="s">
        <v>2860</v>
      </c>
      <c r="DQ81" s="186" t="s">
        <v>2970</v>
      </c>
      <c r="DR81" s="186" t="s">
        <v>2860</v>
      </c>
      <c r="DS81" s="186" t="s">
        <v>2860</v>
      </c>
      <c r="DT81" s="186" t="s">
        <v>2970</v>
      </c>
      <c r="DU81" s="186" t="s">
        <v>2860</v>
      </c>
      <c r="DV81" s="186" t="s">
        <v>2860</v>
      </c>
      <c r="DW81" s="186" t="s">
        <v>2970</v>
      </c>
      <c r="DX81" s="186" t="s">
        <v>2860</v>
      </c>
      <c r="DY81" s="186" t="s">
        <v>2860</v>
      </c>
      <c r="DZ81" s="186" t="s">
        <v>2970</v>
      </c>
      <c r="EA81" s="186" t="s">
        <v>2860</v>
      </c>
      <c r="EB81" s="186" t="s">
        <v>2860</v>
      </c>
      <c r="EC81" s="186" t="s">
        <v>2970</v>
      </c>
      <c r="ED81" s="186" t="s">
        <v>2860</v>
      </c>
      <c r="EE81" s="186" t="s">
        <v>2860</v>
      </c>
      <c r="EF81" s="186" t="s">
        <v>2970</v>
      </c>
      <c r="EG81" s="186" t="s">
        <v>2860</v>
      </c>
      <c r="EH81" s="186" t="s">
        <v>2860</v>
      </c>
      <c r="EI81" s="186" t="s">
        <v>2970</v>
      </c>
      <c r="EJ81" s="186" t="s">
        <v>2860</v>
      </c>
      <c r="EK81" s="186" t="s">
        <v>2860</v>
      </c>
      <c r="EL81" s="186" t="s">
        <v>2970</v>
      </c>
      <c r="EM81" s="186" t="s">
        <v>2860</v>
      </c>
      <c r="EN81" s="186" t="s">
        <v>2860</v>
      </c>
      <c r="EO81" s="186" t="s">
        <v>2970</v>
      </c>
      <c r="EP81" s="186" t="s">
        <v>2860</v>
      </c>
      <c r="EQ81" s="186" t="s">
        <v>2860</v>
      </c>
      <c r="ER81" s="186" t="s">
        <v>2970</v>
      </c>
      <c r="ES81" s="186" t="s">
        <v>2860</v>
      </c>
      <c r="ET81" s="186" t="s">
        <v>2860</v>
      </c>
    </row>
    <row r="82" spans="1:150" x14ac:dyDescent="0.3">
      <c r="A82" s="1"/>
      <c r="B82" s="187" t="s">
        <v>3419</v>
      </c>
      <c r="C82" s="187" t="s">
        <v>130</v>
      </c>
      <c r="D82" s="187" t="s">
        <v>145</v>
      </c>
      <c r="E82" s="187" t="s">
        <v>3420</v>
      </c>
      <c r="F82" s="187" t="s">
        <v>3421</v>
      </c>
      <c r="G82" s="188" t="s">
        <v>2970</v>
      </c>
      <c r="H82" s="188" t="s">
        <v>965</v>
      </c>
      <c r="I82" s="188" t="s">
        <v>965</v>
      </c>
      <c r="J82" s="188" t="s">
        <v>2970</v>
      </c>
      <c r="K82" s="188" t="s">
        <v>965</v>
      </c>
      <c r="L82" s="188" t="s">
        <v>965</v>
      </c>
      <c r="M82" s="188" t="s">
        <v>2970</v>
      </c>
      <c r="N82" s="188" t="s">
        <v>965</v>
      </c>
      <c r="O82" s="188" t="s">
        <v>965</v>
      </c>
      <c r="P82" s="188" t="s">
        <v>2970</v>
      </c>
      <c r="Q82" s="188" t="s">
        <v>965</v>
      </c>
      <c r="R82" s="188" t="s">
        <v>965</v>
      </c>
      <c r="S82" s="188" t="s">
        <v>2970</v>
      </c>
      <c r="T82" s="188" t="s">
        <v>965</v>
      </c>
      <c r="U82" s="188" t="s">
        <v>965</v>
      </c>
      <c r="V82" s="188" t="s">
        <v>2970</v>
      </c>
      <c r="W82" s="188" t="s">
        <v>965</v>
      </c>
      <c r="X82" s="188" t="s">
        <v>965</v>
      </c>
      <c r="Y82" s="188" t="s">
        <v>2970</v>
      </c>
      <c r="Z82" s="188" t="s">
        <v>965</v>
      </c>
      <c r="AA82" s="188" t="s">
        <v>965</v>
      </c>
      <c r="AB82" s="188" t="s">
        <v>2970</v>
      </c>
      <c r="AC82" s="188" t="s">
        <v>965</v>
      </c>
      <c r="AD82" s="188" t="s">
        <v>965</v>
      </c>
      <c r="AE82" s="188" t="s">
        <v>2970</v>
      </c>
      <c r="AF82" s="188" t="s">
        <v>965</v>
      </c>
      <c r="AG82" s="188" t="s">
        <v>965</v>
      </c>
      <c r="AH82" s="188" t="s">
        <v>2970</v>
      </c>
      <c r="AI82" s="188" t="s">
        <v>965</v>
      </c>
      <c r="AJ82" s="188" t="s">
        <v>965</v>
      </c>
      <c r="AK82" s="188" t="s">
        <v>2970</v>
      </c>
      <c r="AL82" s="188" t="s">
        <v>965</v>
      </c>
      <c r="AM82" s="188" t="s">
        <v>965</v>
      </c>
      <c r="AN82" s="188" t="s">
        <v>2970</v>
      </c>
      <c r="AO82" s="188" t="s">
        <v>965</v>
      </c>
      <c r="AP82" s="188" t="s">
        <v>965</v>
      </c>
      <c r="AQ82" s="188" t="s">
        <v>2970</v>
      </c>
      <c r="AR82" s="188" t="s">
        <v>965</v>
      </c>
      <c r="AS82" s="188" t="s">
        <v>965</v>
      </c>
      <c r="AT82" s="188" t="s">
        <v>2970</v>
      </c>
      <c r="AU82" s="188" t="s">
        <v>965</v>
      </c>
      <c r="AV82" s="188" t="s">
        <v>965</v>
      </c>
      <c r="AW82" s="188" t="s">
        <v>2970</v>
      </c>
      <c r="AX82" s="188" t="s">
        <v>965</v>
      </c>
      <c r="AY82" s="188" t="s">
        <v>965</v>
      </c>
      <c r="AZ82" s="188" t="s">
        <v>2970</v>
      </c>
      <c r="BA82" s="188" t="s">
        <v>965</v>
      </c>
      <c r="BB82" s="188" t="s">
        <v>965</v>
      </c>
      <c r="BC82" s="188" t="s">
        <v>2970</v>
      </c>
      <c r="BD82" s="188" t="s">
        <v>965</v>
      </c>
      <c r="BE82" s="188" t="s">
        <v>965</v>
      </c>
      <c r="BF82" s="188" t="s">
        <v>2970</v>
      </c>
      <c r="BG82" s="188" t="s">
        <v>965</v>
      </c>
      <c r="BH82" s="188" t="s">
        <v>965</v>
      </c>
      <c r="BI82" s="188" t="s">
        <v>2970</v>
      </c>
      <c r="BJ82" s="188" t="s">
        <v>965</v>
      </c>
      <c r="BK82" s="188" t="s">
        <v>965</v>
      </c>
      <c r="BL82" s="188" t="s">
        <v>2970</v>
      </c>
      <c r="BM82" s="188" t="s">
        <v>965</v>
      </c>
      <c r="BN82" s="188" t="s">
        <v>965</v>
      </c>
      <c r="BO82" s="188" t="s">
        <v>2970</v>
      </c>
      <c r="BP82" s="188" t="s">
        <v>965</v>
      </c>
      <c r="BQ82" s="188" t="s">
        <v>965</v>
      </c>
      <c r="BR82" s="188" t="s">
        <v>2970</v>
      </c>
      <c r="BS82" s="188" t="s">
        <v>965</v>
      </c>
      <c r="BT82" s="188" t="s">
        <v>965</v>
      </c>
      <c r="BU82" s="188" t="s">
        <v>2970</v>
      </c>
      <c r="BV82" s="188" t="s">
        <v>965</v>
      </c>
      <c r="BW82" s="188" t="s">
        <v>965</v>
      </c>
      <c r="BX82" s="188" t="s">
        <v>2970</v>
      </c>
      <c r="BY82" s="188" t="s">
        <v>965</v>
      </c>
      <c r="BZ82" s="188" t="s">
        <v>965</v>
      </c>
      <c r="CA82" s="188" t="s">
        <v>2970</v>
      </c>
      <c r="CB82" s="188" t="s">
        <v>965</v>
      </c>
      <c r="CC82" s="188" t="s">
        <v>965</v>
      </c>
      <c r="CD82" s="188" t="s">
        <v>2970</v>
      </c>
      <c r="CE82" s="188" t="s">
        <v>965</v>
      </c>
      <c r="CF82" s="188" t="s">
        <v>965</v>
      </c>
      <c r="CG82" s="188" t="s">
        <v>2970</v>
      </c>
      <c r="CH82" s="188" t="s">
        <v>965</v>
      </c>
      <c r="CI82" s="188" t="s">
        <v>965</v>
      </c>
      <c r="CJ82" s="188" t="s">
        <v>2970</v>
      </c>
      <c r="CK82" s="188" t="s">
        <v>965</v>
      </c>
      <c r="CL82" s="188" t="s">
        <v>965</v>
      </c>
      <c r="CM82" s="188" t="s">
        <v>2970</v>
      </c>
      <c r="CN82" s="188" t="s">
        <v>965</v>
      </c>
      <c r="CO82" s="188" t="s">
        <v>965</v>
      </c>
      <c r="CP82" s="188" t="s">
        <v>2970</v>
      </c>
      <c r="CQ82" s="188" t="s">
        <v>965</v>
      </c>
      <c r="CR82" s="188" t="s">
        <v>965</v>
      </c>
      <c r="CS82" s="188" t="s">
        <v>2970</v>
      </c>
      <c r="CT82" s="188" t="s">
        <v>965</v>
      </c>
      <c r="CU82" s="188" t="s">
        <v>965</v>
      </c>
      <c r="CV82" s="188" t="s">
        <v>2970</v>
      </c>
      <c r="CW82" s="188" t="s">
        <v>965</v>
      </c>
      <c r="CX82" s="188" t="s">
        <v>965</v>
      </c>
      <c r="CY82" s="188" t="s">
        <v>2970</v>
      </c>
      <c r="CZ82" s="188" t="s">
        <v>965</v>
      </c>
      <c r="DA82" s="188" t="s">
        <v>965</v>
      </c>
      <c r="DB82" s="188" t="s">
        <v>2970</v>
      </c>
      <c r="DC82" s="188" t="s">
        <v>965</v>
      </c>
      <c r="DD82" s="188" t="s">
        <v>965</v>
      </c>
      <c r="DE82" s="188" t="s">
        <v>2970</v>
      </c>
      <c r="DF82" s="188" t="s">
        <v>965</v>
      </c>
      <c r="DG82" s="188" t="s">
        <v>965</v>
      </c>
      <c r="DH82" s="188" t="s">
        <v>2970</v>
      </c>
      <c r="DI82" s="188" t="s">
        <v>965</v>
      </c>
      <c r="DJ82" s="188" t="s">
        <v>965</v>
      </c>
      <c r="DK82" s="188" t="s">
        <v>2970</v>
      </c>
      <c r="DL82" s="188" t="s">
        <v>965</v>
      </c>
      <c r="DM82" s="188" t="s">
        <v>965</v>
      </c>
      <c r="DN82" s="188" t="s">
        <v>2970</v>
      </c>
      <c r="DO82" s="188" t="s">
        <v>965</v>
      </c>
      <c r="DP82" s="188" t="s">
        <v>965</v>
      </c>
      <c r="DQ82" s="188" t="s">
        <v>2970</v>
      </c>
      <c r="DR82" s="188" t="s">
        <v>965</v>
      </c>
      <c r="DS82" s="188" t="s">
        <v>965</v>
      </c>
      <c r="DT82" s="188" t="s">
        <v>2970</v>
      </c>
      <c r="DU82" s="188" t="s">
        <v>965</v>
      </c>
      <c r="DV82" s="188" t="s">
        <v>965</v>
      </c>
      <c r="DW82" s="188" t="s">
        <v>2970</v>
      </c>
      <c r="DX82" s="188" t="s">
        <v>965</v>
      </c>
      <c r="DY82" s="188" t="s">
        <v>965</v>
      </c>
      <c r="DZ82" s="188" t="s">
        <v>2970</v>
      </c>
      <c r="EA82" s="188" t="s">
        <v>965</v>
      </c>
      <c r="EB82" s="188" t="s">
        <v>965</v>
      </c>
      <c r="EC82" s="188" t="s">
        <v>2970</v>
      </c>
      <c r="ED82" s="188" t="s">
        <v>965</v>
      </c>
      <c r="EE82" s="188" t="s">
        <v>965</v>
      </c>
      <c r="EF82" s="188" t="s">
        <v>2970</v>
      </c>
      <c r="EG82" s="188" t="s">
        <v>965</v>
      </c>
      <c r="EH82" s="188" t="s">
        <v>965</v>
      </c>
      <c r="EI82" s="188" t="s">
        <v>2970</v>
      </c>
      <c r="EJ82" s="188" t="s">
        <v>965</v>
      </c>
      <c r="EK82" s="188" t="s">
        <v>965</v>
      </c>
      <c r="EL82" s="188" t="s">
        <v>2970</v>
      </c>
      <c r="EM82" s="188" t="s">
        <v>965</v>
      </c>
      <c r="EN82" s="188" t="s">
        <v>965</v>
      </c>
      <c r="EO82" s="188" t="s">
        <v>2970</v>
      </c>
      <c r="EP82" s="188" t="s">
        <v>965</v>
      </c>
      <c r="EQ82" s="188" t="s">
        <v>965</v>
      </c>
      <c r="ER82" s="188" t="s">
        <v>2970</v>
      </c>
      <c r="ES82" s="188" t="s">
        <v>965</v>
      </c>
      <c r="ET82" s="188" t="s">
        <v>965</v>
      </c>
    </row>
    <row r="83" spans="1:150" x14ac:dyDescent="0.3">
      <c r="A83" s="1"/>
      <c r="B83" s="187" t="s">
        <v>3422</v>
      </c>
      <c r="C83" s="187" t="s">
        <v>130</v>
      </c>
      <c r="D83" s="187" t="s">
        <v>145</v>
      </c>
      <c r="E83" s="187" t="s">
        <v>3423</v>
      </c>
      <c r="F83" s="187" t="s">
        <v>3424</v>
      </c>
      <c r="G83" s="188" t="s">
        <v>2970</v>
      </c>
      <c r="H83" s="188" t="s">
        <v>965</v>
      </c>
      <c r="I83" s="188" t="s">
        <v>965</v>
      </c>
      <c r="J83" s="188" t="s">
        <v>2970</v>
      </c>
      <c r="K83" s="188" t="s">
        <v>965</v>
      </c>
      <c r="L83" s="188" t="s">
        <v>965</v>
      </c>
      <c r="M83" s="188" t="s">
        <v>2970</v>
      </c>
      <c r="N83" s="188" t="s">
        <v>965</v>
      </c>
      <c r="O83" s="188" t="s">
        <v>965</v>
      </c>
      <c r="P83" s="188" t="s">
        <v>2970</v>
      </c>
      <c r="Q83" s="188" t="s">
        <v>965</v>
      </c>
      <c r="R83" s="188" t="s">
        <v>965</v>
      </c>
      <c r="S83" s="188" t="s">
        <v>2970</v>
      </c>
      <c r="T83" s="188" t="s">
        <v>965</v>
      </c>
      <c r="U83" s="188" t="s">
        <v>965</v>
      </c>
      <c r="V83" s="188" t="s">
        <v>2970</v>
      </c>
      <c r="W83" s="188" t="s">
        <v>965</v>
      </c>
      <c r="X83" s="188" t="s">
        <v>965</v>
      </c>
      <c r="Y83" s="188" t="s">
        <v>2970</v>
      </c>
      <c r="Z83" s="188" t="s">
        <v>965</v>
      </c>
      <c r="AA83" s="188" t="s">
        <v>965</v>
      </c>
      <c r="AB83" s="188" t="s">
        <v>2970</v>
      </c>
      <c r="AC83" s="188" t="s">
        <v>965</v>
      </c>
      <c r="AD83" s="188" t="s">
        <v>965</v>
      </c>
      <c r="AE83" s="188" t="s">
        <v>2970</v>
      </c>
      <c r="AF83" s="188" t="s">
        <v>965</v>
      </c>
      <c r="AG83" s="188" t="s">
        <v>965</v>
      </c>
      <c r="AH83" s="188" t="s">
        <v>2970</v>
      </c>
      <c r="AI83" s="188" t="s">
        <v>965</v>
      </c>
      <c r="AJ83" s="188" t="s">
        <v>965</v>
      </c>
      <c r="AK83" s="188" t="s">
        <v>2970</v>
      </c>
      <c r="AL83" s="188" t="s">
        <v>965</v>
      </c>
      <c r="AM83" s="188" t="s">
        <v>965</v>
      </c>
      <c r="AN83" s="188" t="s">
        <v>2970</v>
      </c>
      <c r="AO83" s="188" t="s">
        <v>965</v>
      </c>
      <c r="AP83" s="188" t="s">
        <v>965</v>
      </c>
      <c r="AQ83" s="188" t="s">
        <v>2970</v>
      </c>
      <c r="AR83" s="188" t="s">
        <v>965</v>
      </c>
      <c r="AS83" s="188" t="s">
        <v>965</v>
      </c>
      <c r="AT83" s="188" t="s">
        <v>2970</v>
      </c>
      <c r="AU83" s="188" t="s">
        <v>965</v>
      </c>
      <c r="AV83" s="188" t="s">
        <v>965</v>
      </c>
      <c r="AW83" s="188" t="s">
        <v>2970</v>
      </c>
      <c r="AX83" s="188" t="s">
        <v>965</v>
      </c>
      <c r="AY83" s="188" t="s">
        <v>965</v>
      </c>
      <c r="AZ83" s="188" t="s">
        <v>2970</v>
      </c>
      <c r="BA83" s="188" t="s">
        <v>965</v>
      </c>
      <c r="BB83" s="188" t="s">
        <v>965</v>
      </c>
      <c r="BC83" s="188" t="s">
        <v>2970</v>
      </c>
      <c r="BD83" s="188" t="s">
        <v>965</v>
      </c>
      <c r="BE83" s="188" t="s">
        <v>965</v>
      </c>
      <c r="BF83" s="188" t="s">
        <v>2970</v>
      </c>
      <c r="BG83" s="188" t="s">
        <v>965</v>
      </c>
      <c r="BH83" s="188" t="s">
        <v>965</v>
      </c>
      <c r="BI83" s="188" t="s">
        <v>2970</v>
      </c>
      <c r="BJ83" s="188" t="s">
        <v>965</v>
      </c>
      <c r="BK83" s="188" t="s">
        <v>965</v>
      </c>
      <c r="BL83" s="188" t="s">
        <v>2970</v>
      </c>
      <c r="BM83" s="188" t="s">
        <v>965</v>
      </c>
      <c r="BN83" s="188" t="s">
        <v>965</v>
      </c>
      <c r="BO83" s="188" t="s">
        <v>2970</v>
      </c>
      <c r="BP83" s="188" t="s">
        <v>965</v>
      </c>
      <c r="BQ83" s="188" t="s">
        <v>965</v>
      </c>
      <c r="BR83" s="188" t="s">
        <v>2970</v>
      </c>
      <c r="BS83" s="188" t="s">
        <v>965</v>
      </c>
      <c r="BT83" s="188" t="s">
        <v>965</v>
      </c>
      <c r="BU83" s="188" t="s">
        <v>2970</v>
      </c>
      <c r="BV83" s="188" t="s">
        <v>965</v>
      </c>
      <c r="BW83" s="188" t="s">
        <v>965</v>
      </c>
      <c r="BX83" s="188" t="s">
        <v>2970</v>
      </c>
      <c r="BY83" s="188" t="s">
        <v>965</v>
      </c>
      <c r="BZ83" s="188" t="s">
        <v>965</v>
      </c>
      <c r="CA83" s="188" t="s">
        <v>2970</v>
      </c>
      <c r="CB83" s="188" t="s">
        <v>965</v>
      </c>
      <c r="CC83" s="188" t="s">
        <v>965</v>
      </c>
      <c r="CD83" s="188" t="s">
        <v>2970</v>
      </c>
      <c r="CE83" s="188" t="s">
        <v>965</v>
      </c>
      <c r="CF83" s="188" t="s">
        <v>965</v>
      </c>
      <c r="CG83" s="188" t="s">
        <v>2970</v>
      </c>
      <c r="CH83" s="188" t="s">
        <v>965</v>
      </c>
      <c r="CI83" s="188" t="s">
        <v>965</v>
      </c>
      <c r="CJ83" s="188" t="s">
        <v>2970</v>
      </c>
      <c r="CK83" s="188" t="s">
        <v>965</v>
      </c>
      <c r="CL83" s="188" t="s">
        <v>965</v>
      </c>
      <c r="CM83" s="188" t="s">
        <v>2970</v>
      </c>
      <c r="CN83" s="188" t="s">
        <v>965</v>
      </c>
      <c r="CO83" s="188" t="s">
        <v>965</v>
      </c>
      <c r="CP83" s="188" t="s">
        <v>2970</v>
      </c>
      <c r="CQ83" s="188" t="s">
        <v>965</v>
      </c>
      <c r="CR83" s="188" t="s">
        <v>965</v>
      </c>
      <c r="CS83" s="188" t="s">
        <v>2970</v>
      </c>
      <c r="CT83" s="188" t="s">
        <v>965</v>
      </c>
      <c r="CU83" s="188" t="s">
        <v>965</v>
      </c>
      <c r="CV83" s="188" t="s">
        <v>2970</v>
      </c>
      <c r="CW83" s="188" t="s">
        <v>965</v>
      </c>
      <c r="CX83" s="188" t="s">
        <v>965</v>
      </c>
      <c r="CY83" s="188" t="s">
        <v>2970</v>
      </c>
      <c r="CZ83" s="188" t="s">
        <v>965</v>
      </c>
      <c r="DA83" s="188" t="s">
        <v>965</v>
      </c>
      <c r="DB83" s="188" t="s">
        <v>2970</v>
      </c>
      <c r="DC83" s="188" t="s">
        <v>965</v>
      </c>
      <c r="DD83" s="188" t="s">
        <v>965</v>
      </c>
      <c r="DE83" s="188" t="s">
        <v>2970</v>
      </c>
      <c r="DF83" s="188" t="s">
        <v>965</v>
      </c>
      <c r="DG83" s="188" t="s">
        <v>965</v>
      </c>
      <c r="DH83" s="188" t="s">
        <v>2970</v>
      </c>
      <c r="DI83" s="188" t="s">
        <v>965</v>
      </c>
      <c r="DJ83" s="188" t="s">
        <v>965</v>
      </c>
      <c r="DK83" s="188" t="s">
        <v>2970</v>
      </c>
      <c r="DL83" s="188" t="s">
        <v>965</v>
      </c>
      <c r="DM83" s="188" t="s">
        <v>965</v>
      </c>
      <c r="DN83" s="188" t="s">
        <v>2970</v>
      </c>
      <c r="DO83" s="188" t="s">
        <v>965</v>
      </c>
      <c r="DP83" s="188" t="s">
        <v>965</v>
      </c>
      <c r="DQ83" s="188" t="s">
        <v>2970</v>
      </c>
      <c r="DR83" s="188" t="s">
        <v>965</v>
      </c>
      <c r="DS83" s="188" t="s">
        <v>965</v>
      </c>
      <c r="DT83" s="188" t="s">
        <v>2970</v>
      </c>
      <c r="DU83" s="188" t="s">
        <v>965</v>
      </c>
      <c r="DV83" s="188" t="s">
        <v>965</v>
      </c>
      <c r="DW83" s="188" t="s">
        <v>2970</v>
      </c>
      <c r="DX83" s="188" t="s">
        <v>965</v>
      </c>
      <c r="DY83" s="188" t="s">
        <v>965</v>
      </c>
      <c r="DZ83" s="188" t="s">
        <v>2970</v>
      </c>
      <c r="EA83" s="188" t="s">
        <v>965</v>
      </c>
      <c r="EB83" s="188" t="s">
        <v>965</v>
      </c>
      <c r="EC83" s="188" t="s">
        <v>2970</v>
      </c>
      <c r="ED83" s="188" t="s">
        <v>965</v>
      </c>
      <c r="EE83" s="188" t="s">
        <v>965</v>
      </c>
      <c r="EF83" s="188" t="s">
        <v>2970</v>
      </c>
      <c r="EG83" s="188" t="s">
        <v>965</v>
      </c>
      <c r="EH83" s="188" t="s">
        <v>965</v>
      </c>
      <c r="EI83" s="188" t="s">
        <v>2970</v>
      </c>
      <c r="EJ83" s="188" t="s">
        <v>965</v>
      </c>
      <c r="EK83" s="188" t="s">
        <v>965</v>
      </c>
      <c r="EL83" s="188" t="s">
        <v>2970</v>
      </c>
      <c r="EM83" s="188" t="s">
        <v>965</v>
      </c>
      <c r="EN83" s="188" t="s">
        <v>965</v>
      </c>
      <c r="EO83" s="188" t="s">
        <v>2970</v>
      </c>
      <c r="EP83" s="188" t="s">
        <v>965</v>
      </c>
      <c r="EQ83" s="188" t="s">
        <v>965</v>
      </c>
      <c r="ER83" s="188" t="s">
        <v>2970</v>
      </c>
      <c r="ES83" s="188" t="s">
        <v>965</v>
      </c>
      <c r="ET83" s="188" t="s">
        <v>965</v>
      </c>
    </row>
    <row r="84" spans="1:150" x14ac:dyDescent="0.3">
      <c r="A84" s="1"/>
      <c r="B84" s="187" t="s">
        <v>3425</v>
      </c>
      <c r="C84" s="187" t="s">
        <v>130</v>
      </c>
      <c r="D84" s="187" t="s">
        <v>145</v>
      </c>
      <c r="E84" s="187" t="s">
        <v>3426</v>
      </c>
      <c r="F84" s="187" t="s">
        <v>3427</v>
      </c>
      <c r="G84" s="188" t="s">
        <v>2970</v>
      </c>
      <c r="H84" s="188" t="s">
        <v>2860</v>
      </c>
      <c r="I84" s="188" t="s">
        <v>2860</v>
      </c>
      <c r="J84" s="188" t="s">
        <v>2970</v>
      </c>
      <c r="K84" s="188" t="s">
        <v>2860</v>
      </c>
      <c r="L84" s="188" t="s">
        <v>2860</v>
      </c>
      <c r="M84" s="188" t="s">
        <v>2970</v>
      </c>
      <c r="N84" s="188" t="s">
        <v>2860</v>
      </c>
      <c r="O84" s="188" t="s">
        <v>2860</v>
      </c>
      <c r="P84" s="188" t="s">
        <v>2970</v>
      </c>
      <c r="Q84" s="188" t="s">
        <v>2860</v>
      </c>
      <c r="R84" s="188" t="s">
        <v>2860</v>
      </c>
      <c r="S84" s="188" t="s">
        <v>2970</v>
      </c>
      <c r="T84" s="188" t="s">
        <v>2860</v>
      </c>
      <c r="U84" s="188" t="s">
        <v>2860</v>
      </c>
      <c r="V84" s="188" t="s">
        <v>2970</v>
      </c>
      <c r="W84" s="188" t="s">
        <v>2860</v>
      </c>
      <c r="X84" s="188" t="s">
        <v>2860</v>
      </c>
      <c r="Y84" s="188" t="s">
        <v>2970</v>
      </c>
      <c r="Z84" s="188" t="s">
        <v>2860</v>
      </c>
      <c r="AA84" s="188" t="s">
        <v>2860</v>
      </c>
      <c r="AB84" s="188" t="s">
        <v>2970</v>
      </c>
      <c r="AC84" s="188" t="s">
        <v>2860</v>
      </c>
      <c r="AD84" s="188" t="s">
        <v>2860</v>
      </c>
      <c r="AE84" s="188" t="s">
        <v>2970</v>
      </c>
      <c r="AF84" s="188" t="s">
        <v>2860</v>
      </c>
      <c r="AG84" s="188" t="s">
        <v>2860</v>
      </c>
      <c r="AH84" s="188" t="s">
        <v>2970</v>
      </c>
      <c r="AI84" s="188" t="s">
        <v>2860</v>
      </c>
      <c r="AJ84" s="188" t="s">
        <v>2860</v>
      </c>
      <c r="AK84" s="188" t="s">
        <v>2970</v>
      </c>
      <c r="AL84" s="188" t="s">
        <v>2860</v>
      </c>
      <c r="AM84" s="188" t="s">
        <v>2860</v>
      </c>
      <c r="AN84" s="188" t="s">
        <v>2970</v>
      </c>
      <c r="AO84" s="188" t="s">
        <v>2860</v>
      </c>
      <c r="AP84" s="188" t="s">
        <v>2860</v>
      </c>
      <c r="AQ84" s="188" t="s">
        <v>2970</v>
      </c>
      <c r="AR84" s="188" t="s">
        <v>2860</v>
      </c>
      <c r="AS84" s="188" t="s">
        <v>2860</v>
      </c>
      <c r="AT84" s="188" t="s">
        <v>2970</v>
      </c>
      <c r="AU84" s="188" t="s">
        <v>2860</v>
      </c>
      <c r="AV84" s="188" t="s">
        <v>2860</v>
      </c>
      <c r="AW84" s="188" t="s">
        <v>2970</v>
      </c>
      <c r="AX84" s="188" t="s">
        <v>2860</v>
      </c>
      <c r="AY84" s="188" t="s">
        <v>2860</v>
      </c>
      <c r="AZ84" s="188" t="s">
        <v>2970</v>
      </c>
      <c r="BA84" s="188" t="s">
        <v>2860</v>
      </c>
      <c r="BB84" s="188" t="s">
        <v>2860</v>
      </c>
      <c r="BC84" s="188" t="s">
        <v>2970</v>
      </c>
      <c r="BD84" s="188" t="s">
        <v>2860</v>
      </c>
      <c r="BE84" s="188" t="s">
        <v>2860</v>
      </c>
      <c r="BF84" s="188" t="s">
        <v>2970</v>
      </c>
      <c r="BG84" s="188" t="s">
        <v>2860</v>
      </c>
      <c r="BH84" s="188" t="s">
        <v>2860</v>
      </c>
      <c r="BI84" s="188" t="s">
        <v>2970</v>
      </c>
      <c r="BJ84" s="188" t="s">
        <v>2860</v>
      </c>
      <c r="BK84" s="188" t="s">
        <v>2860</v>
      </c>
      <c r="BL84" s="188" t="s">
        <v>2970</v>
      </c>
      <c r="BM84" s="188" t="s">
        <v>2860</v>
      </c>
      <c r="BN84" s="188" t="s">
        <v>2860</v>
      </c>
      <c r="BO84" s="188" t="s">
        <v>2970</v>
      </c>
      <c r="BP84" s="188" t="s">
        <v>2860</v>
      </c>
      <c r="BQ84" s="188" t="s">
        <v>2860</v>
      </c>
      <c r="BR84" s="188" t="s">
        <v>2970</v>
      </c>
      <c r="BS84" s="188" t="s">
        <v>2860</v>
      </c>
      <c r="BT84" s="188" t="s">
        <v>2860</v>
      </c>
      <c r="BU84" s="188" t="s">
        <v>2970</v>
      </c>
      <c r="BV84" s="188" t="s">
        <v>2860</v>
      </c>
      <c r="BW84" s="188" t="s">
        <v>2860</v>
      </c>
      <c r="BX84" s="188" t="s">
        <v>2970</v>
      </c>
      <c r="BY84" s="188" t="s">
        <v>2860</v>
      </c>
      <c r="BZ84" s="188" t="s">
        <v>2860</v>
      </c>
      <c r="CA84" s="188" t="s">
        <v>2970</v>
      </c>
      <c r="CB84" s="188" t="s">
        <v>2860</v>
      </c>
      <c r="CC84" s="188" t="s">
        <v>2860</v>
      </c>
      <c r="CD84" s="188" t="s">
        <v>2970</v>
      </c>
      <c r="CE84" s="188" t="s">
        <v>2860</v>
      </c>
      <c r="CF84" s="188" t="s">
        <v>2860</v>
      </c>
      <c r="CG84" s="188" t="s">
        <v>2970</v>
      </c>
      <c r="CH84" s="188" t="s">
        <v>2860</v>
      </c>
      <c r="CI84" s="188" t="s">
        <v>2860</v>
      </c>
      <c r="CJ84" s="188" t="s">
        <v>2970</v>
      </c>
      <c r="CK84" s="188" t="s">
        <v>2860</v>
      </c>
      <c r="CL84" s="188" t="s">
        <v>2860</v>
      </c>
      <c r="CM84" s="188" t="s">
        <v>2970</v>
      </c>
      <c r="CN84" s="188" t="s">
        <v>2860</v>
      </c>
      <c r="CO84" s="188" t="s">
        <v>2860</v>
      </c>
      <c r="CP84" s="188" t="s">
        <v>2970</v>
      </c>
      <c r="CQ84" s="188" t="s">
        <v>2860</v>
      </c>
      <c r="CR84" s="188" t="s">
        <v>2860</v>
      </c>
      <c r="CS84" s="188" t="s">
        <v>2970</v>
      </c>
      <c r="CT84" s="188" t="s">
        <v>2860</v>
      </c>
      <c r="CU84" s="188" t="s">
        <v>2860</v>
      </c>
      <c r="CV84" s="188" t="s">
        <v>2970</v>
      </c>
      <c r="CW84" s="188" t="s">
        <v>2860</v>
      </c>
      <c r="CX84" s="188" t="s">
        <v>2860</v>
      </c>
      <c r="CY84" s="188" t="s">
        <v>2970</v>
      </c>
      <c r="CZ84" s="188" t="s">
        <v>2860</v>
      </c>
      <c r="DA84" s="188" t="s">
        <v>2860</v>
      </c>
      <c r="DB84" s="188" t="s">
        <v>2970</v>
      </c>
      <c r="DC84" s="188" t="s">
        <v>2860</v>
      </c>
      <c r="DD84" s="188" t="s">
        <v>2860</v>
      </c>
      <c r="DE84" s="188" t="s">
        <v>2970</v>
      </c>
      <c r="DF84" s="188" t="s">
        <v>2860</v>
      </c>
      <c r="DG84" s="188" t="s">
        <v>2860</v>
      </c>
      <c r="DH84" s="188" t="s">
        <v>2970</v>
      </c>
      <c r="DI84" s="188" t="s">
        <v>2860</v>
      </c>
      <c r="DJ84" s="188" t="s">
        <v>2860</v>
      </c>
      <c r="DK84" s="188" t="s">
        <v>2970</v>
      </c>
      <c r="DL84" s="188" t="s">
        <v>2860</v>
      </c>
      <c r="DM84" s="188" t="s">
        <v>2860</v>
      </c>
      <c r="DN84" s="188" t="s">
        <v>2970</v>
      </c>
      <c r="DO84" s="188" t="s">
        <v>2860</v>
      </c>
      <c r="DP84" s="188" t="s">
        <v>2860</v>
      </c>
      <c r="DQ84" s="188" t="s">
        <v>2970</v>
      </c>
      <c r="DR84" s="188" t="s">
        <v>2860</v>
      </c>
      <c r="DS84" s="188" t="s">
        <v>2860</v>
      </c>
      <c r="DT84" s="188" t="s">
        <v>2970</v>
      </c>
      <c r="DU84" s="188" t="s">
        <v>2860</v>
      </c>
      <c r="DV84" s="188" t="s">
        <v>2860</v>
      </c>
      <c r="DW84" s="188" t="s">
        <v>2970</v>
      </c>
      <c r="DX84" s="188" t="s">
        <v>2860</v>
      </c>
      <c r="DY84" s="188" t="s">
        <v>2860</v>
      </c>
      <c r="DZ84" s="188" t="s">
        <v>2970</v>
      </c>
      <c r="EA84" s="188" t="s">
        <v>2860</v>
      </c>
      <c r="EB84" s="188" t="s">
        <v>2860</v>
      </c>
      <c r="EC84" s="188" t="s">
        <v>2970</v>
      </c>
      <c r="ED84" s="188" t="s">
        <v>2860</v>
      </c>
      <c r="EE84" s="188" t="s">
        <v>2860</v>
      </c>
      <c r="EF84" s="188" t="s">
        <v>2970</v>
      </c>
      <c r="EG84" s="188" t="s">
        <v>2860</v>
      </c>
      <c r="EH84" s="188" t="s">
        <v>2860</v>
      </c>
      <c r="EI84" s="188" t="s">
        <v>2970</v>
      </c>
      <c r="EJ84" s="188" t="s">
        <v>2860</v>
      </c>
      <c r="EK84" s="188" t="s">
        <v>2860</v>
      </c>
      <c r="EL84" s="188" t="s">
        <v>2970</v>
      </c>
      <c r="EM84" s="188" t="s">
        <v>2860</v>
      </c>
      <c r="EN84" s="188" t="s">
        <v>2860</v>
      </c>
      <c r="EO84" s="188" t="s">
        <v>2970</v>
      </c>
      <c r="EP84" s="188" t="s">
        <v>2860</v>
      </c>
      <c r="EQ84" s="188" t="s">
        <v>2860</v>
      </c>
      <c r="ER84" s="188" t="s">
        <v>2970</v>
      </c>
      <c r="ES84" s="188" t="s">
        <v>2860</v>
      </c>
      <c r="ET84" s="188" t="s">
        <v>2860</v>
      </c>
    </row>
    <row r="85" spans="1:150" x14ac:dyDescent="0.3">
      <c r="A85" s="1"/>
      <c r="B85" s="186" t="s">
        <v>3428</v>
      </c>
      <c r="C85" s="186" t="s">
        <v>151</v>
      </c>
      <c r="D85" s="186" t="s">
        <v>157</v>
      </c>
      <c r="E85" s="186" t="s">
        <v>3429</v>
      </c>
      <c r="F85" s="186" t="s">
        <v>3430</v>
      </c>
      <c r="G85" s="186" t="s">
        <v>2970</v>
      </c>
      <c r="H85" s="186" t="s">
        <v>2860</v>
      </c>
      <c r="I85" s="186" t="s">
        <v>2860</v>
      </c>
      <c r="J85" s="186" t="s">
        <v>2970</v>
      </c>
      <c r="K85" s="186" t="s">
        <v>2860</v>
      </c>
      <c r="L85" s="186" t="s">
        <v>2860</v>
      </c>
      <c r="M85" s="186" t="s">
        <v>2970</v>
      </c>
      <c r="N85" s="186" t="s">
        <v>2860</v>
      </c>
      <c r="O85" s="186" t="s">
        <v>2860</v>
      </c>
      <c r="P85" s="186" t="s">
        <v>2970</v>
      </c>
      <c r="Q85" s="186" t="s">
        <v>2860</v>
      </c>
      <c r="R85" s="186" t="s">
        <v>2860</v>
      </c>
      <c r="S85" s="186" t="s">
        <v>2970</v>
      </c>
      <c r="T85" s="186" t="s">
        <v>2860</v>
      </c>
      <c r="U85" s="186" t="s">
        <v>2860</v>
      </c>
      <c r="V85" s="186" t="s">
        <v>2970</v>
      </c>
      <c r="W85" s="186" t="s">
        <v>2860</v>
      </c>
      <c r="X85" s="186" t="s">
        <v>2860</v>
      </c>
      <c r="Y85" s="186" t="s">
        <v>2970</v>
      </c>
      <c r="Z85" s="186" t="s">
        <v>2860</v>
      </c>
      <c r="AA85" s="186" t="s">
        <v>2860</v>
      </c>
      <c r="AB85" s="186" t="s">
        <v>2970</v>
      </c>
      <c r="AC85" s="186" t="s">
        <v>2860</v>
      </c>
      <c r="AD85" s="186" t="s">
        <v>2860</v>
      </c>
      <c r="AE85" s="186" t="s">
        <v>2970</v>
      </c>
      <c r="AF85" s="186" t="s">
        <v>2860</v>
      </c>
      <c r="AG85" s="186" t="s">
        <v>2860</v>
      </c>
      <c r="AH85" s="186" t="s">
        <v>2970</v>
      </c>
      <c r="AI85" s="186" t="s">
        <v>2860</v>
      </c>
      <c r="AJ85" s="186" t="s">
        <v>2860</v>
      </c>
      <c r="AK85" s="186" t="s">
        <v>2970</v>
      </c>
      <c r="AL85" s="186" t="s">
        <v>2860</v>
      </c>
      <c r="AM85" s="186" t="s">
        <v>2860</v>
      </c>
      <c r="AN85" s="186" t="s">
        <v>2970</v>
      </c>
      <c r="AO85" s="186" t="s">
        <v>2860</v>
      </c>
      <c r="AP85" s="186" t="s">
        <v>2860</v>
      </c>
      <c r="AQ85" s="186" t="s">
        <v>2970</v>
      </c>
      <c r="AR85" s="186" t="s">
        <v>2860</v>
      </c>
      <c r="AS85" s="186" t="s">
        <v>2860</v>
      </c>
      <c r="AT85" s="186" t="s">
        <v>2970</v>
      </c>
      <c r="AU85" s="186" t="s">
        <v>2860</v>
      </c>
      <c r="AV85" s="186" t="s">
        <v>2860</v>
      </c>
      <c r="AW85" s="186" t="s">
        <v>2970</v>
      </c>
      <c r="AX85" s="186" t="s">
        <v>2860</v>
      </c>
      <c r="AY85" s="186" t="s">
        <v>2860</v>
      </c>
      <c r="AZ85" s="186" t="s">
        <v>2970</v>
      </c>
      <c r="BA85" s="186" t="s">
        <v>2860</v>
      </c>
      <c r="BB85" s="186" t="s">
        <v>2860</v>
      </c>
      <c r="BC85" s="186" t="s">
        <v>2970</v>
      </c>
      <c r="BD85" s="186" t="s">
        <v>2860</v>
      </c>
      <c r="BE85" s="186" t="s">
        <v>2860</v>
      </c>
      <c r="BF85" s="186" t="s">
        <v>2970</v>
      </c>
      <c r="BG85" s="186" t="s">
        <v>2860</v>
      </c>
      <c r="BH85" s="186" t="s">
        <v>2860</v>
      </c>
      <c r="BI85" s="186" t="s">
        <v>2970</v>
      </c>
      <c r="BJ85" s="186" t="s">
        <v>2860</v>
      </c>
      <c r="BK85" s="186" t="s">
        <v>2860</v>
      </c>
      <c r="BL85" s="186" t="s">
        <v>2970</v>
      </c>
      <c r="BM85" s="186" t="s">
        <v>2860</v>
      </c>
      <c r="BN85" s="186" t="s">
        <v>2860</v>
      </c>
      <c r="BO85" s="186" t="s">
        <v>2970</v>
      </c>
      <c r="BP85" s="186" t="s">
        <v>2860</v>
      </c>
      <c r="BQ85" s="186" t="s">
        <v>2860</v>
      </c>
      <c r="BR85" s="186" t="s">
        <v>2970</v>
      </c>
      <c r="BS85" s="186" t="s">
        <v>2860</v>
      </c>
      <c r="BT85" s="186" t="s">
        <v>2860</v>
      </c>
      <c r="BU85" s="186" t="s">
        <v>2970</v>
      </c>
      <c r="BV85" s="186" t="s">
        <v>2860</v>
      </c>
      <c r="BW85" s="186" t="s">
        <v>2860</v>
      </c>
      <c r="BX85" s="186" t="s">
        <v>2970</v>
      </c>
      <c r="BY85" s="186" t="s">
        <v>2860</v>
      </c>
      <c r="BZ85" s="186" t="s">
        <v>2860</v>
      </c>
      <c r="CA85" s="186" t="s">
        <v>2970</v>
      </c>
      <c r="CB85" s="186" t="s">
        <v>2860</v>
      </c>
      <c r="CC85" s="186" t="s">
        <v>2860</v>
      </c>
      <c r="CD85" s="186" t="s">
        <v>2970</v>
      </c>
      <c r="CE85" s="186" t="s">
        <v>2860</v>
      </c>
      <c r="CF85" s="186" t="s">
        <v>2860</v>
      </c>
      <c r="CG85" s="186" t="s">
        <v>2970</v>
      </c>
      <c r="CH85" s="186" t="s">
        <v>2860</v>
      </c>
      <c r="CI85" s="186" t="s">
        <v>2860</v>
      </c>
      <c r="CJ85" s="186" t="s">
        <v>2970</v>
      </c>
      <c r="CK85" s="186" t="s">
        <v>2860</v>
      </c>
      <c r="CL85" s="186" t="s">
        <v>2860</v>
      </c>
      <c r="CM85" s="186" t="s">
        <v>2970</v>
      </c>
      <c r="CN85" s="186" t="s">
        <v>2860</v>
      </c>
      <c r="CO85" s="186" t="s">
        <v>2860</v>
      </c>
      <c r="CP85" s="186" t="s">
        <v>2970</v>
      </c>
      <c r="CQ85" s="186" t="s">
        <v>2860</v>
      </c>
      <c r="CR85" s="186" t="s">
        <v>2860</v>
      </c>
      <c r="CS85" s="186" t="s">
        <v>2970</v>
      </c>
      <c r="CT85" s="186" t="s">
        <v>2860</v>
      </c>
      <c r="CU85" s="186" t="s">
        <v>2860</v>
      </c>
      <c r="CV85" s="186" t="s">
        <v>2970</v>
      </c>
      <c r="CW85" s="186" t="s">
        <v>2860</v>
      </c>
      <c r="CX85" s="186" t="s">
        <v>2860</v>
      </c>
      <c r="CY85" s="186" t="s">
        <v>2970</v>
      </c>
      <c r="CZ85" s="186" t="s">
        <v>2860</v>
      </c>
      <c r="DA85" s="186" t="s">
        <v>2860</v>
      </c>
      <c r="DB85" s="186" t="s">
        <v>2970</v>
      </c>
      <c r="DC85" s="186" t="s">
        <v>2860</v>
      </c>
      <c r="DD85" s="186" t="s">
        <v>2860</v>
      </c>
      <c r="DE85" s="186" t="s">
        <v>2970</v>
      </c>
      <c r="DF85" s="186" t="s">
        <v>2860</v>
      </c>
      <c r="DG85" s="186" t="s">
        <v>2860</v>
      </c>
      <c r="DH85" s="186" t="s">
        <v>2970</v>
      </c>
      <c r="DI85" s="186" t="s">
        <v>2860</v>
      </c>
      <c r="DJ85" s="186" t="s">
        <v>2860</v>
      </c>
      <c r="DK85" s="186" t="s">
        <v>2970</v>
      </c>
      <c r="DL85" s="186" t="s">
        <v>2860</v>
      </c>
      <c r="DM85" s="186" t="s">
        <v>2860</v>
      </c>
      <c r="DN85" s="186" t="s">
        <v>2970</v>
      </c>
      <c r="DO85" s="186" t="s">
        <v>2860</v>
      </c>
      <c r="DP85" s="186" t="s">
        <v>2860</v>
      </c>
      <c r="DQ85" s="186" t="s">
        <v>2970</v>
      </c>
      <c r="DR85" s="186" t="s">
        <v>2860</v>
      </c>
      <c r="DS85" s="186" t="s">
        <v>2860</v>
      </c>
      <c r="DT85" s="186" t="s">
        <v>2970</v>
      </c>
      <c r="DU85" s="186" t="s">
        <v>2860</v>
      </c>
      <c r="DV85" s="186" t="s">
        <v>2860</v>
      </c>
      <c r="DW85" s="186" t="s">
        <v>2970</v>
      </c>
      <c r="DX85" s="186" t="s">
        <v>2860</v>
      </c>
      <c r="DY85" s="186" t="s">
        <v>2860</v>
      </c>
      <c r="DZ85" s="186" t="s">
        <v>2970</v>
      </c>
      <c r="EA85" s="186" t="s">
        <v>2860</v>
      </c>
      <c r="EB85" s="186" t="s">
        <v>2860</v>
      </c>
      <c r="EC85" s="186" t="s">
        <v>2970</v>
      </c>
      <c r="ED85" s="186" t="s">
        <v>2860</v>
      </c>
      <c r="EE85" s="186" t="s">
        <v>2860</v>
      </c>
      <c r="EF85" s="186" t="s">
        <v>2970</v>
      </c>
      <c r="EG85" s="186" t="s">
        <v>2860</v>
      </c>
      <c r="EH85" s="186" t="s">
        <v>2860</v>
      </c>
      <c r="EI85" s="186" t="s">
        <v>2970</v>
      </c>
      <c r="EJ85" s="186" t="s">
        <v>2860</v>
      </c>
      <c r="EK85" s="186" t="s">
        <v>2860</v>
      </c>
      <c r="EL85" s="186" t="s">
        <v>2970</v>
      </c>
      <c r="EM85" s="186" t="s">
        <v>2860</v>
      </c>
      <c r="EN85" s="186" t="s">
        <v>2860</v>
      </c>
      <c r="EO85" s="186" t="s">
        <v>2970</v>
      </c>
      <c r="EP85" s="186" t="s">
        <v>2860</v>
      </c>
      <c r="EQ85" s="186" t="s">
        <v>2860</v>
      </c>
      <c r="ER85" s="186" t="s">
        <v>2970</v>
      </c>
      <c r="ES85" s="186" t="s">
        <v>2860</v>
      </c>
      <c r="ET85" s="186" t="s">
        <v>2860</v>
      </c>
    </row>
    <row r="86" spans="1:150" x14ac:dyDescent="0.3">
      <c r="A86" s="1"/>
      <c r="B86" s="187" t="s">
        <v>3431</v>
      </c>
      <c r="C86" s="187" t="s">
        <v>151</v>
      </c>
      <c r="D86" s="187" t="s">
        <v>157</v>
      </c>
      <c r="E86" s="187" t="s">
        <v>3432</v>
      </c>
      <c r="F86" s="187" t="s">
        <v>3433</v>
      </c>
      <c r="G86" s="188" t="s">
        <v>2970</v>
      </c>
      <c r="H86" s="188" t="s">
        <v>2860</v>
      </c>
      <c r="I86" s="188" t="s">
        <v>2860</v>
      </c>
      <c r="J86" s="188" t="s">
        <v>2970</v>
      </c>
      <c r="K86" s="188" t="s">
        <v>2860</v>
      </c>
      <c r="L86" s="188" t="s">
        <v>2860</v>
      </c>
      <c r="M86" s="188" t="s">
        <v>2970</v>
      </c>
      <c r="N86" s="188" t="s">
        <v>2860</v>
      </c>
      <c r="O86" s="188" t="s">
        <v>2860</v>
      </c>
      <c r="P86" s="188" t="s">
        <v>2970</v>
      </c>
      <c r="Q86" s="188" t="s">
        <v>2860</v>
      </c>
      <c r="R86" s="188" t="s">
        <v>2860</v>
      </c>
      <c r="S86" s="188" t="s">
        <v>2970</v>
      </c>
      <c r="T86" s="188" t="s">
        <v>2860</v>
      </c>
      <c r="U86" s="188" t="s">
        <v>2860</v>
      </c>
      <c r="V86" s="188" t="s">
        <v>2970</v>
      </c>
      <c r="W86" s="188" t="s">
        <v>2860</v>
      </c>
      <c r="X86" s="188" t="s">
        <v>2860</v>
      </c>
      <c r="Y86" s="188" t="s">
        <v>2970</v>
      </c>
      <c r="Z86" s="188" t="s">
        <v>2860</v>
      </c>
      <c r="AA86" s="188" t="s">
        <v>2860</v>
      </c>
      <c r="AB86" s="188" t="s">
        <v>2970</v>
      </c>
      <c r="AC86" s="188" t="s">
        <v>2860</v>
      </c>
      <c r="AD86" s="188" t="s">
        <v>2860</v>
      </c>
      <c r="AE86" s="188" t="s">
        <v>2970</v>
      </c>
      <c r="AF86" s="188" t="s">
        <v>2860</v>
      </c>
      <c r="AG86" s="188" t="s">
        <v>2860</v>
      </c>
      <c r="AH86" s="188" t="s">
        <v>2970</v>
      </c>
      <c r="AI86" s="188" t="s">
        <v>2860</v>
      </c>
      <c r="AJ86" s="188" t="s">
        <v>2860</v>
      </c>
      <c r="AK86" s="188" t="s">
        <v>2970</v>
      </c>
      <c r="AL86" s="188" t="s">
        <v>2860</v>
      </c>
      <c r="AM86" s="188" t="s">
        <v>2860</v>
      </c>
      <c r="AN86" s="188" t="s">
        <v>2970</v>
      </c>
      <c r="AO86" s="188" t="s">
        <v>2860</v>
      </c>
      <c r="AP86" s="188" t="s">
        <v>2860</v>
      </c>
      <c r="AQ86" s="188" t="s">
        <v>2970</v>
      </c>
      <c r="AR86" s="188" t="s">
        <v>2860</v>
      </c>
      <c r="AS86" s="188" t="s">
        <v>2860</v>
      </c>
      <c r="AT86" s="188" t="s">
        <v>2970</v>
      </c>
      <c r="AU86" s="188" t="s">
        <v>2860</v>
      </c>
      <c r="AV86" s="188" t="s">
        <v>2860</v>
      </c>
      <c r="AW86" s="188" t="s">
        <v>2970</v>
      </c>
      <c r="AX86" s="188" t="s">
        <v>2860</v>
      </c>
      <c r="AY86" s="188" t="s">
        <v>2860</v>
      </c>
      <c r="AZ86" s="188" t="s">
        <v>2970</v>
      </c>
      <c r="BA86" s="188" t="s">
        <v>2860</v>
      </c>
      <c r="BB86" s="188" t="s">
        <v>2860</v>
      </c>
      <c r="BC86" s="188" t="s">
        <v>2970</v>
      </c>
      <c r="BD86" s="188" t="s">
        <v>2860</v>
      </c>
      <c r="BE86" s="188" t="s">
        <v>2860</v>
      </c>
      <c r="BF86" s="188" t="s">
        <v>2970</v>
      </c>
      <c r="BG86" s="188" t="s">
        <v>2860</v>
      </c>
      <c r="BH86" s="188" t="s">
        <v>2860</v>
      </c>
      <c r="BI86" s="188" t="s">
        <v>2970</v>
      </c>
      <c r="BJ86" s="188" t="s">
        <v>2860</v>
      </c>
      <c r="BK86" s="188" t="s">
        <v>2860</v>
      </c>
      <c r="BL86" s="188" t="s">
        <v>2970</v>
      </c>
      <c r="BM86" s="188" t="s">
        <v>2860</v>
      </c>
      <c r="BN86" s="188" t="s">
        <v>2860</v>
      </c>
      <c r="BO86" s="188" t="s">
        <v>2970</v>
      </c>
      <c r="BP86" s="188" t="s">
        <v>2860</v>
      </c>
      <c r="BQ86" s="188" t="s">
        <v>2860</v>
      </c>
      <c r="BR86" s="188" t="s">
        <v>2970</v>
      </c>
      <c r="BS86" s="188" t="s">
        <v>2860</v>
      </c>
      <c r="BT86" s="188" t="s">
        <v>2860</v>
      </c>
      <c r="BU86" s="188" t="s">
        <v>2970</v>
      </c>
      <c r="BV86" s="188" t="s">
        <v>2860</v>
      </c>
      <c r="BW86" s="188" t="s">
        <v>2860</v>
      </c>
      <c r="BX86" s="188" t="s">
        <v>2970</v>
      </c>
      <c r="BY86" s="188" t="s">
        <v>2860</v>
      </c>
      <c r="BZ86" s="188" t="s">
        <v>2860</v>
      </c>
      <c r="CA86" s="188" t="s">
        <v>2970</v>
      </c>
      <c r="CB86" s="188" t="s">
        <v>2860</v>
      </c>
      <c r="CC86" s="188" t="s">
        <v>2860</v>
      </c>
      <c r="CD86" s="188" t="s">
        <v>2970</v>
      </c>
      <c r="CE86" s="188" t="s">
        <v>2860</v>
      </c>
      <c r="CF86" s="188" t="s">
        <v>2860</v>
      </c>
      <c r="CG86" s="188" t="s">
        <v>2970</v>
      </c>
      <c r="CH86" s="188" t="s">
        <v>2860</v>
      </c>
      <c r="CI86" s="188" t="s">
        <v>2860</v>
      </c>
      <c r="CJ86" s="188" t="s">
        <v>2970</v>
      </c>
      <c r="CK86" s="188" t="s">
        <v>2860</v>
      </c>
      <c r="CL86" s="188" t="s">
        <v>2860</v>
      </c>
      <c r="CM86" s="188" t="s">
        <v>2970</v>
      </c>
      <c r="CN86" s="188" t="s">
        <v>2860</v>
      </c>
      <c r="CO86" s="188" t="s">
        <v>2860</v>
      </c>
      <c r="CP86" s="188" t="s">
        <v>2970</v>
      </c>
      <c r="CQ86" s="188" t="s">
        <v>2860</v>
      </c>
      <c r="CR86" s="188" t="s">
        <v>2860</v>
      </c>
      <c r="CS86" s="188" t="s">
        <v>2970</v>
      </c>
      <c r="CT86" s="188" t="s">
        <v>2860</v>
      </c>
      <c r="CU86" s="188" t="s">
        <v>2860</v>
      </c>
      <c r="CV86" s="188" t="s">
        <v>2970</v>
      </c>
      <c r="CW86" s="188" t="s">
        <v>2860</v>
      </c>
      <c r="CX86" s="188" t="s">
        <v>2860</v>
      </c>
      <c r="CY86" s="188" t="s">
        <v>2970</v>
      </c>
      <c r="CZ86" s="188" t="s">
        <v>2860</v>
      </c>
      <c r="DA86" s="188" t="s">
        <v>2860</v>
      </c>
      <c r="DB86" s="188" t="s">
        <v>2970</v>
      </c>
      <c r="DC86" s="188" t="s">
        <v>2860</v>
      </c>
      <c r="DD86" s="188" t="s">
        <v>2860</v>
      </c>
      <c r="DE86" s="188" t="s">
        <v>2970</v>
      </c>
      <c r="DF86" s="188" t="s">
        <v>2860</v>
      </c>
      <c r="DG86" s="188" t="s">
        <v>2860</v>
      </c>
      <c r="DH86" s="188" t="s">
        <v>2970</v>
      </c>
      <c r="DI86" s="188" t="s">
        <v>2860</v>
      </c>
      <c r="DJ86" s="188" t="s">
        <v>2860</v>
      </c>
      <c r="DK86" s="188" t="s">
        <v>2970</v>
      </c>
      <c r="DL86" s="188" t="s">
        <v>2860</v>
      </c>
      <c r="DM86" s="188" t="s">
        <v>2860</v>
      </c>
      <c r="DN86" s="188" t="s">
        <v>2970</v>
      </c>
      <c r="DO86" s="188" t="s">
        <v>2860</v>
      </c>
      <c r="DP86" s="188" t="s">
        <v>2860</v>
      </c>
      <c r="DQ86" s="188" t="s">
        <v>2970</v>
      </c>
      <c r="DR86" s="188" t="s">
        <v>2860</v>
      </c>
      <c r="DS86" s="188" t="s">
        <v>2860</v>
      </c>
      <c r="DT86" s="188" t="s">
        <v>2970</v>
      </c>
      <c r="DU86" s="188" t="s">
        <v>2860</v>
      </c>
      <c r="DV86" s="188" t="s">
        <v>2860</v>
      </c>
      <c r="DW86" s="188" t="s">
        <v>2970</v>
      </c>
      <c r="DX86" s="188" t="s">
        <v>2860</v>
      </c>
      <c r="DY86" s="188" t="s">
        <v>2860</v>
      </c>
      <c r="DZ86" s="188" t="s">
        <v>2970</v>
      </c>
      <c r="EA86" s="188" t="s">
        <v>2860</v>
      </c>
      <c r="EB86" s="188" t="s">
        <v>2860</v>
      </c>
      <c r="EC86" s="188" t="s">
        <v>2970</v>
      </c>
      <c r="ED86" s="188" t="s">
        <v>2860</v>
      </c>
      <c r="EE86" s="188" t="s">
        <v>2860</v>
      </c>
      <c r="EF86" s="188" t="s">
        <v>2970</v>
      </c>
      <c r="EG86" s="188" t="s">
        <v>2860</v>
      </c>
      <c r="EH86" s="188" t="s">
        <v>2860</v>
      </c>
      <c r="EI86" s="188" t="s">
        <v>2970</v>
      </c>
      <c r="EJ86" s="188" t="s">
        <v>2860</v>
      </c>
      <c r="EK86" s="188" t="s">
        <v>2860</v>
      </c>
      <c r="EL86" s="188" t="s">
        <v>2970</v>
      </c>
      <c r="EM86" s="188" t="s">
        <v>2860</v>
      </c>
      <c r="EN86" s="188" t="s">
        <v>2860</v>
      </c>
      <c r="EO86" s="188" t="s">
        <v>2970</v>
      </c>
      <c r="EP86" s="188" t="s">
        <v>2860</v>
      </c>
      <c r="EQ86" s="188" t="s">
        <v>2860</v>
      </c>
      <c r="ER86" s="188" t="s">
        <v>2970</v>
      </c>
      <c r="ES86" s="188" t="s">
        <v>2860</v>
      </c>
      <c r="ET86" s="188" t="s">
        <v>2860</v>
      </c>
    </row>
    <row r="87" spans="1:150" x14ac:dyDescent="0.3">
      <c r="A87" s="1"/>
      <c r="B87" s="187" t="s">
        <v>3434</v>
      </c>
      <c r="C87" s="187" t="s">
        <v>151</v>
      </c>
      <c r="D87" s="187" t="s">
        <v>157</v>
      </c>
      <c r="E87" s="187" t="s">
        <v>3435</v>
      </c>
      <c r="F87" s="187" t="s">
        <v>3436</v>
      </c>
      <c r="G87" s="188" t="s">
        <v>2970</v>
      </c>
      <c r="H87" s="188" t="s">
        <v>2860</v>
      </c>
      <c r="I87" s="188" t="s">
        <v>2860</v>
      </c>
      <c r="J87" s="188" t="s">
        <v>2970</v>
      </c>
      <c r="K87" s="188" t="s">
        <v>2860</v>
      </c>
      <c r="L87" s="188" t="s">
        <v>2860</v>
      </c>
      <c r="M87" s="188" t="s">
        <v>2970</v>
      </c>
      <c r="N87" s="188" t="s">
        <v>2860</v>
      </c>
      <c r="O87" s="188" t="s">
        <v>2860</v>
      </c>
      <c r="P87" s="188" t="s">
        <v>2970</v>
      </c>
      <c r="Q87" s="188" t="s">
        <v>2860</v>
      </c>
      <c r="R87" s="188" t="s">
        <v>2860</v>
      </c>
      <c r="S87" s="188" t="s">
        <v>2970</v>
      </c>
      <c r="T87" s="188" t="s">
        <v>2860</v>
      </c>
      <c r="U87" s="188" t="s">
        <v>2860</v>
      </c>
      <c r="V87" s="188" t="s">
        <v>2970</v>
      </c>
      <c r="W87" s="188" t="s">
        <v>2860</v>
      </c>
      <c r="X87" s="188" t="s">
        <v>2860</v>
      </c>
      <c r="Y87" s="188" t="s">
        <v>2970</v>
      </c>
      <c r="Z87" s="188" t="s">
        <v>2860</v>
      </c>
      <c r="AA87" s="188" t="s">
        <v>2860</v>
      </c>
      <c r="AB87" s="188" t="s">
        <v>2970</v>
      </c>
      <c r="AC87" s="188" t="s">
        <v>2860</v>
      </c>
      <c r="AD87" s="188" t="s">
        <v>2860</v>
      </c>
      <c r="AE87" s="188" t="s">
        <v>2970</v>
      </c>
      <c r="AF87" s="188" t="s">
        <v>2860</v>
      </c>
      <c r="AG87" s="188" t="s">
        <v>2860</v>
      </c>
      <c r="AH87" s="188" t="s">
        <v>2970</v>
      </c>
      <c r="AI87" s="188" t="s">
        <v>2860</v>
      </c>
      <c r="AJ87" s="188" t="s">
        <v>2860</v>
      </c>
      <c r="AK87" s="188" t="s">
        <v>2970</v>
      </c>
      <c r="AL87" s="188" t="s">
        <v>2860</v>
      </c>
      <c r="AM87" s="188" t="s">
        <v>2860</v>
      </c>
      <c r="AN87" s="188" t="s">
        <v>2970</v>
      </c>
      <c r="AO87" s="188" t="s">
        <v>2860</v>
      </c>
      <c r="AP87" s="188" t="s">
        <v>2860</v>
      </c>
      <c r="AQ87" s="188" t="s">
        <v>2970</v>
      </c>
      <c r="AR87" s="188" t="s">
        <v>2860</v>
      </c>
      <c r="AS87" s="188" t="s">
        <v>2860</v>
      </c>
      <c r="AT87" s="188" t="s">
        <v>2970</v>
      </c>
      <c r="AU87" s="188" t="s">
        <v>2860</v>
      </c>
      <c r="AV87" s="188" t="s">
        <v>2860</v>
      </c>
      <c r="AW87" s="188" t="s">
        <v>2970</v>
      </c>
      <c r="AX87" s="188" t="s">
        <v>2860</v>
      </c>
      <c r="AY87" s="188" t="s">
        <v>2860</v>
      </c>
      <c r="AZ87" s="188" t="s">
        <v>2970</v>
      </c>
      <c r="BA87" s="188" t="s">
        <v>2860</v>
      </c>
      <c r="BB87" s="188" t="s">
        <v>2860</v>
      </c>
      <c r="BC87" s="188" t="s">
        <v>2970</v>
      </c>
      <c r="BD87" s="188" t="s">
        <v>2860</v>
      </c>
      <c r="BE87" s="188" t="s">
        <v>2860</v>
      </c>
      <c r="BF87" s="188" t="s">
        <v>2970</v>
      </c>
      <c r="BG87" s="188" t="s">
        <v>2860</v>
      </c>
      <c r="BH87" s="188" t="s">
        <v>2860</v>
      </c>
      <c r="BI87" s="188" t="s">
        <v>2970</v>
      </c>
      <c r="BJ87" s="188" t="s">
        <v>2860</v>
      </c>
      <c r="BK87" s="188" t="s">
        <v>2860</v>
      </c>
      <c r="BL87" s="188" t="s">
        <v>2970</v>
      </c>
      <c r="BM87" s="188" t="s">
        <v>2860</v>
      </c>
      <c r="BN87" s="188" t="s">
        <v>2860</v>
      </c>
      <c r="BO87" s="188" t="s">
        <v>2970</v>
      </c>
      <c r="BP87" s="188" t="s">
        <v>2860</v>
      </c>
      <c r="BQ87" s="188" t="s">
        <v>2860</v>
      </c>
      <c r="BR87" s="188" t="s">
        <v>2970</v>
      </c>
      <c r="BS87" s="188" t="s">
        <v>2860</v>
      </c>
      <c r="BT87" s="188" t="s">
        <v>2860</v>
      </c>
      <c r="BU87" s="188" t="s">
        <v>2970</v>
      </c>
      <c r="BV87" s="188" t="s">
        <v>2860</v>
      </c>
      <c r="BW87" s="188" t="s">
        <v>2860</v>
      </c>
      <c r="BX87" s="188" t="s">
        <v>2970</v>
      </c>
      <c r="BY87" s="188" t="s">
        <v>2860</v>
      </c>
      <c r="BZ87" s="188" t="s">
        <v>2860</v>
      </c>
      <c r="CA87" s="188" t="s">
        <v>2970</v>
      </c>
      <c r="CB87" s="188" t="s">
        <v>2860</v>
      </c>
      <c r="CC87" s="188" t="s">
        <v>2860</v>
      </c>
      <c r="CD87" s="188" t="s">
        <v>2970</v>
      </c>
      <c r="CE87" s="188" t="s">
        <v>2860</v>
      </c>
      <c r="CF87" s="188" t="s">
        <v>2860</v>
      </c>
      <c r="CG87" s="188" t="s">
        <v>2970</v>
      </c>
      <c r="CH87" s="188" t="s">
        <v>2860</v>
      </c>
      <c r="CI87" s="188" t="s">
        <v>2860</v>
      </c>
      <c r="CJ87" s="188" t="s">
        <v>2970</v>
      </c>
      <c r="CK87" s="188" t="s">
        <v>2860</v>
      </c>
      <c r="CL87" s="188" t="s">
        <v>2860</v>
      </c>
      <c r="CM87" s="188" t="s">
        <v>2970</v>
      </c>
      <c r="CN87" s="188" t="s">
        <v>2860</v>
      </c>
      <c r="CO87" s="188" t="s">
        <v>2860</v>
      </c>
      <c r="CP87" s="188" t="s">
        <v>2970</v>
      </c>
      <c r="CQ87" s="188" t="s">
        <v>2860</v>
      </c>
      <c r="CR87" s="188" t="s">
        <v>2860</v>
      </c>
      <c r="CS87" s="188" t="s">
        <v>2970</v>
      </c>
      <c r="CT87" s="188" t="s">
        <v>2860</v>
      </c>
      <c r="CU87" s="188" t="s">
        <v>2860</v>
      </c>
      <c r="CV87" s="188" t="s">
        <v>2970</v>
      </c>
      <c r="CW87" s="188" t="s">
        <v>2860</v>
      </c>
      <c r="CX87" s="188" t="s">
        <v>2860</v>
      </c>
      <c r="CY87" s="188" t="s">
        <v>2970</v>
      </c>
      <c r="CZ87" s="188" t="s">
        <v>2860</v>
      </c>
      <c r="DA87" s="188" t="s">
        <v>2860</v>
      </c>
      <c r="DB87" s="188" t="s">
        <v>2970</v>
      </c>
      <c r="DC87" s="188" t="s">
        <v>2860</v>
      </c>
      <c r="DD87" s="188" t="s">
        <v>2860</v>
      </c>
      <c r="DE87" s="188" t="s">
        <v>2970</v>
      </c>
      <c r="DF87" s="188" t="s">
        <v>2860</v>
      </c>
      <c r="DG87" s="188" t="s">
        <v>2860</v>
      </c>
      <c r="DH87" s="188" t="s">
        <v>2970</v>
      </c>
      <c r="DI87" s="188" t="s">
        <v>2860</v>
      </c>
      <c r="DJ87" s="188" t="s">
        <v>2860</v>
      </c>
      <c r="DK87" s="188" t="s">
        <v>2970</v>
      </c>
      <c r="DL87" s="188" t="s">
        <v>2860</v>
      </c>
      <c r="DM87" s="188" t="s">
        <v>2860</v>
      </c>
      <c r="DN87" s="188" t="s">
        <v>2970</v>
      </c>
      <c r="DO87" s="188" t="s">
        <v>2860</v>
      </c>
      <c r="DP87" s="188" t="s">
        <v>2860</v>
      </c>
      <c r="DQ87" s="188" t="s">
        <v>2970</v>
      </c>
      <c r="DR87" s="188" t="s">
        <v>2860</v>
      </c>
      <c r="DS87" s="188" t="s">
        <v>2860</v>
      </c>
      <c r="DT87" s="188" t="s">
        <v>2970</v>
      </c>
      <c r="DU87" s="188" t="s">
        <v>2860</v>
      </c>
      <c r="DV87" s="188" t="s">
        <v>2860</v>
      </c>
      <c r="DW87" s="188" t="s">
        <v>2970</v>
      </c>
      <c r="DX87" s="188" t="s">
        <v>2860</v>
      </c>
      <c r="DY87" s="188" t="s">
        <v>2860</v>
      </c>
      <c r="DZ87" s="188" t="s">
        <v>2970</v>
      </c>
      <c r="EA87" s="188" t="s">
        <v>2860</v>
      </c>
      <c r="EB87" s="188" t="s">
        <v>2860</v>
      </c>
      <c r="EC87" s="188" t="s">
        <v>2970</v>
      </c>
      <c r="ED87" s="188" t="s">
        <v>2860</v>
      </c>
      <c r="EE87" s="188" t="s">
        <v>2860</v>
      </c>
      <c r="EF87" s="188" t="s">
        <v>2970</v>
      </c>
      <c r="EG87" s="188" t="s">
        <v>2860</v>
      </c>
      <c r="EH87" s="188" t="s">
        <v>2860</v>
      </c>
      <c r="EI87" s="188" t="s">
        <v>2970</v>
      </c>
      <c r="EJ87" s="188" t="s">
        <v>2860</v>
      </c>
      <c r="EK87" s="188" t="s">
        <v>2860</v>
      </c>
      <c r="EL87" s="188" t="s">
        <v>2970</v>
      </c>
      <c r="EM87" s="188" t="s">
        <v>2860</v>
      </c>
      <c r="EN87" s="188" t="s">
        <v>2860</v>
      </c>
      <c r="EO87" s="188" t="s">
        <v>2970</v>
      </c>
      <c r="EP87" s="188" t="s">
        <v>2860</v>
      </c>
      <c r="EQ87" s="188" t="s">
        <v>2860</v>
      </c>
      <c r="ER87" s="188" t="s">
        <v>2970</v>
      </c>
      <c r="ES87" s="188" t="s">
        <v>2860</v>
      </c>
      <c r="ET87" s="188" t="s">
        <v>2860</v>
      </c>
    </row>
    <row r="88" spans="1:150" x14ac:dyDescent="0.3">
      <c r="A88" s="1"/>
      <c r="B88" s="241" t="s">
        <v>961</v>
      </c>
      <c r="C88" s="241" t="s">
        <v>965</v>
      </c>
      <c r="D88" s="241" t="s">
        <v>965</v>
      </c>
      <c r="E88" s="241" t="s">
        <v>965</v>
      </c>
      <c r="F88" s="241" t="s">
        <v>965</v>
      </c>
      <c r="G88" s="1" t="s">
        <v>965</v>
      </c>
      <c r="H88" s="189" t="s">
        <v>2860</v>
      </c>
      <c r="I88" s="189" t="s">
        <v>2860</v>
      </c>
      <c r="J88" s="1" t="s">
        <v>965</v>
      </c>
      <c r="K88" s="189" t="s">
        <v>2860</v>
      </c>
      <c r="L88" s="189" t="s">
        <v>2860</v>
      </c>
      <c r="M88" s="1" t="s">
        <v>965</v>
      </c>
      <c r="N88" s="189" t="s">
        <v>2860</v>
      </c>
      <c r="O88" s="189" t="s">
        <v>2860</v>
      </c>
      <c r="P88" s="1" t="s">
        <v>965</v>
      </c>
      <c r="Q88" s="189" t="s">
        <v>2860</v>
      </c>
      <c r="R88" s="189" t="s">
        <v>2860</v>
      </c>
      <c r="S88" s="1" t="s">
        <v>965</v>
      </c>
      <c r="T88" s="189" t="s">
        <v>2860</v>
      </c>
      <c r="U88" s="189" t="s">
        <v>2860</v>
      </c>
      <c r="V88" s="1" t="s">
        <v>965</v>
      </c>
      <c r="W88" s="189" t="s">
        <v>2860</v>
      </c>
      <c r="X88" s="189" t="s">
        <v>2860</v>
      </c>
      <c r="Y88" s="1" t="s">
        <v>965</v>
      </c>
      <c r="Z88" s="189" t="s">
        <v>2860</v>
      </c>
      <c r="AA88" s="189" t="s">
        <v>2860</v>
      </c>
      <c r="AB88" s="1" t="s">
        <v>965</v>
      </c>
      <c r="AC88" s="189" t="s">
        <v>2860</v>
      </c>
      <c r="AD88" s="189" t="s">
        <v>2860</v>
      </c>
      <c r="AE88" s="1" t="s">
        <v>965</v>
      </c>
      <c r="AF88" s="189" t="s">
        <v>2860</v>
      </c>
      <c r="AG88" s="189" t="s">
        <v>2860</v>
      </c>
      <c r="AH88" s="1" t="s">
        <v>965</v>
      </c>
      <c r="AI88" s="189" t="s">
        <v>2860</v>
      </c>
      <c r="AJ88" s="189" t="s">
        <v>2860</v>
      </c>
      <c r="AK88" s="1" t="s">
        <v>965</v>
      </c>
      <c r="AL88" s="189" t="s">
        <v>2860</v>
      </c>
      <c r="AM88" s="189" t="s">
        <v>2860</v>
      </c>
      <c r="AN88" s="1" t="s">
        <v>965</v>
      </c>
      <c r="AO88" s="189" t="s">
        <v>2860</v>
      </c>
      <c r="AP88" s="189" t="s">
        <v>2860</v>
      </c>
      <c r="AQ88" s="1" t="s">
        <v>965</v>
      </c>
      <c r="AR88" s="189" t="s">
        <v>2860</v>
      </c>
      <c r="AS88" s="189" t="s">
        <v>2860</v>
      </c>
      <c r="AT88" s="1" t="s">
        <v>965</v>
      </c>
      <c r="AU88" s="189" t="s">
        <v>2860</v>
      </c>
      <c r="AV88" s="189" t="s">
        <v>2860</v>
      </c>
      <c r="AW88" s="1" t="s">
        <v>965</v>
      </c>
      <c r="AX88" s="189" t="s">
        <v>2860</v>
      </c>
      <c r="AY88" s="189" t="s">
        <v>2860</v>
      </c>
      <c r="AZ88" s="1" t="s">
        <v>965</v>
      </c>
      <c r="BA88" s="189" t="s">
        <v>2860</v>
      </c>
      <c r="BB88" s="189" t="s">
        <v>2860</v>
      </c>
      <c r="BC88" s="1" t="s">
        <v>965</v>
      </c>
      <c r="BD88" s="189" t="s">
        <v>2860</v>
      </c>
      <c r="BE88" s="189" t="s">
        <v>2860</v>
      </c>
      <c r="BF88" s="1" t="s">
        <v>965</v>
      </c>
      <c r="BG88" s="189" t="s">
        <v>2860</v>
      </c>
      <c r="BH88" s="189" t="s">
        <v>2860</v>
      </c>
      <c r="BI88" s="1" t="s">
        <v>965</v>
      </c>
      <c r="BJ88" s="189" t="s">
        <v>2860</v>
      </c>
      <c r="BK88" s="189" t="s">
        <v>2860</v>
      </c>
      <c r="BL88" s="1" t="s">
        <v>965</v>
      </c>
      <c r="BM88" s="189" t="s">
        <v>2860</v>
      </c>
      <c r="BN88" s="189" t="s">
        <v>2860</v>
      </c>
      <c r="BO88" s="1" t="s">
        <v>965</v>
      </c>
      <c r="BP88" s="189" t="s">
        <v>2860</v>
      </c>
      <c r="BQ88" s="189" t="s">
        <v>2860</v>
      </c>
      <c r="BR88" s="1" t="s">
        <v>965</v>
      </c>
      <c r="BS88" s="189" t="s">
        <v>2860</v>
      </c>
      <c r="BT88" s="189" t="s">
        <v>2860</v>
      </c>
      <c r="BU88" s="1" t="s">
        <v>965</v>
      </c>
      <c r="BV88" s="189" t="s">
        <v>2860</v>
      </c>
      <c r="BW88" s="189" t="s">
        <v>2860</v>
      </c>
      <c r="BX88" s="1" t="s">
        <v>965</v>
      </c>
      <c r="BY88" s="189" t="s">
        <v>2860</v>
      </c>
      <c r="BZ88" s="189" t="s">
        <v>2860</v>
      </c>
      <c r="CA88" s="1" t="s">
        <v>965</v>
      </c>
      <c r="CB88" s="189" t="s">
        <v>2860</v>
      </c>
      <c r="CC88" s="189" t="s">
        <v>2860</v>
      </c>
      <c r="CD88" s="1" t="s">
        <v>965</v>
      </c>
      <c r="CE88" s="189" t="s">
        <v>2860</v>
      </c>
      <c r="CF88" s="189" t="s">
        <v>2860</v>
      </c>
      <c r="CG88" s="1" t="s">
        <v>965</v>
      </c>
      <c r="CH88" s="189" t="s">
        <v>2860</v>
      </c>
      <c r="CI88" s="189" t="s">
        <v>2860</v>
      </c>
      <c r="CJ88" s="1" t="s">
        <v>965</v>
      </c>
      <c r="CK88" s="189" t="s">
        <v>2860</v>
      </c>
      <c r="CL88" s="189" t="s">
        <v>2860</v>
      </c>
      <c r="CM88" s="1" t="s">
        <v>965</v>
      </c>
      <c r="CN88" s="189" t="s">
        <v>2860</v>
      </c>
      <c r="CO88" s="189" t="s">
        <v>2860</v>
      </c>
      <c r="CP88" s="1" t="s">
        <v>965</v>
      </c>
      <c r="CQ88" s="189" t="s">
        <v>2860</v>
      </c>
      <c r="CR88" s="189" t="s">
        <v>2860</v>
      </c>
      <c r="CS88" s="1" t="s">
        <v>965</v>
      </c>
      <c r="CT88" s="189" t="s">
        <v>2860</v>
      </c>
      <c r="CU88" s="189" t="s">
        <v>2860</v>
      </c>
      <c r="CV88" s="1" t="s">
        <v>965</v>
      </c>
      <c r="CW88" s="189" t="s">
        <v>2860</v>
      </c>
      <c r="CX88" s="189" t="s">
        <v>2860</v>
      </c>
      <c r="CY88" s="1" t="s">
        <v>965</v>
      </c>
      <c r="CZ88" s="189" t="s">
        <v>2860</v>
      </c>
      <c r="DA88" s="189" t="s">
        <v>2860</v>
      </c>
      <c r="DB88" s="1" t="s">
        <v>965</v>
      </c>
      <c r="DC88" s="189" t="s">
        <v>2860</v>
      </c>
      <c r="DD88" s="189" t="s">
        <v>2860</v>
      </c>
      <c r="DE88" s="1" t="s">
        <v>965</v>
      </c>
      <c r="DF88" s="189" t="s">
        <v>2860</v>
      </c>
      <c r="DG88" s="189" t="s">
        <v>2860</v>
      </c>
      <c r="DH88" s="1" t="s">
        <v>965</v>
      </c>
      <c r="DI88" s="189" t="s">
        <v>2860</v>
      </c>
      <c r="DJ88" s="189" t="s">
        <v>2860</v>
      </c>
      <c r="DK88" s="1" t="s">
        <v>965</v>
      </c>
      <c r="DL88" s="189" t="s">
        <v>2860</v>
      </c>
      <c r="DM88" s="189" t="s">
        <v>2860</v>
      </c>
      <c r="DN88" s="1" t="s">
        <v>965</v>
      </c>
      <c r="DO88" s="189" t="s">
        <v>2860</v>
      </c>
      <c r="DP88" s="189" t="s">
        <v>2860</v>
      </c>
      <c r="DQ88" s="1" t="s">
        <v>965</v>
      </c>
      <c r="DR88" s="189" t="s">
        <v>2860</v>
      </c>
      <c r="DS88" s="189" t="s">
        <v>2860</v>
      </c>
      <c r="DT88" s="1" t="s">
        <v>965</v>
      </c>
      <c r="DU88" s="189" t="s">
        <v>2860</v>
      </c>
      <c r="DV88" s="189" t="s">
        <v>2860</v>
      </c>
      <c r="DW88" s="1" t="s">
        <v>965</v>
      </c>
      <c r="DX88" s="189" t="s">
        <v>2860</v>
      </c>
      <c r="DY88" s="189" t="s">
        <v>2860</v>
      </c>
      <c r="DZ88" s="1" t="s">
        <v>965</v>
      </c>
      <c r="EA88" s="189" t="s">
        <v>2860</v>
      </c>
      <c r="EB88" s="189" t="s">
        <v>2860</v>
      </c>
      <c r="EC88" s="1" t="s">
        <v>965</v>
      </c>
      <c r="ED88" s="189" t="s">
        <v>2860</v>
      </c>
      <c r="EE88" s="189" t="s">
        <v>2860</v>
      </c>
      <c r="EF88" s="1" t="s">
        <v>965</v>
      </c>
      <c r="EG88" s="189" t="s">
        <v>2860</v>
      </c>
      <c r="EH88" s="189" t="s">
        <v>2860</v>
      </c>
      <c r="EI88" s="1" t="s">
        <v>965</v>
      </c>
      <c r="EJ88" s="189" t="s">
        <v>2860</v>
      </c>
      <c r="EK88" s="189" t="s">
        <v>2860</v>
      </c>
      <c r="EL88" s="1" t="s">
        <v>965</v>
      </c>
      <c r="EM88" s="189" t="s">
        <v>2860</v>
      </c>
      <c r="EN88" s="189" t="s">
        <v>2860</v>
      </c>
      <c r="EO88" s="1" t="s">
        <v>965</v>
      </c>
      <c r="EP88" s="189" t="s">
        <v>2860</v>
      </c>
      <c r="EQ88" s="189" t="s">
        <v>2860</v>
      </c>
      <c r="ER88" s="1" t="s">
        <v>965</v>
      </c>
      <c r="ES88" s="189" t="s">
        <v>2860</v>
      </c>
      <c r="ET88" s="189" t="s">
        <v>2860</v>
      </c>
    </row>
    <row r="89" spans="1:150" ht="39.6" x14ac:dyDescent="0.3">
      <c r="A89" s="1"/>
      <c r="B89" s="242" t="s">
        <v>3437</v>
      </c>
      <c r="C89" s="242" t="s">
        <v>965</v>
      </c>
      <c r="D89" s="242" t="s">
        <v>965</v>
      </c>
      <c r="E89" s="242" t="s">
        <v>965</v>
      </c>
      <c r="F89" s="242" t="s">
        <v>965</v>
      </c>
      <c r="G89" s="190"/>
      <c r="H89" s="190" t="s">
        <v>965</v>
      </c>
      <c r="I89" s="190" t="s">
        <v>965</v>
      </c>
      <c r="J89" s="190"/>
      <c r="K89" s="190" t="s">
        <v>965</v>
      </c>
      <c r="L89" s="190" t="s">
        <v>965</v>
      </c>
      <c r="M89" s="190"/>
      <c r="N89" s="190" t="s">
        <v>965</v>
      </c>
      <c r="O89" s="190" t="s">
        <v>965</v>
      </c>
      <c r="P89" s="190"/>
      <c r="Q89" s="190" t="s">
        <v>965</v>
      </c>
      <c r="R89" s="190" t="s">
        <v>965</v>
      </c>
      <c r="S89" s="190"/>
      <c r="T89" s="190" t="s">
        <v>965</v>
      </c>
      <c r="U89" s="190" t="s">
        <v>965</v>
      </c>
      <c r="V89" s="190"/>
      <c r="W89" s="190" t="s">
        <v>965</v>
      </c>
      <c r="X89" s="190" t="s">
        <v>965</v>
      </c>
      <c r="Y89" s="190"/>
      <c r="Z89" s="190" t="s">
        <v>965</v>
      </c>
      <c r="AA89" s="190" t="s">
        <v>965</v>
      </c>
      <c r="AB89" s="190"/>
      <c r="AC89" s="190" t="s">
        <v>965</v>
      </c>
      <c r="AD89" s="190" t="s">
        <v>965</v>
      </c>
      <c r="AE89" s="190"/>
      <c r="AF89" s="190" t="s">
        <v>965</v>
      </c>
      <c r="AG89" s="190" t="s">
        <v>965</v>
      </c>
      <c r="AH89" s="190"/>
      <c r="AI89" s="190" t="s">
        <v>965</v>
      </c>
      <c r="AJ89" s="190" t="s">
        <v>965</v>
      </c>
      <c r="AK89" s="190"/>
      <c r="AL89" s="190" t="s">
        <v>965</v>
      </c>
      <c r="AM89" s="190" t="s">
        <v>965</v>
      </c>
      <c r="AN89" s="190"/>
      <c r="AO89" s="190" t="s">
        <v>965</v>
      </c>
      <c r="AP89" s="190" t="s">
        <v>965</v>
      </c>
      <c r="AQ89" s="190"/>
      <c r="AR89" s="190" t="s">
        <v>965</v>
      </c>
      <c r="AS89" s="190" t="s">
        <v>965</v>
      </c>
      <c r="AT89" s="190"/>
      <c r="AU89" s="190" t="s">
        <v>965</v>
      </c>
      <c r="AV89" s="190" t="s">
        <v>965</v>
      </c>
      <c r="AW89" s="190"/>
      <c r="AX89" s="190" t="s">
        <v>965</v>
      </c>
      <c r="AY89" s="190" t="s">
        <v>965</v>
      </c>
      <c r="AZ89" s="190"/>
      <c r="BA89" s="190" t="s">
        <v>965</v>
      </c>
      <c r="BB89" s="190" t="s">
        <v>965</v>
      </c>
      <c r="BC89" s="190"/>
      <c r="BD89" s="190" t="s">
        <v>965</v>
      </c>
      <c r="BE89" s="190" t="s">
        <v>965</v>
      </c>
      <c r="BF89" s="190"/>
      <c r="BG89" s="190" t="s">
        <v>965</v>
      </c>
      <c r="BH89" s="190" t="s">
        <v>965</v>
      </c>
      <c r="BI89" s="190"/>
      <c r="BJ89" s="190" t="s">
        <v>965</v>
      </c>
      <c r="BK89" s="190" t="s">
        <v>965</v>
      </c>
      <c r="BL89" s="190"/>
      <c r="BM89" s="190" t="s">
        <v>965</v>
      </c>
      <c r="BN89" s="190" t="s">
        <v>965</v>
      </c>
      <c r="BO89" s="190"/>
      <c r="BP89" s="190" t="s">
        <v>965</v>
      </c>
      <c r="BQ89" s="190" t="s">
        <v>965</v>
      </c>
      <c r="BR89" s="190"/>
      <c r="BS89" s="190" t="s">
        <v>965</v>
      </c>
      <c r="BT89" s="190" t="s">
        <v>965</v>
      </c>
      <c r="BU89" s="190"/>
      <c r="BV89" s="190" t="s">
        <v>965</v>
      </c>
      <c r="BW89" s="190" t="s">
        <v>965</v>
      </c>
      <c r="BX89" s="190"/>
      <c r="BY89" s="190" t="s">
        <v>965</v>
      </c>
      <c r="BZ89" s="190" t="s">
        <v>965</v>
      </c>
      <c r="CA89" s="190"/>
      <c r="CB89" s="190" t="s">
        <v>965</v>
      </c>
      <c r="CC89" s="190" t="s">
        <v>965</v>
      </c>
      <c r="CD89" s="190"/>
      <c r="CE89" s="190" t="s">
        <v>965</v>
      </c>
      <c r="CF89" s="190" t="s">
        <v>965</v>
      </c>
      <c r="CG89" s="190"/>
      <c r="CH89" s="190" t="s">
        <v>965</v>
      </c>
      <c r="CI89" s="190" t="s">
        <v>965</v>
      </c>
      <c r="CJ89" s="190"/>
      <c r="CK89" s="190" t="s">
        <v>965</v>
      </c>
      <c r="CL89" s="190" t="s">
        <v>965</v>
      </c>
      <c r="CM89" s="190"/>
      <c r="CN89" s="190" t="s">
        <v>965</v>
      </c>
      <c r="CO89" s="190" t="s">
        <v>965</v>
      </c>
      <c r="CP89" s="190"/>
      <c r="CQ89" s="190" t="s">
        <v>965</v>
      </c>
      <c r="CR89" s="190" t="s">
        <v>965</v>
      </c>
      <c r="CS89" s="190"/>
      <c r="CT89" s="190" t="s">
        <v>965</v>
      </c>
      <c r="CU89" s="190" t="s">
        <v>965</v>
      </c>
      <c r="CV89" s="190"/>
      <c r="CW89" s="190" t="s">
        <v>965</v>
      </c>
      <c r="CX89" s="190" t="s">
        <v>965</v>
      </c>
      <c r="CY89" s="190"/>
      <c r="CZ89" s="190" t="s">
        <v>965</v>
      </c>
      <c r="DA89" s="190" t="s">
        <v>965</v>
      </c>
      <c r="DB89" s="190"/>
      <c r="DC89" s="190" t="s">
        <v>965</v>
      </c>
      <c r="DD89" s="190" t="s">
        <v>965</v>
      </c>
      <c r="DE89" s="190"/>
      <c r="DF89" s="190" t="s">
        <v>965</v>
      </c>
      <c r="DG89" s="190" t="s">
        <v>965</v>
      </c>
      <c r="DH89" s="190"/>
      <c r="DI89" s="190" t="s">
        <v>965</v>
      </c>
      <c r="DJ89" s="190" t="s">
        <v>965</v>
      </c>
      <c r="DK89" s="190"/>
      <c r="DL89" s="190" t="s">
        <v>965</v>
      </c>
      <c r="DM89" s="190" t="s">
        <v>965</v>
      </c>
      <c r="DN89" s="190"/>
      <c r="DO89" s="190" t="s">
        <v>965</v>
      </c>
      <c r="DP89" s="190" t="s">
        <v>965</v>
      </c>
      <c r="DQ89" s="190"/>
      <c r="DR89" s="190" t="s">
        <v>965</v>
      </c>
      <c r="DS89" s="190" t="s">
        <v>965</v>
      </c>
      <c r="DT89" s="190"/>
      <c r="DU89" s="190" t="s">
        <v>965</v>
      </c>
      <c r="DV89" s="190" t="s">
        <v>965</v>
      </c>
      <c r="DW89" s="190"/>
      <c r="DX89" s="190" t="s">
        <v>965</v>
      </c>
      <c r="DY89" s="190" t="s">
        <v>965</v>
      </c>
      <c r="DZ89" s="190"/>
      <c r="EA89" s="190" t="s">
        <v>965</v>
      </c>
      <c r="EB89" s="190" t="s">
        <v>965</v>
      </c>
      <c r="EC89" s="190"/>
      <c r="ED89" s="190" t="s">
        <v>965</v>
      </c>
      <c r="EE89" s="190" t="s">
        <v>965</v>
      </c>
      <c r="EF89" s="190"/>
      <c r="EG89" s="190" t="s">
        <v>965</v>
      </c>
      <c r="EH89" s="190" t="s">
        <v>965</v>
      </c>
      <c r="EI89" s="190"/>
      <c r="EJ89" s="190" t="s">
        <v>965</v>
      </c>
      <c r="EK89" s="190" t="s">
        <v>965</v>
      </c>
      <c r="EL89" s="190"/>
      <c r="EM89" s="190" t="s">
        <v>965</v>
      </c>
      <c r="EN89" s="190" t="s">
        <v>965</v>
      </c>
      <c r="EO89" s="190"/>
      <c r="EP89" s="190" t="s">
        <v>965</v>
      </c>
      <c r="EQ89" s="190" t="s">
        <v>965</v>
      </c>
      <c r="ER89" s="190" t="s">
        <v>3438</v>
      </c>
      <c r="ES89" s="190" t="s">
        <v>965</v>
      </c>
      <c r="ET89" s="190" t="s">
        <v>965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8" t="s">
        <v>0</v>
      </c>
      <c r="C3" s="199"/>
      <c r="D3" s="199"/>
      <c r="E3" s="199"/>
      <c r="F3" s="201"/>
      <c r="G3" s="201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3439</v>
      </c>
      <c r="C5" s="1"/>
      <c r="D5" s="1"/>
      <c r="E5" s="1"/>
    </row>
    <row r="6" spans="1:7" x14ac:dyDescent="0.3">
      <c r="A6" s="1"/>
      <c r="B6" s="243" t="s">
        <v>271</v>
      </c>
      <c r="C6" s="243"/>
      <c r="D6" s="243" t="s">
        <v>2126</v>
      </c>
      <c r="E6" s="243"/>
    </row>
    <row r="7" spans="1:7" ht="36" customHeight="1" x14ac:dyDescent="0.3">
      <c r="A7" s="1"/>
      <c r="B7" s="192" t="s">
        <v>63</v>
      </c>
      <c r="C7" s="192" t="s">
        <v>590</v>
      </c>
      <c r="D7" s="191" t="s">
        <v>3440</v>
      </c>
      <c r="E7" s="191" t="s">
        <v>3441</v>
      </c>
    </row>
    <row r="8" spans="1:7" x14ac:dyDescent="0.3">
      <c r="A8" s="1"/>
      <c r="B8" s="193" t="s">
        <v>67</v>
      </c>
      <c r="C8" s="193" t="s">
        <v>808</v>
      </c>
      <c r="D8" s="194">
        <v>0</v>
      </c>
      <c r="E8" s="195">
        <v>0</v>
      </c>
    </row>
    <row r="9" spans="1:7" x14ac:dyDescent="0.3">
      <c r="A9" s="1"/>
      <c r="B9" s="193" t="s">
        <v>67</v>
      </c>
      <c r="C9" s="193" t="s">
        <v>809</v>
      </c>
      <c r="D9" s="194">
        <v>0</v>
      </c>
      <c r="E9" s="195">
        <v>0</v>
      </c>
    </row>
    <row r="10" spans="1:7" x14ac:dyDescent="0.3">
      <c r="A10" s="1"/>
      <c r="B10" s="193" t="s">
        <v>67</v>
      </c>
      <c r="C10" s="193" t="s">
        <v>810</v>
      </c>
      <c r="D10" s="194">
        <v>0</v>
      </c>
      <c r="E10" s="195">
        <v>0</v>
      </c>
    </row>
    <row r="11" spans="1:7" x14ac:dyDescent="0.3">
      <c r="A11" s="1"/>
      <c r="B11" s="193" t="s">
        <v>67</v>
      </c>
      <c r="C11" s="193" t="s">
        <v>811</v>
      </c>
      <c r="D11" s="194">
        <v>0</v>
      </c>
      <c r="E11" s="195">
        <v>0</v>
      </c>
    </row>
    <row r="12" spans="1:7" x14ac:dyDescent="0.3">
      <c r="A12" s="1"/>
      <c r="B12" s="193" t="s">
        <v>67</v>
      </c>
      <c r="C12" s="193" t="s">
        <v>812</v>
      </c>
      <c r="D12" s="194">
        <v>0</v>
      </c>
      <c r="E12" s="195">
        <v>0</v>
      </c>
    </row>
    <row r="13" spans="1:7" x14ac:dyDescent="0.3">
      <c r="A13" s="1"/>
      <c r="B13" s="193" t="s">
        <v>67</v>
      </c>
      <c r="C13" s="193" t="s">
        <v>813</v>
      </c>
      <c r="D13" s="194">
        <v>0</v>
      </c>
      <c r="E13" s="195">
        <v>0</v>
      </c>
    </row>
    <row r="14" spans="1:7" x14ac:dyDescent="0.3">
      <c r="A14" s="1"/>
      <c r="B14" s="193" t="s">
        <v>67</v>
      </c>
      <c r="C14" s="193" t="s">
        <v>814</v>
      </c>
      <c r="D14" s="194">
        <v>0</v>
      </c>
      <c r="E14" s="195">
        <v>0</v>
      </c>
    </row>
    <row r="15" spans="1:7" x14ac:dyDescent="0.3">
      <c r="A15" s="1"/>
      <c r="B15" s="193" t="s">
        <v>67</v>
      </c>
      <c r="C15" s="193" t="s">
        <v>815</v>
      </c>
      <c r="D15" s="194">
        <v>0</v>
      </c>
      <c r="E15" s="195">
        <v>0</v>
      </c>
    </row>
    <row r="16" spans="1:7" x14ac:dyDescent="0.3">
      <c r="A16" s="1"/>
      <c r="B16" s="193" t="s">
        <v>67</v>
      </c>
      <c r="C16" s="193" t="s">
        <v>816</v>
      </c>
      <c r="D16" s="194">
        <v>0</v>
      </c>
      <c r="E16" s="195">
        <v>0</v>
      </c>
    </row>
    <row r="17" spans="1:5" x14ac:dyDescent="0.3">
      <c r="A17" s="1"/>
      <c r="B17" s="193" t="s">
        <v>67</v>
      </c>
      <c r="C17" s="193" t="s">
        <v>817</v>
      </c>
      <c r="D17" s="194">
        <v>0</v>
      </c>
      <c r="E17" s="195">
        <v>0</v>
      </c>
    </row>
    <row r="18" spans="1:5" x14ac:dyDescent="0.3">
      <c r="A18" s="1"/>
      <c r="B18" s="193" t="s">
        <v>67</v>
      </c>
      <c r="C18" s="193" t="s">
        <v>818</v>
      </c>
      <c r="D18" s="194">
        <v>0</v>
      </c>
      <c r="E18" s="195">
        <v>0</v>
      </c>
    </row>
    <row r="19" spans="1:5" x14ac:dyDescent="0.3">
      <c r="A19" s="1"/>
      <c r="B19" s="193" t="s">
        <v>67</v>
      </c>
      <c r="C19" s="193" t="s">
        <v>819</v>
      </c>
      <c r="D19" s="194">
        <v>0</v>
      </c>
      <c r="E19" s="195">
        <v>0</v>
      </c>
    </row>
    <row r="20" spans="1:5" x14ac:dyDescent="0.3">
      <c r="A20" s="1"/>
      <c r="B20" s="193" t="s">
        <v>67</v>
      </c>
      <c r="C20" s="193" t="s">
        <v>820</v>
      </c>
      <c r="D20" s="194">
        <v>0</v>
      </c>
      <c r="E20" s="195">
        <v>0</v>
      </c>
    </row>
    <row r="21" spans="1:5" x14ac:dyDescent="0.3">
      <c r="A21" s="1"/>
      <c r="B21" s="193" t="s">
        <v>67</v>
      </c>
      <c r="C21" s="193" t="s">
        <v>821</v>
      </c>
      <c r="D21" s="194">
        <v>0</v>
      </c>
      <c r="E21" s="195">
        <v>0</v>
      </c>
    </row>
    <row r="22" spans="1:5" x14ac:dyDescent="0.3">
      <c r="A22" s="1"/>
      <c r="B22" s="193" t="s">
        <v>67</v>
      </c>
      <c r="C22" s="193" t="s">
        <v>822</v>
      </c>
      <c r="D22" s="194">
        <v>0</v>
      </c>
      <c r="E22" s="195">
        <v>0</v>
      </c>
    </row>
    <row r="23" spans="1:5" x14ac:dyDescent="0.3">
      <c r="A23" s="1"/>
      <c r="B23" s="193" t="s">
        <v>67</v>
      </c>
      <c r="C23" s="193" t="s">
        <v>823</v>
      </c>
      <c r="D23" s="194">
        <v>0</v>
      </c>
      <c r="E23" s="195">
        <v>0</v>
      </c>
    </row>
    <row r="24" spans="1:5" x14ac:dyDescent="0.3">
      <c r="A24" s="1"/>
      <c r="B24" s="193" t="s">
        <v>67</v>
      </c>
      <c r="C24" s="193" t="s">
        <v>824</v>
      </c>
      <c r="D24" s="194">
        <v>0</v>
      </c>
      <c r="E24" s="195">
        <v>0</v>
      </c>
    </row>
    <row r="25" spans="1:5" x14ac:dyDescent="0.3">
      <c r="A25" s="1"/>
      <c r="B25" s="193" t="s">
        <v>67</v>
      </c>
      <c r="C25" s="193" t="s">
        <v>825</v>
      </c>
      <c r="D25" s="194">
        <v>0</v>
      </c>
      <c r="E25" s="195">
        <v>0</v>
      </c>
    </row>
    <row r="26" spans="1:5" x14ac:dyDescent="0.3">
      <c r="A26" s="1"/>
      <c r="B26" s="193" t="s">
        <v>67</v>
      </c>
      <c r="C26" s="193" t="s">
        <v>826</v>
      </c>
      <c r="D26" s="194">
        <v>0</v>
      </c>
      <c r="E26" s="195">
        <v>0</v>
      </c>
    </row>
    <row r="27" spans="1:5" x14ac:dyDescent="0.3">
      <c r="A27" s="1"/>
      <c r="B27" s="193" t="s">
        <v>67</v>
      </c>
      <c r="C27" s="193" t="s">
        <v>827</v>
      </c>
      <c r="D27" s="194">
        <v>0</v>
      </c>
      <c r="E27" s="195">
        <v>0</v>
      </c>
    </row>
    <row r="28" spans="1:5" x14ac:dyDescent="0.3">
      <c r="A28" s="1"/>
      <c r="B28" s="193" t="s">
        <v>67</v>
      </c>
      <c r="C28" s="193" t="s">
        <v>828</v>
      </c>
      <c r="D28" s="194">
        <v>0</v>
      </c>
      <c r="E28" s="195">
        <v>0</v>
      </c>
    </row>
    <row r="29" spans="1:5" x14ac:dyDescent="0.3">
      <c r="A29" s="1"/>
      <c r="B29" s="193" t="s">
        <v>67</v>
      </c>
      <c r="C29" s="193" t="s">
        <v>829</v>
      </c>
      <c r="D29" s="194">
        <v>0</v>
      </c>
      <c r="E29" s="195">
        <v>0</v>
      </c>
    </row>
    <row r="30" spans="1:5" x14ac:dyDescent="0.3">
      <c r="A30" s="1"/>
      <c r="B30" s="193" t="s">
        <v>67</v>
      </c>
      <c r="C30" s="193" t="s">
        <v>830</v>
      </c>
      <c r="D30" s="194">
        <v>0</v>
      </c>
      <c r="E30" s="195">
        <v>0</v>
      </c>
    </row>
    <row r="31" spans="1:5" x14ac:dyDescent="0.3">
      <c r="A31" s="1"/>
      <c r="B31" s="193" t="s">
        <v>67</v>
      </c>
      <c r="C31" s="193" t="s">
        <v>831</v>
      </c>
      <c r="D31" s="194">
        <v>0</v>
      </c>
      <c r="E31" s="195">
        <v>0</v>
      </c>
    </row>
    <row r="32" spans="1:5" x14ac:dyDescent="0.3">
      <c r="A32" s="1"/>
      <c r="B32" s="193" t="s">
        <v>67</v>
      </c>
      <c r="C32" s="193" t="s">
        <v>832</v>
      </c>
      <c r="D32" s="194">
        <v>0</v>
      </c>
      <c r="E32" s="195">
        <v>0</v>
      </c>
    </row>
    <row r="33" spans="1:5" x14ac:dyDescent="0.3">
      <c r="A33" s="1"/>
      <c r="B33" s="193" t="s">
        <v>67</v>
      </c>
      <c r="C33" s="193" t="s">
        <v>833</v>
      </c>
      <c r="D33" s="194">
        <v>0</v>
      </c>
      <c r="E33" s="195">
        <v>0</v>
      </c>
    </row>
    <row r="34" spans="1:5" x14ac:dyDescent="0.3">
      <c r="A34" s="1"/>
      <c r="B34" s="193" t="s">
        <v>67</v>
      </c>
      <c r="C34" s="193" t="s">
        <v>834</v>
      </c>
      <c r="D34" s="194">
        <v>0</v>
      </c>
      <c r="E34" s="195">
        <v>0</v>
      </c>
    </row>
    <row r="35" spans="1:5" x14ac:dyDescent="0.3">
      <c r="A35" s="1"/>
      <c r="B35" s="193" t="s">
        <v>67</v>
      </c>
      <c r="C35" s="193" t="s">
        <v>835</v>
      </c>
      <c r="D35" s="194">
        <v>0</v>
      </c>
      <c r="E35" s="195">
        <v>0</v>
      </c>
    </row>
    <row r="36" spans="1:5" x14ac:dyDescent="0.3">
      <c r="A36" s="1"/>
      <c r="B36" s="193" t="s">
        <v>67</v>
      </c>
      <c r="C36" s="193" t="s">
        <v>836</v>
      </c>
      <c r="D36" s="194">
        <v>0</v>
      </c>
      <c r="E36" s="195">
        <v>0</v>
      </c>
    </row>
    <row r="37" spans="1:5" x14ac:dyDescent="0.3">
      <c r="A37" s="1"/>
      <c r="B37" s="193" t="s">
        <v>67</v>
      </c>
      <c r="C37" s="193" t="s">
        <v>837</v>
      </c>
      <c r="D37" s="194">
        <v>0</v>
      </c>
      <c r="E37" s="195">
        <v>0</v>
      </c>
    </row>
    <row r="38" spans="1:5" x14ac:dyDescent="0.3">
      <c r="A38" s="1"/>
      <c r="B38" s="193" t="s">
        <v>67</v>
      </c>
      <c r="C38" s="193" t="s">
        <v>838</v>
      </c>
      <c r="D38" s="194">
        <v>0</v>
      </c>
      <c r="E38" s="195">
        <v>0</v>
      </c>
    </row>
    <row r="39" spans="1:5" x14ac:dyDescent="0.3">
      <c r="A39" s="1"/>
      <c r="B39" s="193" t="s">
        <v>67</v>
      </c>
      <c r="C39" s="193" t="s">
        <v>839</v>
      </c>
      <c r="D39" s="194">
        <v>0</v>
      </c>
      <c r="E39" s="195">
        <v>0</v>
      </c>
    </row>
    <row r="40" spans="1:5" x14ac:dyDescent="0.3">
      <c r="A40" s="1"/>
      <c r="B40" s="193" t="s">
        <v>67</v>
      </c>
      <c r="C40" s="193" t="s">
        <v>840</v>
      </c>
      <c r="D40" s="194">
        <v>0</v>
      </c>
      <c r="E40" s="195">
        <v>0</v>
      </c>
    </row>
    <row r="41" spans="1:5" x14ac:dyDescent="0.3">
      <c r="A41" s="1"/>
      <c r="B41" s="193" t="s">
        <v>67</v>
      </c>
      <c r="C41" s="193" t="s">
        <v>841</v>
      </c>
      <c r="D41" s="194">
        <v>0</v>
      </c>
      <c r="E41" s="195">
        <v>0</v>
      </c>
    </row>
    <row r="42" spans="1:5" x14ac:dyDescent="0.3">
      <c r="A42" s="1"/>
      <c r="B42" s="193" t="s">
        <v>67</v>
      </c>
      <c r="C42" s="193" t="s">
        <v>842</v>
      </c>
      <c r="D42" s="194">
        <v>0</v>
      </c>
      <c r="E42" s="195">
        <v>0</v>
      </c>
    </row>
    <row r="43" spans="1:5" x14ac:dyDescent="0.3">
      <c r="A43" s="1"/>
      <c r="B43" s="193" t="s">
        <v>67</v>
      </c>
      <c r="C43" s="193" t="s">
        <v>843</v>
      </c>
      <c r="D43" s="194">
        <v>0</v>
      </c>
      <c r="E43" s="195">
        <v>0</v>
      </c>
    </row>
    <row r="44" spans="1:5" x14ac:dyDescent="0.3">
      <c r="A44" s="1"/>
      <c r="B44" s="193" t="s">
        <v>67</v>
      </c>
      <c r="C44" s="193" t="s">
        <v>844</v>
      </c>
      <c r="D44" s="194">
        <v>0</v>
      </c>
      <c r="E44" s="195">
        <v>0</v>
      </c>
    </row>
    <row r="45" spans="1:5" x14ac:dyDescent="0.3">
      <c r="A45" s="1"/>
      <c r="B45" s="193" t="s">
        <v>67</v>
      </c>
      <c r="C45" s="193" t="s">
        <v>845</v>
      </c>
      <c r="D45" s="194">
        <v>0</v>
      </c>
      <c r="E45" s="195">
        <v>0</v>
      </c>
    </row>
    <row r="46" spans="1:5" x14ac:dyDescent="0.3">
      <c r="A46" s="1"/>
      <c r="B46" s="193" t="s">
        <v>67</v>
      </c>
      <c r="C46" s="193" t="s">
        <v>846</v>
      </c>
      <c r="D46" s="194">
        <v>0</v>
      </c>
      <c r="E46" s="195">
        <v>0</v>
      </c>
    </row>
    <row r="47" spans="1:5" x14ac:dyDescent="0.3">
      <c r="A47" s="1"/>
      <c r="B47" s="193" t="s">
        <v>67</v>
      </c>
      <c r="C47" s="193" t="s">
        <v>847</v>
      </c>
      <c r="D47" s="194">
        <v>0</v>
      </c>
      <c r="E47" s="195">
        <v>0</v>
      </c>
    </row>
    <row r="48" spans="1:5" x14ac:dyDescent="0.3">
      <c r="A48" s="1"/>
      <c r="B48" s="193" t="s">
        <v>67</v>
      </c>
      <c r="C48" s="193" t="s">
        <v>848</v>
      </c>
      <c r="D48" s="194">
        <v>0</v>
      </c>
      <c r="E48" s="195">
        <v>0</v>
      </c>
    </row>
    <row r="49" spans="1:5" x14ac:dyDescent="0.3">
      <c r="A49" s="1"/>
      <c r="B49" s="193" t="s">
        <v>67</v>
      </c>
      <c r="C49" s="193" t="s">
        <v>849</v>
      </c>
      <c r="D49" s="194">
        <v>0</v>
      </c>
      <c r="E49" s="195">
        <v>0</v>
      </c>
    </row>
    <row r="50" spans="1:5" x14ac:dyDescent="0.3">
      <c r="A50" s="1"/>
      <c r="B50" s="193" t="s">
        <v>67</v>
      </c>
      <c r="C50" s="193" t="s">
        <v>850</v>
      </c>
      <c r="D50" s="194">
        <v>0</v>
      </c>
      <c r="E50" s="195">
        <v>0</v>
      </c>
    </row>
    <row r="51" spans="1:5" x14ac:dyDescent="0.3">
      <c r="A51" s="1"/>
      <c r="B51" s="193" t="s">
        <v>67</v>
      </c>
      <c r="C51" s="193" t="s">
        <v>851</v>
      </c>
      <c r="D51" s="194">
        <v>0</v>
      </c>
      <c r="E51" s="195">
        <v>0</v>
      </c>
    </row>
    <row r="52" spans="1:5" x14ac:dyDescent="0.3">
      <c r="A52" s="1"/>
      <c r="B52" s="193" t="s">
        <v>67</v>
      </c>
      <c r="C52" s="193" t="s">
        <v>852</v>
      </c>
      <c r="D52" s="194">
        <v>0</v>
      </c>
      <c r="E52" s="195">
        <v>0</v>
      </c>
    </row>
    <row r="53" spans="1:5" x14ac:dyDescent="0.3">
      <c r="A53" s="1"/>
      <c r="B53" s="193" t="s">
        <v>67</v>
      </c>
      <c r="C53" s="193" t="s">
        <v>853</v>
      </c>
      <c r="D53" s="194">
        <v>0</v>
      </c>
      <c r="E53" s="195">
        <v>0</v>
      </c>
    </row>
    <row r="54" spans="1:5" x14ac:dyDescent="0.3">
      <c r="A54" s="1"/>
      <c r="B54" s="193" t="s">
        <v>67</v>
      </c>
      <c r="C54" s="193" t="s">
        <v>854</v>
      </c>
      <c r="D54" s="194">
        <v>0</v>
      </c>
      <c r="E54" s="195">
        <v>0</v>
      </c>
    </row>
    <row r="55" spans="1:5" x14ac:dyDescent="0.3">
      <c r="A55" s="1"/>
      <c r="B55" s="193" t="s">
        <v>67</v>
      </c>
      <c r="C55" s="193" t="s">
        <v>68</v>
      </c>
      <c r="D55" s="194">
        <v>0</v>
      </c>
      <c r="E55" s="195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I13" sqref="I1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8" t="s">
        <v>0</v>
      </c>
      <c r="C3" s="199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965</v>
      </c>
      <c r="C5" s="1"/>
    </row>
    <row r="6" spans="1:7" ht="34.950000000000003" customHeight="1" x14ac:dyDescent="0.3">
      <c r="A6" s="1"/>
      <c r="B6" s="3" t="s">
        <v>3442</v>
      </c>
      <c r="C6" s="3" t="s">
        <v>3443</v>
      </c>
    </row>
    <row r="7" spans="1:7" ht="21" customHeight="1" x14ac:dyDescent="0.3">
      <c r="B7" s="196">
        <v>1</v>
      </c>
      <c r="C7" s="197" t="s">
        <v>3449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8" t="s">
        <v>0</v>
      </c>
      <c r="C3" s="199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965</v>
      </c>
      <c r="C5" s="1"/>
    </row>
    <row r="6" spans="1:7" ht="34.950000000000003" customHeight="1" x14ac:dyDescent="0.3">
      <c r="A6" s="1"/>
      <c r="B6" s="3" t="s">
        <v>3442</v>
      </c>
      <c r="C6" s="3" t="s">
        <v>3444</v>
      </c>
    </row>
    <row r="7" spans="1:7" ht="45" customHeight="1" x14ac:dyDescent="0.3">
      <c r="A7" s="1"/>
      <c r="B7" s="196">
        <v>1</v>
      </c>
      <c r="C7" s="197" t="s">
        <v>3448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2026-05-27T14:07:16Z</dcterms:modified>
</cp:coreProperties>
</file>